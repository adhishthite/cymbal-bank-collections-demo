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nkhuri Gupta\Downloads\"/>
    </mc:Choice>
  </mc:AlternateContent>
  <xr:revisionPtr revIDLastSave="0" documentId="8_{C4851CFE-8C69-4FD5-B303-107A4EE459C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ustomers" sheetId="1" r:id="rId1"/>
    <sheet name="Summary" sheetId="2" r:id="rId2"/>
    <sheet name="Assumptions" sheetId="3" r:id="rId3"/>
    <sheet name="Data dictionary" sheetId="4" r:id="rId4"/>
  </sheets>
  <definedNames>
    <definedName name="_xlnm._FilterDatabase" localSheetId="0" hidden="1">Customers!$A$1:$AS$1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4" i="2" l="1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4" i="2"/>
  <c r="C44" i="2" s="1"/>
  <c r="B43" i="2"/>
  <c r="C43" i="2" s="1"/>
  <c r="B42" i="2"/>
  <c r="C42" i="2" s="1"/>
  <c r="B41" i="2"/>
  <c r="C41" i="2" s="1"/>
  <c r="B40" i="2"/>
  <c r="C40" i="2" s="1"/>
  <c r="C36" i="2"/>
  <c r="D36" i="2" s="1"/>
  <c r="C35" i="2"/>
  <c r="B35" i="2"/>
  <c r="C34" i="2"/>
  <c r="B34" i="2"/>
  <c r="E29" i="2"/>
  <c r="D29" i="2"/>
  <c r="C29" i="2"/>
  <c r="B29" i="2"/>
  <c r="F29" i="2" s="1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D21" i="2"/>
  <c r="B21" i="2"/>
  <c r="C21" i="2" s="1"/>
  <c r="D20" i="2"/>
  <c r="B20" i="2"/>
  <c r="C20" i="2" s="1"/>
  <c r="D19" i="2"/>
  <c r="B19" i="2"/>
  <c r="C19" i="2" s="1"/>
  <c r="D18" i="2"/>
  <c r="B18" i="2"/>
  <c r="C18" i="2" s="1"/>
  <c r="D14" i="2"/>
  <c r="C14" i="2"/>
  <c r="B14" i="2"/>
  <c r="D13" i="2"/>
  <c r="B13" i="2"/>
  <c r="C13" i="2" s="1"/>
  <c r="D12" i="2"/>
  <c r="B12" i="2"/>
  <c r="C12" i="2" s="1"/>
  <c r="D7" i="2"/>
  <c r="B7" i="2"/>
  <c r="C7" i="2" s="1"/>
  <c r="D6" i="2"/>
  <c r="B6" i="2"/>
  <c r="AH2001" i="1"/>
  <c r="AD2001" i="1"/>
  <c r="K2001" i="1" s="1"/>
  <c r="AB2001" i="1"/>
  <c r="AF2001" i="1" s="1"/>
  <c r="J2001" i="1"/>
  <c r="H2001" i="1"/>
  <c r="AH2000" i="1"/>
  <c r="AF2000" i="1"/>
  <c r="AD2000" i="1"/>
  <c r="AE2000" i="1" s="1"/>
  <c r="AB2000" i="1"/>
  <c r="J2000" i="1"/>
  <c r="H2000" i="1"/>
  <c r="AH1999" i="1"/>
  <c r="AD1999" i="1"/>
  <c r="K1999" i="1" s="1"/>
  <c r="AB1999" i="1"/>
  <c r="AF1999" i="1" s="1"/>
  <c r="J1999" i="1"/>
  <c r="H1999" i="1"/>
  <c r="AH1998" i="1"/>
  <c r="AD1998" i="1"/>
  <c r="K1998" i="1" s="1"/>
  <c r="AB1998" i="1"/>
  <c r="AF1998" i="1" s="1"/>
  <c r="J1998" i="1"/>
  <c r="H1998" i="1"/>
  <c r="AH1997" i="1"/>
  <c r="AF1997" i="1"/>
  <c r="AD1997" i="1"/>
  <c r="AB1997" i="1"/>
  <c r="J1997" i="1"/>
  <c r="H1997" i="1"/>
  <c r="AH1996" i="1"/>
  <c r="AD1996" i="1"/>
  <c r="K1996" i="1" s="1"/>
  <c r="AB1996" i="1"/>
  <c r="AF1996" i="1" s="1"/>
  <c r="J1996" i="1"/>
  <c r="H1996" i="1"/>
  <c r="AH1995" i="1"/>
  <c r="AD1995" i="1"/>
  <c r="AB1995" i="1"/>
  <c r="AF1995" i="1" s="1"/>
  <c r="J1995" i="1"/>
  <c r="H1995" i="1"/>
  <c r="AH1994" i="1"/>
  <c r="AF1994" i="1"/>
  <c r="AD1994" i="1"/>
  <c r="AE1994" i="1" s="1"/>
  <c r="AB1994" i="1"/>
  <c r="J1994" i="1"/>
  <c r="H1994" i="1"/>
  <c r="AH1993" i="1"/>
  <c r="AD1993" i="1"/>
  <c r="K1993" i="1" s="1"/>
  <c r="AB1993" i="1"/>
  <c r="AF1993" i="1" s="1"/>
  <c r="J1993" i="1"/>
  <c r="H1993" i="1"/>
  <c r="AH1992" i="1"/>
  <c r="AF1992" i="1"/>
  <c r="AD1992" i="1"/>
  <c r="AE1992" i="1" s="1"/>
  <c r="AB1992" i="1"/>
  <c r="K1992" i="1"/>
  <c r="J1992" i="1"/>
  <c r="H1992" i="1"/>
  <c r="AH1991" i="1"/>
  <c r="AF1991" i="1"/>
  <c r="AD1991" i="1"/>
  <c r="AB1991" i="1"/>
  <c r="J1991" i="1"/>
  <c r="H1991" i="1"/>
  <c r="AH1990" i="1"/>
  <c r="AF1990" i="1"/>
  <c r="AD1990" i="1"/>
  <c r="AB1990" i="1"/>
  <c r="J1990" i="1"/>
  <c r="H1990" i="1"/>
  <c r="AH1989" i="1"/>
  <c r="AF1989" i="1"/>
  <c r="AD1989" i="1"/>
  <c r="AB1989" i="1"/>
  <c r="J1989" i="1"/>
  <c r="H1989" i="1"/>
  <c r="AH1988" i="1"/>
  <c r="AF1988" i="1"/>
  <c r="AD1988" i="1"/>
  <c r="AB1988" i="1"/>
  <c r="J1988" i="1"/>
  <c r="H1988" i="1"/>
  <c r="AH1987" i="1"/>
  <c r="AD1987" i="1"/>
  <c r="K1987" i="1" s="1"/>
  <c r="AB1987" i="1"/>
  <c r="AF1987" i="1" s="1"/>
  <c r="J1987" i="1"/>
  <c r="H1987" i="1"/>
  <c r="AH1986" i="1"/>
  <c r="AD1986" i="1"/>
  <c r="K1986" i="1" s="1"/>
  <c r="AB1986" i="1"/>
  <c r="AF1986" i="1" s="1"/>
  <c r="J1986" i="1"/>
  <c r="H1986" i="1"/>
  <c r="AH1985" i="1"/>
  <c r="AD1985" i="1"/>
  <c r="K1985" i="1" s="1"/>
  <c r="AB1985" i="1"/>
  <c r="AF1985" i="1" s="1"/>
  <c r="J1985" i="1"/>
  <c r="H1985" i="1"/>
  <c r="AH1984" i="1"/>
  <c r="AD1984" i="1"/>
  <c r="K1984" i="1" s="1"/>
  <c r="AB1984" i="1"/>
  <c r="AF1984" i="1" s="1"/>
  <c r="J1984" i="1"/>
  <c r="H1984" i="1"/>
  <c r="AH1983" i="1"/>
  <c r="AD1983" i="1"/>
  <c r="K1983" i="1" s="1"/>
  <c r="AB1983" i="1"/>
  <c r="AF1983" i="1" s="1"/>
  <c r="J1983" i="1"/>
  <c r="H1983" i="1"/>
  <c r="AH1982" i="1"/>
  <c r="AD1982" i="1"/>
  <c r="AB1982" i="1"/>
  <c r="AF1982" i="1" s="1"/>
  <c r="K1982" i="1"/>
  <c r="J1982" i="1"/>
  <c r="H1982" i="1"/>
  <c r="AH1981" i="1"/>
  <c r="AD1981" i="1"/>
  <c r="AB1981" i="1"/>
  <c r="AF1981" i="1" s="1"/>
  <c r="K1981" i="1"/>
  <c r="J1981" i="1"/>
  <c r="H1981" i="1"/>
  <c r="AE1981" i="1" s="1"/>
  <c r="AH1980" i="1"/>
  <c r="AF1980" i="1"/>
  <c r="AD1980" i="1"/>
  <c r="AE1980" i="1" s="1"/>
  <c r="AB1980" i="1"/>
  <c r="K1980" i="1"/>
  <c r="J1980" i="1"/>
  <c r="H1980" i="1"/>
  <c r="AH1979" i="1"/>
  <c r="AD1979" i="1"/>
  <c r="AB1979" i="1"/>
  <c r="AF1979" i="1" s="1"/>
  <c r="K1979" i="1"/>
  <c r="J1979" i="1"/>
  <c r="H1979" i="1"/>
  <c r="AE1979" i="1" s="1"/>
  <c r="AH1978" i="1"/>
  <c r="AF1978" i="1"/>
  <c r="AD1978" i="1"/>
  <c r="AE1978" i="1" s="1"/>
  <c r="AB1978" i="1"/>
  <c r="K1978" i="1"/>
  <c r="J1978" i="1"/>
  <c r="H1978" i="1"/>
  <c r="AH1977" i="1"/>
  <c r="AD1977" i="1"/>
  <c r="AB1977" i="1"/>
  <c r="AF1977" i="1" s="1"/>
  <c r="K1977" i="1"/>
  <c r="J1977" i="1"/>
  <c r="H1977" i="1"/>
  <c r="AE1977" i="1" s="1"/>
  <c r="AH1976" i="1"/>
  <c r="AD1976" i="1"/>
  <c r="K1976" i="1" s="1"/>
  <c r="AB1976" i="1"/>
  <c r="AF1976" i="1" s="1"/>
  <c r="J1976" i="1"/>
  <c r="H1976" i="1"/>
  <c r="AE1976" i="1" s="1"/>
  <c r="AH1975" i="1"/>
  <c r="AD1975" i="1"/>
  <c r="K1975" i="1" s="1"/>
  <c r="AB1975" i="1"/>
  <c r="AF1975" i="1" s="1"/>
  <c r="J1975" i="1"/>
  <c r="H1975" i="1"/>
  <c r="AH1974" i="1"/>
  <c r="AF1974" i="1"/>
  <c r="AD1974" i="1"/>
  <c r="K1974" i="1" s="1"/>
  <c r="AB1974" i="1"/>
  <c r="J1974" i="1"/>
  <c r="H1974" i="1"/>
  <c r="AH1973" i="1"/>
  <c r="AF1973" i="1"/>
  <c r="AD1973" i="1"/>
  <c r="AE1973" i="1" s="1"/>
  <c r="AB1973" i="1"/>
  <c r="J1973" i="1"/>
  <c r="H1973" i="1"/>
  <c r="AH1972" i="1"/>
  <c r="AD1972" i="1"/>
  <c r="K1972" i="1" s="1"/>
  <c r="AB1972" i="1"/>
  <c r="AF1972" i="1" s="1"/>
  <c r="J1972" i="1"/>
  <c r="H1972" i="1"/>
  <c r="AH1971" i="1"/>
  <c r="AF1971" i="1"/>
  <c r="AD1971" i="1"/>
  <c r="AB1971" i="1"/>
  <c r="J1971" i="1"/>
  <c r="H1971" i="1"/>
  <c r="AH1970" i="1"/>
  <c r="AD1970" i="1"/>
  <c r="K1970" i="1" s="1"/>
  <c r="AB1970" i="1"/>
  <c r="AF1970" i="1" s="1"/>
  <c r="J1970" i="1"/>
  <c r="H1970" i="1"/>
  <c r="AE1970" i="1" s="1"/>
  <c r="AH1969" i="1"/>
  <c r="AD1969" i="1"/>
  <c r="AB1969" i="1"/>
  <c r="AF1969" i="1" s="1"/>
  <c r="J1969" i="1"/>
  <c r="H1969" i="1"/>
  <c r="AH1968" i="1"/>
  <c r="AF1968" i="1"/>
  <c r="AD1968" i="1"/>
  <c r="AB1968" i="1"/>
  <c r="J1968" i="1"/>
  <c r="H1968" i="1"/>
  <c r="AH1967" i="1"/>
  <c r="AF1967" i="1"/>
  <c r="AD1967" i="1"/>
  <c r="AB1967" i="1"/>
  <c r="J1967" i="1"/>
  <c r="H1967" i="1"/>
  <c r="AH1966" i="1"/>
  <c r="AF1966" i="1"/>
  <c r="AD1966" i="1"/>
  <c r="AB1966" i="1"/>
  <c r="J1966" i="1"/>
  <c r="H1966" i="1"/>
  <c r="AH1965" i="1"/>
  <c r="AD1965" i="1"/>
  <c r="K1965" i="1" s="1"/>
  <c r="AB1965" i="1"/>
  <c r="AF1965" i="1" s="1"/>
  <c r="J1965" i="1"/>
  <c r="H1965" i="1"/>
  <c r="AH1964" i="1"/>
  <c r="AF1964" i="1"/>
  <c r="AD1964" i="1"/>
  <c r="AB1964" i="1"/>
  <c r="K1964" i="1"/>
  <c r="J1964" i="1"/>
  <c r="H1964" i="1"/>
  <c r="AH1963" i="1"/>
  <c r="AD1963" i="1"/>
  <c r="K1963" i="1" s="1"/>
  <c r="AB1963" i="1"/>
  <c r="AF1963" i="1" s="1"/>
  <c r="J1963" i="1"/>
  <c r="H1963" i="1"/>
  <c r="AH1962" i="1"/>
  <c r="AD1962" i="1"/>
  <c r="K1962" i="1" s="1"/>
  <c r="AB1962" i="1"/>
  <c r="AF1962" i="1" s="1"/>
  <c r="J1962" i="1"/>
  <c r="H1962" i="1"/>
  <c r="AH1961" i="1"/>
  <c r="AF1961" i="1"/>
  <c r="AD1961" i="1"/>
  <c r="AB1961" i="1"/>
  <c r="J1961" i="1"/>
  <c r="H1961" i="1"/>
  <c r="AH1960" i="1"/>
  <c r="AF1960" i="1"/>
  <c r="AD1960" i="1"/>
  <c r="AE1960" i="1" s="1"/>
  <c r="AB1960" i="1"/>
  <c r="K1960" i="1"/>
  <c r="J1960" i="1"/>
  <c r="H1960" i="1"/>
  <c r="AH1959" i="1"/>
  <c r="AF1959" i="1"/>
  <c r="AD1959" i="1"/>
  <c r="AB1959" i="1"/>
  <c r="J1959" i="1"/>
  <c r="H1959" i="1"/>
  <c r="AH1958" i="1"/>
  <c r="AF1958" i="1"/>
  <c r="AD1958" i="1"/>
  <c r="AE1958" i="1" s="1"/>
  <c r="AB1958" i="1"/>
  <c r="K1958" i="1"/>
  <c r="J1958" i="1"/>
  <c r="H1958" i="1"/>
  <c r="AH1957" i="1"/>
  <c r="AF1957" i="1"/>
  <c r="AD1957" i="1"/>
  <c r="K1957" i="1" s="1"/>
  <c r="AB1957" i="1"/>
  <c r="J1957" i="1"/>
  <c r="H1957" i="1"/>
  <c r="AH1956" i="1"/>
  <c r="AF1956" i="1"/>
  <c r="AD1956" i="1"/>
  <c r="AE1956" i="1" s="1"/>
  <c r="AB1956" i="1"/>
  <c r="K1956" i="1"/>
  <c r="J1956" i="1"/>
  <c r="H1956" i="1"/>
  <c r="AH1955" i="1"/>
  <c r="AD1955" i="1"/>
  <c r="K1955" i="1" s="1"/>
  <c r="AB1955" i="1"/>
  <c r="AF1955" i="1" s="1"/>
  <c r="J1955" i="1"/>
  <c r="H1955" i="1"/>
  <c r="AH1954" i="1"/>
  <c r="AF1954" i="1"/>
  <c r="AD1954" i="1"/>
  <c r="AE1954" i="1" s="1"/>
  <c r="AB1954" i="1"/>
  <c r="K1954" i="1"/>
  <c r="J1954" i="1"/>
  <c r="H1954" i="1"/>
  <c r="AH1953" i="1"/>
  <c r="AF1953" i="1"/>
  <c r="AD1953" i="1"/>
  <c r="K1953" i="1" s="1"/>
  <c r="AB1953" i="1"/>
  <c r="J1953" i="1"/>
  <c r="H1953" i="1"/>
  <c r="AH1952" i="1"/>
  <c r="AD1952" i="1"/>
  <c r="AB1952" i="1"/>
  <c r="AF1952" i="1" s="1"/>
  <c r="K1952" i="1"/>
  <c r="J1952" i="1"/>
  <c r="H1952" i="1"/>
  <c r="AE1952" i="1" s="1"/>
  <c r="AH1951" i="1"/>
  <c r="AF1951" i="1"/>
  <c r="AD1951" i="1"/>
  <c r="K1951" i="1" s="1"/>
  <c r="AB1951" i="1"/>
  <c r="J1951" i="1"/>
  <c r="H1951" i="1"/>
  <c r="AH1950" i="1"/>
  <c r="AD1950" i="1"/>
  <c r="AB1950" i="1"/>
  <c r="AF1950" i="1" s="1"/>
  <c r="K1950" i="1"/>
  <c r="J1950" i="1"/>
  <c r="H1950" i="1"/>
  <c r="AE1950" i="1" s="1"/>
  <c r="AH1949" i="1"/>
  <c r="AD1949" i="1"/>
  <c r="K1949" i="1" s="1"/>
  <c r="AB1949" i="1"/>
  <c r="AF1949" i="1" s="1"/>
  <c r="J1949" i="1"/>
  <c r="H1949" i="1"/>
  <c r="AH1948" i="1"/>
  <c r="AD1948" i="1"/>
  <c r="AB1948" i="1"/>
  <c r="AF1948" i="1" s="1"/>
  <c r="J1948" i="1"/>
  <c r="H1948" i="1"/>
  <c r="AH1947" i="1"/>
  <c r="AF1947" i="1"/>
  <c r="AD1947" i="1"/>
  <c r="AE1947" i="1" s="1"/>
  <c r="AB1947" i="1"/>
  <c r="J1947" i="1"/>
  <c r="H1947" i="1"/>
  <c r="AH1946" i="1"/>
  <c r="AF1946" i="1"/>
  <c r="AD1946" i="1"/>
  <c r="AE1946" i="1" s="1"/>
  <c r="AB1946" i="1"/>
  <c r="J1946" i="1"/>
  <c r="H1946" i="1"/>
  <c r="AH1945" i="1"/>
  <c r="AD1945" i="1"/>
  <c r="K1945" i="1" s="1"/>
  <c r="AB1945" i="1"/>
  <c r="AF1945" i="1" s="1"/>
  <c r="J1945" i="1"/>
  <c r="H1945" i="1"/>
  <c r="AH1944" i="1"/>
  <c r="AF1944" i="1"/>
  <c r="AD1944" i="1"/>
  <c r="AE1944" i="1" s="1"/>
  <c r="AB1944" i="1"/>
  <c r="J1944" i="1"/>
  <c r="H1944" i="1"/>
  <c r="AH1943" i="1"/>
  <c r="AD1943" i="1"/>
  <c r="K1943" i="1" s="1"/>
  <c r="AB1943" i="1"/>
  <c r="AF1943" i="1" s="1"/>
  <c r="J1943" i="1"/>
  <c r="H1943" i="1"/>
  <c r="AH1942" i="1"/>
  <c r="AF1942" i="1"/>
  <c r="AD1942" i="1"/>
  <c r="AE1942" i="1" s="1"/>
  <c r="AB1942" i="1"/>
  <c r="J1942" i="1"/>
  <c r="H1942" i="1"/>
  <c r="AH1941" i="1"/>
  <c r="AF1941" i="1"/>
  <c r="AD1941" i="1"/>
  <c r="AE1941" i="1" s="1"/>
  <c r="AB1941" i="1"/>
  <c r="K1941" i="1"/>
  <c r="J1941" i="1"/>
  <c r="H1941" i="1"/>
  <c r="AH1940" i="1"/>
  <c r="AD1940" i="1"/>
  <c r="K1940" i="1" s="1"/>
  <c r="AB1940" i="1"/>
  <c r="AF1940" i="1" s="1"/>
  <c r="J1940" i="1"/>
  <c r="H1940" i="1"/>
  <c r="AH1939" i="1"/>
  <c r="AF1939" i="1"/>
  <c r="AD1939" i="1"/>
  <c r="AB1939" i="1"/>
  <c r="J1939" i="1"/>
  <c r="H1939" i="1"/>
  <c r="AH1938" i="1"/>
  <c r="AF1938" i="1"/>
  <c r="AD1938" i="1"/>
  <c r="AB1938" i="1"/>
  <c r="J1938" i="1"/>
  <c r="H1938" i="1"/>
  <c r="AH1937" i="1"/>
  <c r="AD1937" i="1"/>
  <c r="AB1937" i="1"/>
  <c r="AF1937" i="1" s="1"/>
  <c r="K1937" i="1"/>
  <c r="J1937" i="1"/>
  <c r="H1937" i="1"/>
  <c r="AH1936" i="1"/>
  <c r="AF1936" i="1"/>
  <c r="AD1936" i="1"/>
  <c r="AB1936" i="1"/>
  <c r="J1936" i="1"/>
  <c r="H1936" i="1"/>
  <c r="AH1935" i="1"/>
  <c r="AF1935" i="1"/>
  <c r="AD1935" i="1"/>
  <c r="AE1935" i="1" s="1"/>
  <c r="AB1935" i="1"/>
  <c r="K1935" i="1"/>
  <c r="J1935" i="1"/>
  <c r="H1935" i="1"/>
  <c r="AH1934" i="1"/>
  <c r="AF1934" i="1"/>
  <c r="AD1934" i="1"/>
  <c r="AE1934" i="1" s="1"/>
  <c r="AB1934" i="1"/>
  <c r="K1934" i="1"/>
  <c r="J1934" i="1"/>
  <c r="H1934" i="1"/>
  <c r="AH1933" i="1"/>
  <c r="AF1933" i="1"/>
  <c r="AD1933" i="1"/>
  <c r="AB1933" i="1"/>
  <c r="J1933" i="1"/>
  <c r="H1933" i="1"/>
  <c r="AH1932" i="1"/>
  <c r="AF1932" i="1"/>
  <c r="AD1932" i="1"/>
  <c r="AE1932" i="1" s="1"/>
  <c r="AB1932" i="1"/>
  <c r="K1932" i="1"/>
  <c r="J1932" i="1"/>
  <c r="H1932" i="1"/>
  <c r="AH1931" i="1"/>
  <c r="AD1931" i="1"/>
  <c r="K1931" i="1" s="1"/>
  <c r="AB1931" i="1"/>
  <c r="AF1931" i="1" s="1"/>
  <c r="J1931" i="1"/>
  <c r="H1931" i="1"/>
  <c r="AH1930" i="1"/>
  <c r="AF1930" i="1"/>
  <c r="AD1930" i="1"/>
  <c r="AE1930" i="1" s="1"/>
  <c r="AB1930" i="1"/>
  <c r="K1930" i="1"/>
  <c r="J1930" i="1"/>
  <c r="H1930" i="1"/>
  <c r="AH1929" i="1"/>
  <c r="AF1929" i="1"/>
  <c r="AD1929" i="1"/>
  <c r="AE1929" i="1" s="1"/>
  <c r="AB1929" i="1"/>
  <c r="J1929" i="1"/>
  <c r="H1929" i="1"/>
  <c r="AH1928" i="1"/>
  <c r="AD1928" i="1"/>
  <c r="K1928" i="1" s="1"/>
  <c r="AB1928" i="1"/>
  <c r="AF1928" i="1" s="1"/>
  <c r="J1928" i="1"/>
  <c r="H1928" i="1"/>
  <c r="AE1928" i="1" s="1"/>
  <c r="AH1927" i="1"/>
  <c r="AD1927" i="1"/>
  <c r="K1927" i="1" s="1"/>
  <c r="AB1927" i="1"/>
  <c r="AF1927" i="1" s="1"/>
  <c r="J1927" i="1"/>
  <c r="H1927" i="1"/>
  <c r="AE1927" i="1" s="1"/>
  <c r="AH1926" i="1"/>
  <c r="AF1926" i="1"/>
  <c r="AD1926" i="1"/>
  <c r="AB1926" i="1"/>
  <c r="J1926" i="1"/>
  <c r="H1926" i="1"/>
  <c r="AH1925" i="1"/>
  <c r="AD1925" i="1"/>
  <c r="AB1925" i="1"/>
  <c r="AF1925" i="1" s="1"/>
  <c r="K1925" i="1"/>
  <c r="J1925" i="1"/>
  <c r="H1925" i="1"/>
  <c r="AH1924" i="1"/>
  <c r="AF1924" i="1"/>
  <c r="AD1924" i="1"/>
  <c r="AE1924" i="1" s="1"/>
  <c r="AB1924" i="1"/>
  <c r="J1924" i="1"/>
  <c r="H1924" i="1"/>
  <c r="AH1923" i="1"/>
  <c r="AD1923" i="1"/>
  <c r="K1923" i="1" s="1"/>
  <c r="AB1923" i="1"/>
  <c r="AF1923" i="1" s="1"/>
  <c r="J1923" i="1"/>
  <c r="H1923" i="1"/>
  <c r="AH1922" i="1"/>
  <c r="AF1922" i="1"/>
  <c r="AD1922" i="1"/>
  <c r="AE1922" i="1" s="1"/>
  <c r="AB1922" i="1"/>
  <c r="J1922" i="1"/>
  <c r="H1922" i="1"/>
  <c r="AH1921" i="1"/>
  <c r="AD1921" i="1"/>
  <c r="K1921" i="1" s="1"/>
  <c r="AB1921" i="1"/>
  <c r="AF1921" i="1" s="1"/>
  <c r="J1921" i="1"/>
  <c r="H1921" i="1"/>
  <c r="AH1920" i="1"/>
  <c r="AD1920" i="1"/>
  <c r="AB1920" i="1"/>
  <c r="AF1920" i="1" s="1"/>
  <c r="J1920" i="1"/>
  <c r="H1920" i="1"/>
  <c r="AH1919" i="1"/>
  <c r="AF1919" i="1"/>
  <c r="AD1919" i="1"/>
  <c r="AE1919" i="1" s="1"/>
  <c r="AB1919" i="1"/>
  <c r="J1919" i="1"/>
  <c r="H1919" i="1"/>
  <c r="AH1918" i="1"/>
  <c r="AF1918" i="1"/>
  <c r="AD1918" i="1"/>
  <c r="AB1918" i="1"/>
  <c r="J1918" i="1"/>
  <c r="H1918" i="1"/>
  <c r="AH1917" i="1"/>
  <c r="AF1917" i="1"/>
  <c r="AD1917" i="1"/>
  <c r="AB1917" i="1"/>
  <c r="J1917" i="1"/>
  <c r="H1917" i="1"/>
  <c r="AH1916" i="1"/>
  <c r="AD1916" i="1"/>
  <c r="AB1916" i="1"/>
  <c r="AF1916" i="1" s="1"/>
  <c r="K1916" i="1"/>
  <c r="J1916" i="1"/>
  <c r="H1916" i="1"/>
  <c r="AH1915" i="1"/>
  <c r="AF1915" i="1"/>
  <c r="AD1915" i="1"/>
  <c r="AB1915" i="1"/>
  <c r="J1915" i="1"/>
  <c r="H1915" i="1"/>
  <c r="AH1914" i="1"/>
  <c r="AF1914" i="1"/>
  <c r="AD1914" i="1"/>
  <c r="AE1914" i="1" s="1"/>
  <c r="AB1914" i="1"/>
  <c r="J1914" i="1"/>
  <c r="H1914" i="1"/>
  <c r="AH1913" i="1"/>
  <c r="AF1913" i="1"/>
  <c r="AD1913" i="1"/>
  <c r="K1913" i="1" s="1"/>
  <c r="AB1913" i="1"/>
  <c r="J1913" i="1"/>
  <c r="H1913" i="1"/>
  <c r="AH1912" i="1"/>
  <c r="AF1912" i="1"/>
  <c r="AD1912" i="1"/>
  <c r="AE1912" i="1" s="1"/>
  <c r="AB1912" i="1"/>
  <c r="J1912" i="1"/>
  <c r="H1912" i="1"/>
  <c r="AH1911" i="1"/>
  <c r="AD1911" i="1"/>
  <c r="K1911" i="1" s="1"/>
  <c r="AB1911" i="1"/>
  <c r="AF1911" i="1" s="1"/>
  <c r="J1911" i="1"/>
  <c r="H1911" i="1"/>
  <c r="AH1910" i="1"/>
  <c r="AD1910" i="1"/>
  <c r="K1910" i="1" s="1"/>
  <c r="AB1910" i="1"/>
  <c r="AF1910" i="1" s="1"/>
  <c r="J1910" i="1"/>
  <c r="H1910" i="1"/>
  <c r="AH1909" i="1"/>
  <c r="AD1909" i="1"/>
  <c r="AB1909" i="1"/>
  <c r="AF1909" i="1" s="1"/>
  <c r="K1909" i="1"/>
  <c r="J1909" i="1"/>
  <c r="H1909" i="1"/>
  <c r="AE1909" i="1" s="1"/>
  <c r="AH1908" i="1"/>
  <c r="AD1908" i="1"/>
  <c r="K1908" i="1" s="1"/>
  <c r="AB1908" i="1"/>
  <c r="AF1908" i="1" s="1"/>
  <c r="J1908" i="1"/>
  <c r="H1908" i="1"/>
  <c r="AH1907" i="1"/>
  <c r="AD1907" i="1"/>
  <c r="K1907" i="1" s="1"/>
  <c r="AB1907" i="1"/>
  <c r="AF1907" i="1" s="1"/>
  <c r="J1907" i="1"/>
  <c r="H1907" i="1"/>
  <c r="AH1906" i="1"/>
  <c r="AF1906" i="1"/>
  <c r="AD1906" i="1"/>
  <c r="AE1906" i="1" s="1"/>
  <c r="AB1906" i="1"/>
  <c r="J1906" i="1"/>
  <c r="H1906" i="1"/>
  <c r="AH1905" i="1"/>
  <c r="AF1905" i="1"/>
  <c r="AD1905" i="1"/>
  <c r="AB1905" i="1"/>
  <c r="J1905" i="1"/>
  <c r="H1905" i="1"/>
  <c r="AH1904" i="1"/>
  <c r="AD1904" i="1"/>
  <c r="K1904" i="1" s="1"/>
  <c r="AB1904" i="1"/>
  <c r="AF1904" i="1" s="1"/>
  <c r="J1904" i="1"/>
  <c r="H1904" i="1"/>
  <c r="AH1903" i="1"/>
  <c r="AF1903" i="1"/>
  <c r="AD1903" i="1"/>
  <c r="K1903" i="1" s="1"/>
  <c r="AB1903" i="1"/>
  <c r="J1903" i="1"/>
  <c r="H1903" i="1"/>
  <c r="AH1902" i="1"/>
  <c r="AF1902" i="1"/>
  <c r="AD1902" i="1"/>
  <c r="AB1902" i="1"/>
  <c r="J1902" i="1"/>
  <c r="H1902" i="1"/>
  <c r="AH1901" i="1"/>
  <c r="AD1901" i="1"/>
  <c r="K1901" i="1" s="1"/>
  <c r="AB1901" i="1"/>
  <c r="AF1901" i="1" s="1"/>
  <c r="J1901" i="1"/>
  <c r="H1901" i="1"/>
  <c r="AH1900" i="1"/>
  <c r="AF1900" i="1"/>
  <c r="AD1900" i="1"/>
  <c r="AB1900" i="1"/>
  <c r="J1900" i="1"/>
  <c r="H1900" i="1"/>
  <c r="AH1899" i="1"/>
  <c r="AD1899" i="1"/>
  <c r="K1899" i="1" s="1"/>
  <c r="AB1899" i="1"/>
  <c r="AF1899" i="1" s="1"/>
  <c r="J1899" i="1"/>
  <c r="H1899" i="1"/>
  <c r="AH1898" i="1"/>
  <c r="AF1898" i="1"/>
  <c r="AD1898" i="1"/>
  <c r="AB1898" i="1"/>
  <c r="K1898" i="1"/>
  <c r="J1898" i="1"/>
  <c r="H1898" i="1"/>
  <c r="AH1897" i="1"/>
  <c r="AF1897" i="1"/>
  <c r="AD1897" i="1"/>
  <c r="AB1897" i="1"/>
  <c r="J1897" i="1"/>
  <c r="H1897" i="1"/>
  <c r="AH1896" i="1"/>
  <c r="AF1896" i="1"/>
  <c r="AD1896" i="1"/>
  <c r="AB1896" i="1"/>
  <c r="J1896" i="1"/>
  <c r="H1896" i="1"/>
  <c r="AH1895" i="1"/>
  <c r="AD1895" i="1"/>
  <c r="K1895" i="1" s="1"/>
  <c r="AB1895" i="1"/>
  <c r="AF1895" i="1" s="1"/>
  <c r="J1895" i="1"/>
  <c r="H1895" i="1"/>
  <c r="AH1894" i="1"/>
  <c r="AF1894" i="1"/>
  <c r="AD1894" i="1"/>
  <c r="AB1894" i="1"/>
  <c r="J1894" i="1"/>
  <c r="H1894" i="1"/>
  <c r="AH1893" i="1"/>
  <c r="AF1893" i="1"/>
  <c r="AD1893" i="1"/>
  <c r="AB1893" i="1"/>
  <c r="J1893" i="1"/>
  <c r="H1893" i="1"/>
  <c r="AH1892" i="1"/>
  <c r="AD1892" i="1"/>
  <c r="K1892" i="1" s="1"/>
  <c r="AB1892" i="1"/>
  <c r="AF1892" i="1" s="1"/>
  <c r="J1892" i="1"/>
  <c r="H1892" i="1"/>
  <c r="AH1891" i="1"/>
  <c r="AF1891" i="1"/>
  <c r="AD1891" i="1"/>
  <c r="AE1891" i="1" s="1"/>
  <c r="AB1891" i="1"/>
  <c r="K1891" i="1"/>
  <c r="J1891" i="1"/>
  <c r="H1891" i="1"/>
  <c r="AH1890" i="1"/>
  <c r="AF1890" i="1"/>
  <c r="AD1890" i="1"/>
  <c r="K1890" i="1" s="1"/>
  <c r="AB1890" i="1"/>
  <c r="J1890" i="1"/>
  <c r="H1890" i="1"/>
  <c r="AH1889" i="1"/>
  <c r="AD1889" i="1"/>
  <c r="K1889" i="1" s="1"/>
  <c r="AB1889" i="1"/>
  <c r="AF1889" i="1" s="1"/>
  <c r="J1889" i="1"/>
  <c r="H1889" i="1"/>
  <c r="AH1888" i="1"/>
  <c r="AD1888" i="1"/>
  <c r="K1888" i="1" s="1"/>
  <c r="AB1888" i="1"/>
  <c r="AF1888" i="1" s="1"/>
  <c r="J1888" i="1"/>
  <c r="H1888" i="1"/>
  <c r="AH1887" i="1"/>
  <c r="AF1887" i="1"/>
  <c r="AD1887" i="1"/>
  <c r="AE1887" i="1" s="1"/>
  <c r="AB1887" i="1"/>
  <c r="J1887" i="1"/>
  <c r="H1887" i="1"/>
  <c r="AH1886" i="1"/>
  <c r="AD1886" i="1"/>
  <c r="K1886" i="1" s="1"/>
  <c r="AB1886" i="1"/>
  <c r="AF1886" i="1" s="1"/>
  <c r="J1886" i="1"/>
  <c r="H1886" i="1"/>
  <c r="AH1885" i="1"/>
  <c r="AF1885" i="1"/>
  <c r="AD1885" i="1"/>
  <c r="AB1885" i="1"/>
  <c r="J1885" i="1"/>
  <c r="H1885" i="1"/>
  <c r="AH1884" i="1"/>
  <c r="AF1884" i="1"/>
  <c r="AD1884" i="1"/>
  <c r="AB1884" i="1"/>
  <c r="K1884" i="1"/>
  <c r="J1884" i="1"/>
  <c r="H1884" i="1"/>
  <c r="AE1884" i="1" s="1"/>
  <c r="AH1883" i="1"/>
  <c r="AF1883" i="1"/>
  <c r="AD1883" i="1"/>
  <c r="AE1883" i="1" s="1"/>
  <c r="AB1883" i="1"/>
  <c r="K1883" i="1"/>
  <c r="J1883" i="1"/>
  <c r="H1883" i="1"/>
  <c r="AH1882" i="1"/>
  <c r="AD1882" i="1"/>
  <c r="AB1882" i="1"/>
  <c r="AF1882" i="1" s="1"/>
  <c r="K1882" i="1"/>
  <c r="J1882" i="1"/>
  <c r="H1882" i="1"/>
  <c r="AE1882" i="1" s="1"/>
  <c r="AH1881" i="1"/>
  <c r="AF1881" i="1"/>
  <c r="AD1881" i="1"/>
  <c r="AE1881" i="1" s="1"/>
  <c r="AB1881" i="1"/>
  <c r="K1881" i="1"/>
  <c r="J1881" i="1"/>
  <c r="H1881" i="1"/>
  <c r="AH1880" i="1"/>
  <c r="AD1880" i="1"/>
  <c r="K1880" i="1" s="1"/>
  <c r="AB1880" i="1"/>
  <c r="AF1880" i="1" s="1"/>
  <c r="J1880" i="1"/>
  <c r="H1880" i="1"/>
  <c r="AE1880" i="1" s="1"/>
  <c r="AH1879" i="1"/>
  <c r="AD1879" i="1"/>
  <c r="K1879" i="1" s="1"/>
  <c r="AB1879" i="1"/>
  <c r="AF1879" i="1" s="1"/>
  <c r="J1879" i="1"/>
  <c r="H1879" i="1"/>
  <c r="AH1878" i="1"/>
  <c r="AF1878" i="1"/>
  <c r="AD1878" i="1"/>
  <c r="AE1878" i="1" s="1"/>
  <c r="AB1878" i="1"/>
  <c r="J1878" i="1"/>
  <c r="H1878" i="1"/>
  <c r="AH1877" i="1"/>
  <c r="AF1877" i="1"/>
  <c r="AD1877" i="1"/>
  <c r="AB1877" i="1"/>
  <c r="J1877" i="1"/>
  <c r="H1877" i="1"/>
  <c r="AH1876" i="1"/>
  <c r="AF1876" i="1"/>
  <c r="AD1876" i="1"/>
  <c r="AB1876" i="1"/>
  <c r="J1876" i="1"/>
  <c r="H1876" i="1"/>
  <c r="AH1875" i="1"/>
  <c r="AF1875" i="1"/>
  <c r="AD1875" i="1"/>
  <c r="AB1875" i="1"/>
  <c r="J1875" i="1"/>
  <c r="H1875" i="1"/>
  <c r="AH1874" i="1"/>
  <c r="AF1874" i="1"/>
  <c r="AD1874" i="1"/>
  <c r="AE1874" i="1" s="1"/>
  <c r="AB1874" i="1"/>
  <c r="J1874" i="1"/>
  <c r="H1874" i="1"/>
  <c r="AH1873" i="1"/>
  <c r="AF1873" i="1"/>
  <c r="AD1873" i="1"/>
  <c r="AB1873" i="1"/>
  <c r="J1873" i="1"/>
  <c r="H1873" i="1"/>
  <c r="AH1872" i="1"/>
  <c r="AD1872" i="1"/>
  <c r="AB1872" i="1"/>
  <c r="AF1872" i="1" s="1"/>
  <c r="J1872" i="1"/>
  <c r="H1872" i="1"/>
  <c r="AH1871" i="1"/>
  <c r="AD1871" i="1"/>
  <c r="AB1871" i="1"/>
  <c r="AF1871" i="1" s="1"/>
  <c r="J1871" i="1"/>
  <c r="H1871" i="1"/>
  <c r="AH1870" i="1"/>
  <c r="AF1870" i="1"/>
  <c r="AD1870" i="1"/>
  <c r="AB1870" i="1"/>
  <c r="J1870" i="1"/>
  <c r="H1870" i="1"/>
  <c r="AH1869" i="1"/>
  <c r="AF1869" i="1"/>
  <c r="AD1869" i="1"/>
  <c r="AB1869" i="1"/>
  <c r="J1869" i="1"/>
  <c r="H1869" i="1"/>
  <c r="AH1868" i="1"/>
  <c r="AF1868" i="1"/>
  <c r="AD1868" i="1"/>
  <c r="K1868" i="1" s="1"/>
  <c r="AB1868" i="1"/>
  <c r="J1868" i="1"/>
  <c r="H1868" i="1"/>
  <c r="AH1867" i="1"/>
  <c r="AF1867" i="1"/>
  <c r="AD1867" i="1"/>
  <c r="AB1867" i="1"/>
  <c r="J1867" i="1"/>
  <c r="H1867" i="1"/>
  <c r="AH1866" i="1"/>
  <c r="AD1866" i="1"/>
  <c r="K1866" i="1" s="1"/>
  <c r="AB1866" i="1"/>
  <c r="AF1866" i="1" s="1"/>
  <c r="J1866" i="1"/>
  <c r="H1866" i="1"/>
  <c r="AH1865" i="1"/>
  <c r="AF1865" i="1"/>
  <c r="AD1865" i="1"/>
  <c r="AE1865" i="1" s="1"/>
  <c r="AB1865" i="1"/>
  <c r="K1865" i="1"/>
  <c r="J1865" i="1"/>
  <c r="H1865" i="1"/>
  <c r="AH1864" i="1"/>
  <c r="AD1864" i="1"/>
  <c r="K1864" i="1" s="1"/>
  <c r="AB1864" i="1"/>
  <c r="AF1864" i="1" s="1"/>
  <c r="J1864" i="1"/>
  <c r="H1864" i="1"/>
  <c r="AH1863" i="1"/>
  <c r="AF1863" i="1"/>
  <c r="AD1863" i="1"/>
  <c r="AB1863" i="1"/>
  <c r="J1863" i="1"/>
  <c r="H1863" i="1"/>
  <c r="AH1862" i="1"/>
  <c r="AF1862" i="1"/>
  <c r="AD1862" i="1"/>
  <c r="AB1862" i="1"/>
  <c r="J1862" i="1"/>
  <c r="H1862" i="1"/>
  <c r="AH1861" i="1"/>
  <c r="AF1861" i="1"/>
  <c r="AD1861" i="1"/>
  <c r="AB1861" i="1"/>
  <c r="J1861" i="1"/>
  <c r="H1861" i="1"/>
  <c r="AH1860" i="1"/>
  <c r="AF1860" i="1"/>
  <c r="AD1860" i="1"/>
  <c r="AE1860" i="1" s="1"/>
  <c r="AB1860" i="1"/>
  <c r="K1860" i="1"/>
  <c r="J1860" i="1"/>
  <c r="H1860" i="1"/>
  <c r="AH1859" i="1"/>
  <c r="AF1859" i="1"/>
  <c r="AD1859" i="1"/>
  <c r="AB1859" i="1"/>
  <c r="J1859" i="1"/>
  <c r="H1859" i="1"/>
  <c r="AH1858" i="1"/>
  <c r="AD1858" i="1"/>
  <c r="AB1858" i="1"/>
  <c r="AF1858" i="1" s="1"/>
  <c r="K1858" i="1"/>
  <c r="J1858" i="1"/>
  <c r="H1858" i="1"/>
  <c r="AH1857" i="1"/>
  <c r="AD1857" i="1"/>
  <c r="AB1857" i="1"/>
  <c r="AF1857" i="1" s="1"/>
  <c r="J1857" i="1"/>
  <c r="H1857" i="1"/>
  <c r="AH1856" i="1"/>
  <c r="AF1856" i="1"/>
  <c r="AD1856" i="1"/>
  <c r="AE1856" i="1" s="1"/>
  <c r="AB1856" i="1"/>
  <c r="K1856" i="1"/>
  <c r="J1856" i="1"/>
  <c r="H1856" i="1"/>
  <c r="AH1855" i="1"/>
  <c r="AF1855" i="1"/>
  <c r="AD1855" i="1"/>
  <c r="K1855" i="1" s="1"/>
  <c r="AB1855" i="1"/>
  <c r="J1855" i="1"/>
  <c r="H1855" i="1"/>
  <c r="AH1854" i="1"/>
  <c r="AF1854" i="1"/>
  <c r="AD1854" i="1"/>
  <c r="AB1854" i="1"/>
  <c r="J1854" i="1"/>
  <c r="H1854" i="1"/>
  <c r="AH1853" i="1"/>
  <c r="AF1853" i="1"/>
  <c r="AD1853" i="1"/>
  <c r="AB1853" i="1"/>
  <c r="J1853" i="1"/>
  <c r="H1853" i="1"/>
  <c r="AH1852" i="1"/>
  <c r="AD1852" i="1"/>
  <c r="K1852" i="1" s="1"/>
  <c r="AB1852" i="1"/>
  <c r="AF1852" i="1" s="1"/>
  <c r="J1852" i="1"/>
  <c r="H1852" i="1"/>
  <c r="AE1852" i="1" s="1"/>
  <c r="AH1851" i="1"/>
  <c r="AF1851" i="1"/>
  <c r="AD1851" i="1"/>
  <c r="AE1851" i="1" s="1"/>
  <c r="AB1851" i="1"/>
  <c r="K1851" i="1"/>
  <c r="J1851" i="1"/>
  <c r="H1851" i="1"/>
  <c r="AH1850" i="1"/>
  <c r="AF1850" i="1"/>
  <c r="AD1850" i="1"/>
  <c r="AE1850" i="1" s="1"/>
  <c r="AB1850" i="1"/>
  <c r="K1850" i="1"/>
  <c r="J1850" i="1"/>
  <c r="H1850" i="1"/>
  <c r="AH1849" i="1"/>
  <c r="AD1849" i="1"/>
  <c r="K1849" i="1" s="1"/>
  <c r="AB1849" i="1"/>
  <c r="AF1849" i="1" s="1"/>
  <c r="J1849" i="1"/>
  <c r="H1849" i="1"/>
  <c r="AH1848" i="1"/>
  <c r="AF1848" i="1"/>
  <c r="AE1848" i="1"/>
  <c r="AD1848" i="1"/>
  <c r="AB1848" i="1"/>
  <c r="K1848" i="1"/>
  <c r="J1848" i="1"/>
  <c r="H1848" i="1"/>
  <c r="AH1847" i="1"/>
  <c r="AF1847" i="1"/>
  <c r="AD1847" i="1"/>
  <c r="AB1847" i="1"/>
  <c r="J1847" i="1"/>
  <c r="H1847" i="1"/>
  <c r="AH1846" i="1"/>
  <c r="AD1846" i="1"/>
  <c r="K1846" i="1" s="1"/>
  <c r="AB1846" i="1"/>
  <c r="AF1846" i="1" s="1"/>
  <c r="J1846" i="1"/>
  <c r="H1846" i="1"/>
  <c r="AH1845" i="1"/>
  <c r="AF1845" i="1"/>
  <c r="AD1845" i="1"/>
  <c r="AE1845" i="1" s="1"/>
  <c r="AB1845" i="1"/>
  <c r="K1845" i="1"/>
  <c r="J1845" i="1"/>
  <c r="H1845" i="1"/>
  <c r="AH1844" i="1"/>
  <c r="AF1844" i="1"/>
  <c r="AD1844" i="1"/>
  <c r="AE1844" i="1" s="1"/>
  <c r="AB1844" i="1"/>
  <c r="J1844" i="1"/>
  <c r="H1844" i="1"/>
  <c r="AH1843" i="1"/>
  <c r="AF1843" i="1"/>
  <c r="AD1843" i="1"/>
  <c r="AB1843" i="1"/>
  <c r="J1843" i="1"/>
  <c r="H1843" i="1"/>
  <c r="AH1842" i="1"/>
  <c r="AF1842" i="1"/>
  <c r="AD1842" i="1"/>
  <c r="AE1842" i="1" s="1"/>
  <c r="AB1842" i="1"/>
  <c r="J1842" i="1"/>
  <c r="H1842" i="1"/>
  <c r="AH1841" i="1"/>
  <c r="AD1841" i="1"/>
  <c r="K1841" i="1" s="1"/>
  <c r="AB1841" i="1"/>
  <c r="AF1841" i="1" s="1"/>
  <c r="J1841" i="1"/>
  <c r="H1841" i="1"/>
  <c r="AH1840" i="1"/>
  <c r="AF1840" i="1"/>
  <c r="AD1840" i="1"/>
  <c r="AB1840" i="1"/>
  <c r="J1840" i="1"/>
  <c r="H1840" i="1"/>
  <c r="AH1839" i="1"/>
  <c r="AF1839" i="1"/>
  <c r="AD1839" i="1"/>
  <c r="AB1839" i="1"/>
  <c r="J1839" i="1"/>
  <c r="H1839" i="1"/>
  <c r="AH1838" i="1"/>
  <c r="AD1838" i="1"/>
  <c r="K1838" i="1" s="1"/>
  <c r="AB1838" i="1"/>
  <c r="AF1838" i="1" s="1"/>
  <c r="J1838" i="1"/>
  <c r="H1838" i="1"/>
  <c r="AH1837" i="1"/>
  <c r="AF1837" i="1"/>
  <c r="AD1837" i="1"/>
  <c r="AB1837" i="1"/>
  <c r="J1837" i="1"/>
  <c r="H1837" i="1"/>
  <c r="AH1836" i="1"/>
  <c r="AD1836" i="1"/>
  <c r="K1836" i="1" s="1"/>
  <c r="AB1836" i="1"/>
  <c r="AF1836" i="1" s="1"/>
  <c r="J1836" i="1"/>
  <c r="H1836" i="1"/>
  <c r="AH1835" i="1"/>
  <c r="AF1835" i="1"/>
  <c r="AD1835" i="1"/>
  <c r="AB1835" i="1"/>
  <c r="J1835" i="1"/>
  <c r="H1835" i="1"/>
  <c r="AH1834" i="1"/>
  <c r="AF1834" i="1"/>
  <c r="AD1834" i="1"/>
  <c r="AE1834" i="1" s="1"/>
  <c r="AB1834" i="1"/>
  <c r="K1834" i="1"/>
  <c r="J1834" i="1"/>
  <c r="H1834" i="1"/>
  <c r="AH1833" i="1"/>
  <c r="AD1833" i="1"/>
  <c r="K1833" i="1" s="1"/>
  <c r="AB1833" i="1"/>
  <c r="AF1833" i="1" s="1"/>
  <c r="J1833" i="1"/>
  <c r="H1833" i="1"/>
  <c r="AH1832" i="1"/>
  <c r="AD1832" i="1"/>
  <c r="K1832" i="1" s="1"/>
  <c r="AB1832" i="1"/>
  <c r="AF1832" i="1" s="1"/>
  <c r="J1832" i="1"/>
  <c r="H1832" i="1"/>
  <c r="AH1831" i="1"/>
  <c r="AF1831" i="1"/>
  <c r="AD1831" i="1"/>
  <c r="AE1831" i="1" s="1"/>
  <c r="AB1831" i="1"/>
  <c r="K1831" i="1"/>
  <c r="J1831" i="1"/>
  <c r="H1831" i="1"/>
  <c r="AH1830" i="1"/>
  <c r="AF1830" i="1"/>
  <c r="AE1830" i="1"/>
  <c r="AD1830" i="1"/>
  <c r="K1830" i="1" s="1"/>
  <c r="AB1830" i="1"/>
  <c r="J1830" i="1"/>
  <c r="H1830" i="1"/>
  <c r="AH1829" i="1"/>
  <c r="AD1829" i="1"/>
  <c r="AB1829" i="1"/>
  <c r="AF1829" i="1" s="1"/>
  <c r="K1829" i="1"/>
  <c r="J1829" i="1"/>
  <c r="H1829" i="1"/>
  <c r="AE1829" i="1" s="1"/>
  <c r="AH1828" i="1"/>
  <c r="AF1828" i="1"/>
  <c r="AD1828" i="1"/>
  <c r="AB1828" i="1"/>
  <c r="J1828" i="1"/>
  <c r="H1828" i="1"/>
  <c r="AH1827" i="1"/>
  <c r="AD1827" i="1"/>
  <c r="K1827" i="1" s="1"/>
  <c r="AB1827" i="1"/>
  <c r="AF1827" i="1" s="1"/>
  <c r="J1827" i="1"/>
  <c r="H1827" i="1"/>
  <c r="AE1827" i="1" s="1"/>
  <c r="AH1826" i="1"/>
  <c r="AF1826" i="1"/>
  <c r="AD1826" i="1"/>
  <c r="AB1826" i="1"/>
  <c r="J1826" i="1"/>
  <c r="H1826" i="1"/>
  <c r="AH1825" i="1"/>
  <c r="AF1825" i="1"/>
  <c r="AD1825" i="1"/>
  <c r="AE1825" i="1" s="1"/>
  <c r="AB1825" i="1"/>
  <c r="J1825" i="1"/>
  <c r="H1825" i="1"/>
  <c r="AH1824" i="1"/>
  <c r="AD1824" i="1"/>
  <c r="K1824" i="1" s="1"/>
  <c r="AB1824" i="1"/>
  <c r="AF1824" i="1" s="1"/>
  <c r="J1824" i="1"/>
  <c r="H1824" i="1"/>
  <c r="AH1823" i="1"/>
  <c r="AF1823" i="1"/>
  <c r="AD1823" i="1"/>
  <c r="AB1823" i="1"/>
  <c r="J1823" i="1"/>
  <c r="H1823" i="1"/>
  <c r="AH1822" i="1"/>
  <c r="AD1822" i="1"/>
  <c r="K1822" i="1" s="1"/>
  <c r="AB1822" i="1"/>
  <c r="AF1822" i="1" s="1"/>
  <c r="J1822" i="1"/>
  <c r="H1822" i="1"/>
  <c r="AH1821" i="1"/>
  <c r="AF1821" i="1"/>
  <c r="AD1821" i="1"/>
  <c r="AB1821" i="1"/>
  <c r="J1821" i="1"/>
  <c r="H1821" i="1"/>
  <c r="AH1820" i="1"/>
  <c r="AD1820" i="1"/>
  <c r="K1820" i="1" s="1"/>
  <c r="AB1820" i="1"/>
  <c r="AF1820" i="1" s="1"/>
  <c r="J1820" i="1"/>
  <c r="H1820" i="1"/>
  <c r="AH1819" i="1"/>
  <c r="AF1819" i="1"/>
  <c r="AD1819" i="1"/>
  <c r="AE1819" i="1" s="1"/>
  <c r="AB1819" i="1"/>
  <c r="J1819" i="1"/>
  <c r="H1819" i="1"/>
  <c r="AH1818" i="1"/>
  <c r="AD1818" i="1"/>
  <c r="K1818" i="1" s="1"/>
  <c r="AB1818" i="1"/>
  <c r="AF1818" i="1" s="1"/>
  <c r="J1818" i="1"/>
  <c r="H1818" i="1"/>
  <c r="AH1817" i="1"/>
  <c r="AF1817" i="1"/>
  <c r="AD1817" i="1"/>
  <c r="AB1817" i="1"/>
  <c r="J1817" i="1"/>
  <c r="H1817" i="1"/>
  <c r="AH1816" i="1"/>
  <c r="AD1816" i="1"/>
  <c r="K1816" i="1" s="1"/>
  <c r="AB1816" i="1"/>
  <c r="AF1816" i="1" s="1"/>
  <c r="J1816" i="1"/>
  <c r="H1816" i="1"/>
  <c r="AE1816" i="1" s="1"/>
  <c r="AH1815" i="1"/>
  <c r="AD1815" i="1"/>
  <c r="AB1815" i="1"/>
  <c r="AF1815" i="1" s="1"/>
  <c r="K1815" i="1"/>
  <c r="J1815" i="1"/>
  <c r="H1815" i="1"/>
  <c r="AE1815" i="1" s="1"/>
  <c r="AH1814" i="1"/>
  <c r="AF1814" i="1"/>
  <c r="AD1814" i="1"/>
  <c r="AB1814" i="1"/>
  <c r="J1814" i="1"/>
  <c r="H1814" i="1"/>
  <c r="AH1813" i="1"/>
  <c r="AD1813" i="1"/>
  <c r="K1813" i="1" s="1"/>
  <c r="AB1813" i="1"/>
  <c r="AF1813" i="1" s="1"/>
  <c r="J1813" i="1"/>
  <c r="H1813" i="1"/>
  <c r="AH1812" i="1"/>
  <c r="AF1812" i="1"/>
  <c r="AD1812" i="1"/>
  <c r="AB1812" i="1"/>
  <c r="J1812" i="1"/>
  <c r="H1812" i="1"/>
  <c r="AH1811" i="1"/>
  <c r="AF1811" i="1"/>
  <c r="AD1811" i="1"/>
  <c r="AE1811" i="1" s="1"/>
  <c r="AB1811" i="1"/>
  <c r="J1811" i="1"/>
  <c r="H1811" i="1"/>
  <c r="AH1810" i="1"/>
  <c r="AD1810" i="1"/>
  <c r="K1810" i="1" s="1"/>
  <c r="AB1810" i="1"/>
  <c r="AF1810" i="1" s="1"/>
  <c r="J1810" i="1"/>
  <c r="H1810" i="1"/>
  <c r="AH1809" i="1"/>
  <c r="AF1809" i="1"/>
  <c r="AD1809" i="1"/>
  <c r="K1809" i="1" s="1"/>
  <c r="AB1809" i="1"/>
  <c r="J1809" i="1"/>
  <c r="H1809" i="1"/>
  <c r="AH1808" i="1"/>
  <c r="AD1808" i="1"/>
  <c r="AB1808" i="1"/>
  <c r="AF1808" i="1" s="1"/>
  <c r="J1808" i="1"/>
  <c r="H1808" i="1"/>
  <c r="AH1807" i="1"/>
  <c r="AF1807" i="1"/>
  <c r="AD1807" i="1"/>
  <c r="AB1807" i="1"/>
  <c r="K1807" i="1"/>
  <c r="J1807" i="1"/>
  <c r="H1807" i="1"/>
  <c r="AH1806" i="1"/>
  <c r="AF1806" i="1"/>
  <c r="AD1806" i="1"/>
  <c r="AB1806" i="1"/>
  <c r="J1806" i="1"/>
  <c r="H1806" i="1"/>
  <c r="AH1805" i="1"/>
  <c r="AF1805" i="1"/>
  <c r="AD1805" i="1"/>
  <c r="K1805" i="1" s="1"/>
  <c r="AB1805" i="1"/>
  <c r="J1805" i="1"/>
  <c r="H1805" i="1"/>
  <c r="AH1804" i="1"/>
  <c r="AD1804" i="1"/>
  <c r="K1804" i="1" s="1"/>
  <c r="AB1804" i="1"/>
  <c r="AF1804" i="1" s="1"/>
  <c r="J1804" i="1"/>
  <c r="H1804" i="1"/>
  <c r="AE1804" i="1" s="1"/>
  <c r="AH1803" i="1"/>
  <c r="AF1803" i="1"/>
  <c r="AD1803" i="1"/>
  <c r="AB1803" i="1"/>
  <c r="J1803" i="1"/>
  <c r="H1803" i="1"/>
  <c r="AH1802" i="1"/>
  <c r="AF1802" i="1"/>
  <c r="AD1802" i="1"/>
  <c r="K1802" i="1" s="1"/>
  <c r="AB1802" i="1"/>
  <c r="J1802" i="1"/>
  <c r="H1802" i="1"/>
  <c r="AH1801" i="1"/>
  <c r="AF1801" i="1"/>
  <c r="AD1801" i="1"/>
  <c r="K1801" i="1" s="1"/>
  <c r="AB1801" i="1"/>
  <c r="J1801" i="1"/>
  <c r="H1801" i="1"/>
  <c r="AH1800" i="1"/>
  <c r="AD1800" i="1"/>
  <c r="K1800" i="1" s="1"/>
  <c r="AB1800" i="1"/>
  <c r="AF1800" i="1" s="1"/>
  <c r="J1800" i="1"/>
  <c r="H1800" i="1"/>
  <c r="AH1799" i="1"/>
  <c r="AD1799" i="1"/>
  <c r="K1799" i="1" s="1"/>
  <c r="AB1799" i="1"/>
  <c r="AF1799" i="1" s="1"/>
  <c r="J1799" i="1"/>
  <c r="H1799" i="1"/>
  <c r="AE1799" i="1" s="1"/>
  <c r="AH1798" i="1"/>
  <c r="AF1798" i="1"/>
  <c r="AD1798" i="1"/>
  <c r="K1798" i="1" s="1"/>
  <c r="AB1798" i="1"/>
  <c r="J1798" i="1"/>
  <c r="H1798" i="1"/>
  <c r="AE1798" i="1" s="1"/>
  <c r="AH1797" i="1"/>
  <c r="AD1797" i="1"/>
  <c r="AB1797" i="1"/>
  <c r="AF1797" i="1" s="1"/>
  <c r="K1797" i="1"/>
  <c r="J1797" i="1"/>
  <c r="H1797" i="1"/>
  <c r="AH1796" i="1"/>
  <c r="AD1796" i="1"/>
  <c r="K1796" i="1" s="1"/>
  <c r="AB1796" i="1"/>
  <c r="AF1796" i="1" s="1"/>
  <c r="J1796" i="1"/>
  <c r="H1796" i="1"/>
  <c r="AH1795" i="1"/>
  <c r="AF1795" i="1"/>
  <c r="AD1795" i="1"/>
  <c r="AE1795" i="1" s="1"/>
  <c r="AB1795" i="1"/>
  <c r="J1795" i="1"/>
  <c r="H1795" i="1"/>
  <c r="AH1794" i="1"/>
  <c r="AF1794" i="1"/>
  <c r="AD1794" i="1"/>
  <c r="K1794" i="1" s="1"/>
  <c r="AB1794" i="1"/>
  <c r="J1794" i="1"/>
  <c r="H1794" i="1"/>
  <c r="AH1793" i="1"/>
  <c r="AF1793" i="1"/>
  <c r="AD1793" i="1"/>
  <c r="AE1793" i="1" s="1"/>
  <c r="AB1793" i="1"/>
  <c r="J1793" i="1"/>
  <c r="H1793" i="1"/>
  <c r="AH1792" i="1"/>
  <c r="AD1792" i="1"/>
  <c r="K1792" i="1" s="1"/>
  <c r="AB1792" i="1"/>
  <c r="AF1792" i="1" s="1"/>
  <c r="J1792" i="1"/>
  <c r="H1792" i="1"/>
  <c r="AE1792" i="1" s="1"/>
  <c r="AH1791" i="1"/>
  <c r="AF1791" i="1"/>
  <c r="AD1791" i="1"/>
  <c r="AB1791" i="1"/>
  <c r="J1791" i="1"/>
  <c r="H1791" i="1"/>
  <c r="AH1790" i="1"/>
  <c r="AD1790" i="1"/>
  <c r="K1790" i="1" s="1"/>
  <c r="AB1790" i="1"/>
  <c r="AF1790" i="1" s="1"/>
  <c r="J1790" i="1"/>
  <c r="H1790" i="1"/>
  <c r="AH1789" i="1"/>
  <c r="AF1789" i="1"/>
  <c r="AD1789" i="1"/>
  <c r="AB1789" i="1"/>
  <c r="J1789" i="1"/>
  <c r="H1789" i="1"/>
  <c r="AH1788" i="1"/>
  <c r="AF1788" i="1"/>
  <c r="AD1788" i="1"/>
  <c r="K1788" i="1" s="1"/>
  <c r="AB1788" i="1"/>
  <c r="J1788" i="1"/>
  <c r="H1788" i="1"/>
  <c r="AH1787" i="1"/>
  <c r="AD1787" i="1"/>
  <c r="K1787" i="1" s="1"/>
  <c r="AB1787" i="1"/>
  <c r="AF1787" i="1" s="1"/>
  <c r="J1787" i="1"/>
  <c r="H1787" i="1"/>
  <c r="AH1786" i="1"/>
  <c r="AD1786" i="1"/>
  <c r="K1786" i="1" s="1"/>
  <c r="AB1786" i="1"/>
  <c r="AF1786" i="1" s="1"/>
  <c r="J1786" i="1"/>
  <c r="H1786" i="1"/>
  <c r="AH1785" i="1"/>
  <c r="AF1785" i="1"/>
  <c r="AD1785" i="1"/>
  <c r="AE1785" i="1" s="1"/>
  <c r="AB1785" i="1"/>
  <c r="J1785" i="1"/>
  <c r="H1785" i="1"/>
  <c r="AH1784" i="1"/>
  <c r="AF1784" i="1"/>
  <c r="AD1784" i="1"/>
  <c r="AB1784" i="1"/>
  <c r="J1784" i="1"/>
  <c r="H1784" i="1"/>
  <c r="AH1783" i="1"/>
  <c r="AD1783" i="1"/>
  <c r="AB1783" i="1"/>
  <c r="AF1783" i="1" s="1"/>
  <c r="K1783" i="1"/>
  <c r="J1783" i="1"/>
  <c r="H1783" i="1"/>
  <c r="AE1783" i="1" s="1"/>
  <c r="AH1782" i="1"/>
  <c r="AD1782" i="1"/>
  <c r="K1782" i="1" s="1"/>
  <c r="AB1782" i="1"/>
  <c r="AF1782" i="1" s="1"/>
  <c r="J1782" i="1"/>
  <c r="H1782" i="1"/>
  <c r="AH1781" i="1"/>
  <c r="AF1781" i="1"/>
  <c r="AD1781" i="1"/>
  <c r="K1781" i="1" s="1"/>
  <c r="AB1781" i="1"/>
  <c r="J1781" i="1"/>
  <c r="H1781" i="1"/>
  <c r="AH1780" i="1"/>
  <c r="AD1780" i="1"/>
  <c r="K1780" i="1" s="1"/>
  <c r="AB1780" i="1"/>
  <c r="AF1780" i="1" s="1"/>
  <c r="J1780" i="1"/>
  <c r="H1780" i="1"/>
  <c r="AH1779" i="1"/>
  <c r="AD1779" i="1"/>
  <c r="AB1779" i="1"/>
  <c r="AF1779" i="1" s="1"/>
  <c r="K1779" i="1"/>
  <c r="J1779" i="1"/>
  <c r="H1779" i="1"/>
  <c r="AE1779" i="1" s="1"/>
  <c r="AH1778" i="1"/>
  <c r="AF1778" i="1"/>
  <c r="AD1778" i="1"/>
  <c r="K1778" i="1" s="1"/>
  <c r="AB1778" i="1"/>
  <c r="J1778" i="1"/>
  <c r="H1778" i="1"/>
  <c r="AH1777" i="1"/>
  <c r="AF1777" i="1"/>
  <c r="AD1777" i="1"/>
  <c r="AB1777" i="1"/>
  <c r="K1777" i="1"/>
  <c r="J1777" i="1"/>
  <c r="H1777" i="1"/>
  <c r="AH1776" i="1"/>
  <c r="AD1776" i="1"/>
  <c r="K1776" i="1" s="1"/>
  <c r="AB1776" i="1"/>
  <c r="AF1776" i="1" s="1"/>
  <c r="J1776" i="1"/>
  <c r="H1776" i="1"/>
  <c r="AH1775" i="1"/>
  <c r="AD1775" i="1"/>
  <c r="K1775" i="1" s="1"/>
  <c r="AB1775" i="1"/>
  <c r="AF1775" i="1" s="1"/>
  <c r="J1775" i="1"/>
  <c r="H1775" i="1"/>
  <c r="AH1774" i="1"/>
  <c r="AF1774" i="1"/>
  <c r="AD1774" i="1"/>
  <c r="AB1774" i="1"/>
  <c r="J1774" i="1"/>
  <c r="H1774" i="1"/>
  <c r="AH1773" i="1"/>
  <c r="AF1773" i="1"/>
  <c r="AD1773" i="1"/>
  <c r="K1773" i="1" s="1"/>
  <c r="AB1773" i="1"/>
  <c r="J1773" i="1"/>
  <c r="H1773" i="1"/>
  <c r="AH1772" i="1"/>
  <c r="AF1772" i="1"/>
  <c r="AD1772" i="1"/>
  <c r="AB1772" i="1"/>
  <c r="J1772" i="1"/>
  <c r="H1772" i="1"/>
  <c r="AH1771" i="1"/>
  <c r="AF1771" i="1"/>
  <c r="AD1771" i="1"/>
  <c r="K1771" i="1" s="1"/>
  <c r="AB1771" i="1"/>
  <c r="J1771" i="1"/>
  <c r="H1771" i="1"/>
  <c r="AH1770" i="1"/>
  <c r="AF1770" i="1"/>
  <c r="AD1770" i="1"/>
  <c r="AE1770" i="1" s="1"/>
  <c r="AB1770" i="1"/>
  <c r="J1770" i="1"/>
  <c r="H1770" i="1"/>
  <c r="AH1769" i="1"/>
  <c r="AF1769" i="1"/>
  <c r="AD1769" i="1"/>
  <c r="AB1769" i="1"/>
  <c r="J1769" i="1"/>
  <c r="H1769" i="1"/>
  <c r="AH1768" i="1"/>
  <c r="AF1768" i="1"/>
  <c r="AD1768" i="1"/>
  <c r="AE1768" i="1" s="1"/>
  <c r="AB1768" i="1"/>
  <c r="J1768" i="1"/>
  <c r="H1768" i="1"/>
  <c r="AH1767" i="1"/>
  <c r="AF1767" i="1"/>
  <c r="AD1767" i="1"/>
  <c r="AB1767" i="1"/>
  <c r="J1767" i="1"/>
  <c r="H1767" i="1"/>
  <c r="AH1766" i="1"/>
  <c r="AD1766" i="1"/>
  <c r="AB1766" i="1"/>
  <c r="AF1766" i="1" s="1"/>
  <c r="J1766" i="1"/>
  <c r="H1766" i="1"/>
  <c r="AH1765" i="1"/>
  <c r="AF1765" i="1"/>
  <c r="AD1765" i="1"/>
  <c r="AE1765" i="1" s="1"/>
  <c r="AB1765" i="1"/>
  <c r="K1765" i="1"/>
  <c r="J1765" i="1"/>
  <c r="H1765" i="1"/>
  <c r="AH1764" i="1"/>
  <c r="AF1764" i="1"/>
  <c r="AD1764" i="1"/>
  <c r="AE1764" i="1" s="1"/>
  <c r="AB1764" i="1"/>
  <c r="J1764" i="1"/>
  <c r="H1764" i="1"/>
  <c r="AH1763" i="1"/>
  <c r="AD1763" i="1"/>
  <c r="K1763" i="1" s="1"/>
  <c r="AB1763" i="1"/>
  <c r="AF1763" i="1" s="1"/>
  <c r="J1763" i="1"/>
  <c r="H1763" i="1"/>
  <c r="AH1762" i="1"/>
  <c r="AD1762" i="1"/>
  <c r="K1762" i="1" s="1"/>
  <c r="AB1762" i="1"/>
  <c r="AF1762" i="1" s="1"/>
  <c r="J1762" i="1"/>
  <c r="H1762" i="1"/>
  <c r="AH1761" i="1"/>
  <c r="AD1761" i="1"/>
  <c r="K1761" i="1" s="1"/>
  <c r="AB1761" i="1"/>
  <c r="AF1761" i="1" s="1"/>
  <c r="J1761" i="1"/>
  <c r="H1761" i="1"/>
  <c r="AH1760" i="1"/>
  <c r="AF1760" i="1"/>
  <c r="AD1760" i="1"/>
  <c r="AE1760" i="1" s="1"/>
  <c r="AB1760" i="1"/>
  <c r="K1760" i="1"/>
  <c r="J1760" i="1"/>
  <c r="H1760" i="1"/>
  <c r="AH1759" i="1"/>
  <c r="AF1759" i="1"/>
  <c r="AD1759" i="1"/>
  <c r="AB1759" i="1"/>
  <c r="J1759" i="1"/>
  <c r="H1759" i="1"/>
  <c r="AH1758" i="1"/>
  <c r="AF1758" i="1"/>
  <c r="AD1758" i="1"/>
  <c r="AE1758" i="1" s="1"/>
  <c r="AB1758" i="1"/>
  <c r="K1758" i="1"/>
  <c r="J1758" i="1"/>
  <c r="H1758" i="1"/>
  <c r="AH1757" i="1"/>
  <c r="AF1757" i="1"/>
  <c r="AE1757" i="1"/>
  <c r="AD1757" i="1"/>
  <c r="K1757" i="1" s="1"/>
  <c r="AB1757" i="1"/>
  <c r="J1757" i="1"/>
  <c r="H1757" i="1"/>
  <c r="AH1756" i="1"/>
  <c r="AF1756" i="1"/>
  <c r="AD1756" i="1"/>
  <c r="AB1756" i="1"/>
  <c r="J1756" i="1"/>
  <c r="H1756" i="1"/>
  <c r="AH1755" i="1"/>
  <c r="AF1755" i="1"/>
  <c r="AD1755" i="1"/>
  <c r="AE1755" i="1" s="1"/>
  <c r="AB1755" i="1"/>
  <c r="J1755" i="1"/>
  <c r="H1755" i="1"/>
  <c r="AH1754" i="1"/>
  <c r="AD1754" i="1"/>
  <c r="K1754" i="1" s="1"/>
  <c r="AB1754" i="1"/>
  <c r="AF1754" i="1" s="1"/>
  <c r="J1754" i="1"/>
  <c r="H1754" i="1"/>
  <c r="AH1753" i="1"/>
  <c r="AD1753" i="1"/>
  <c r="K1753" i="1" s="1"/>
  <c r="AB1753" i="1"/>
  <c r="AF1753" i="1" s="1"/>
  <c r="J1753" i="1"/>
  <c r="H1753" i="1"/>
  <c r="AE1753" i="1" s="1"/>
  <c r="AH1752" i="1"/>
  <c r="AF1752" i="1"/>
  <c r="AD1752" i="1"/>
  <c r="AE1752" i="1" s="1"/>
  <c r="AB1752" i="1"/>
  <c r="J1752" i="1"/>
  <c r="H1752" i="1"/>
  <c r="AH1751" i="1"/>
  <c r="AD1751" i="1"/>
  <c r="AB1751" i="1"/>
  <c r="AF1751" i="1" s="1"/>
  <c r="K1751" i="1"/>
  <c r="J1751" i="1"/>
  <c r="H1751" i="1"/>
  <c r="AE1751" i="1" s="1"/>
  <c r="AH1750" i="1"/>
  <c r="AD1750" i="1"/>
  <c r="K1750" i="1" s="1"/>
  <c r="AB1750" i="1"/>
  <c r="AF1750" i="1" s="1"/>
  <c r="J1750" i="1"/>
  <c r="H1750" i="1"/>
  <c r="AH1749" i="1"/>
  <c r="AF1749" i="1"/>
  <c r="AD1749" i="1"/>
  <c r="AB1749" i="1"/>
  <c r="J1749" i="1"/>
  <c r="H1749" i="1"/>
  <c r="AH1748" i="1"/>
  <c r="AD1748" i="1"/>
  <c r="K1748" i="1" s="1"/>
  <c r="AB1748" i="1"/>
  <c r="AF1748" i="1" s="1"/>
  <c r="J1748" i="1"/>
  <c r="H1748" i="1"/>
  <c r="AH1747" i="1"/>
  <c r="AF1747" i="1"/>
  <c r="AD1747" i="1"/>
  <c r="AE1747" i="1" s="1"/>
  <c r="AB1747" i="1"/>
  <c r="J1747" i="1"/>
  <c r="H1747" i="1"/>
  <c r="AH1746" i="1"/>
  <c r="AD1746" i="1"/>
  <c r="K1746" i="1" s="1"/>
  <c r="AB1746" i="1"/>
  <c r="AF1746" i="1" s="1"/>
  <c r="J1746" i="1"/>
  <c r="H1746" i="1"/>
  <c r="AH1745" i="1"/>
  <c r="AD1745" i="1"/>
  <c r="K1745" i="1" s="1"/>
  <c r="AB1745" i="1"/>
  <c r="AF1745" i="1" s="1"/>
  <c r="J1745" i="1"/>
  <c r="H1745" i="1"/>
  <c r="AH1744" i="1"/>
  <c r="AF1744" i="1"/>
  <c r="AD1744" i="1"/>
  <c r="AE1744" i="1" s="1"/>
  <c r="AB1744" i="1"/>
  <c r="J1744" i="1"/>
  <c r="H1744" i="1"/>
  <c r="AH1743" i="1"/>
  <c r="AF1743" i="1"/>
  <c r="AD1743" i="1"/>
  <c r="K1743" i="1" s="1"/>
  <c r="AB1743" i="1"/>
  <c r="J1743" i="1"/>
  <c r="H1743" i="1"/>
  <c r="AH1742" i="1"/>
  <c r="AD1742" i="1"/>
  <c r="K1742" i="1" s="1"/>
  <c r="AB1742" i="1"/>
  <c r="AF1742" i="1" s="1"/>
  <c r="J1742" i="1"/>
  <c r="H1742" i="1"/>
  <c r="AH1741" i="1"/>
  <c r="AF1741" i="1"/>
  <c r="AD1741" i="1"/>
  <c r="AE1741" i="1" s="1"/>
  <c r="AB1741" i="1"/>
  <c r="K1741" i="1"/>
  <c r="J1741" i="1"/>
  <c r="H1741" i="1"/>
  <c r="AH1740" i="1"/>
  <c r="AF1740" i="1"/>
  <c r="AD1740" i="1"/>
  <c r="AB1740" i="1"/>
  <c r="J1740" i="1"/>
  <c r="H1740" i="1"/>
  <c r="AH1739" i="1"/>
  <c r="AF1739" i="1"/>
  <c r="AD1739" i="1"/>
  <c r="K1739" i="1" s="1"/>
  <c r="AB1739" i="1"/>
  <c r="J1739" i="1"/>
  <c r="H1739" i="1"/>
  <c r="AH1738" i="1"/>
  <c r="AF1738" i="1"/>
  <c r="AE1738" i="1"/>
  <c r="AD1738" i="1"/>
  <c r="K1738" i="1" s="1"/>
  <c r="AB1738" i="1"/>
  <c r="J1738" i="1"/>
  <c r="H1738" i="1"/>
  <c r="AH1737" i="1"/>
  <c r="AD1737" i="1"/>
  <c r="K1737" i="1" s="1"/>
  <c r="AB1737" i="1"/>
  <c r="AF1737" i="1" s="1"/>
  <c r="J1737" i="1"/>
  <c r="H1737" i="1"/>
  <c r="AH1736" i="1"/>
  <c r="AF1736" i="1"/>
  <c r="AD1736" i="1"/>
  <c r="AB1736" i="1"/>
  <c r="J1736" i="1"/>
  <c r="H1736" i="1"/>
  <c r="AH1735" i="1"/>
  <c r="AF1735" i="1"/>
  <c r="AD1735" i="1"/>
  <c r="AB1735" i="1"/>
  <c r="J1735" i="1"/>
  <c r="H1735" i="1"/>
  <c r="AH1734" i="1"/>
  <c r="AD1734" i="1"/>
  <c r="K1734" i="1" s="1"/>
  <c r="AB1734" i="1"/>
  <c r="AF1734" i="1" s="1"/>
  <c r="J1734" i="1"/>
  <c r="H1734" i="1"/>
  <c r="AH1733" i="1"/>
  <c r="AF1733" i="1"/>
  <c r="AD1733" i="1"/>
  <c r="AE1733" i="1" s="1"/>
  <c r="AB1733" i="1"/>
  <c r="J1733" i="1"/>
  <c r="H1733" i="1"/>
  <c r="AH1732" i="1"/>
  <c r="AD1732" i="1"/>
  <c r="AB1732" i="1"/>
  <c r="AF1732" i="1" s="1"/>
  <c r="K1732" i="1"/>
  <c r="J1732" i="1"/>
  <c r="H1732" i="1"/>
  <c r="AH1731" i="1"/>
  <c r="AD1731" i="1"/>
  <c r="K1731" i="1" s="1"/>
  <c r="AB1731" i="1"/>
  <c r="AF1731" i="1" s="1"/>
  <c r="J1731" i="1"/>
  <c r="H1731" i="1"/>
  <c r="AH1730" i="1"/>
  <c r="AF1730" i="1"/>
  <c r="AD1730" i="1"/>
  <c r="AE1730" i="1" s="1"/>
  <c r="AB1730" i="1"/>
  <c r="J1730" i="1"/>
  <c r="H1730" i="1"/>
  <c r="AH1729" i="1"/>
  <c r="AD1729" i="1"/>
  <c r="K1729" i="1" s="1"/>
  <c r="AB1729" i="1"/>
  <c r="AF1729" i="1" s="1"/>
  <c r="J1729" i="1"/>
  <c r="H1729" i="1"/>
  <c r="AH1728" i="1"/>
  <c r="AD1728" i="1"/>
  <c r="K1728" i="1" s="1"/>
  <c r="AB1728" i="1"/>
  <c r="AF1728" i="1" s="1"/>
  <c r="J1728" i="1"/>
  <c r="H1728" i="1"/>
  <c r="AH1727" i="1"/>
  <c r="AF1727" i="1"/>
  <c r="AD1727" i="1"/>
  <c r="AE1727" i="1" s="1"/>
  <c r="AB1727" i="1"/>
  <c r="J1727" i="1"/>
  <c r="H1727" i="1"/>
  <c r="AH1726" i="1"/>
  <c r="AF1726" i="1"/>
  <c r="AD1726" i="1"/>
  <c r="AB1726" i="1"/>
  <c r="J1726" i="1"/>
  <c r="H1726" i="1"/>
  <c r="AH1725" i="1"/>
  <c r="AD1725" i="1"/>
  <c r="AB1725" i="1"/>
  <c r="AF1725" i="1" s="1"/>
  <c r="J1725" i="1"/>
  <c r="H1725" i="1"/>
  <c r="AH1724" i="1"/>
  <c r="AF1724" i="1"/>
  <c r="AD1724" i="1"/>
  <c r="K1724" i="1" s="1"/>
  <c r="AB1724" i="1"/>
  <c r="J1724" i="1"/>
  <c r="H1724" i="1"/>
  <c r="AH1723" i="1"/>
  <c r="AF1723" i="1"/>
  <c r="AD1723" i="1"/>
  <c r="AE1723" i="1" s="1"/>
  <c r="AB1723" i="1"/>
  <c r="K1723" i="1"/>
  <c r="J1723" i="1"/>
  <c r="H1723" i="1"/>
  <c r="AH1722" i="1"/>
  <c r="AD1722" i="1"/>
  <c r="K1722" i="1" s="1"/>
  <c r="AB1722" i="1"/>
  <c r="AF1722" i="1" s="1"/>
  <c r="J1722" i="1"/>
  <c r="H1722" i="1"/>
  <c r="AH1721" i="1"/>
  <c r="AD1721" i="1"/>
  <c r="K1721" i="1" s="1"/>
  <c r="AB1721" i="1"/>
  <c r="AF1721" i="1" s="1"/>
  <c r="J1721" i="1"/>
  <c r="H1721" i="1"/>
  <c r="AE1721" i="1" s="1"/>
  <c r="AH1720" i="1"/>
  <c r="AF1720" i="1"/>
  <c r="AD1720" i="1"/>
  <c r="AB1720" i="1"/>
  <c r="J1720" i="1"/>
  <c r="H1720" i="1"/>
  <c r="AH1719" i="1"/>
  <c r="AF1719" i="1"/>
  <c r="AD1719" i="1"/>
  <c r="AE1719" i="1" s="1"/>
  <c r="AB1719" i="1"/>
  <c r="J1719" i="1"/>
  <c r="H1719" i="1"/>
  <c r="AH1718" i="1"/>
  <c r="AF1718" i="1"/>
  <c r="AD1718" i="1"/>
  <c r="AB1718" i="1"/>
  <c r="J1718" i="1"/>
  <c r="H1718" i="1"/>
  <c r="AH1717" i="1"/>
  <c r="AF1717" i="1"/>
  <c r="AD1717" i="1"/>
  <c r="AB1717" i="1"/>
  <c r="J1717" i="1"/>
  <c r="H1717" i="1"/>
  <c r="AH1716" i="1"/>
  <c r="AF1716" i="1"/>
  <c r="AD1716" i="1"/>
  <c r="AE1716" i="1" s="1"/>
  <c r="AB1716" i="1"/>
  <c r="K1716" i="1"/>
  <c r="J1716" i="1"/>
  <c r="H1716" i="1"/>
  <c r="AH1715" i="1"/>
  <c r="AF1715" i="1"/>
  <c r="AD1715" i="1"/>
  <c r="AB1715" i="1"/>
  <c r="J1715" i="1"/>
  <c r="H1715" i="1"/>
  <c r="AH1714" i="1"/>
  <c r="AF1714" i="1"/>
  <c r="AD1714" i="1"/>
  <c r="AE1714" i="1" s="1"/>
  <c r="AB1714" i="1"/>
  <c r="K1714" i="1"/>
  <c r="J1714" i="1"/>
  <c r="H1714" i="1"/>
  <c r="AH1713" i="1"/>
  <c r="AF1713" i="1"/>
  <c r="AD1713" i="1"/>
  <c r="AB1713" i="1"/>
  <c r="J1713" i="1"/>
  <c r="H1713" i="1"/>
  <c r="AH1712" i="1"/>
  <c r="AD1712" i="1"/>
  <c r="K1712" i="1" s="1"/>
  <c r="AB1712" i="1"/>
  <c r="AF1712" i="1" s="1"/>
  <c r="J1712" i="1"/>
  <c r="H1712" i="1"/>
  <c r="AH1711" i="1"/>
  <c r="AD1711" i="1"/>
  <c r="AB1711" i="1"/>
  <c r="AF1711" i="1" s="1"/>
  <c r="J1711" i="1"/>
  <c r="H1711" i="1"/>
  <c r="AH1710" i="1"/>
  <c r="AF1710" i="1"/>
  <c r="AD1710" i="1"/>
  <c r="AB1710" i="1"/>
  <c r="J1710" i="1"/>
  <c r="H1710" i="1"/>
  <c r="AH1709" i="1"/>
  <c r="AF1709" i="1"/>
  <c r="AD1709" i="1"/>
  <c r="AB1709" i="1"/>
  <c r="J1709" i="1"/>
  <c r="H1709" i="1"/>
  <c r="AH1708" i="1"/>
  <c r="AD1708" i="1"/>
  <c r="AB1708" i="1"/>
  <c r="AF1708" i="1" s="1"/>
  <c r="K1708" i="1"/>
  <c r="J1708" i="1"/>
  <c r="H1708" i="1"/>
  <c r="AH1707" i="1"/>
  <c r="AD1707" i="1"/>
  <c r="K1707" i="1" s="1"/>
  <c r="AB1707" i="1"/>
  <c r="AF1707" i="1" s="1"/>
  <c r="J1707" i="1"/>
  <c r="H1707" i="1"/>
  <c r="AE1707" i="1" s="1"/>
  <c r="AH1706" i="1"/>
  <c r="AF1706" i="1"/>
  <c r="AD1706" i="1"/>
  <c r="AB1706" i="1"/>
  <c r="J1706" i="1"/>
  <c r="H1706" i="1"/>
  <c r="AH1705" i="1"/>
  <c r="AF1705" i="1"/>
  <c r="AD1705" i="1"/>
  <c r="AB1705" i="1"/>
  <c r="J1705" i="1"/>
  <c r="H1705" i="1"/>
  <c r="AH1704" i="1"/>
  <c r="AD1704" i="1"/>
  <c r="K1704" i="1" s="1"/>
  <c r="AB1704" i="1"/>
  <c r="AF1704" i="1" s="1"/>
  <c r="J1704" i="1"/>
  <c r="H1704" i="1"/>
  <c r="AE1704" i="1" s="1"/>
  <c r="AH1703" i="1"/>
  <c r="AF1703" i="1"/>
  <c r="AD1703" i="1"/>
  <c r="K1703" i="1" s="1"/>
  <c r="AB1703" i="1"/>
  <c r="J1703" i="1"/>
  <c r="H1703" i="1"/>
  <c r="AH1702" i="1"/>
  <c r="AD1702" i="1"/>
  <c r="K1702" i="1" s="1"/>
  <c r="AB1702" i="1"/>
  <c r="AF1702" i="1" s="1"/>
  <c r="J1702" i="1"/>
  <c r="H1702" i="1"/>
  <c r="AE1702" i="1" s="1"/>
  <c r="AH1701" i="1"/>
  <c r="AF1701" i="1"/>
  <c r="AD1701" i="1"/>
  <c r="AB1701" i="1"/>
  <c r="J1701" i="1"/>
  <c r="H1701" i="1"/>
  <c r="AH1700" i="1"/>
  <c r="AF1700" i="1"/>
  <c r="AD1700" i="1"/>
  <c r="AE1700" i="1" s="1"/>
  <c r="AB1700" i="1"/>
  <c r="J1700" i="1"/>
  <c r="H1700" i="1"/>
  <c r="AH1699" i="1"/>
  <c r="AF1699" i="1"/>
  <c r="AD1699" i="1"/>
  <c r="AE1699" i="1" s="1"/>
  <c r="AB1699" i="1"/>
  <c r="J1699" i="1"/>
  <c r="H1699" i="1"/>
  <c r="AH1698" i="1"/>
  <c r="AF1698" i="1"/>
  <c r="AD1698" i="1"/>
  <c r="AE1698" i="1" s="1"/>
  <c r="AB1698" i="1"/>
  <c r="J1698" i="1"/>
  <c r="H1698" i="1"/>
  <c r="AH1697" i="1"/>
  <c r="AF1697" i="1"/>
  <c r="AD1697" i="1"/>
  <c r="AE1697" i="1" s="1"/>
  <c r="AB1697" i="1"/>
  <c r="K1697" i="1"/>
  <c r="J1697" i="1"/>
  <c r="H1697" i="1"/>
  <c r="AH1696" i="1"/>
  <c r="AF1696" i="1"/>
  <c r="AD1696" i="1"/>
  <c r="AE1696" i="1" s="1"/>
  <c r="AB1696" i="1"/>
  <c r="J1696" i="1"/>
  <c r="H1696" i="1"/>
  <c r="AH1695" i="1"/>
  <c r="AD1695" i="1"/>
  <c r="K1695" i="1" s="1"/>
  <c r="AB1695" i="1"/>
  <c r="AF1695" i="1" s="1"/>
  <c r="J1695" i="1"/>
  <c r="H1695" i="1"/>
  <c r="AH1694" i="1"/>
  <c r="AF1694" i="1"/>
  <c r="AD1694" i="1"/>
  <c r="AE1694" i="1" s="1"/>
  <c r="AB1694" i="1"/>
  <c r="J1694" i="1"/>
  <c r="H1694" i="1"/>
  <c r="AH1693" i="1"/>
  <c r="AF1693" i="1"/>
  <c r="AD1693" i="1"/>
  <c r="AB1693" i="1"/>
  <c r="J1693" i="1"/>
  <c r="H1693" i="1"/>
  <c r="AH1692" i="1"/>
  <c r="AF1692" i="1"/>
  <c r="AD1692" i="1"/>
  <c r="AE1692" i="1" s="1"/>
  <c r="AB1692" i="1"/>
  <c r="K1692" i="1"/>
  <c r="J1692" i="1"/>
  <c r="H1692" i="1"/>
  <c r="AH1691" i="1"/>
  <c r="AF1691" i="1"/>
  <c r="AD1691" i="1"/>
  <c r="AB1691" i="1"/>
  <c r="J1691" i="1"/>
  <c r="H1691" i="1"/>
  <c r="AH1690" i="1"/>
  <c r="AD1690" i="1"/>
  <c r="K1690" i="1" s="1"/>
  <c r="AB1690" i="1"/>
  <c r="AF1690" i="1" s="1"/>
  <c r="J1690" i="1"/>
  <c r="H1690" i="1"/>
  <c r="AE1690" i="1" s="1"/>
  <c r="AH1689" i="1"/>
  <c r="AF1689" i="1"/>
  <c r="AD1689" i="1"/>
  <c r="K1689" i="1" s="1"/>
  <c r="AB1689" i="1"/>
  <c r="J1689" i="1"/>
  <c r="H1689" i="1"/>
  <c r="AH1688" i="1"/>
  <c r="AF1688" i="1"/>
  <c r="AD1688" i="1"/>
  <c r="AB1688" i="1"/>
  <c r="J1688" i="1"/>
  <c r="H1688" i="1"/>
  <c r="AH1687" i="1"/>
  <c r="AF1687" i="1"/>
  <c r="AD1687" i="1"/>
  <c r="AE1687" i="1" s="1"/>
  <c r="AB1687" i="1"/>
  <c r="K1687" i="1"/>
  <c r="J1687" i="1"/>
  <c r="H1687" i="1"/>
  <c r="AH1686" i="1"/>
  <c r="AD1686" i="1"/>
  <c r="AB1686" i="1"/>
  <c r="AF1686" i="1" s="1"/>
  <c r="K1686" i="1"/>
  <c r="J1686" i="1"/>
  <c r="H1686" i="1"/>
  <c r="AE1686" i="1" s="1"/>
  <c r="AH1685" i="1"/>
  <c r="AF1685" i="1"/>
  <c r="AD1685" i="1"/>
  <c r="AE1685" i="1" s="1"/>
  <c r="AB1685" i="1"/>
  <c r="K1685" i="1"/>
  <c r="J1685" i="1"/>
  <c r="H1685" i="1"/>
  <c r="AH1684" i="1"/>
  <c r="AF1684" i="1"/>
  <c r="AD1684" i="1"/>
  <c r="AE1684" i="1" s="1"/>
  <c r="AB1684" i="1"/>
  <c r="K1684" i="1"/>
  <c r="J1684" i="1"/>
  <c r="H1684" i="1"/>
  <c r="AH1683" i="1"/>
  <c r="AD1683" i="1"/>
  <c r="K1683" i="1" s="1"/>
  <c r="AB1683" i="1"/>
  <c r="AF1683" i="1" s="1"/>
  <c r="J1683" i="1"/>
  <c r="H1683" i="1"/>
  <c r="AH1682" i="1"/>
  <c r="AF1682" i="1"/>
  <c r="AD1682" i="1"/>
  <c r="AE1682" i="1" s="1"/>
  <c r="AB1682" i="1"/>
  <c r="K1682" i="1"/>
  <c r="J1682" i="1"/>
  <c r="H1682" i="1"/>
  <c r="AH1681" i="1"/>
  <c r="AF1681" i="1"/>
  <c r="AD1681" i="1"/>
  <c r="AE1681" i="1" s="1"/>
  <c r="AB1681" i="1"/>
  <c r="J1681" i="1"/>
  <c r="H1681" i="1"/>
  <c r="AH1680" i="1"/>
  <c r="AF1680" i="1"/>
  <c r="AD1680" i="1"/>
  <c r="K1680" i="1" s="1"/>
  <c r="AB1680" i="1"/>
  <c r="J1680" i="1"/>
  <c r="H1680" i="1"/>
  <c r="AH1679" i="1"/>
  <c r="AF1679" i="1"/>
  <c r="AD1679" i="1"/>
  <c r="AE1679" i="1" s="1"/>
  <c r="AB1679" i="1"/>
  <c r="J1679" i="1"/>
  <c r="H1679" i="1"/>
  <c r="AH1678" i="1"/>
  <c r="AF1678" i="1"/>
  <c r="AD1678" i="1"/>
  <c r="AE1678" i="1" s="1"/>
  <c r="AB1678" i="1"/>
  <c r="J1678" i="1"/>
  <c r="H1678" i="1"/>
  <c r="AH1677" i="1"/>
  <c r="AF1677" i="1"/>
  <c r="AD1677" i="1"/>
  <c r="AE1677" i="1" s="1"/>
  <c r="AB1677" i="1"/>
  <c r="K1677" i="1"/>
  <c r="J1677" i="1"/>
  <c r="H1677" i="1"/>
  <c r="AH1676" i="1"/>
  <c r="AF1676" i="1"/>
  <c r="AD1676" i="1"/>
  <c r="AB1676" i="1"/>
  <c r="J1676" i="1"/>
  <c r="H1676" i="1"/>
  <c r="AH1675" i="1"/>
  <c r="AF1675" i="1"/>
  <c r="AD1675" i="1"/>
  <c r="K1675" i="1" s="1"/>
  <c r="AB1675" i="1"/>
  <c r="J1675" i="1"/>
  <c r="H1675" i="1"/>
  <c r="AH1674" i="1"/>
  <c r="AF1674" i="1"/>
  <c r="AD1674" i="1"/>
  <c r="AE1674" i="1" s="1"/>
  <c r="AB1674" i="1"/>
  <c r="K1674" i="1"/>
  <c r="J1674" i="1"/>
  <c r="H1674" i="1"/>
  <c r="AH1673" i="1"/>
  <c r="AF1673" i="1"/>
  <c r="AD1673" i="1"/>
  <c r="K1673" i="1" s="1"/>
  <c r="AB1673" i="1"/>
  <c r="J1673" i="1"/>
  <c r="H1673" i="1"/>
  <c r="AH1672" i="1"/>
  <c r="AF1672" i="1"/>
  <c r="AD1672" i="1"/>
  <c r="AE1672" i="1" s="1"/>
  <c r="AB1672" i="1"/>
  <c r="K1672" i="1"/>
  <c r="J1672" i="1"/>
  <c r="H1672" i="1"/>
  <c r="AH1671" i="1"/>
  <c r="AF1671" i="1"/>
  <c r="AD1671" i="1"/>
  <c r="AB1671" i="1"/>
  <c r="J1671" i="1"/>
  <c r="H1671" i="1"/>
  <c r="AH1670" i="1"/>
  <c r="AD1670" i="1"/>
  <c r="K1670" i="1" s="1"/>
  <c r="AB1670" i="1"/>
  <c r="AF1670" i="1" s="1"/>
  <c r="J1670" i="1"/>
  <c r="H1670" i="1"/>
  <c r="AH1669" i="1"/>
  <c r="AF1669" i="1"/>
  <c r="AD1669" i="1"/>
  <c r="K1669" i="1" s="1"/>
  <c r="AB1669" i="1"/>
  <c r="J1669" i="1"/>
  <c r="H1669" i="1"/>
  <c r="AE1669" i="1" s="1"/>
  <c r="AH1668" i="1"/>
  <c r="AF1668" i="1"/>
  <c r="AE1668" i="1"/>
  <c r="AD1668" i="1"/>
  <c r="K1668" i="1" s="1"/>
  <c r="AB1668" i="1"/>
  <c r="J1668" i="1"/>
  <c r="H1668" i="1"/>
  <c r="AH1667" i="1"/>
  <c r="AF1667" i="1"/>
  <c r="AD1667" i="1"/>
  <c r="AB1667" i="1"/>
  <c r="J1667" i="1"/>
  <c r="H1667" i="1"/>
  <c r="AH1666" i="1"/>
  <c r="AD1666" i="1"/>
  <c r="K1666" i="1" s="1"/>
  <c r="AB1666" i="1"/>
  <c r="AF1666" i="1" s="1"/>
  <c r="J1666" i="1"/>
  <c r="H1666" i="1"/>
  <c r="AH1665" i="1"/>
  <c r="AF1665" i="1"/>
  <c r="AD1665" i="1"/>
  <c r="AE1665" i="1" s="1"/>
  <c r="AB1665" i="1"/>
  <c r="J1665" i="1"/>
  <c r="H1665" i="1"/>
  <c r="AH1664" i="1"/>
  <c r="AF1664" i="1"/>
  <c r="AD1664" i="1"/>
  <c r="AB1664" i="1"/>
  <c r="J1664" i="1"/>
  <c r="H1664" i="1"/>
  <c r="AH1663" i="1"/>
  <c r="AF1663" i="1"/>
  <c r="AD1663" i="1"/>
  <c r="AE1663" i="1" s="1"/>
  <c r="AB1663" i="1"/>
  <c r="J1663" i="1"/>
  <c r="H1663" i="1"/>
  <c r="AH1662" i="1"/>
  <c r="AF1662" i="1"/>
  <c r="AD1662" i="1"/>
  <c r="AB1662" i="1"/>
  <c r="J1662" i="1"/>
  <c r="H1662" i="1"/>
  <c r="AH1661" i="1"/>
  <c r="AF1661" i="1"/>
  <c r="AD1661" i="1"/>
  <c r="AB1661" i="1"/>
  <c r="J1661" i="1"/>
  <c r="H1661" i="1"/>
  <c r="AH1660" i="1"/>
  <c r="AF1660" i="1"/>
  <c r="AD1660" i="1"/>
  <c r="K1660" i="1" s="1"/>
  <c r="AB1660" i="1"/>
  <c r="J1660" i="1"/>
  <c r="H1660" i="1"/>
  <c r="AH1659" i="1"/>
  <c r="AD1659" i="1"/>
  <c r="K1659" i="1" s="1"/>
  <c r="AB1659" i="1"/>
  <c r="AF1659" i="1" s="1"/>
  <c r="J1659" i="1"/>
  <c r="H1659" i="1"/>
  <c r="AE1659" i="1" s="1"/>
  <c r="AH1658" i="1"/>
  <c r="AF1658" i="1"/>
  <c r="AD1658" i="1"/>
  <c r="AB1658" i="1"/>
  <c r="J1658" i="1"/>
  <c r="H1658" i="1"/>
  <c r="AH1657" i="1"/>
  <c r="AD1657" i="1"/>
  <c r="K1657" i="1" s="1"/>
  <c r="AB1657" i="1"/>
  <c r="AF1657" i="1" s="1"/>
  <c r="J1657" i="1"/>
  <c r="H1657" i="1"/>
  <c r="AH1656" i="1"/>
  <c r="AF1656" i="1"/>
  <c r="AD1656" i="1"/>
  <c r="AB1656" i="1"/>
  <c r="J1656" i="1"/>
  <c r="H1656" i="1"/>
  <c r="AH1655" i="1"/>
  <c r="AD1655" i="1"/>
  <c r="K1655" i="1" s="1"/>
  <c r="AB1655" i="1"/>
  <c r="AF1655" i="1" s="1"/>
  <c r="J1655" i="1"/>
  <c r="H1655" i="1"/>
  <c r="AH1654" i="1"/>
  <c r="AD1654" i="1"/>
  <c r="AB1654" i="1"/>
  <c r="AF1654" i="1" s="1"/>
  <c r="K1654" i="1"/>
  <c r="J1654" i="1"/>
  <c r="H1654" i="1"/>
  <c r="AE1654" i="1" s="1"/>
  <c r="AH1653" i="1"/>
  <c r="AF1653" i="1"/>
  <c r="AD1653" i="1"/>
  <c r="AB1653" i="1"/>
  <c r="J1653" i="1"/>
  <c r="H1653" i="1"/>
  <c r="AH1652" i="1"/>
  <c r="AD1652" i="1"/>
  <c r="AB1652" i="1"/>
  <c r="AF1652" i="1" s="1"/>
  <c r="K1652" i="1"/>
  <c r="J1652" i="1"/>
  <c r="H1652" i="1"/>
  <c r="AE1652" i="1" s="1"/>
  <c r="AH1651" i="1"/>
  <c r="AF1651" i="1"/>
  <c r="AD1651" i="1"/>
  <c r="AB1651" i="1"/>
  <c r="J1651" i="1"/>
  <c r="H1651" i="1"/>
  <c r="AH1650" i="1"/>
  <c r="AF1650" i="1"/>
  <c r="AD1650" i="1"/>
  <c r="AE1650" i="1" s="1"/>
  <c r="AB1650" i="1"/>
  <c r="K1650" i="1"/>
  <c r="J1650" i="1"/>
  <c r="H1650" i="1"/>
  <c r="AH1649" i="1"/>
  <c r="AF1649" i="1"/>
  <c r="AD1649" i="1"/>
  <c r="AB1649" i="1"/>
  <c r="J1649" i="1"/>
  <c r="H1649" i="1"/>
  <c r="AH1648" i="1"/>
  <c r="AF1648" i="1"/>
  <c r="AD1648" i="1"/>
  <c r="AE1648" i="1" s="1"/>
  <c r="AB1648" i="1"/>
  <c r="K1648" i="1"/>
  <c r="J1648" i="1"/>
  <c r="H1648" i="1"/>
  <c r="AH1647" i="1"/>
  <c r="AF1647" i="1"/>
  <c r="AE1647" i="1"/>
  <c r="AD1647" i="1"/>
  <c r="K1647" i="1" s="1"/>
  <c r="AB1647" i="1"/>
  <c r="J1647" i="1"/>
  <c r="H1647" i="1"/>
  <c r="AH1646" i="1"/>
  <c r="AF1646" i="1"/>
  <c r="AD1646" i="1"/>
  <c r="AE1646" i="1" s="1"/>
  <c r="AB1646" i="1"/>
  <c r="J1646" i="1"/>
  <c r="H1646" i="1"/>
  <c r="AH1645" i="1"/>
  <c r="AF1645" i="1"/>
  <c r="AE1645" i="1"/>
  <c r="AD1645" i="1"/>
  <c r="K1645" i="1" s="1"/>
  <c r="AB1645" i="1"/>
  <c r="J1645" i="1"/>
  <c r="H1645" i="1"/>
  <c r="AH1644" i="1"/>
  <c r="AD1644" i="1"/>
  <c r="K1644" i="1" s="1"/>
  <c r="AB1644" i="1"/>
  <c r="AF1644" i="1" s="1"/>
  <c r="J1644" i="1"/>
  <c r="H1644" i="1"/>
  <c r="AH1643" i="1"/>
  <c r="AD1643" i="1"/>
  <c r="K1643" i="1" s="1"/>
  <c r="AB1643" i="1"/>
  <c r="AF1643" i="1" s="1"/>
  <c r="J1643" i="1"/>
  <c r="H1643" i="1"/>
  <c r="AH1642" i="1"/>
  <c r="AD1642" i="1"/>
  <c r="K1642" i="1" s="1"/>
  <c r="AB1642" i="1"/>
  <c r="AF1642" i="1" s="1"/>
  <c r="J1642" i="1"/>
  <c r="H1642" i="1"/>
  <c r="AH1641" i="1"/>
  <c r="AD1641" i="1"/>
  <c r="K1641" i="1" s="1"/>
  <c r="AB1641" i="1"/>
  <c r="AF1641" i="1" s="1"/>
  <c r="J1641" i="1"/>
  <c r="H1641" i="1"/>
  <c r="AE1641" i="1" s="1"/>
  <c r="AH1640" i="1"/>
  <c r="AD1640" i="1"/>
  <c r="K1640" i="1" s="1"/>
  <c r="AB1640" i="1"/>
  <c r="AF1640" i="1" s="1"/>
  <c r="J1640" i="1"/>
  <c r="H1640" i="1"/>
  <c r="AH1639" i="1"/>
  <c r="AF1639" i="1"/>
  <c r="AD1639" i="1"/>
  <c r="AB1639" i="1"/>
  <c r="J1639" i="1"/>
  <c r="H1639" i="1"/>
  <c r="AH1638" i="1"/>
  <c r="AF1638" i="1"/>
  <c r="AD1638" i="1"/>
  <c r="K1638" i="1" s="1"/>
  <c r="AB1638" i="1"/>
  <c r="J1638" i="1"/>
  <c r="H1638" i="1"/>
  <c r="AH1637" i="1"/>
  <c r="AF1637" i="1"/>
  <c r="AD1637" i="1"/>
  <c r="AE1637" i="1" s="1"/>
  <c r="AB1637" i="1"/>
  <c r="J1637" i="1"/>
  <c r="H1637" i="1"/>
  <c r="AH1636" i="1"/>
  <c r="AD1636" i="1"/>
  <c r="K1636" i="1" s="1"/>
  <c r="AB1636" i="1"/>
  <c r="AF1636" i="1" s="1"/>
  <c r="J1636" i="1"/>
  <c r="H1636" i="1"/>
  <c r="AH1635" i="1"/>
  <c r="AF1635" i="1"/>
  <c r="AD1635" i="1"/>
  <c r="K1635" i="1" s="1"/>
  <c r="AB1635" i="1"/>
  <c r="J1635" i="1"/>
  <c r="H1635" i="1"/>
  <c r="AH1634" i="1"/>
  <c r="AD1634" i="1"/>
  <c r="K1634" i="1" s="1"/>
  <c r="AB1634" i="1"/>
  <c r="AF1634" i="1" s="1"/>
  <c r="J1634" i="1"/>
  <c r="H1634" i="1"/>
  <c r="AH1633" i="1"/>
  <c r="AD1633" i="1"/>
  <c r="K1633" i="1" s="1"/>
  <c r="AB1633" i="1"/>
  <c r="AF1633" i="1" s="1"/>
  <c r="J1633" i="1"/>
  <c r="H1633" i="1"/>
  <c r="AH1632" i="1"/>
  <c r="AF1632" i="1"/>
  <c r="AD1632" i="1"/>
  <c r="AE1632" i="1" s="1"/>
  <c r="AB1632" i="1"/>
  <c r="J1632" i="1"/>
  <c r="H1632" i="1"/>
  <c r="AH1631" i="1"/>
  <c r="AF1631" i="1"/>
  <c r="AD1631" i="1"/>
  <c r="AB1631" i="1"/>
  <c r="J1631" i="1"/>
  <c r="H1631" i="1"/>
  <c r="AH1630" i="1"/>
  <c r="AF1630" i="1"/>
  <c r="AD1630" i="1"/>
  <c r="AB1630" i="1"/>
  <c r="J1630" i="1"/>
  <c r="H1630" i="1"/>
  <c r="AH1629" i="1"/>
  <c r="AF1629" i="1"/>
  <c r="AD1629" i="1"/>
  <c r="AE1629" i="1" s="1"/>
  <c r="AB1629" i="1"/>
  <c r="J1629" i="1"/>
  <c r="H1629" i="1"/>
  <c r="AH1628" i="1"/>
  <c r="AF1628" i="1"/>
  <c r="AD1628" i="1"/>
  <c r="AB1628" i="1"/>
  <c r="J1628" i="1"/>
  <c r="H1628" i="1"/>
  <c r="AH1627" i="1"/>
  <c r="AF1627" i="1"/>
  <c r="AD1627" i="1"/>
  <c r="AB1627" i="1"/>
  <c r="J1627" i="1"/>
  <c r="H1627" i="1"/>
  <c r="AH1626" i="1"/>
  <c r="AF1626" i="1"/>
  <c r="AD1626" i="1"/>
  <c r="K1626" i="1" s="1"/>
  <c r="AB1626" i="1"/>
  <c r="J1626" i="1"/>
  <c r="H1626" i="1"/>
  <c r="AH1625" i="1"/>
  <c r="AD1625" i="1"/>
  <c r="AB1625" i="1"/>
  <c r="AF1625" i="1" s="1"/>
  <c r="K1625" i="1"/>
  <c r="J1625" i="1"/>
  <c r="H1625" i="1"/>
  <c r="AE1625" i="1" s="1"/>
  <c r="AH1624" i="1"/>
  <c r="AF1624" i="1"/>
  <c r="AD1624" i="1"/>
  <c r="K1624" i="1" s="1"/>
  <c r="AB1624" i="1"/>
  <c r="J1624" i="1"/>
  <c r="H1624" i="1"/>
  <c r="AH1623" i="1"/>
  <c r="AF1623" i="1"/>
  <c r="AD1623" i="1"/>
  <c r="AE1623" i="1" s="1"/>
  <c r="AB1623" i="1"/>
  <c r="J1623" i="1"/>
  <c r="H1623" i="1"/>
  <c r="AH1622" i="1"/>
  <c r="AF1622" i="1"/>
  <c r="AD1622" i="1"/>
  <c r="AB1622" i="1"/>
  <c r="J1622" i="1"/>
  <c r="H1622" i="1"/>
  <c r="AH1621" i="1"/>
  <c r="AF1621" i="1"/>
  <c r="AD1621" i="1"/>
  <c r="AB1621" i="1"/>
  <c r="J1621" i="1"/>
  <c r="H1621" i="1"/>
  <c r="AH1620" i="1"/>
  <c r="AD1620" i="1"/>
  <c r="K1620" i="1" s="1"/>
  <c r="AB1620" i="1"/>
  <c r="AF1620" i="1" s="1"/>
  <c r="J1620" i="1"/>
  <c r="H1620" i="1"/>
  <c r="AH1619" i="1"/>
  <c r="AD1619" i="1"/>
  <c r="K1619" i="1" s="1"/>
  <c r="AB1619" i="1"/>
  <c r="AF1619" i="1" s="1"/>
  <c r="J1619" i="1"/>
  <c r="H1619" i="1"/>
  <c r="AH1618" i="1"/>
  <c r="AD1618" i="1"/>
  <c r="K1618" i="1" s="1"/>
  <c r="AB1618" i="1"/>
  <c r="AF1618" i="1" s="1"/>
  <c r="J1618" i="1"/>
  <c r="H1618" i="1"/>
  <c r="AH1617" i="1"/>
  <c r="AD1617" i="1"/>
  <c r="AB1617" i="1"/>
  <c r="AF1617" i="1" s="1"/>
  <c r="J1617" i="1"/>
  <c r="H1617" i="1"/>
  <c r="AH1616" i="1"/>
  <c r="AF1616" i="1"/>
  <c r="AD1616" i="1"/>
  <c r="AE1616" i="1" s="1"/>
  <c r="AB1616" i="1"/>
  <c r="J1616" i="1"/>
  <c r="H1616" i="1"/>
  <c r="AH1615" i="1"/>
  <c r="AF1615" i="1"/>
  <c r="AD1615" i="1"/>
  <c r="AE1615" i="1" s="1"/>
  <c r="AB1615" i="1"/>
  <c r="K1615" i="1"/>
  <c r="J1615" i="1"/>
  <c r="H1615" i="1"/>
  <c r="AH1614" i="1"/>
  <c r="AF1614" i="1"/>
  <c r="AD1614" i="1"/>
  <c r="AB1614" i="1"/>
  <c r="J1614" i="1"/>
  <c r="H1614" i="1"/>
  <c r="AH1613" i="1"/>
  <c r="AF1613" i="1"/>
  <c r="AD1613" i="1"/>
  <c r="AB1613" i="1"/>
  <c r="J1613" i="1"/>
  <c r="H1613" i="1"/>
  <c r="AH1612" i="1"/>
  <c r="AD1612" i="1"/>
  <c r="K1612" i="1" s="1"/>
  <c r="AB1612" i="1"/>
  <c r="AF1612" i="1" s="1"/>
  <c r="J1612" i="1"/>
  <c r="H1612" i="1"/>
  <c r="AH1611" i="1"/>
  <c r="AF1611" i="1"/>
  <c r="AD1611" i="1"/>
  <c r="AB1611" i="1"/>
  <c r="J1611" i="1"/>
  <c r="H1611" i="1"/>
  <c r="AH1610" i="1"/>
  <c r="AF1610" i="1"/>
  <c r="AD1610" i="1"/>
  <c r="AB1610" i="1"/>
  <c r="J1610" i="1"/>
  <c r="H1610" i="1"/>
  <c r="AH1609" i="1"/>
  <c r="AF1609" i="1"/>
  <c r="AD1609" i="1"/>
  <c r="AE1609" i="1" s="1"/>
  <c r="AB1609" i="1"/>
  <c r="K1609" i="1"/>
  <c r="J1609" i="1"/>
  <c r="H1609" i="1"/>
  <c r="AH1608" i="1"/>
  <c r="AD1608" i="1"/>
  <c r="K1608" i="1" s="1"/>
  <c r="AB1608" i="1"/>
  <c r="AF1608" i="1" s="1"/>
  <c r="J1608" i="1"/>
  <c r="H1608" i="1"/>
  <c r="AH1607" i="1"/>
  <c r="AD1607" i="1"/>
  <c r="K1607" i="1" s="1"/>
  <c r="AB1607" i="1"/>
  <c r="AF1607" i="1" s="1"/>
  <c r="J1607" i="1"/>
  <c r="H1607" i="1"/>
  <c r="AH1606" i="1"/>
  <c r="AF1606" i="1"/>
  <c r="AD1606" i="1"/>
  <c r="AB1606" i="1"/>
  <c r="J1606" i="1"/>
  <c r="H1606" i="1"/>
  <c r="AH1605" i="1"/>
  <c r="AD1605" i="1"/>
  <c r="K1605" i="1" s="1"/>
  <c r="AB1605" i="1"/>
  <c r="AF1605" i="1" s="1"/>
  <c r="J1605" i="1"/>
  <c r="H1605" i="1"/>
  <c r="AH1604" i="1"/>
  <c r="AD1604" i="1"/>
  <c r="K1604" i="1" s="1"/>
  <c r="AB1604" i="1"/>
  <c r="AF1604" i="1" s="1"/>
  <c r="J1604" i="1"/>
  <c r="H1604" i="1"/>
  <c r="AH1603" i="1"/>
  <c r="AD1603" i="1"/>
  <c r="AB1603" i="1"/>
  <c r="AF1603" i="1" s="1"/>
  <c r="J1603" i="1"/>
  <c r="H1603" i="1"/>
  <c r="AH1602" i="1"/>
  <c r="AF1602" i="1"/>
  <c r="AD1602" i="1"/>
  <c r="AE1602" i="1" s="1"/>
  <c r="AB1602" i="1"/>
  <c r="K1602" i="1"/>
  <c r="J1602" i="1"/>
  <c r="H1602" i="1"/>
  <c r="AH1601" i="1"/>
  <c r="AF1601" i="1"/>
  <c r="AD1601" i="1"/>
  <c r="K1601" i="1" s="1"/>
  <c r="AB1601" i="1"/>
  <c r="J1601" i="1"/>
  <c r="H1601" i="1"/>
  <c r="AH1600" i="1"/>
  <c r="AD1600" i="1"/>
  <c r="AB1600" i="1"/>
  <c r="AF1600" i="1" s="1"/>
  <c r="J1600" i="1"/>
  <c r="H1600" i="1"/>
  <c r="AH1599" i="1"/>
  <c r="AF1599" i="1"/>
  <c r="AD1599" i="1"/>
  <c r="K1599" i="1" s="1"/>
  <c r="AB1599" i="1"/>
  <c r="J1599" i="1"/>
  <c r="H1599" i="1"/>
  <c r="AH1598" i="1"/>
  <c r="AD1598" i="1"/>
  <c r="AE1598" i="1" s="1"/>
  <c r="AB1598" i="1"/>
  <c r="AF1598" i="1" s="1"/>
  <c r="K1598" i="1"/>
  <c r="J1598" i="1"/>
  <c r="H1598" i="1"/>
  <c r="AH1597" i="1"/>
  <c r="AF1597" i="1"/>
  <c r="AD1597" i="1"/>
  <c r="AB1597" i="1"/>
  <c r="J1597" i="1"/>
  <c r="H1597" i="1"/>
  <c r="AH1596" i="1"/>
  <c r="AD1596" i="1"/>
  <c r="K1596" i="1" s="1"/>
  <c r="AB1596" i="1"/>
  <c r="AF1596" i="1" s="1"/>
  <c r="J1596" i="1"/>
  <c r="H1596" i="1"/>
  <c r="AH1595" i="1"/>
  <c r="AF1595" i="1"/>
  <c r="AD1595" i="1"/>
  <c r="AE1595" i="1" s="1"/>
  <c r="AB1595" i="1"/>
  <c r="K1595" i="1"/>
  <c r="J1595" i="1"/>
  <c r="H1595" i="1"/>
  <c r="AH1594" i="1"/>
  <c r="AF1594" i="1"/>
  <c r="AD1594" i="1"/>
  <c r="AB1594" i="1"/>
  <c r="J1594" i="1"/>
  <c r="H1594" i="1"/>
  <c r="AH1593" i="1"/>
  <c r="AF1593" i="1"/>
  <c r="AD1593" i="1"/>
  <c r="AE1593" i="1" s="1"/>
  <c r="AB1593" i="1"/>
  <c r="J1593" i="1"/>
  <c r="H1593" i="1"/>
  <c r="AH1592" i="1"/>
  <c r="AF1592" i="1"/>
  <c r="AD1592" i="1"/>
  <c r="AB1592" i="1"/>
  <c r="J1592" i="1"/>
  <c r="H1592" i="1"/>
  <c r="AH1591" i="1"/>
  <c r="AF1591" i="1"/>
  <c r="AD1591" i="1"/>
  <c r="AB1591" i="1"/>
  <c r="J1591" i="1"/>
  <c r="H1591" i="1"/>
  <c r="AH1590" i="1"/>
  <c r="AF1590" i="1"/>
  <c r="AD1590" i="1"/>
  <c r="AB1590" i="1"/>
  <c r="J1590" i="1"/>
  <c r="H1590" i="1"/>
  <c r="AH1589" i="1"/>
  <c r="AF1589" i="1"/>
  <c r="AD1589" i="1"/>
  <c r="AB1589" i="1"/>
  <c r="J1589" i="1"/>
  <c r="H1589" i="1"/>
  <c r="AH1588" i="1"/>
  <c r="AF1588" i="1"/>
  <c r="AD1588" i="1"/>
  <c r="AE1588" i="1" s="1"/>
  <c r="AB1588" i="1"/>
  <c r="J1588" i="1"/>
  <c r="H1588" i="1"/>
  <c r="AH1587" i="1"/>
  <c r="AD1587" i="1"/>
  <c r="K1587" i="1" s="1"/>
  <c r="AB1587" i="1"/>
  <c r="AF1587" i="1" s="1"/>
  <c r="J1587" i="1"/>
  <c r="H1587" i="1"/>
  <c r="AH1586" i="1"/>
  <c r="AD1586" i="1"/>
  <c r="K1586" i="1" s="1"/>
  <c r="AB1586" i="1"/>
  <c r="AF1586" i="1" s="1"/>
  <c r="J1586" i="1"/>
  <c r="H1586" i="1"/>
  <c r="AH1585" i="1"/>
  <c r="AF1585" i="1"/>
  <c r="AE1585" i="1"/>
  <c r="AD1585" i="1"/>
  <c r="AB1585" i="1"/>
  <c r="K1585" i="1"/>
  <c r="J1585" i="1"/>
  <c r="H1585" i="1"/>
  <c r="AH1584" i="1"/>
  <c r="AF1584" i="1"/>
  <c r="AE1584" i="1"/>
  <c r="AD1584" i="1"/>
  <c r="K1584" i="1" s="1"/>
  <c r="AB1584" i="1"/>
  <c r="J1584" i="1"/>
  <c r="H1584" i="1"/>
  <c r="AH1583" i="1"/>
  <c r="AF1583" i="1"/>
  <c r="AD1583" i="1"/>
  <c r="AB1583" i="1"/>
  <c r="J1583" i="1"/>
  <c r="H1583" i="1"/>
  <c r="AH1582" i="1"/>
  <c r="AF1582" i="1"/>
  <c r="AD1582" i="1"/>
  <c r="AE1582" i="1" s="1"/>
  <c r="AB1582" i="1"/>
  <c r="J1582" i="1"/>
  <c r="H1582" i="1"/>
  <c r="AH1581" i="1"/>
  <c r="AF1581" i="1"/>
  <c r="AD1581" i="1"/>
  <c r="AE1581" i="1" s="1"/>
  <c r="AB1581" i="1"/>
  <c r="J1581" i="1"/>
  <c r="H1581" i="1"/>
  <c r="AH1580" i="1"/>
  <c r="AD1580" i="1"/>
  <c r="K1580" i="1" s="1"/>
  <c r="AB1580" i="1"/>
  <c r="AF1580" i="1" s="1"/>
  <c r="J1580" i="1"/>
  <c r="H1580" i="1"/>
  <c r="AH1579" i="1"/>
  <c r="AD1579" i="1"/>
  <c r="K1579" i="1" s="1"/>
  <c r="AB1579" i="1"/>
  <c r="AF1579" i="1" s="1"/>
  <c r="J1579" i="1"/>
  <c r="H1579" i="1"/>
  <c r="AE1579" i="1" s="1"/>
  <c r="AH1578" i="1"/>
  <c r="AF1578" i="1"/>
  <c r="AE1578" i="1"/>
  <c r="AD1578" i="1"/>
  <c r="K1578" i="1" s="1"/>
  <c r="AB1578" i="1"/>
  <c r="J1578" i="1"/>
  <c r="H1578" i="1"/>
  <c r="AH1577" i="1"/>
  <c r="AF1577" i="1"/>
  <c r="AD1577" i="1"/>
  <c r="AE1577" i="1" s="1"/>
  <c r="AB1577" i="1"/>
  <c r="J1577" i="1"/>
  <c r="H1577" i="1"/>
  <c r="AH1576" i="1"/>
  <c r="AD1576" i="1"/>
  <c r="K1576" i="1" s="1"/>
  <c r="AB1576" i="1"/>
  <c r="AF1576" i="1" s="1"/>
  <c r="J1576" i="1"/>
  <c r="H1576" i="1"/>
  <c r="AH1575" i="1"/>
  <c r="AF1575" i="1"/>
  <c r="AD1575" i="1"/>
  <c r="AB1575" i="1"/>
  <c r="J1575" i="1"/>
  <c r="H1575" i="1"/>
  <c r="AH1574" i="1"/>
  <c r="AF1574" i="1"/>
  <c r="AD1574" i="1"/>
  <c r="AB1574" i="1"/>
  <c r="J1574" i="1"/>
  <c r="H1574" i="1"/>
  <c r="AH1573" i="1"/>
  <c r="AF1573" i="1"/>
  <c r="AD1573" i="1"/>
  <c r="AE1573" i="1" s="1"/>
  <c r="AB1573" i="1"/>
  <c r="J1573" i="1"/>
  <c r="H1573" i="1"/>
  <c r="AH1572" i="1"/>
  <c r="AD1572" i="1"/>
  <c r="AB1572" i="1"/>
  <c r="AF1572" i="1" s="1"/>
  <c r="K1572" i="1"/>
  <c r="J1572" i="1"/>
  <c r="H1572" i="1"/>
  <c r="AH1571" i="1"/>
  <c r="AF1571" i="1"/>
  <c r="AE1571" i="1"/>
  <c r="AD1571" i="1"/>
  <c r="K1571" i="1" s="1"/>
  <c r="AB1571" i="1"/>
  <c r="J1571" i="1"/>
  <c r="H1571" i="1"/>
  <c r="AH1570" i="1"/>
  <c r="AD1570" i="1"/>
  <c r="K1570" i="1" s="1"/>
  <c r="AB1570" i="1"/>
  <c r="AF1570" i="1" s="1"/>
  <c r="J1570" i="1"/>
  <c r="H1570" i="1"/>
  <c r="AH1569" i="1"/>
  <c r="AF1569" i="1"/>
  <c r="AD1569" i="1"/>
  <c r="AB1569" i="1"/>
  <c r="J1569" i="1"/>
  <c r="H1569" i="1"/>
  <c r="AH1568" i="1"/>
  <c r="AE1568" i="1"/>
  <c r="AD1568" i="1"/>
  <c r="K1568" i="1" s="1"/>
  <c r="AB1568" i="1"/>
  <c r="AF1568" i="1" s="1"/>
  <c r="J1568" i="1"/>
  <c r="H1568" i="1"/>
  <c r="AH1567" i="1"/>
  <c r="AD1567" i="1"/>
  <c r="AB1567" i="1"/>
  <c r="AF1567" i="1" s="1"/>
  <c r="K1567" i="1"/>
  <c r="J1567" i="1"/>
  <c r="H1567" i="1"/>
  <c r="AH1566" i="1"/>
  <c r="AD1566" i="1"/>
  <c r="K1566" i="1" s="1"/>
  <c r="AB1566" i="1"/>
  <c r="AF1566" i="1" s="1"/>
  <c r="J1566" i="1"/>
  <c r="H1566" i="1"/>
  <c r="AH1565" i="1"/>
  <c r="AF1565" i="1"/>
  <c r="AD1565" i="1"/>
  <c r="AE1565" i="1" s="1"/>
  <c r="AB1565" i="1"/>
  <c r="K1565" i="1"/>
  <c r="J1565" i="1"/>
  <c r="H1565" i="1"/>
  <c r="AH1564" i="1"/>
  <c r="AF1564" i="1"/>
  <c r="AE1564" i="1"/>
  <c r="AD1564" i="1"/>
  <c r="K1564" i="1" s="1"/>
  <c r="AB1564" i="1"/>
  <c r="J1564" i="1"/>
  <c r="H1564" i="1"/>
  <c r="AH1563" i="1"/>
  <c r="AD1563" i="1"/>
  <c r="AB1563" i="1"/>
  <c r="AF1563" i="1" s="1"/>
  <c r="J1563" i="1"/>
  <c r="H1563" i="1"/>
  <c r="AH1562" i="1"/>
  <c r="AF1562" i="1"/>
  <c r="AD1562" i="1"/>
  <c r="AE1562" i="1" s="1"/>
  <c r="AB1562" i="1"/>
  <c r="J1562" i="1"/>
  <c r="H1562" i="1"/>
  <c r="AH1561" i="1"/>
  <c r="AF1561" i="1"/>
  <c r="AD1561" i="1"/>
  <c r="AE1561" i="1" s="1"/>
  <c r="AB1561" i="1"/>
  <c r="K1561" i="1"/>
  <c r="J1561" i="1"/>
  <c r="H1561" i="1"/>
  <c r="AH1560" i="1"/>
  <c r="AF1560" i="1"/>
  <c r="AD1560" i="1"/>
  <c r="AB1560" i="1"/>
  <c r="J1560" i="1"/>
  <c r="H1560" i="1"/>
  <c r="AH1559" i="1"/>
  <c r="AF1559" i="1"/>
  <c r="AD1559" i="1"/>
  <c r="AB1559" i="1"/>
  <c r="J1559" i="1"/>
  <c r="H1559" i="1"/>
  <c r="AH1558" i="1"/>
  <c r="AD1558" i="1"/>
  <c r="AB1558" i="1"/>
  <c r="AF1558" i="1" s="1"/>
  <c r="K1558" i="1"/>
  <c r="J1558" i="1"/>
  <c r="H1558" i="1"/>
  <c r="AH1557" i="1"/>
  <c r="AF1557" i="1"/>
  <c r="AD1557" i="1"/>
  <c r="AE1557" i="1" s="1"/>
  <c r="AB1557" i="1"/>
  <c r="J1557" i="1"/>
  <c r="H1557" i="1"/>
  <c r="AH1556" i="1"/>
  <c r="AF1556" i="1"/>
  <c r="AD1556" i="1"/>
  <c r="AB1556" i="1"/>
  <c r="J1556" i="1"/>
  <c r="H1556" i="1"/>
  <c r="AH1555" i="1"/>
  <c r="AF1555" i="1"/>
  <c r="AD1555" i="1"/>
  <c r="AB1555" i="1"/>
  <c r="J1555" i="1"/>
  <c r="H1555" i="1"/>
  <c r="AH1554" i="1"/>
  <c r="AF1554" i="1"/>
  <c r="AD1554" i="1"/>
  <c r="AB1554" i="1"/>
  <c r="J1554" i="1"/>
  <c r="H1554" i="1"/>
  <c r="AH1553" i="1"/>
  <c r="AF1553" i="1"/>
  <c r="AD1553" i="1"/>
  <c r="AB1553" i="1"/>
  <c r="J1553" i="1"/>
  <c r="H1553" i="1"/>
  <c r="AH1552" i="1"/>
  <c r="AD1552" i="1"/>
  <c r="K1552" i="1" s="1"/>
  <c r="AB1552" i="1"/>
  <c r="AF1552" i="1" s="1"/>
  <c r="J1552" i="1"/>
  <c r="H1552" i="1"/>
  <c r="AH1551" i="1"/>
  <c r="AD1551" i="1"/>
  <c r="K1551" i="1" s="1"/>
  <c r="AB1551" i="1"/>
  <c r="AF1551" i="1" s="1"/>
  <c r="J1551" i="1"/>
  <c r="H1551" i="1"/>
  <c r="AH1550" i="1"/>
  <c r="AF1550" i="1"/>
  <c r="AD1550" i="1"/>
  <c r="K1550" i="1" s="1"/>
  <c r="AB1550" i="1"/>
  <c r="J1550" i="1"/>
  <c r="H1550" i="1"/>
  <c r="AH1549" i="1"/>
  <c r="AD1549" i="1"/>
  <c r="K1549" i="1" s="1"/>
  <c r="AB1549" i="1"/>
  <c r="AF1549" i="1" s="1"/>
  <c r="J1549" i="1"/>
  <c r="H1549" i="1"/>
  <c r="AH1548" i="1"/>
  <c r="AF1548" i="1"/>
  <c r="AD1548" i="1"/>
  <c r="AE1548" i="1" s="1"/>
  <c r="AB1548" i="1"/>
  <c r="J1548" i="1"/>
  <c r="H1548" i="1"/>
  <c r="AH1547" i="1"/>
  <c r="AD1547" i="1"/>
  <c r="K1547" i="1" s="1"/>
  <c r="AB1547" i="1"/>
  <c r="AF1547" i="1" s="1"/>
  <c r="J1547" i="1"/>
  <c r="H1547" i="1"/>
  <c r="AH1546" i="1"/>
  <c r="AD1546" i="1"/>
  <c r="K1546" i="1" s="1"/>
  <c r="AB1546" i="1"/>
  <c r="AF1546" i="1" s="1"/>
  <c r="J1546" i="1"/>
  <c r="H1546" i="1"/>
  <c r="AH1545" i="1"/>
  <c r="AF1545" i="1"/>
  <c r="AD1545" i="1"/>
  <c r="AE1545" i="1" s="1"/>
  <c r="AB1545" i="1"/>
  <c r="K1545" i="1"/>
  <c r="J1545" i="1"/>
  <c r="H1545" i="1"/>
  <c r="AH1544" i="1"/>
  <c r="AD1544" i="1"/>
  <c r="K1544" i="1" s="1"/>
  <c r="AB1544" i="1"/>
  <c r="AF1544" i="1" s="1"/>
  <c r="J1544" i="1"/>
  <c r="H1544" i="1"/>
  <c r="AH1543" i="1"/>
  <c r="AF1543" i="1"/>
  <c r="AD1543" i="1"/>
  <c r="AB1543" i="1"/>
  <c r="J1543" i="1"/>
  <c r="H1543" i="1"/>
  <c r="AH1542" i="1"/>
  <c r="AF1542" i="1"/>
  <c r="AD1542" i="1"/>
  <c r="K1542" i="1" s="1"/>
  <c r="AB1542" i="1"/>
  <c r="J1542" i="1"/>
  <c r="H1542" i="1"/>
  <c r="AH1541" i="1"/>
  <c r="AD1541" i="1"/>
  <c r="K1541" i="1" s="1"/>
  <c r="AB1541" i="1"/>
  <c r="AF1541" i="1" s="1"/>
  <c r="J1541" i="1"/>
  <c r="H1541" i="1"/>
  <c r="AH1540" i="1"/>
  <c r="AD1540" i="1"/>
  <c r="K1540" i="1" s="1"/>
  <c r="AB1540" i="1"/>
  <c r="AF1540" i="1" s="1"/>
  <c r="J1540" i="1"/>
  <c r="H1540" i="1"/>
  <c r="AH1539" i="1"/>
  <c r="AD1539" i="1"/>
  <c r="K1539" i="1" s="1"/>
  <c r="AB1539" i="1"/>
  <c r="AF1539" i="1" s="1"/>
  <c r="J1539" i="1"/>
  <c r="H1539" i="1"/>
  <c r="AH1538" i="1"/>
  <c r="AD1538" i="1"/>
  <c r="K1538" i="1" s="1"/>
  <c r="AB1538" i="1"/>
  <c r="AF1538" i="1" s="1"/>
  <c r="J1538" i="1"/>
  <c r="H1538" i="1"/>
  <c r="AH1537" i="1"/>
  <c r="AF1537" i="1"/>
  <c r="AE1537" i="1"/>
  <c r="AD1537" i="1"/>
  <c r="K1537" i="1" s="1"/>
  <c r="AB1537" i="1"/>
  <c r="J1537" i="1"/>
  <c r="H1537" i="1"/>
  <c r="AH1536" i="1"/>
  <c r="AF1536" i="1"/>
  <c r="AD1536" i="1"/>
  <c r="AE1536" i="1" s="1"/>
  <c r="AB1536" i="1"/>
  <c r="J1536" i="1"/>
  <c r="H1536" i="1"/>
  <c r="AH1535" i="1"/>
  <c r="AF1535" i="1"/>
  <c r="AD1535" i="1"/>
  <c r="AB1535" i="1"/>
  <c r="J1535" i="1"/>
  <c r="H1535" i="1"/>
  <c r="AH1534" i="1"/>
  <c r="AF1534" i="1"/>
  <c r="AD1534" i="1"/>
  <c r="AB1534" i="1"/>
  <c r="J1534" i="1"/>
  <c r="H1534" i="1"/>
  <c r="AH1533" i="1"/>
  <c r="AF1533" i="1"/>
  <c r="AD1533" i="1"/>
  <c r="AB1533" i="1"/>
  <c r="J1533" i="1"/>
  <c r="H1533" i="1"/>
  <c r="AH1532" i="1"/>
  <c r="AF1532" i="1"/>
  <c r="AD1532" i="1"/>
  <c r="AE1532" i="1" s="1"/>
  <c r="AB1532" i="1"/>
  <c r="J1532" i="1"/>
  <c r="H1532" i="1"/>
  <c r="AH1531" i="1"/>
  <c r="AF1531" i="1"/>
  <c r="AD1531" i="1"/>
  <c r="AB1531" i="1"/>
  <c r="J1531" i="1"/>
  <c r="H1531" i="1"/>
  <c r="AH1530" i="1"/>
  <c r="AD1530" i="1"/>
  <c r="AB1530" i="1"/>
  <c r="AF1530" i="1" s="1"/>
  <c r="K1530" i="1"/>
  <c r="J1530" i="1"/>
  <c r="H1530" i="1"/>
  <c r="AH1529" i="1"/>
  <c r="AF1529" i="1"/>
  <c r="AD1529" i="1"/>
  <c r="AB1529" i="1"/>
  <c r="J1529" i="1"/>
  <c r="H1529" i="1"/>
  <c r="AH1528" i="1"/>
  <c r="AF1528" i="1"/>
  <c r="AD1528" i="1"/>
  <c r="AE1528" i="1" s="1"/>
  <c r="AB1528" i="1"/>
  <c r="J1528" i="1"/>
  <c r="H1528" i="1"/>
  <c r="AH1527" i="1"/>
  <c r="AF1527" i="1"/>
  <c r="AD1527" i="1"/>
  <c r="AE1527" i="1" s="1"/>
  <c r="AB1527" i="1"/>
  <c r="K1527" i="1"/>
  <c r="J1527" i="1"/>
  <c r="H1527" i="1"/>
  <c r="AH1526" i="1"/>
  <c r="AD1526" i="1"/>
  <c r="K1526" i="1" s="1"/>
  <c r="AB1526" i="1"/>
  <c r="AF1526" i="1" s="1"/>
  <c r="J1526" i="1"/>
  <c r="H1526" i="1"/>
  <c r="AH1525" i="1"/>
  <c r="AF1525" i="1"/>
  <c r="AD1525" i="1"/>
  <c r="AE1525" i="1" s="1"/>
  <c r="AB1525" i="1"/>
  <c r="J1525" i="1"/>
  <c r="H1525" i="1"/>
  <c r="AH1524" i="1"/>
  <c r="AF1524" i="1"/>
  <c r="AD1524" i="1"/>
  <c r="AB1524" i="1"/>
  <c r="J1524" i="1"/>
  <c r="H1524" i="1"/>
  <c r="AH1523" i="1"/>
  <c r="AF1523" i="1"/>
  <c r="AD1523" i="1"/>
  <c r="AB1523" i="1"/>
  <c r="J1523" i="1"/>
  <c r="H1523" i="1"/>
  <c r="AH1522" i="1"/>
  <c r="AF1522" i="1"/>
  <c r="AD1522" i="1"/>
  <c r="AE1522" i="1" s="1"/>
  <c r="AB1522" i="1"/>
  <c r="K1522" i="1"/>
  <c r="J1522" i="1"/>
  <c r="H1522" i="1"/>
  <c r="AH1521" i="1"/>
  <c r="AF1521" i="1"/>
  <c r="AD1521" i="1"/>
  <c r="AB1521" i="1"/>
  <c r="J1521" i="1"/>
  <c r="H1521" i="1"/>
  <c r="AH1520" i="1"/>
  <c r="AD1520" i="1"/>
  <c r="AB1520" i="1"/>
  <c r="AF1520" i="1" s="1"/>
  <c r="K1520" i="1"/>
  <c r="J1520" i="1"/>
  <c r="H1520" i="1"/>
  <c r="AH1519" i="1"/>
  <c r="AF1519" i="1"/>
  <c r="AD1519" i="1"/>
  <c r="AB1519" i="1"/>
  <c r="J1519" i="1"/>
  <c r="H1519" i="1"/>
  <c r="AH1518" i="1"/>
  <c r="AF1518" i="1"/>
  <c r="AD1518" i="1"/>
  <c r="AB1518" i="1"/>
  <c r="J1518" i="1"/>
  <c r="H1518" i="1"/>
  <c r="AH1517" i="1"/>
  <c r="AF1517" i="1"/>
  <c r="AD1517" i="1"/>
  <c r="AB1517" i="1"/>
  <c r="J1517" i="1"/>
  <c r="H1517" i="1"/>
  <c r="AH1516" i="1"/>
  <c r="AE1516" i="1"/>
  <c r="AD1516" i="1"/>
  <c r="K1516" i="1" s="1"/>
  <c r="AB1516" i="1"/>
  <c r="AF1516" i="1" s="1"/>
  <c r="J1516" i="1"/>
  <c r="H1516" i="1"/>
  <c r="AH1515" i="1"/>
  <c r="AD1515" i="1"/>
  <c r="K1515" i="1" s="1"/>
  <c r="AB1515" i="1"/>
  <c r="AF1515" i="1" s="1"/>
  <c r="J1515" i="1"/>
  <c r="H1515" i="1"/>
  <c r="AE1515" i="1" s="1"/>
  <c r="AH1514" i="1"/>
  <c r="AF1514" i="1"/>
  <c r="AE1514" i="1"/>
  <c r="AD1514" i="1"/>
  <c r="K1514" i="1" s="1"/>
  <c r="AB1514" i="1"/>
  <c r="J1514" i="1"/>
  <c r="H1514" i="1"/>
  <c r="AH1513" i="1"/>
  <c r="AF1513" i="1"/>
  <c r="AD1513" i="1"/>
  <c r="AB1513" i="1"/>
  <c r="J1513" i="1"/>
  <c r="H1513" i="1"/>
  <c r="AH1512" i="1"/>
  <c r="AD1512" i="1"/>
  <c r="K1512" i="1" s="1"/>
  <c r="AB1512" i="1"/>
  <c r="AF1512" i="1" s="1"/>
  <c r="J1512" i="1"/>
  <c r="H1512" i="1"/>
  <c r="AH1511" i="1"/>
  <c r="AD1511" i="1"/>
  <c r="K1511" i="1" s="1"/>
  <c r="AB1511" i="1"/>
  <c r="AF1511" i="1" s="1"/>
  <c r="J1511" i="1"/>
  <c r="H1511" i="1"/>
  <c r="AH1510" i="1"/>
  <c r="AF1510" i="1"/>
  <c r="AD1510" i="1"/>
  <c r="AE1510" i="1" s="1"/>
  <c r="AB1510" i="1"/>
  <c r="J1510" i="1"/>
  <c r="H1510" i="1"/>
  <c r="AH1509" i="1"/>
  <c r="AF1509" i="1"/>
  <c r="AD1509" i="1"/>
  <c r="K1509" i="1" s="1"/>
  <c r="AB1509" i="1"/>
  <c r="J1509" i="1"/>
  <c r="H1509" i="1"/>
  <c r="AH1508" i="1"/>
  <c r="AF1508" i="1"/>
  <c r="AD1508" i="1"/>
  <c r="AE1508" i="1" s="1"/>
  <c r="AB1508" i="1"/>
  <c r="J1508" i="1"/>
  <c r="H1508" i="1"/>
  <c r="AH1507" i="1"/>
  <c r="AF1507" i="1"/>
  <c r="AD1507" i="1"/>
  <c r="K1507" i="1" s="1"/>
  <c r="AB1507" i="1"/>
  <c r="J1507" i="1"/>
  <c r="H1507" i="1"/>
  <c r="AH1506" i="1"/>
  <c r="AF1506" i="1"/>
  <c r="AD1506" i="1"/>
  <c r="AE1506" i="1" s="1"/>
  <c r="AB1506" i="1"/>
  <c r="K1506" i="1"/>
  <c r="J1506" i="1"/>
  <c r="H1506" i="1"/>
  <c r="AH1505" i="1"/>
  <c r="AF1505" i="1"/>
  <c r="AD1505" i="1"/>
  <c r="K1505" i="1" s="1"/>
  <c r="AB1505" i="1"/>
  <c r="J1505" i="1"/>
  <c r="H1505" i="1"/>
  <c r="AH1504" i="1"/>
  <c r="AD1504" i="1"/>
  <c r="K1504" i="1" s="1"/>
  <c r="AB1504" i="1"/>
  <c r="AF1504" i="1" s="1"/>
  <c r="J1504" i="1"/>
  <c r="H1504" i="1"/>
  <c r="AH1503" i="1"/>
  <c r="AD1503" i="1"/>
  <c r="K1503" i="1" s="1"/>
  <c r="AB1503" i="1"/>
  <c r="AF1503" i="1" s="1"/>
  <c r="J1503" i="1"/>
  <c r="H1503" i="1"/>
  <c r="AH1502" i="1"/>
  <c r="AF1502" i="1"/>
  <c r="AE1502" i="1"/>
  <c r="AD1502" i="1"/>
  <c r="K1502" i="1" s="1"/>
  <c r="AB1502" i="1"/>
  <c r="J1502" i="1"/>
  <c r="H1502" i="1"/>
  <c r="AH1501" i="1"/>
  <c r="AD1501" i="1"/>
  <c r="K1501" i="1" s="1"/>
  <c r="AB1501" i="1"/>
  <c r="AF1501" i="1" s="1"/>
  <c r="J1501" i="1"/>
  <c r="H1501" i="1"/>
  <c r="AH1500" i="1"/>
  <c r="AD1500" i="1"/>
  <c r="K1500" i="1" s="1"/>
  <c r="AB1500" i="1"/>
  <c r="AF1500" i="1" s="1"/>
  <c r="J1500" i="1"/>
  <c r="H1500" i="1"/>
  <c r="AH1499" i="1"/>
  <c r="AF1499" i="1"/>
  <c r="AD1499" i="1"/>
  <c r="AE1499" i="1" s="1"/>
  <c r="AB1499" i="1"/>
  <c r="K1499" i="1"/>
  <c r="J1499" i="1"/>
  <c r="H1499" i="1"/>
  <c r="AH1498" i="1"/>
  <c r="AF1498" i="1"/>
  <c r="AD1498" i="1"/>
  <c r="K1498" i="1" s="1"/>
  <c r="AB1498" i="1"/>
  <c r="J1498" i="1"/>
  <c r="H1498" i="1"/>
  <c r="AH1497" i="1"/>
  <c r="AD1497" i="1"/>
  <c r="K1497" i="1" s="1"/>
  <c r="AB1497" i="1"/>
  <c r="AF1497" i="1" s="1"/>
  <c r="J1497" i="1"/>
  <c r="H1497" i="1"/>
  <c r="AH1496" i="1"/>
  <c r="AF1496" i="1"/>
  <c r="AD1496" i="1"/>
  <c r="AE1496" i="1" s="1"/>
  <c r="AB1496" i="1"/>
  <c r="J1496" i="1"/>
  <c r="H1496" i="1"/>
  <c r="AH1495" i="1"/>
  <c r="AD1495" i="1"/>
  <c r="K1495" i="1" s="1"/>
  <c r="AB1495" i="1"/>
  <c r="AF1495" i="1" s="1"/>
  <c r="J1495" i="1"/>
  <c r="H1495" i="1"/>
  <c r="AH1494" i="1"/>
  <c r="AF1494" i="1"/>
  <c r="AD1494" i="1"/>
  <c r="K1494" i="1" s="1"/>
  <c r="AB1494" i="1"/>
  <c r="J1494" i="1"/>
  <c r="H1494" i="1"/>
  <c r="AH1493" i="1"/>
  <c r="AF1493" i="1"/>
  <c r="AD1493" i="1"/>
  <c r="AB1493" i="1"/>
  <c r="J1493" i="1"/>
  <c r="H1493" i="1"/>
  <c r="AH1492" i="1"/>
  <c r="AF1492" i="1"/>
  <c r="AD1492" i="1"/>
  <c r="AB1492" i="1"/>
  <c r="J1492" i="1"/>
  <c r="H1492" i="1"/>
  <c r="AH1491" i="1"/>
  <c r="AF1491" i="1"/>
  <c r="AD1491" i="1"/>
  <c r="K1491" i="1" s="1"/>
  <c r="AB1491" i="1"/>
  <c r="J1491" i="1"/>
  <c r="H1491" i="1"/>
  <c r="AH1490" i="1"/>
  <c r="AD1490" i="1"/>
  <c r="K1490" i="1" s="1"/>
  <c r="AB1490" i="1"/>
  <c r="AF1490" i="1" s="1"/>
  <c r="J1490" i="1"/>
  <c r="H1490" i="1"/>
  <c r="AH1489" i="1"/>
  <c r="AF1489" i="1"/>
  <c r="AD1489" i="1"/>
  <c r="AB1489" i="1"/>
  <c r="J1489" i="1"/>
  <c r="H1489" i="1"/>
  <c r="AH1488" i="1"/>
  <c r="AF1488" i="1"/>
  <c r="AD1488" i="1"/>
  <c r="K1488" i="1" s="1"/>
  <c r="AB1488" i="1"/>
  <c r="J1488" i="1"/>
  <c r="H1488" i="1"/>
  <c r="AH1487" i="1"/>
  <c r="AF1487" i="1"/>
  <c r="AD1487" i="1"/>
  <c r="K1487" i="1" s="1"/>
  <c r="AB1487" i="1"/>
  <c r="J1487" i="1"/>
  <c r="H1487" i="1"/>
  <c r="AH1486" i="1"/>
  <c r="AD1486" i="1"/>
  <c r="K1486" i="1" s="1"/>
  <c r="AB1486" i="1"/>
  <c r="AF1486" i="1" s="1"/>
  <c r="J1486" i="1"/>
  <c r="H1486" i="1"/>
  <c r="AH1485" i="1"/>
  <c r="AD1485" i="1"/>
  <c r="K1485" i="1" s="1"/>
  <c r="AB1485" i="1"/>
  <c r="AF1485" i="1" s="1"/>
  <c r="J1485" i="1"/>
  <c r="H1485" i="1"/>
  <c r="AE1485" i="1" s="1"/>
  <c r="AH1484" i="1"/>
  <c r="AF1484" i="1"/>
  <c r="AD1484" i="1"/>
  <c r="AE1484" i="1" s="1"/>
  <c r="AB1484" i="1"/>
  <c r="J1484" i="1"/>
  <c r="H1484" i="1"/>
  <c r="AH1483" i="1"/>
  <c r="AF1483" i="1"/>
  <c r="AD1483" i="1"/>
  <c r="AE1483" i="1" s="1"/>
  <c r="AB1483" i="1"/>
  <c r="J1483" i="1"/>
  <c r="H1483" i="1"/>
  <c r="AH1482" i="1"/>
  <c r="AD1482" i="1"/>
  <c r="K1482" i="1" s="1"/>
  <c r="AB1482" i="1"/>
  <c r="AF1482" i="1" s="1"/>
  <c r="J1482" i="1"/>
  <c r="H1482" i="1"/>
  <c r="AH1481" i="1"/>
  <c r="AD1481" i="1"/>
  <c r="K1481" i="1" s="1"/>
  <c r="AB1481" i="1"/>
  <c r="AF1481" i="1" s="1"/>
  <c r="J1481" i="1"/>
  <c r="H1481" i="1"/>
  <c r="AH1480" i="1"/>
  <c r="AF1480" i="1"/>
  <c r="AD1480" i="1"/>
  <c r="AB1480" i="1"/>
  <c r="J1480" i="1"/>
  <c r="H1480" i="1"/>
  <c r="AH1479" i="1"/>
  <c r="AF1479" i="1"/>
  <c r="AD1479" i="1"/>
  <c r="AE1479" i="1" s="1"/>
  <c r="AB1479" i="1"/>
  <c r="J1479" i="1"/>
  <c r="H1479" i="1"/>
  <c r="AH1478" i="1"/>
  <c r="AF1478" i="1"/>
  <c r="AE1478" i="1"/>
  <c r="AD1478" i="1"/>
  <c r="K1478" i="1" s="1"/>
  <c r="AB1478" i="1"/>
  <c r="J1478" i="1"/>
  <c r="H1478" i="1"/>
  <c r="AH1477" i="1"/>
  <c r="AF1477" i="1"/>
  <c r="AD1477" i="1"/>
  <c r="AE1477" i="1" s="1"/>
  <c r="AB1477" i="1"/>
  <c r="J1477" i="1"/>
  <c r="H1477" i="1"/>
  <c r="AH1476" i="1"/>
  <c r="AF1476" i="1"/>
  <c r="AD1476" i="1"/>
  <c r="K1476" i="1" s="1"/>
  <c r="AB1476" i="1"/>
  <c r="J1476" i="1"/>
  <c r="H1476" i="1"/>
  <c r="AH1475" i="1"/>
  <c r="AD1475" i="1"/>
  <c r="K1475" i="1" s="1"/>
  <c r="AB1475" i="1"/>
  <c r="AF1475" i="1" s="1"/>
  <c r="J1475" i="1"/>
  <c r="H1475" i="1"/>
  <c r="AH1474" i="1"/>
  <c r="AF1474" i="1"/>
  <c r="AD1474" i="1"/>
  <c r="AB1474" i="1"/>
  <c r="J1474" i="1"/>
  <c r="H1474" i="1"/>
  <c r="AH1473" i="1"/>
  <c r="AF1473" i="1"/>
  <c r="AD1473" i="1"/>
  <c r="AE1473" i="1" s="1"/>
  <c r="AB1473" i="1"/>
  <c r="J1473" i="1"/>
  <c r="H1473" i="1"/>
  <c r="AH1472" i="1"/>
  <c r="AD1472" i="1"/>
  <c r="K1472" i="1" s="1"/>
  <c r="AB1472" i="1"/>
  <c r="AF1472" i="1" s="1"/>
  <c r="J1472" i="1"/>
  <c r="H1472" i="1"/>
  <c r="AH1471" i="1"/>
  <c r="AD1471" i="1"/>
  <c r="K1471" i="1" s="1"/>
  <c r="AB1471" i="1"/>
  <c r="AF1471" i="1" s="1"/>
  <c r="J1471" i="1"/>
  <c r="H1471" i="1"/>
  <c r="AE1471" i="1" s="1"/>
  <c r="AH1470" i="1"/>
  <c r="AD1470" i="1"/>
  <c r="K1470" i="1" s="1"/>
  <c r="AB1470" i="1"/>
  <c r="AF1470" i="1" s="1"/>
  <c r="J1470" i="1"/>
  <c r="H1470" i="1"/>
  <c r="AH1469" i="1"/>
  <c r="AF1469" i="1"/>
  <c r="AD1469" i="1"/>
  <c r="AB1469" i="1"/>
  <c r="J1469" i="1"/>
  <c r="H1469" i="1"/>
  <c r="AH1468" i="1"/>
  <c r="AF1468" i="1"/>
  <c r="AD1468" i="1"/>
  <c r="AB1468" i="1"/>
  <c r="J1468" i="1"/>
  <c r="H1468" i="1"/>
  <c r="AH1467" i="1"/>
  <c r="AF1467" i="1"/>
  <c r="AD1467" i="1"/>
  <c r="K1467" i="1" s="1"/>
  <c r="AB1467" i="1"/>
  <c r="J1467" i="1"/>
  <c r="H1467" i="1"/>
  <c r="AH1466" i="1"/>
  <c r="AD1466" i="1"/>
  <c r="AB1466" i="1"/>
  <c r="AF1466" i="1" s="1"/>
  <c r="K1466" i="1"/>
  <c r="J1466" i="1"/>
  <c r="H1466" i="1"/>
  <c r="AE1466" i="1" s="1"/>
  <c r="AH1465" i="1"/>
  <c r="AD1465" i="1"/>
  <c r="AE1465" i="1" s="1"/>
  <c r="AB1465" i="1"/>
  <c r="AF1465" i="1" s="1"/>
  <c r="J1465" i="1"/>
  <c r="H1465" i="1"/>
  <c r="AH1464" i="1"/>
  <c r="AF1464" i="1"/>
  <c r="AD1464" i="1"/>
  <c r="AB1464" i="1"/>
  <c r="J1464" i="1"/>
  <c r="H1464" i="1"/>
  <c r="AH1463" i="1"/>
  <c r="AD1463" i="1"/>
  <c r="K1463" i="1" s="1"/>
  <c r="AB1463" i="1"/>
  <c r="AF1463" i="1" s="1"/>
  <c r="J1463" i="1"/>
  <c r="H1463" i="1"/>
  <c r="AH1462" i="1"/>
  <c r="AF1462" i="1"/>
  <c r="AD1462" i="1"/>
  <c r="AE1462" i="1" s="1"/>
  <c r="AB1462" i="1"/>
  <c r="K1462" i="1"/>
  <c r="J1462" i="1"/>
  <c r="H1462" i="1"/>
  <c r="AH1461" i="1"/>
  <c r="AF1461" i="1"/>
  <c r="AD1461" i="1"/>
  <c r="AB1461" i="1"/>
  <c r="J1461" i="1"/>
  <c r="H1461" i="1"/>
  <c r="AH1460" i="1"/>
  <c r="AF1460" i="1"/>
  <c r="AD1460" i="1"/>
  <c r="AE1460" i="1" s="1"/>
  <c r="AB1460" i="1"/>
  <c r="J1460" i="1"/>
  <c r="H1460" i="1"/>
  <c r="AH1459" i="1"/>
  <c r="AF1459" i="1"/>
  <c r="AD1459" i="1"/>
  <c r="AB1459" i="1"/>
  <c r="J1459" i="1"/>
  <c r="H1459" i="1"/>
  <c r="AH1458" i="1"/>
  <c r="AF1458" i="1"/>
  <c r="AD1458" i="1"/>
  <c r="K1458" i="1" s="1"/>
  <c r="AB1458" i="1"/>
  <c r="J1458" i="1"/>
  <c r="H1458" i="1"/>
  <c r="AH1457" i="1"/>
  <c r="AD1457" i="1"/>
  <c r="AB1457" i="1"/>
  <c r="AF1457" i="1" s="1"/>
  <c r="K1457" i="1"/>
  <c r="J1457" i="1"/>
  <c r="H1457" i="1"/>
  <c r="AH1456" i="1"/>
  <c r="AF1456" i="1"/>
  <c r="AD1456" i="1"/>
  <c r="AB1456" i="1"/>
  <c r="J1456" i="1"/>
  <c r="H1456" i="1"/>
  <c r="AH1455" i="1"/>
  <c r="AD1455" i="1"/>
  <c r="AB1455" i="1"/>
  <c r="AF1455" i="1" s="1"/>
  <c r="K1455" i="1"/>
  <c r="J1455" i="1"/>
  <c r="H1455" i="1"/>
  <c r="AE1455" i="1" s="1"/>
  <c r="AH1454" i="1"/>
  <c r="AD1454" i="1"/>
  <c r="AB1454" i="1"/>
  <c r="AF1454" i="1" s="1"/>
  <c r="K1454" i="1"/>
  <c r="J1454" i="1"/>
  <c r="H1454" i="1"/>
  <c r="AH1453" i="1"/>
  <c r="AF1453" i="1"/>
  <c r="AD1453" i="1"/>
  <c r="AE1453" i="1" s="1"/>
  <c r="AB1453" i="1"/>
  <c r="J1453" i="1"/>
  <c r="H1453" i="1"/>
  <c r="AH1452" i="1"/>
  <c r="AD1452" i="1"/>
  <c r="K1452" i="1" s="1"/>
  <c r="AB1452" i="1"/>
  <c r="AF1452" i="1" s="1"/>
  <c r="J1452" i="1"/>
  <c r="H1452" i="1"/>
  <c r="AE1452" i="1" s="1"/>
  <c r="AH1451" i="1"/>
  <c r="AD1451" i="1"/>
  <c r="AE1451" i="1" s="1"/>
  <c r="AB1451" i="1"/>
  <c r="AF1451" i="1" s="1"/>
  <c r="J1451" i="1"/>
  <c r="H1451" i="1"/>
  <c r="AH1450" i="1"/>
  <c r="AF1450" i="1"/>
  <c r="AD1450" i="1"/>
  <c r="K1450" i="1" s="1"/>
  <c r="AB1450" i="1"/>
  <c r="J1450" i="1"/>
  <c r="H1450" i="1"/>
  <c r="AH1449" i="1"/>
  <c r="AD1449" i="1"/>
  <c r="AB1449" i="1"/>
  <c r="AF1449" i="1" s="1"/>
  <c r="J1449" i="1"/>
  <c r="H1449" i="1"/>
  <c r="AH1448" i="1"/>
  <c r="AF1448" i="1"/>
  <c r="AD1448" i="1"/>
  <c r="AB1448" i="1"/>
  <c r="J1448" i="1"/>
  <c r="H1448" i="1"/>
  <c r="AH1447" i="1"/>
  <c r="AF1447" i="1"/>
  <c r="AD1447" i="1"/>
  <c r="AE1447" i="1" s="1"/>
  <c r="AB1447" i="1"/>
  <c r="K1447" i="1"/>
  <c r="J1447" i="1"/>
  <c r="H1447" i="1"/>
  <c r="AH1446" i="1"/>
  <c r="AD1446" i="1"/>
  <c r="K1446" i="1" s="1"/>
  <c r="AB1446" i="1"/>
  <c r="AF1446" i="1" s="1"/>
  <c r="J1446" i="1"/>
  <c r="H1446" i="1"/>
  <c r="AH1445" i="1"/>
  <c r="AF1445" i="1"/>
  <c r="AD1445" i="1"/>
  <c r="AB1445" i="1"/>
  <c r="J1445" i="1"/>
  <c r="H1445" i="1"/>
  <c r="AH1444" i="1"/>
  <c r="AF1444" i="1"/>
  <c r="AD1444" i="1"/>
  <c r="K1444" i="1" s="1"/>
  <c r="AB1444" i="1"/>
  <c r="J1444" i="1"/>
  <c r="H1444" i="1"/>
  <c r="AH1443" i="1"/>
  <c r="AD1443" i="1"/>
  <c r="AB1443" i="1"/>
  <c r="AF1443" i="1" s="1"/>
  <c r="K1443" i="1"/>
  <c r="J1443" i="1"/>
  <c r="H1443" i="1"/>
  <c r="AH1442" i="1"/>
  <c r="AF1442" i="1"/>
  <c r="AD1442" i="1"/>
  <c r="K1442" i="1" s="1"/>
  <c r="AB1442" i="1"/>
  <c r="J1442" i="1"/>
  <c r="H1442" i="1"/>
  <c r="AH1441" i="1"/>
  <c r="AF1441" i="1"/>
  <c r="AD1441" i="1"/>
  <c r="AB1441" i="1"/>
  <c r="J1441" i="1"/>
  <c r="H1441" i="1"/>
  <c r="AH1440" i="1"/>
  <c r="AD1440" i="1"/>
  <c r="AB1440" i="1"/>
  <c r="AF1440" i="1" s="1"/>
  <c r="K1440" i="1"/>
  <c r="J1440" i="1"/>
  <c r="H1440" i="1"/>
  <c r="AE1440" i="1" s="1"/>
  <c r="AH1439" i="1"/>
  <c r="AD1439" i="1"/>
  <c r="K1439" i="1" s="1"/>
  <c r="AB1439" i="1"/>
  <c r="AF1439" i="1" s="1"/>
  <c r="J1439" i="1"/>
  <c r="H1439" i="1"/>
  <c r="AH1438" i="1"/>
  <c r="AD1438" i="1"/>
  <c r="K1438" i="1" s="1"/>
  <c r="AB1438" i="1"/>
  <c r="AF1438" i="1" s="1"/>
  <c r="J1438" i="1"/>
  <c r="H1438" i="1"/>
  <c r="AE1438" i="1" s="1"/>
  <c r="AH1437" i="1"/>
  <c r="AD1437" i="1"/>
  <c r="AE1437" i="1" s="1"/>
  <c r="AB1437" i="1"/>
  <c r="AF1437" i="1" s="1"/>
  <c r="K1437" i="1"/>
  <c r="J1437" i="1"/>
  <c r="H1437" i="1"/>
  <c r="AH1436" i="1"/>
  <c r="AD1436" i="1"/>
  <c r="K1436" i="1" s="1"/>
  <c r="AB1436" i="1"/>
  <c r="AF1436" i="1" s="1"/>
  <c r="J1436" i="1"/>
  <c r="H1436" i="1"/>
  <c r="AH1435" i="1"/>
  <c r="AD1435" i="1"/>
  <c r="AB1435" i="1"/>
  <c r="AF1435" i="1" s="1"/>
  <c r="J1435" i="1"/>
  <c r="H1435" i="1"/>
  <c r="AH1434" i="1"/>
  <c r="AF1434" i="1"/>
  <c r="AD1434" i="1"/>
  <c r="AB1434" i="1"/>
  <c r="J1434" i="1"/>
  <c r="H1434" i="1"/>
  <c r="AH1433" i="1"/>
  <c r="AF1433" i="1"/>
  <c r="AD1433" i="1"/>
  <c r="AB1433" i="1"/>
  <c r="J1433" i="1"/>
  <c r="H1433" i="1"/>
  <c r="AH1432" i="1"/>
  <c r="AD1432" i="1"/>
  <c r="K1432" i="1" s="1"/>
  <c r="AB1432" i="1"/>
  <c r="AF1432" i="1" s="1"/>
  <c r="J1432" i="1"/>
  <c r="H1432" i="1"/>
  <c r="AH1431" i="1"/>
  <c r="AF1431" i="1"/>
  <c r="AD1431" i="1"/>
  <c r="AB1431" i="1"/>
  <c r="J1431" i="1"/>
  <c r="H1431" i="1"/>
  <c r="AH1430" i="1"/>
  <c r="AF1430" i="1"/>
  <c r="AD1430" i="1"/>
  <c r="AB1430" i="1"/>
  <c r="J1430" i="1"/>
  <c r="H1430" i="1"/>
  <c r="AH1429" i="1"/>
  <c r="AF1429" i="1"/>
  <c r="AD1429" i="1"/>
  <c r="AE1429" i="1" s="1"/>
  <c r="AB1429" i="1"/>
  <c r="K1429" i="1"/>
  <c r="J1429" i="1"/>
  <c r="H1429" i="1"/>
  <c r="AH1428" i="1"/>
  <c r="AF1428" i="1"/>
  <c r="AD1428" i="1"/>
  <c r="AB1428" i="1"/>
  <c r="J1428" i="1"/>
  <c r="H1428" i="1"/>
  <c r="AH1427" i="1"/>
  <c r="AF1427" i="1"/>
  <c r="AD1427" i="1"/>
  <c r="AE1427" i="1" s="1"/>
  <c r="AB1427" i="1"/>
  <c r="J1427" i="1"/>
  <c r="H1427" i="1"/>
  <c r="AH1426" i="1"/>
  <c r="AF1426" i="1"/>
  <c r="AE1426" i="1"/>
  <c r="AD1426" i="1"/>
  <c r="K1426" i="1" s="1"/>
  <c r="AB1426" i="1"/>
  <c r="J1426" i="1"/>
  <c r="H1426" i="1"/>
  <c r="AH1425" i="1"/>
  <c r="AF1425" i="1"/>
  <c r="AD1425" i="1"/>
  <c r="AE1425" i="1" s="1"/>
  <c r="AB1425" i="1"/>
  <c r="J1425" i="1"/>
  <c r="H1425" i="1"/>
  <c r="AH1424" i="1"/>
  <c r="AF1424" i="1"/>
  <c r="AD1424" i="1"/>
  <c r="AB1424" i="1"/>
  <c r="J1424" i="1"/>
  <c r="H1424" i="1"/>
  <c r="AH1423" i="1"/>
  <c r="AF1423" i="1"/>
  <c r="AD1423" i="1"/>
  <c r="K1423" i="1" s="1"/>
  <c r="AB1423" i="1"/>
  <c r="J1423" i="1"/>
  <c r="H1423" i="1"/>
  <c r="AH1422" i="1"/>
  <c r="AF1422" i="1"/>
  <c r="AE1422" i="1"/>
  <c r="AD1422" i="1"/>
  <c r="K1422" i="1" s="1"/>
  <c r="AB1422" i="1"/>
  <c r="J1422" i="1"/>
  <c r="H1422" i="1"/>
  <c r="AH1421" i="1"/>
  <c r="AD1421" i="1"/>
  <c r="K1421" i="1" s="1"/>
  <c r="AB1421" i="1"/>
  <c r="AF1421" i="1" s="1"/>
  <c r="J1421" i="1"/>
  <c r="H1421" i="1"/>
  <c r="AH1420" i="1"/>
  <c r="AD1420" i="1"/>
  <c r="K1420" i="1" s="1"/>
  <c r="AB1420" i="1"/>
  <c r="AF1420" i="1" s="1"/>
  <c r="J1420" i="1"/>
  <c r="H1420" i="1"/>
  <c r="AH1419" i="1"/>
  <c r="AF1419" i="1"/>
  <c r="AD1419" i="1"/>
  <c r="AB1419" i="1"/>
  <c r="J1419" i="1"/>
  <c r="H1419" i="1"/>
  <c r="AH1418" i="1"/>
  <c r="AD1418" i="1"/>
  <c r="K1418" i="1" s="1"/>
  <c r="AB1418" i="1"/>
  <c r="AF1418" i="1" s="1"/>
  <c r="J1418" i="1"/>
  <c r="H1418" i="1"/>
  <c r="AH1417" i="1"/>
  <c r="AD1417" i="1"/>
  <c r="AB1417" i="1"/>
  <c r="AF1417" i="1" s="1"/>
  <c r="K1417" i="1"/>
  <c r="J1417" i="1"/>
  <c r="H1417" i="1"/>
  <c r="AE1417" i="1" s="1"/>
  <c r="AH1416" i="1"/>
  <c r="AF1416" i="1"/>
  <c r="AD1416" i="1"/>
  <c r="AB1416" i="1"/>
  <c r="J1416" i="1"/>
  <c r="H1416" i="1"/>
  <c r="AH1415" i="1"/>
  <c r="AF1415" i="1"/>
  <c r="AD1415" i="1"/>
  <c r="AB1415" i="1"/>
  <c r="J1415" i="1"/>
  <c r="H1415" i="1"/>
  <c r="AH1414" i="1"/>
  <c r="AF1414" i="1"/>
  <c r="AD1414" i="1"/>
  <c r="K1414" i="1" s="1"/>
  <c r="AB1414" i="1"/>
  <c r="J1414" i="1"/>
  <c r="H1414" i="1"/>
  <c r="AH1413" i="1"/>
  <c r="AF1413" i="1"/>
  <c r="AD1413" i="1"/>
  <c r="AB1413" i="1"/>
  <c r="J1413" i="1"/>
  <c r="H1413" i="1"/>
  <c r="AH1412" i="1"/>
  <c r="AD1412" i="1"/>
  <c r="K1412" i="1" s="1"/>
  <c r="AB1412" i="1"/>
  <c r="AF1412" i="1" s="1"/>
  <c r="J1412" i="1"/>
  <c r="H1412" i="1"/>
  <c r="AE1412" i="1" s="1"/>
  <c r="AH1411" i="1"/>
  <c r="AF1411" i="1"/>
  <c r="AD1411" i="1"/>
  <c r="K1411" i="1" s="1"/>
  <c r="AB1411" i="1"/>
  <c r="J1411" i="1"/>
  <c r="H1411" i="1"/>
  <c r="AE1411" i="1" s="1"/>
  <c r="AH1410" i="1"/>
  <c r="AF1410" i="1"/>
  <c r="AE1410" i="1"/>
  <c r="AD1410" i="1"/>
  <c r="K1410" i="1" s="1"/>
  <c r="AB1410" i="1"/>
  <c r="J1410" i="1"/>
  <c r="H1410" i="1"/>
  <c r="AH1409" i="1"/>
  <c r="AF1409" i="1"/>
  <c r="AD1409" i="1"/>
  <c r="AB1409" i="1"/>
  <c r="J1409" i="1"/>
  <c r="H1409" i="1"/>
  <c r="AH1408" i="1"/>
  <c r="AF1408" i="1"/>
  <c r="AD1408" i="1"/>
  <c r="AE1408" i="1" s="1"/>
  <c r="AB1408" i="1"/>
  <c r="K1408" i="1"/>
  <c r="J1408" i="1"/>
  <c r="H1408" i="1"/>
  <c r="AH1407" i="1"/>
  <c r="AD1407" i="1"/>
  <c r="AB1407" i="1"/>
  <c r="AF1407" i="1" s="1"/>
  <c r="J1407" i="1"/>
  <c r="H1407" i="1"/>
  <c r="AH1406" i="1"/>
  <c r="AD1406" i="1"/>
  <c r="AB1406" i="1"/>
  <c r="AF1406" i="1" s="1"/>
  <c r="K1406" i="1"/>
  <c r="J1406" i="1"/>
  <c r="H1406" i="1"/>
  <c r="AH1405" i="1"/>
  <c r="AF1405" i="1"/>
  <c r="AD1405" i="1"/>
  <c r="K1405" i="1" s="1"/>
  <c r="AB1405" i="1"/>
  <c r="J1405" i="1"/>
  <c r="H1405" i="1"/>
  <c r="AH1404" i="1"/>
  <c r="AD1404" i="1"/>
  <c r="K1404" i="1" s="1"/>
  <c r="AB1404" i="1"/>
  <c r="AF1404" i="1" s="1"/>
  <c r="J1404" i="1"/>
  <c r="H1404" i="1"/>
  <c r="AH1403" i="1"/>
  <c r="AF1403" i="1"/>
  <c r="AD1403" i="1"/>
  <c r="AB1403" i="1"/>
  <c r="J1403" i="1"/>
  <c r="H1403" i="1"/>
  <c r="AH1402" i="1"/>
  <c r="AD1402" i="1"/>
  <c r="K1402" i="1" s="1"/>
  <c r="AB1402" i="1"/>
  <c r="AF1402" i="1" s="1"/>
  <c r="J1402" i="1"/>
  <c r="H1402" i="1"/>
  <c r="AH1401" i="1"/>
  <c r="AF1401" i="1"/>
  <c r="AD1401" i="1"/>
  <c r="AE1401" i="1" s="1"/>
  <c r="AB1401" i="1"/>
  <c r="K1401" i="1"/>
  <c r="J1401" i="1"/>
  <c r="H1401" i="1"/>
  <c r="AH1400" i="1"/>
  <c r="AF1400" i="1"/>
  <c r="AE1400" i="1"/>
  <c r="AD1400" i="1"/>
  <c r="K1400" i="1" s="1"/>
  <c r="AB1400" i="1"/>
  <c r="J1400" i="1"/>
  <c r="H1400" i="1"/>
  <c r="AH1399" i="1"/>
  <c r="AF1399" i="1"/>
  <c r="AD1399" i="1"/>
  <c r="AB1399" i="1"/>
  <c r="J1399" i="1"/>
  <c r="H1399" i="1"/>
  <c r="AH1398" i="1"/>
  <c r="AD1398" i="1"/>
  <c r="K1398" i="1" s="1"/>
  <c r="AB1398" i="1"/>
  <c r="AF1398" i="1" s="1"/>
  <c r="J1398" i="1"/>
  <c r="H1398" i="1"/>
  <c r="AH1397" i="1"/>
  <c r="AD1397" i="1"/>
  <c r="K1397" i="1" s="1"/>
  <c r="AB1397" i="1"/>
  <c r="AF1397" i="1" s="1"/>
  <c r="J1397" i="1"/>
  <c r="H1397" i="1"/>
  <c r="AH1396" i="1"/>
  <c r="AD1396" i="1"/>
  <c r="K1396" i="1" s="1"/>
  <c r="AB1396" i="1"/>
  <c r="AF1396" i="1" s="1"/>
  <c r="J1396" i="1"/>
  <c r="H1396" i="1"/>
  <c r="AH1395" i="1"/>
  <c r="AF1395" i="1"/>
  <c r="AD1395" i="1"/>
  <c r="AB1395" i="1"/>
  <c r="J1395" i="1"/>
  <c r="H1395" i="1"/>
  <c r="AH1394" i="1"/>
  <c r="AD1394" i="1"/>
  <c r="AB1394" i="1"/>
  <c r="AF1394" i="1" s="1"/>
  <c r="K1394" i="1"/>
  <c r="J1394" i="1"/>
  <c r="H1394" i="1"/>
  <c r="AE1394" i="1" s="1"/>
  <c r="AH1393" i="1"/>
  <c r="AF1393" i="1"/>
  <c r="AD1393" i="1"/>
  <c r="AB1393" i="1"/>
  <c r="J1393" i="1"/>
  <c r="H1393" i="1"/>
  <c r="AH1392" i="1"/>
  <c r="AF1392" i="1"/>
  <c r="AD1392" i="1"/>
  <c r="AE1392" i="1" s="1"/>
  <c r="AB1392" i="1"/>
  <c r="K1392" i="1"/>
  <c r="J1392" i="1"/>
  <c r="H1392" i="1"/>
  <c r="AH1391" i="1"/>
  <c r="AF1391" i="1"/>
  <c r="AD1391" i="1"/>
  <c r="K1391" i="1" s="1"/>
  <c r="AB1391" i="1"/>
  <c r="J1391" i="1"/>
  <c r="H1391" i="1"/>
  <c r="AH1390" i="1"/>
  <c r="AF1390" i="1"/>
  <c r="AD1390" i="1"/>
  <c r="AB1390" i="1"/>
  <c r="J1390" i="1"/>
  <c r="H1390" i="1"/>
  <c r="AH1389" i="1"/>
  <c r="AD1389" i="1"/>
  <c r="K1389" i="1" s="1"/>
  <c r="AB1389" i="1"/>
  <c r="AF1389" i="1" s="1"/>
  <c r="J1389" i="1"/>
  <c r="H1389" i="1"/>
  <c r="AH1388" i="1"/>
  <c r="AF1388" i="1"/>
  <c r="AD1388" i="1"/>
  <c r="K1388" i="1" s="1"/>
  <c r="AB1388" i="1"/>
  <c r="J1388" i="1"/>
  <c r="H1388" i="1"/>
  <c r="AH1387" i="1"/>
  <c r="AD1387" i="1"/>
  <c r="K1387" i="1" s="1"/>
  <c r="AB1387" i="1"/>
  <c r="AF1387" i="1" s="1"/>
  <c r="J1387" i="1"/>
  <c r="H1387" i="1"/>
  <c r="AH1386" i="1"/>
  <c r="AF1386" i="1"/>
  <c r="AE1386" i="1"/>
  <c r="AD1386" i="1"/>
  <c r="K1386" i="1" s="1"/>
  <c r="AB1386" i="1"/>
  <c r="J1386" i="1"/>
  <c r="H1386" i="1"/>
  <c r="AH1385" i="1"/>
  <c r="AF1385" i="1"/>
  <c r="AD1385" i="1"/>
  <c r="AB1385" i="1"/>
  <c r="J1385" i="1"/>
  <c r="H1385" i="1"/>
  <c r="AH1384" i="1"/>
  <c r="AF1384" i="1"/>
  <c r="AD1384" i="1"/>
  <c r="AB1384" i="1"/>
  <c r="J1384" i="1"/>
  <c r="H1384" i="1"/>
  <c r="AH1383" i="1"/>
  <c r="AD1383" i="1"/>
  <c r="K1383" i="1" s="1"/>
  <c r="AB1383" i="1"/>
  <c r="AF1383" i="1" s="1"/>
  <c r="J1383" i="1"/>
  <c r="H1383" i="1"/>
  <c r="AH1382" i="1"/>
  <c r="AD1382" i="1"/>
  <c r="AB1382" i="1"/>
  <c r="AF1382" i="1" s="1"/>
  <c r="J1382" i="1"/>
  <c r="H1382" i="1"/>
  <c r="AH1381" i="1"/>
  <c r="AF1381" i="1"/>
  <c r="AD1381" i="1"/>
  <c r="AE1381" i="1" s="1"/>
  <c r="AB1381" i="1"/>
  <c r="K1381" i="1"/>
  <c r="J1381" i="1"/>
  <c r="H1381" i="1"/>
  <c r="AH1380" i="1"/>
  <c r="AF1380" i="1"/>
  <c r="AD1380" i="1"/>
  <c r="K1380" i="1" s="1"/>
  <c r="AB1380" i="1"/>
  <c r="J1380" i="1"/>
  <c r="H1380" i="1"/>
  <c r="AH1379" i="1"/>
  <c r="AF1379" i="1"/>
  <c r="AD1379" i="1"/>
  <c r="AE1379" i="1" s="1"/>
  <c r="AB1379" i="1"/>
  <c r="J1379" i="1"/>
  <c r="H1379" i="1"/>
  <c r="AH1378" i="1"/>
  <c r="AF1378" i="1"/>
  <c r="AE1378" i="1"/>
  <c r="AD1378" i="1"/>
  <c r="K1378" i="1" s="1"/>
  <c r="AB1378" i="1"/>
  <c r="J1378" i="1"/>
  <c r="H1378" i="1"/>
  <c r="AH1377" i="1"/>
  <c r="AD1377" i="1"/>
  <c r="AB1377" i="1"/>
  <c r="AF1377" i="1" s="1"/>
  <c r="J1377" i="1"/>
  <c r="H1377" i="1"/>
  <c r="AH1376" i="1"/>
  <c r="AF1376" i="1"/>
  <c r="AD1376" i="1"/>
  <c r="AB1376" i="1"/>
  <c r="J1376" i="1"/>
  <c r="H1376" i="1"/>
  <c r="AH1375" i="1"/>
  <c r="AF1375" i="1"/>
  <c r="AE1375" i="1"/>
  <c r="AD1375" i="1"/>
  <c r="K1375" i="1" s="1"/>
  <c r="AB1375" i="1"/>
  <c r="J1375" i="1"/>
  <c r="H1375" i="1"/>
  <c r="AH1374" i="1"/>
  <c r="AF1374" i="1"/>
  <c r="AD1374" i="1"/>
  <c r="AE1374" i="1" s="1"/>
  <c r="AB1374" i="1"/>
  <c r="K1374" i="1"/>
  <c r="J1374" i="1"/>
  <c r="H1374" i="1"/>
  <c r="AH1373" i="1"/>
  <c r="AF1373" i="1"/>
  <c r="AD1373" i="1"/>
  <c r="AB1373" i="1"/>
  <c r="J1373" i="1"/>
  <c r="H1373" i="1"/>
  <c r="AH1372" i="1"/>
  <c r="AF1372" i="1"/>
  <c r="AD1372" i="1"/>
  <c r="K1372" i="1" s="1"/>
  <c r="AB1372" i="1"/>
  <c r="J1372" i="1"/>
  <c r="H1372" i="1"/>
  <c r="AH1371" i="1"/>
  <c r="AD1371" i="1"/>
  <c r="K1371" i="1" s="1"/>
  <c r="AB1371" i="1"/>
  <c r="AF1371" i="1" s="1"/>
  <c r="J1371" i="1"/>
  <c r="H1371" i="1"/>
  <c r="AH1370" i="1"/>
  <c r="AF1370" i="1"/>
  <c r="AD1370" i="1"/>
  <c r="K1370" i="1" s="1"/>
  <c r="AB1370" i="1"/>
  <c r="J1370" i="1"/>
  <c r="H1370" i="1"/>
  <c r="AH1369" i="1"/>
  <c r="AD1369" i="1"/>
  <c r="K1369" i="1" s="1"/>
  <c r="AB1369" i="1"/>
  <c r="AF1369" i="1" s="1"/>
  <c r="J1369" i="1"/>
  <c r="H1369" i="1"/>
  <c r="AH1368" i="1"/>
  <c r="AF1368" i="1"/>
  <c r="AD1368" i="1"/>
  <c r="AB1368" i="1"/>
  <c r="J1368" i="1"/>
  <c r="H1368" i="1"/>
  <c r="AH1367" i="1"/>
  <c r="AD1367" i="1"/>
  <c r="K1367" i="1" s="1"/>
  <c r="AB1367" i="1"/>
  <c r="AF1367" i="1" s="1"/>
  <c r="J1367" i="1"/>
  <c r="H1367" i="1"/>
  <c r="AE1367" i="1" s="1"/>
  <c r="AH1366" i="1"/>
  <c r="AF1366" i="1"/>
  <c r="AD1366" i="1"/>
  <c r="AE1366" i="1" s="1"/>
  <c r="AB1366" i="1"/>
  <c r="J1366" i="1"/>
  <c r="H1366" i="1"/>
  <c r="AH1365" i="1"/>
  <c r="AD1365" i="1"/>
  <c r="AB1365" i="1"/>
  <c r="AF1365" i="1" s="1"/>
  <c r="J1365" i="1"/>
  <c r="H1365" i="1"/>
  <c r="AH1364" i="1"/>
  <c r="AF1364" i="1"/>
  <c r="AD1364" i="1"/>
  <c r="AE1364" i="1" s="1"/>
  <c r="AB1364" i="1"/>
  <c r="J1364" i="1"/>
  <c r="H1364" i="1"/>
  <c r="AH1363" i="1"/>
  <c r="AF1363" i="1"/>
  <c r="AE1363" i="1"/>
  <c r="AD1363" i="1"/>
  <c r="K1363" i="1" s="1"/>
  <c r="AB1363" i="1"/>
  <c r="J1363" i="1"/>
  <c r="H1363" i="1"/>
  <c r="AH1362" i="1"/>
  <c r="AF1362" i="1"/>
  <c r="AD1362" i="1"/>
  <c r="AB1362" i="1"/>
  <c r="J1362" i="1"/>
  <c r="H1362" i="1"/>
  <c r="AH1361" i="1"/>
  <c r="AF1361" i="1"/>
  <c r="AE1361" i="1"/>
  <c r="AD1361" i="1"/>
  <c r="K1361" i="1" s="1"/>
  <c r="AB1361" i="1"/>
  <c r="J1361" i="1"/>
  <c r="H1361" i="1"/>
  <c r="AH1360" i="1"/>
  <c r="AD1360" i="1"/>
  <c r="K1360" i="1" s="1"/>
  <c r="AB1360" i="1"/>
  <c r="AF1360" i="1" s="1"/>
  <c r="J1360" i="1"/>
  <c r="H1360" i="1"/>
  <c r="AH1359" i="1"/>
  <c r="AF1359" i="1"/>
  <c r="AD1359" i="1"/>
  <c r="K1359" i="1" s="1"/>
  <c r="AB1359" i="1"/>
  <c r="J1359" i="1"/>
  <c r="H1359" i="1"/>
  <c r="AH1358" i="1"/>
  <c r="AF1358" i="1"/>
  <c r="AE1358" i="1"/>
  <c r="AD1358" i="1"/>
  <c r="K1358" i="1" s="1"/>
  <c r="AB1358" i="1"/>
  <c r="J1358" i="1"/>
  <c r="H1358" i="1"/>
  <c r="AH1357" i="1"/>
  <c r="AF1357" i="1"/>
  <c r="AE1357" i="1"/>
  <c r="AD1357" i="1"/>
  <c r="K1357" i="1" s="1"/>
  <c r="AB1357" i="1"/>
  <c r="J1357" i="1"/>
  <c r="H1357" i="1"/>
  <c r="AH1356" i="1"/>
  <c r="AD1356" i="1"/>
  <c r="K1356" i="1" s="1"/>
  <c r="AB1356" i="1"/>
  <c r="AF1356" i="1" s="1"/>
  <c r="J1356" i="1"/>
  <c r="H1356" i="1"/>
  <c r="AE1356" i="1" s="1"/>
  <c r="AH1355" i="1"/>
  <c r="AD1355" i="1"/>
  <c r="K1355" i="1" s="1"/>
  <c r="AB1355" i="1"/>
  <c r="AF1355" i="1" s="1"/>
  <c r="J1355" i="1"/>
  <c r="H1355" i="1"/>
  <c r="AH1354" i="1"/>
  <c r="AF1354" i="1"/>
  <c r="AD1354" i="1"/>
  <c r="AB1354" i="1"/>
  <c r="J1354" i="1"/>
  <c r="H1354" i="1"/>
  <c r="AH1353" i="1"/>
  <c r="AF1353" i="1"/>
  <c r="AD1353" i="1"/>
  <c r="AE1353" i="1" s="1"/>
  <c r="AB1353" i="1"/>
  <c r="K1353" i="1"/>
  <c r="J1353" i="1"/>
  <c r="H1353" i="1"/>
  <c r="AH1352" i="1"/>
  <c r="AF1352" i="1"/>
  <c r="AD1352" i="1"/>
  <c r="K1352" i="1" s="1"/>
  <c r="AB1352" i="1"/>
  <c r="J1352" i="1"/>
  <c r="H1352" i="1"/>
  <c r="AH1351" i="1"/>
  <c r="AF1351" i="1"/>
  <c r="AD1351" i="1"/>
  <c r="AE1351" i="1" s="1"/>
  <c r="AB1351" i="1"/>
  <c r="K1351" i="1"/>
  <c r="J1351" i="1"/>
  <c r="H1351" i="1"/>
  <c r="AH1350" i="1"/>
  <c r="AD1350" i="1"/>
  <c r="K1350" i="1" s="1"/>
  <c r="AB1350" i="1"/>
  <c r="AF1350" i="1" s="1"/>
  <c r="J1350" i="1"/>
  <c r="H1350" i="1"/>
  <c r="AH1349" i="1"/>
  <c r="AF1349" i="1"/>
  <c r="AD1349" i="1"/>
  <c r="K1349" i="1" s="1"/>
  <c r="AB1349" i="1"/>
  <c r="J1349" i="1"/>
  <c r="H1349" i="1"/>
  <c r="AH1348" i="1"/>
  <c r="AD1348" i="1"/>
  <c r="K1348" i="1" s="1"/>
  <c r="AB1348" i="1"/>
  <c r="AF1348" i="1" s="1"/>
  <c r="J1348" i="1"/>
  <c r="H1348" i="1"/>
  <c r="AH1347" i="1"/>
  <c r="AF1347" i="1"/>
  <c r="AD1347" i="1"/>
  <c r="AB1347" i="1"/>
  <c r="J1347" i="1"/>
  <c r="H1347" i="1"/>
  <c r="AH1346" i="1"/>
  <c r="AF1346" i="1"/>
  <c r="AE1346" i="1"/>
  <c r="AD1346" i="1"/>
  <c r="K1346" i="1" s="1"/>
  <c r="AB1346" i="1"/>
  <c r="J1346" i="1"/>
  <c r="H1346" i="1"/>
  <c r="AH1345" i="1"/>
  <c r="AF1345" i="1"/>
  <c r="AD1345" i="1"/>
  <c r="K1345" i="1" s="1"/>
  <c r="AB1345" i="1"/>
  <c r="J1345" i="1"/>
  <c r="H1345" i="1"/>
  <c r="AH1344" i="1"/>
  <c r="AF1344" i="1"/>
  <c r="AD1344" i="1"/>
  <c r="AB1344" i="1"/>
  <c r="J1344" i="1"/>
  <c r="H1344" i="1"/>
  <c r="AH1343" i="1"/>
  <c r="AD1343" i="1"/>
  <c r="K1343" i="1" s="1"/>
  <c r="AB1343" i="1"/>
  <c r="AF1343" i="1" s="1"/>
  <c r="J1343" i="1"/>
  <c r="H1343" i="1"/>
  <c r="AE1343" i="1" s="1"/>
  <c r="AH1342" i="1"/>
  <c r="AD1342" i="1"/>
  <c r="K1342" i="1" s="1"/>
  <c r="AB1342" i="1"/>
  <c r="AF1342" i="1" s="1"/>
  <c r="J1342" i="1"/>
  <c r="H1342" i="1"/>
  <c r="AH1341" i="1"/>
  <c r="AD1341" i="1"/>
  <c r="K1341" i="1" s="1"/>
  <c r="AB1341" i="1"/>
  <c r="AF1341" i="1" s="1"/>
  <c r="J1341" i="1"/>
  <c r="H1341" i="1"/>
  <c r="AH1340" i="1"/>
  <c r="AD1340" i="1"/>
  <c r="K1340" i="1" s="1"/>
  <c r="AB1340" i="1"/>
  <c r="AF1340" i="1" s="1"/>
  <c r="J1340" i="1"/>
  <c r="H1340" i="1"/>
  <c r="AE1340" i="1" s="1"/>
  <c r="AH1339" i="1"/>
  <c r="AF1339" i="1"/>
  <c r="AD1339" i="1"/>
  <c r="K1339" i="1" s="1"/>
  <c r="AB1339" i="1"/>
  <c r="J1339" i="1"/>
  <c r="H1339" i="1"/>
  <c r="AH1338" i="1"/>
  <c r="AF1338" i="1"/>
  <c r="AD1338" i="1"/>
  <c r="AB1338" i="1"/>
  <c r="J1338" i="1"/>
  <c r="H1338" i="1"/>
  <c r="AH1337" i="1"/>
  <c r="AD1337" i="1"/>
  <c r="K1337" i="1" s="1"/>
  <c r="AB1337" i="1"/>
  <c r="AF1337" i="1" s="1"/>
  <c r="J1337" i="1"/>
  <c r="H1337" i="1"/>
  <c r="AH1336" i="1"/>
  <c r="AD1336" i="1"/>
  <c r="AB1336" i="1"/>
  <c r="AF1336" i="1" s="1"/>
  <c r="J1336" i="1"/>
  <c r="H1336" i="1"/>
  <c r="AH1335" i="1"/>
  <c r="AF1335" i="1"/>
  <c r="AD1335" i="1"/>
  <c r="AB1335" i="1"/>
  <c r="J1335" i="1"/>
  <c r="H1335" i="1"/>
  <c r="AH1334" i="1"/>
  <c r="AD1334" i="1"/>
  <c r="K1334" i="1" s="1"/>
  <c r="AB1334" i="1"/>
  <c r="AF1334" i="1" s="1"/>
  <c r="J1334" i="1"/>
  <c r="H1334" i="1"/>
  <c r="AH1333" i="1"/>
  <c r="AD1333" i="1"/>
  <c r="K1333" i="1" s="1"/>
  <c r="AB1333" i="1"/>
  <c r="AF1333" i="1" s="1"/>
  <c r="J1333" i="1"/>
  <c r="H1333" i="1"/>
  <c r="AH1332" i="1"/>
  <c r="AD1332" i="1"/>
  <c r="AB1332" i="1"/>
  <c r="AF1332" i="1" s="1"/>
  <c r="J1332" i="1"/>
  <c r="H1332" i="1"/>
  <c r="AH1331" i="1"/>
  <c r="AD1331" i="1"/>
  <c r="K1331" i="1" s="1"/>
  <c r="AB1331" i="1"/>
  <c r="AF1331" i="1" s="1"/>
  <c r="J1331" i="1"/>
  <c r="H1331" i="1"/>
  <c r="AE1331" i="1" s="1"/>
  <c r="AH1330" i="1"/>
  <c r="AF1330" i="1"/>
  <c r="AD1330" i="1"/>
  <c r="AB1330" i="1"/>
  <c r="J1330" i="1"/>
  <c r="H1330" i="1"/>
  <c r="AH1329" i="1"/>
  <c r="AF1329" i="1"/>
  <c r="AD1329" i="1"/>
  <c r="AB1329" i="1"/>
  <c r="J1329" i="1"/>
  <c r="H1329" i="1"/>
  <c r="AH1328" i="1"/>
  <c r="AD1328" i="1"/>
  <c r="K1328" i="1" s="1"/>
  <c r="AB1328" i="1"/>
  <c r="AF1328" i="1" s="1"/>
  <c r="J1328" i="1"/>
  <c r="H1328" i="1"/>
  <c r="AH1327" i="1"/>
  <c r="AD1327" i="1"/>
  <c r="K1327" i="1" s="1"/>
  <c r="AB1327" i="1"/>
  <c r="AF1327" i="1" s="1"/>
  <c r="J1327" i="1"/>
  <c r="H1327" i="1"/>
  <c r="AH1326" i="1"/>
  <c r="AF1326" i="1"/>
  <c r="AD1326" i="1"/>
  <c r="AB1326" i="1"/>
  <c r="J1326" i="1"/>
  <c r="H1326" i="1"/>
  <c r="AH1325" i="1"/>
  <c r="AF1325" i="1"/>
  <c r="AD1325" i="1"/>
  <c r="K1325" i="1" s="1"/>
  <c r="AB1325" i="1"/>
  <c r="J1325" i="1"/>
  <c r="H1325" i="1"/>
  <c r="AH1324" i="1"/>
  <c r="AF1324" i="1"/>
  <c r="AD1324" i="1"/>
  <c r="AB1324" i="1"/>
  <c r="J1324" i="1"/>
  <c r="H1324" i="1"/>
  <c r="AH1323" i="1"/>
  <c r="AF1323" i="1"/>
  <c r="AD1323" i="1"/>
  <c r="AB1323" i="1"/>
  <c r="J1323" i="1"/>
  <c r="H1323" i="1"/>
  <c r="AH1322" i="1"/>
  <c r="AF1322" i="1"/>
  <c r="AD1322" i="1"/>
  <c r="AE1322" i="1" s="1"/>
  <c r="AB1322" i="1"/>
  <c r="J1322" i="1"/>
  <c r="H1322" i="1"/>
  <c r="AH1321" i="1"/>
  <c r="AD1321" i="1"/>
  <c r="AB1321" i="1"/>
  <c r="AF1321" i="1" s="1"/>
  <c r="J1321" i="1"/>
  <c r="H1321" i="1"/>
  <c r="AH1320" i="1"/>
  <c r="AD1320" i="1"/>
  <c r="AB1320" i="1"/>
  <c r="AF1320" i="1" s="1"/>
  <c r="K1320" i="1"/>
  <c r="J1320" i="1"/>
  <c r="H1320" i="1"/>
  <c r="AH1319" i="1"/>
  <c r="AD1319" i="1"/>
  <c r="AB1319" i="1"/>
  <c r="AF1319" i="1" s="1"/>
  <c r="J1319" i="1"/>
  <c r="H1319" i="1"/>
  <c r="AH1318" i="1"/>
  <c r="AD1318" i="1"/>
  <c r="K1318" i="1" s="1"/>
  <c r="AB1318" i="1"/>
  <c r="AF1318" i="1" s="1"/>
  <c r="J1318" i="1"/>
  <c r="H1318" i="1"/>
  <c r="AH1317" i="1"/>
  <c r="AF1317" i="1"/>
  <c r="AD1317" i="1"/>
  <c r="AB1317" i="1"/>
  <c r="J1317" i="1"/>
  <c r="H1317" i="1"/>
  <c r="AH1316" i="1"/>
  <c r="AD1316" i="1"/>
  <c r="AB1316" i="1"/>
  <c r="AF1316" i="1" s="1"/>
  <c r="J1316" i="1"/>
  <c r="H1316" i="1"/>
  <c r="AH1315" i="1"/>
  <c r="AF1315" i="1"/>
  <c r="AD1315" i="1"/>
  <c r="K1315" i="1" s="1"/>
  <c r="AB1315" i="1"/>
  <c r="J1315" i="1"/>
  <c r="H1315" i="1"/>
  <c r="AH1314" i="1"/>
  <c r="AF1314" i="1"/>
  <c r="AD1314" i="1"/>
  <c r="K1314" i="1" s="1"/>
  <c r="AB1314" i="1"/>
  <c r="J1314" i="1"/>
  <c r="H1314" i="1"/>
  <c r="AH1313" i="1"/>
  <c r="AF1313" i="1"/>
  <c r="AE1313" i="1"/>
  <c r="AD1313" i="1"/>
  <c r="K1313" i="1" s="1"/>
  <c r="AB1313" i="1"/>
  <c r="J1313" i="1"/>
  <c r="H1313" i="1"/>
  <c r="AH1312" i="1"/>
  <c r="AD1312" i="1"/>
  <c r="K1312" i="1" s="1"/>
  <c r="AB1312" i="1"/>
  <c r="AF1312" i="1" s="1"/>
  <c r="J1312" i="1"/>
  <c r="H1312" i="1"/>
  <c r="AE1312" i="1" s="1"/>
  <c r="AH1311" i="1"/>
  <c r="AF1311" i="1"/>
  <c r="AE1311" i="1"/>
  <c r="AD1311" i="1"/>
  <c r="K1311" i="1" s="1"/>
  <c r="AB1311" i="1"/>
  <c r="J1311" i="1"/>
  <c r="H1311" i="1"/>
  <c r="AH1310" i="1"/>
  <c r="AF1310" i="1"/>
  <c r="AD1310" i="1"/>
  <c r="AB1310" i="1"/>
  <c r="J1310" i="1"/>
  <c r="H1310" i="1"/>
  <c r="AH1309" i="1"/>
  <c r="AD1309" i="1"/>
  <c r="K1309" i="1" s="1"/>
  <c r="AB1309" i="1"/>
  <c r="AF1309" i="1" s="1"/>
  <c r="J1309" i="1"/>
  <c r="H1309" i="1"/>
  <c r="AH1308" i="1"/>
  <c r="AF1308" i="1"/>
  <c r="AD1308" i="1"/>
  <c r="AB1308" i="1"/>
  <c r="J1308" i="1"/>
  <c r="H1308" i="1"/>
  <c r="AH1307" i="1"/>
  <c r="AF1307" i="1"/>
  <c r="AD1307" i="1"/>
  <c r="AB1307" i="1"/>
  <c r="J1307" i="1"/>
  <c r="H1307" i="1"/>
  <c r="AH1306" i="1"/>
  <c r="AD1306" i="1"/>
  <c r="K1306" i="1" s="1"/>
  <c r="AB1306" i="1"/>
  <c r="AF1306" i="1" s="1"/>
  <c r="J1306" i="1"/>
  <c r="H1306" i="1"/>
  <c r="AH1305" i="1"/>
  <c r="AD1305" i="1"/>
  <c r="K1305" i="1" s="1"/>
  <c r="AB1305" i="1"/>
  <c r="AF1305" i="1" s="1"/>
  <c r="J1305" i="1"/>
  <c r="H1305" i="1"/>
  <c r="AE1305" i="1" s="1"/>
  <c r="AH1304" i="1"/>
  <c r="AF1304" i="1"/>
  <c r="AD1304" i="1"/>
  <c r="K1304" i="1" s="1"/>
  <c r="AB1304" i="1"/>
  <c r="J1304" i="1"/>
  <c r="H1304" i="1"/>
  <c r="AH1303" i="1"/>
  <c r="AD1303" i="1"/>
  <c r="K1303" i="1" s="1"/>
  <c r="AB1303" i="1"/>
  <c r="AF1303" i="1" s="1"/>
  <c r="J1303" i="1"/>
  <c r="H1303" i="1"/>
  <c r="AH1302" i="1"/>
  <c r="AF1302" i="1"/>
  <c r="AD1302" i="1"/>
  <c r="K1302" i="1" s="1"/>
  <c r="AB1302" i="1"/>
  <c r="J1302" i="1"/>
  <c r="H1302" i="1"/>
  <c r="AH1301" i="1"/>
  <c r="AF1301" i="1"/>
  <c r="AD1301" i="1"/>
  <c r="AB1301" i="1"/>
  <c r="J1301" i="1"/>
  <c r="H1301" i="1"/>
  <c r="AH1300" i="1"/>
  <c r="AD1300" i="1"/>
  <c r="K1300" i="1" s="1"/>
  <c r="AB1300" i="1"/>
  <c r="AF1300" i="1" s="1"/>
  <c r="J1300" i="1"/>
  <c r="H1300" i="1"/>
  <c r="AE1300" i="1" s="1"/>
  <c r="AH1299" i="1"/>
  <c r="AD1299" i="1"/>
  <c r="K1299" i="1" s="1"/>
  <c r="AB1299" i="1"/>
  <c r="AF1299" i="1" s="1"/>
  <c r="J1299" i="1"/>
  <c r="H1299" i="1"/>
  <c r="AH1298" i="1"/>
  <c r="AD1298" i="1"/>
  <c r="K1298" i="1" s="1"/>
  <c r="AB1298" i="1"/>
  <c r="AF1298" i="1" s="1"/>
  <c r="J1298" i="1"/>
  <c r="H1298" i="1"/>
  <c r="AE1298" i="1" s="1"/>
  <c r="AH1297" i="1"/>
  <c r="AF1297" i="1"/>
  <c r="AD1297" i="1"/>
  <c r="K1297" i="1" s="1"/>
  <c r="AB1297" i="1"/>
  <c r="J1297" i="1"/>
  <c r="H1297" i="1"/>
  <c r="AH1296" i="1"/>
  <c r="AD1296" i="1"/>
  <c r="K1296" i="1" s="1"/>
  <c r="AB1296" i="1"/>
  <c r="AF1296" i="1" s="1"/>
  <c r="J1296" i="1"/>
  <c r="H1296" i="1"/>
  <c r="AH1295" i="1"/>
  <c r="AD1295" i="1"/>
  <c r="K1295" i="1" s="1"/>
  <c r="AB1295" i="1"/>
  <c r="AF1295" i="1" s="1"/>
  <c r="J1295" i="1"/>
  <c r="H1295" i="1"/>
  <c r="AE1295" i="1" s="1"/>
  <c r="AH1294" i="1"/>
  <c r="AD1294" i="1"/>
  <c r="K1294" i="1" s="1"/>
  <c r="AB1294" i="1"/>
  <c r="AF1294" i="1" s="1"/>
  <c r="J1294" i="1"/>
  <c r="H1294" i="1"/>
  <c r="AH1293" i="1"/>
  <c r="AF1293" i="1"/>
  <c r="AD1293" i="1"/>
  <c r="K1293" i="1" s="1"/>
  <c r="AB1293" i="1"/>
  <c r="J1293" i="1"/>
  <c r="H1293" i="1"/>
  <c r="AH1292" i="1"/>
  <c r="AD1292" i="1"/>
  <c r="K1292" i="1" s="1"/>
  <c r="AB1292" i="1"/>
  <c r="AF1292" i="1" s="1"/>
  <c r="J1292" i="1"/>
  <c r="H1292" i="1"/>
  <c r="AH1291" i="1"/>
  <c r="AF1291" i="1"/>
  <c r="AE1291" i="1"/>
  <c r="AD1291" i="1"/>
  <c r="K1291" i="1" s="1"/>
  <c r="AB1291" i="1"/>
  <c r="J1291" i="1"/>
  <c r="H1291" i="1"/>
  <c r="AH1290" i="1"/>
  <c r="AF1290" i="1"/>
  <c r="AD1290" i="1"/>
  <c r="AB1290" i="1"/>
  <c r="J1290" i="1"/>
  <c r="H1290" i="1"/>
  <c r="AH1289" i="1"/>
  <c r="AF1289" i="1"/>
  <c r="AD1289" i="1"/>
  <c r="K1289" i="1" s="1"/>
  <c r="AB1289" i="1"/>
  <c r="J1289" i="1"/>
  <c r="H1289" i="1"/>
  <c r="AH1288" i="1"/>
  <c r="AD1288" i="1"/>
  <c r="K1288" i="1" s="1"/>
  <c r="AB1288" i="1"/>
  <c r="AF1288" i="1" s="1"/>
  <c r="J1288" i="1"/>
  <c r="H1288" i="1"/>
  <c r="AE1288" i="1" s="1"/>
  <c r="AH1287" i="1"/>
  <c r="AD1287" i="1"/>
  <c r="AB1287" i="1"/>
  <c r="AF1287" i="1" s="1"/>
  <c r="K1287" i="1"/>
  <c r="J1287" i="1"/>
  <c r="H1287" i="1"/>
  <c r="AH1286" i="1"/>
  <c r="AD1286" i="1"/>
  <c r="AB1286" i="1"/>
  <c r="AF1286" i="1" s="1"/>
  <c r="J1286" i="1"/>
  <c r="H1286" i="1"/>
  <c r="AH1285" i="1"/>
  <c r="AD1285" i="1"/>
  <c r="K1285" i="1" s="1"/>
  <c r="AB1285" i="1"/>
  <c r="AF1285" i="1" s="1"/>
  <c r="J1285" i="1"/>
  <c r="H1285" i="1"/>
  <c r="AE1285" i="1" s="1"/>
  <c r="AH1284" i="1"/>
  <c r="AF1284" i="1"/>
  <c r="AD1284" i="1"/>
  <c r="K1284" i="1" s="1"/>
  <c r="AB1284" i="1"/>
  <c r="J1284" i="1"/>
  <c r="H1284" i="1"/>
  <c r="AH1283" i="1"/>
  <c r="AD1283" i="1"/>
  <c r="K1283" i="1" s="1"/>
  <c r="AB1283" i="1"/>
  <c r="AF1283" i="1" s="1"/>
  <c r="J1283" i="1"/>
  <c r="H1283" i="1"/>
  <c r="AH1282" i="1"/>
  <c r="AF1282" i="1"/>
  <c r="AD1282" i="1"/>
  <c r="K1282" i="1" s="1"/>
  <c r="AB1282" i="1"/>
  <c r="J1282" i="1"/>
  <c r="H1282" i="1"/>
  <c r="AH1281" i="1"/>
  <c r="AF1281" i="1"/>
  <c r="AD1281" i="1"/>
  <c r="K1281" i="1" s="1"/>
  <c r="AB1281" i="1"/>
  <c r="J1281" i="1"/>
  <c r="H1281" i="1"/>
  <c r="AH1280" i="1"/>
  <c r="AD1280" i="1"/>
  <c r="K1280" i="1" s="1"/>
  <c r="AB1280" i="1"/>
  <c r="AF1280" i="1" s="1"/>
  <c r="J1280" i="1"/>
  <c r="H1280" i="1"/>
  <c r="AE1280" i="1" s="1"/>
  <c r="AH1279" i="1"/>
  <c r="AD1279" i="1"/>
  <c r="K1279" i="1" s="1"/>
  <c r="AB1279" i="1"/>
  <c r="AF1279" i="1" s="1"/>
  <c r="J1279" i="1"/>
  <c r="H1279" i="1"/>
  <c r="AH1278" i="1"/>
  <c r="AD1278" i="1"/>
  <c r="K1278" i="1" s="1"/>
  <c r="AB1278" i="1"/>
  <c r="AF1278" i="1" s="1"/>
  <c r="J1278" i="1"/>
  <c r="H1278" i="1"/>
  <c r="AH1277" i="1"/>
  <c r="AD1277" i="1"/>
  <c r="K1277" i="1" s="1"/>
  <c r="AB1277" i="1"/>
  <c r="AF1277" i="1" s="1"/>
  <c r="J1277" i="1"/>
  <c r="H1277" i="1"/>
  <c r="AE1277" i="1" s="1"/>
  <c r="AH1276" i="1"/>
  <c r="AF1276" i="1"/>
  <c r="AD1276" i="1"/>
  <c r="K1276" i="1" s="1"/>
  <c r="AB1276" i="1"/>
  <c r="J1276" i="1"/>
  <c r="H1276" i="1"/>
  <c r="AH1275" i="1"/>
  <c r="AD1275" i="1"/>
  <c r="K1275" i="1" s="1"/>
  <c r="AB1275" i="1"/>
  <c r="AF1275" i="1" s="1"/>
  <c r="J1275" i="1"/>
  <c r="H1275" i="1"/>
  <c r="AH1274" i="1"/>
  <c r="AF1274" i="1"/>
  <c r="AD1274" i="1"/>
  <c r="AB1274" i="1"/>
  <c r="J1274" i="1"/>
  <c r="H1274" i="1"/>
  <c r="AH1273" i="1"/>
  <c r="AF1273" i="1"/>
  <c r="AD1273" i="1"/>
  <c r="AE1273" i="1" s="1"/>
  <c r="AB1273" i="1"/>
  <c r="J1273" i="1"/>
  <c r="H1273" i="1"/>
  <c r="AH1272" i="1"/>
  <c r="AD1272" i="1"/>
  <c r="AE1272" i="1" s="1"/>
  <c r="AB1272" i="1"/>
  <c r="AF1272" i="1" s="1"/>
  <c r="J1272" i="1"/>
  <c r="H1272" i="1"/>
  <c r="AH1271" i="1"/>
  <c r="AD1271" i="1"/>
  <c r="AB1271" i="1"/>
  <c r="AF1271" i="1" s="1"/>
  <c r="K1271" i="1"/>
  <c r="J1271" i="1"/>
  <c r="H1271" i="1"/>
  <c r="AE1271" i="1" s="1"/>
  <c r="AH1270" i="1"/>
  <c r="AF1270" i="1"/>
  <c r="AD1270" i="1"/>
  <c r="K1270" i="1" s="1"/>
  <c r="AB1270" i="1"/>
  <c r="J1270" i="1"/>
  <c r="H1270" i="1"/>
  <c r="AH1269" i="1"/>
  <c r="AF1269" i="1"/>
  <c r="AD1269" i="1"/>
  <c r="AB1269" i="1"/>
  <c r="J1269" i="1"/>
  <c r="H1269" i="1"/>
  <c r="AH1268" i="1"/>
  <c r="AF1268" i="1"/>
  <c r="AD1268" i="1"/>
  <c r="K1268" i="1" s="1"/>
  <c r="AB1268" i="1"/>
  <c r="J1268" i="1"/>
  <c r="H1268" i="1"/>
  <c r="AH1267" i="1"/>
  <c r="AF1267" i="1"/>
  <c r="AD1267" i="1"/>
  <c r="AB1267" i="1"/>
  <c r="J1267" i="1"/>
  <c r="H1267" i="1"/>
  <c r="AH1266" i="1"/>
  <c r="AD1266" i="1"/>
  <c r="K1266" i="1" s="1"/>
  <c r="AB1266" i="1"/>
  <c r="AF1266" i="1" s="1"/>
  <c r="J1266" i="1"/>
  <c r="H1266" i="1"/>
  <c r="AH1265" i="1"/>
  <c r="AF1265" i="1"/>
  <c r="AD1265" i="1"/>
  <c r="AB1265" i="1"/>
  <c r="J1265" i="1"/>
  <c r="H1265" i="1"/>
  <c r="AH1264" i="1"/>
  <c r="AF1264" i="1"/>
  <c r="AE1264" i="1"/>
  <c r="AD1264" i="1"/>
  <c r="K1264" i="1" s="1"/>
  <c r="AB1264" i="1"/>
  <c r="J1264" i="1"/>
  <c r="H1264" i="1"/>
  <c r="AH1263" i="1"/>
  <c r="AF1263" i="1"/>
  <c r="AD1263" i="1"/>
  <c r="AB1263" i="1"/>
  <c r="J1263" i="1"/>
  <c r="H1263" i="1"/>
  <c r="AH1262" i="1"/>
  <c r="AF1262" i="1"/>
  <c r="AD1262" i="1"/>
  <c r="AB1262" i="1"/>
  <c r="J1262" i="1"/>
  <c r="H1262" i="1"/>
  <c r="AH1261" i="1"/>
  <c r="AF1261" i="1"/>
  <c r="AD1261" i="1"/>
  <c r="AB1261" i="1"/>
  <c r="J1261" i="1"/>
  <c r="H1261" i="1"/>
  <c r="AH1260" i="1"/>
  <c r="AF1260" i="1"/>
  <c r="AD1260" i="1"/>
  <c r="AE1260" i="1" s="1"/>
  <c r="AB1260" i="1"/>
  <c r="K1260" i="1"/>
  <c r="J1260" i="1"/>
  <c r="H1260" i="1"/>
  <c r="AH1259" i="1"/>
  <c r="AF1259" i="1"/>
  <c r="AD1259" i="1"/>
  <c r="AB1259" i="1"/>
  <c r="J1259" i="1"/>
  <c r="H1259" i="1"/>
  <c r="AH1258" i="1"/>
  <c r="AF1258" i="1"/>
  <c r="AD1258" i="1"/>
  <c r="AE1258" i="1" s="1"/>
  <c r="AB1258" i="1"/>
  <c r="K1258" i="1"/>
  <c r="J1258" i="1"/>
  <c r="H1258" i="1"/>
  <c r="AH1257" i="1"/>
  <c r="AF1257" i="1"/>
  <c r="AD1257" i="1"/>
  <c r="AB1257" i="1"/>
  <c r="J1257" i="1"/>
  <c r="H1257" i="1"/>
  <c r="AH1256" i="1"/>
  <c r="AF1256" i="1"/>
  <c r="AD1256" i="1"/>
  <c r="K1256" i="1" s="1"/>
  <c r="AB1256" i="1"/>
  <c r="J1256" i="1"/>
  <c r="H1256" i="1"/>
  <c r="AH1255" i="1"/>
  <c r="AF1255" i="1"/>
  <c r="AD1255" i="1"/>
  <c r="K1255" i="1" s="1"/>
  <c r="AB1255" i="1"/>
  <c r="J1255" i="1"/>
  <c r="H1255" i="1"/>
  <c r="AH1254" i="1"/>
  <c r="AF1254" i="1"/>
  <c r="AD1254" i="1"/>
  <c r="K1254" i="1" s="1"/>
  <c r="AB1254" i="1"/>
  <c r="J1254" i="1"/>
  <c r="H1254" i="1"/>
  <c r="AH1253" i="1"/>
  <c r="AF1253" i="1"/>
  <c r="AD1253" i="1"/>
  <c r="AB1253" i="1"/>
  <c r="J1253" i="1"/>
  <c r="H1253" i="1"/>
  <c r="AH1252" i="1"/>
  <c r="AF1252" i="1"/>
  <c r="AD1252" i="1"/>
  <c r="K1252" i="1" s="1"/>
  <c r="AB1252" i="1"/>
  <c r="J1252" i="1"/>
  <c r="H1252" i="1"/>
  <c r="AH1251" i="1"/>
  <c r="AF1251" i="1"/>
  <c r="AD1251" i="1"/>
  <c r="AB1251" i="1"/>
  <c r="J1251" i="1"/>
  <c r="H1251" i="1"/>
  <c r="AH1250" i="1"/>
  <c r="AF1250" i="1"/>
  <c r="AD1250" i="1"/>
  <c r="AB1250" i="1"/>
  <c r="J1250" i="1"/>
  <c r="H1250" i="1"/>
  <c r="AH1249" i="1"/>
  <c r="AF1249" i="1"/>
  <c r="AD1249" i="1"/>
  <c r="K1249" i="1" s="1"/>
  <c r="AB1249" i="1"/>
  <c r="J1249" i="1"/>
  <c r="H1249" i="1"/>
  <c r="AH1248" i="1"/>
  <c r="AD1248" i="1"/>
  <c r="K1248" i="1" s="1"/>
  <c r="AB1248" i="1"/>
  <c r="AF1248" i="1" s="1"/>
  <c r="J1248" i="1"/>
  <c r="H1248" i="1"/>
  <c r="AH1247" i="1"/>
  <c r="AF1247" i="1"/>
  <c r="AD1247" i="1"/>
  <c r="K1247" i="1" s="1"/>
  <c r="AB1247" i="1"/>
  <c r="J1247" i="1"/>
  <c r="H1247" i="1"/>
  <c r="AH1246" i="1"/>
  <c r="AF1246" i="1"/>
  <c r="AD1246" i="1"/>
  <c r="K1246" i="1" s="1"/>
  <c r="AB1246" i="1"/>
  <c r="J1246" i="1"/>
  <c r="H1246" i="1"/>
  <c r="AH1245" i="1"/>
  <c r="AD1245" i="1"/>
  <c r="K1245" i="1" s="1"/>
  <c r="AB1245" i="1"/>
  <c r="AF1245" i="1" s="1"/>
  <c r="J1245" i="1"/>
  <c r="H1245" i="1"/>
  <c r="AH1244" i="1"/>
  <c r="AF1244" i="1"/>
  <c r="AD1244" i="1"/>
  <c r="AB1244" i="1"/>
  <c r="J1244" i="1"/>
  <c r="H1244" i="1"/>
  <c r="AH1243" i="1"/>
  <c r="AD1243" i="1"/>
  <c r="K1243" i="1" s="1"/>
  <c r="AB1243" i="1"/>
  <c r="AF1243" i="1" s="1"/>
  <c r="J1243" i="1"/>
  <c r="H1243" i="1"/>
  <c r="AH1242" i="1"/>
  <c r="AD1242" i="1"/>
  <c r="K1242" i="1" s="1"/>
  <c r="AB1242" i="1"/>
  <c r="AF1242" i="1" s="1"/>
  <c r="J1242" i="1"/>
  <c r="H1242" i="1"/>
  <c r="AH1241" i="1"/>
  <c r="AF1241" i="1"/>
  <c r="AD1241" i="1"/>
  <c r="K1241" i="1" s="1"/>
  <c r="AB1241" i="1"/>
  <c r="J1241" i="1"/>
  <c r="H1241" i="1"/>
  <c r="AH1240" i="1"/>
  <c r="AF1240" i="1"/>
  <c r="AD1240" i="1"/>
  <c r="AB1240" i="1"/>
  <c r="J1240" i="1"/>
  <c r="H1240" i="1"/>
  <c r="AH1239" i="1"/>
  <c r="AD1239" i="1"/>
  <c r="K1239" i="1" s="1"/>
  <c r="AB1239" i="1"/>
  <c r="AF1239" i="1" s="1"/>
  <c r="J1239" i="1"/>
  <c r="H1239" i="1"/>
  <c r="AH1238" i="1"/>
  <c r="AF1238" i="1"/>
  <c r="AD1238" i="1"/>
  <c r="AE1238" i="1" s="1"/>
  <c r="AB1238" i="1"/>
  <c r="J1238" i="1"/>
  <c r="H1238" i="1"/>
  <c r="AH1237" i="1"/>
  <c r="AF1237" i="1"/>
  <c r="AD1237" i="1"/>
  <c r="K1237" i="1" s="1"/>
  <c r="AB1237" i="1"/>
  <c r="J1237" i="1"/>
  <c r="H1237" i="1"/>
  <c r="AH1236" i="1"/>
  <c r="AD1236" i="1"/>
  <c r="AB1236" i="1"/>
  <c r="AF1236" i="1" s="1"/>
  <c r="K1236" i="1"/>
  <c r="J1236" i="1"/>
  <c r="H1236" i="1"/>
  <c r="AH1235" i="1"/>
  <c r="AD1235" i="1"/>
  <c r="K1235" i="1" s="1"/>
  <c r="AB1235" i="1"/>
  <c r="AF1235" i="1" s="1"/>
  <c r="J1235" i="1"/>
  <c r="H1235" i="1"/>
  <c r="AE1235" i="1" s="1"/>
  <c r="AH1234" i="1"/>
  <c r="AD1234" i="1"/>
  <c r="K1234" i="1" s="1"/>
  <c r="AB1234" i="1"/>
  <c r="AF1234" i="1" s="1"/>
  <c r="J1234" i="1"/>
  <c r="H1234" i="1"/>
  <c r="AH1233" i="1"/>
  <c r="AD1233" i="1"/>
  <c r="K1233" i="1" s="1"/>
  <c r="AB1233" i="1"/>
  <c r="AF1233" i="1" s="1"/>
  <c r="J1233" i="1"/>
  <c r="H1233" i="1"/>
  <c r="AE1233" i="1" s="1"/>
  <c r="AH1232" i="1"/>
  <c r="AD1232" i="1"/>
  <c r="K1232" i="1" s="1"/>
  <c r="AB1232" i="1"/>
  <c r="AF1232" i="1" s="1"/>
  <c r="J1232" i="1"/>
  <c r="H1232" i="1"/>
  <c r="AE1232" i="1" s="1"/>
  <c r="AH1231" i="1"/>
  <c r="AD1231" i="1"/>
  <c r="K1231" i="1" s="1"/>
  <c r="AB1231" i="1"/>
  <c r="AF1231" i="1" s="1"/>
  <c r="J1231" i="1"/>
  <c r="H1231" i="1"/>
  <c r="AH1230" i="1"/>
  <c r="AF1230" i="1"/>
  <c r="AD1230" i="1"/>
  <c r="AE1230" i="1" s="1"/>
  <c r="AB1230" i="1"/>
  <c r="K1230" i="1"/>
  <c r="J1230" i="1"/>
  <c r="H1230" i="1"/>
  <c r="AH1229" i="1"/>
  <c r="AF1229" i="1"/>
  <c r="AD1229" i="1"/>
  <c r="AB1229" i="1"/>
  <c r="J1229" i="1"/>
  <c r="H1229" i="1"/>
  <c r="AH1228" i="1"/>
  <c r="AD1228" i="1"/>
  <c r="K1228" i="1" s="1"/>
  <c r="AB1228" i="1"/>
  <c r="AF1228" i="1" s="1"/>
  <c r="J1228" i="1"/>
  <c r="H1228" i="1"/>
  <c r="AH1227" i="1"/>
  <c r="AF1227" i="1"/>
  <c r="AD1227" i="1"/>
  <c r="AE1227" i="1" s="1"/>
  <c r="AB1227" i="1"/>
  <c r="J1227" i="1"/>
  <c r="H1227" i="1"/>
  <c r="AH1226" i="1"/>
  <c r="AD1226" i="1"/>
  <c r="AB1226" i="1"/>
  <c r="AF1226" i="1" s="1"/>
  <c r="K1226" i="1"/>
  <c r="J1226" i="1"/>
  <c r="H1226" i="1"/>
  <c r="AE1226" i="1" s="1"/>
  <c r="AH1225" i="1"/>
  <c r="AD1225" i="1"/>
  <c r="K1225" i="1" s="1"/>
  <c r="AB1225" i="1"/>
  <c r="AF1225" i="1" s="1"/>
  <c r="J1225" i="1"/>
  <c r="H1225" i="1"/>
  <c r="AH1224" i="1"/>
  <c r="AF1224" i="1"/>
  <c r="AD1224" i="1"/>
  <c r="K1224" i="1" s="1"/>
  <c r="AB1224" i="1"/>
  <c r="J1224" i="1"/>
  <c r="H1224" i="1"/>
  <c r="AH1223" i="1"/>
  <c r="AF1223" i="1"/>
  <c r="AD1223" i="1"/>
  <c r="AB1223" i="1"/>
  <c r="J1223" i="1"/>
  <c r="H1223" i="1"/>
  <c r="AH1222" i="1"/>
  <c r="AD1222" i="1"/>
  <c r="K1222" i="1" s="1"/>
  <c r="AB1222" i="1"/>
  <c r="AF1222" i="1" s="1"/>
  <c r="J1222" i="1"/>
  <c r="H1222" i="1"/>
  <c r="AH1221" i="1"/>
  <c r="AF1221" i="1"/>
  <c r="AD1221" i="1"/>
  <c r="AB1221" i="1"/>
  <c r="J1221" i="1"/>
  <c r="H1221" i="1"/>
  <c r="AH1220" i="1"/>
  <c r="AF1220" i="1"/>
  <c r="AD1220" i="1"/>
  <c r="K1220" i="1" s="1"/>
  <c r="AB1220" i="1"/>
  <c r="J1220" i="1"/>
  <c r="H1220" i="1"/>
  <c r="AH1219" i="1"/>
  <c r="AD1219" i="1"/>
  <c r="K1219" i="1" s="1"/>
  <c r="AB1219" i="1"/>
  <c r="AF1219" i="1" s="1"/>
  <c r="J1219" i="1"/>
  <c r="H1219" i="1"/>
  <c r="AH1218" i="1"/>
  <c r="AF1218" i="1"/>
  <c r="AD1218" i="1"/>
  <c r="K1218" i="1" s="1"/>
  <c r="AB1218" i="1"/>
  <c r="J1218" i="1"/>
  <c r="H1218" i="1"/>
  <c r="AH1217" i="1"/>
  <c r="AF1217" i="1"/>
  <c r="AE1217" i="1"/>
  <c r="AD1217" i="1"/>
  <c r="AB1217" i="1"/>
  <c r="K1217" i="1"/>
  <c r="J1217" i="1"/>
  <c r="H1217" i="1"/>
  <c r="AH1216" i="1"/>
  <c r="AD1216" i="1"/>
  <c r="AB1216" i="1"/>
  <c r="AF1216" i="1" s="1"/>
  <c r="J1216" i="1"/>
  <c r="H1216" i="1"/>
  <c r="AH1215" i="1"/>
  <c r="AD1215" i="1"/>
  <c r="K1215" i="1" s="1"/>
  <c r="AB1215" i="1"/>
  <c r="AF1215" i="1" s="1"/>
  <c r="J1215" i="1"/>
  <c r="H1215" i="1"/>
  <c r="AH1214" i="1"/>
  <c r="AD1214" i="1"/>
  <c r="AB1214" i="1"/>
  <c r="AF1214" i="1" s="1"/>
  <c r="J1214" i="1"/>
  <c r="H1214" i="1"/>
  <c r="AH1213" i="1"/>
  <c r="AF1213" i="1"/>
  <c r="AD1213" i="1"/>
  <c r="K1213" i="1" s="1"/>
  <c r="AB1213" i="1"/>
  <c r="J1213" i="1"/>
  <c r="H1213" i="1"/>
  <c r="AH1212" i="1"/>
  <c r="AD1212" i="1"/>
  <c r="K1212" i="1" s="1"/>
  <c r="AB1212" i="1"/>
  <c r="AF1212" i="1" s="1"/>
  <c r="J1212" i="1"/>
  <c r="H1212" i="1"/>
  <c r="AE1212" i="1" s="1"/>
  <c r="AH1211" i="1"/>
  <c r="AF1211" i="1"/>
  <c r="AD1211" i="1"/>
  <c r="AB1211" i="1"/>
  <c r="J1211" i="1"/>
  <c r="H1211" i="1"/>
  <c r="AH1210" i="1"/>
  <c r="AF1210" i="1"/>
  <c r="AE1210" i="1"/>
  <c r="AD1210" i="1"/>
  <c r="AB1210" i="1"/>
  <c r="K1210" i="1"/>
  <c r="J1210" i="1"/>
  <c r="H1210" i="1"/>
  <c r="AH1209" i="1"/>
  <c r="AF1209" i="1"/>
  <c r="AD1209" i="1"/>
  <c r="K1209" i="1" s="1"/>
  <c r="AB1209" i="1"/>
  <c r="J1209" i="1"/>
  <c r="H1209" i="1"/>
  <c r="AH1208" i="1"/>
  <c r="AF1208" i="1"/>
  <c r="AD1208" i="1"/>
  <c r="AE1208" i="1" s="1"/>
  <c r="AB1208" i="1"/>
  <c r="J1208" i="1"/>
  <c r="H1208" i="1"/>
  <c r="AH1207" i="1"/>
  <c r="AD1207" i="1"/>
  <c r="K1207" i="1" s="1"/>
  <c r="AB1207" i="1"/>
  <c r="AF1207" i="1" s="1"/>
  <c r="J1207" i="1"/>
  <c r="H1207" i="1"/>
  <c r="AE1207" i="1" s="1"/>
  <c r="AH1206" i="1"/>
  <c r="AF1206" i="1"/>
  <c r="AD1206" i="1"/>
  <c r="K1206" i="1" s="1"/>
  <c r="AB1206" i="1"/>
  <c r="J1206" i="1"/>
  <c r="H1206" i="1"/>
  <c r="AH1205" i="1"/>
  <c r="AF1205" i="1"/>
  <c r="AE1205" i="1"/>
  <c r="AD1205" i="1"/>
  <c r="K1205" i="1" s="1"/>
  <c r="AB1205" i="1"/>
  <c r="J1205" i="1"/>
  <c r="H1205" i="1"/>
  <c r="AH1204" i="1"/>
  <c r="AF1204" i="1"/>
  <c r="AD1204" i="1"/>
  <c r="AB1204" i="1"/>
  <c r="J1204" i="1"/>
  <c r="H1204" i="1"/>
  <c r="AH1203" i="1"/>
  <c r="AD1203" i="1"/>
  <c r="K1203" i="1" s="1"/>
  <c r="AB1203" i="1"/>
  <c r="AF1203" i="1" s="1"/>
  <c r="J1203" i="1"/>
  <c r="H1203" i="1"/>
  <c r="AH1202" i="1"/>
  <c r="AF1202" i="1"/>
  <c r="AD1202" i="1"/>
  <c r="K1202" i="1" s="1"/>
  <c r="AB1202" i="1"/>
  <c r="J1202" i="1"/>
  <c r="H1202" i="1"/>
  <c r="AH1201" i="1"/>
  <c r="AD1201" i="1"/>
  <c r="K1201" i="1" s="1"/>
  <c r="AB1201" i="1"/>
  <c r="AF1201" i="1" s="1"/>
  <c r="J1201" i="1"/>
  <c r="H1201" i="1"/>
  <c r="AH1200" i="1"/>
  <c r="AD1200" i="1"/>
  <c r="K1200" i="1" s="1"/>
  <c r="AB1200" i="1"/>
  <c r="AF1200" i="1" s="1"/>
  <c r="J1200" i="1"/>
  <c r="H1200" i="1"/>
  <c r="AE1200" i="1" s="1"/>
  <c r="AH1199" i="1"/>
  <c r="AF1199" i="1"/>
  <c r="AE1199" i="1"/>
  <c r="AD1199" i="1"/>
  <c r="K1199" i="1" s="1"/>
  <c r="AB1199" i="1"/>
  <c r="J1199" i="1"/>
  <c r="H1199" i="1"/>
  <c r="AH1198" i="1"/>
  <c r="AF1198" i="1"/>
  <c r="AD1198" i="1"/>
  <c r="AB1198" i="1"/>
  <c r="J1198" i="1"/>
  <c r="H1198" i="1"/>
  <c r="AH1197" i="1"/>
  <c r="AF1197" i="1"/>
  <c r="AD1197" i="1"/>
  <c r="AB1197" i="1"/>
  <c r="J1197" i="1"/>
  <c r="H1197" i="1"/>
  <c r="AH1196" i="1"/>
  <c r="AF1196" i="1"/>
  <c r="AD1196" i="1"/>
  <c r="AB1196" i="1"/>
  <c r="J1196" i="1"/>
  <c r="H1196" i="1"/>
  <c r="AH1195" i="1"/>
  <c r="AD1195" i="1"/>
  <c r="K1195" i="1" s="1"/>
  <c r="AB1195" i="1"/>
  <c r="AF1195" i="1" s="1"/>
  <c r="J1195" i="1"/>
  <c r="H1195" i="1"/>
  <c r="AH1194" i="1"/>
  <c r="AF1194" i="1"/>
  <c r="AD1194" i="1"/>
  <c r="AB1194" i="1"/>
  <c r="J1194" i="1"/>
  <c r="H1194" i="1"/>
  <c r="AH1193" i="1"/>
  <c r="AF1193" i="1"/>
  <c r="AD1193" i="1"/>
  <c r="K1193" i="1" s="1"/>
  <c r="AB1193" i="1"/>
  <c r="J1193" i="1"/>
  <c r="H1193" i="1"/>
  <c r="AH1192" i="1"/>
  <c r="AD1192" i="1"/>
  <c r="K1192" i="1" s="1"/>
  <c r="AB1192" i="1"/>
  <c r="AF1192" i="1" s="1"/>
  <c r="J1192" i="1"/>
  <c r="H1192" i="1"/>
  <c r="AH1191" i="1"/>
  <c r="AF1191" i="1"/>
  <c r="AD1191" i="1"/>
  <c r="AB1191" i="1"/>
  <c r="J1191" i="1"/>
  <c r="H1191" i="1"/>
  <c r="AH1190" i="1"/>
  <c r="AF1190" i="1"/>
  <c r="AD1190" i="1"/>
  <c r="K1190" i="1" s="1"/>
  <c r="AB1190" i="1"/>
  <c r="J1190" i="1"/>
  <c r="H1190" i="1"/>
  <c r="AH1189" i="1"/>
  <c r="AD1189" i="1"/>
  <c r="K1189" i="1" s="1"/>
  <c r="AB1189" i="1"/>
  <c r="AF1189" i="1" s="1"/>
  <c r="J1189" i="1"/>
  <c r="H1189" i="1"/>
  <c r="AE1189" i="1" s="1"/>
  <c r="AH1188" i="1"/>
  <c r="AF1188" i="1"/>
  <c r="AD1188" i="1"/>
  <c r="AE1188" i="1" s="1"/>
  <c r="AB1188" i="1"/>
  <c r="K1188" i="1"/>
  <c r="J1188" i="1"/>
  <c r="H1188" i="1"/>
  <c r="AH1187" i="1"/>
  <c r="AD1187" i="1"/>
  <c r="K1187" i="1" s="1"/>
  <c r="AB1187" i="1"/>
  <c r="AF1187" i="1" s="1"/>
  <c r="J1187" i="1"/>
  <c r="H1187" i="1"/>
  <c r="AH1186" i="1"/>
  <c r="AF1186" i="1"/>
  <c r="AD1186" i="1"/>
  <c r="AE1186" i="1" s="1"/>
  <c r="AB1186" i="1"/>
  <c r="J1186" i="1"/>
  <c r="H1186" i="1"/>
  <c r="AH1185" i="1"/>
  <c r="AD1185" i="1"/>
  <c r="K1185" i="1" s="1"/>
  <c r="AB1185" i="1"/>
  <c r="AF1185" i="1" s="1"/>
  <c r="J1185" i="1"/>
  <c r="H1185" i="1"/>
  <c r="AH1184" i="1"/>
  <c r="AD1184" i="1"/>
  <c r="K1184" i="1" s="1"/>
  <c r="AB1184" i="1"/>
  <c r="AF1184" i="1" s="1"/>
  <c r="J1184" i="1"/>
  <c r="H1184" i="1"/>
  <c r="AH1183" i="1"/>
  <c r="AF1183" i="1"/>
  <c r="AD1183" i="1"/>
  <c r="AB1183" i="1"/>
  <c r="J1183" i="1"/>
  <c r="H1183" i="1"/>
  <c r="AH1182" i="1"/>
  <c r="AF1182" i="1"/>
  <c r="AE1182" i="1"/>
  <c r="AD1182" i="1"/>
  <c r="K1182" i="1" s="1"/>
  <c r="AB1182" i="1"/>
  <c r="J1182" i="1"/>
  <c r="H1182" i="1"/>
  <c r="AH1181" i="1"/>
  <c r="AD1181" i="1"/>
  <c r="AB1181" i="1"/>
  <c r="AF1181" i="1" s="1"/>
  <c r="K1181" i="1"/>
  <c r="J1181" i="1"/>
  <c r="H1181" i="1"/>
  <c r="AH1180" i="1"/>
  <c r="AF1180" i="1"/>
  <c r="AD1180" i="1"/>
  <c r="AB1180" i="1"/>
  <c r="J1180" i="1"/>
  <c r="H1180" i="1"/>
  <c r="AH1179" i="1"/>
  <c r="AF1179" i="1"/>
  <c r="AD1179" i="1"/>
  <c r="AB1179" i="1"/>
  <c r="J1179" i="1"/>
  <c r="H1179" i="1"/>
  <c r="AH1178" i="1"/>
  <c r="AF1178" i="1"/>
  <c r="AD1178" i="1"/>
  <c r="AE1178" i="1" s="1"/>
  <c r="AB1178" i="1"/>
  <c r="K1178" i="1"/>
  <c r="J1178" i="1"/>
  <c r="H1178" i="1"/>
  <c r="AH1177" i="1"/>
  <c r="AE1177" i="1"/>
  <c r="AD1177" i="1"/>
  <c r="K1177" i="1" s="1"/>
  <c r="AB1177" i="1"/>
  <c r="AF1177" i="1" s="1"/>
  <c r="J1177" i="1"/>
  <c r="H1177" i="1"/>
  <c r="AH1176" i="1"/>
  <c r="AF1176" i="1"/>
  <c r="AD1176" i="1"/>
  <c r="K1176" i="1" s="1"/>
  <c r="AB1176" i="1"/>
  <c r="J1176" i="1"/>
  <c r="H1176" i="1"/>
  <c r="AH1175" i="1"/>
  <c r="AF1175" i="1"/>
  <c r="AD1175" i="1"/>
  <c r="AB1175" i="1"/>
  <c r="J1175" i="1"/>
  <c r="H1175" i="1"/>
  <c r="AH1174" i="1"/>
  <c r="AD1174" i="1"/>
  <c r="K1174" i="1" s="1"/>
  <c r="AB1174" i="1"/>
  <c r="AF1174" i="1" s="1"/>
  <c r="J1174" i="1"/>
  <c r="H1174" i="1"/>
  <c r="AH1173" i="1"/>
  <c r="AF1173" i="1"/>
  <c r="AD1173" i="1"/>
  <c r="AE1173" i="1" s="1"/>
  <c r="AB1173" i="1"/>
  <c r="J1173" i="1"/>
  <c r="H1173" i="1"/>
  <c r="AH1172" i="1"/>
  <c r="AF1172" i="1"/>
  <c r="AD1172" i="1"/>
  <c r="AE1172" i="1" s="1"/>
  <c r="AB1172" i="1"/>
  <c r="J1172" i="1"/>
  <c r="H1172" i="1"/>
  <c r="AH1171" i="1"/>
  <c r="AD1171" i="1"/>
  <c r="K1171" i="1" s="1"/>
  <c r="AB1171" i="1"/>
  <c r="AF1171" i="1" s="1"/>
  <c r="J1171" i="1"/>
  <c r="H1171" i="1"/>
  <c r="AE1171" i="1" s="1"/>
  <c r="AH1170" i="1"/>
  <c r="AF1170" i="1"/>
  <c r="AD1170" i="1"/>
  <c r="K1170" i="1" s="1"/>
  <c r="AB1170" i="1"/>
  <c r="J1170" i="1"/>
  <c r="H1170" i="1"/>
  <c r="AH1169" i="1"/>
  <c r="AF1169" i="1"/>
  <c r="AD1169" i="1"/>
  <c r="K1169" i="1" s="1"/>
  <c r="AB1169" i="1"/>
  <c r="J1169" i="1"/>
  <c r="H1169" i="1"/>
  <c r="AH1168" i="1"/>
  <c r="AF1168" i="1"/>
  <c r="AD1168" i="1"/>
  <c r="AB1168" i="1"/>
  <c r="J1168" i="1"/>
  <c r="H1168" i="1"/>
  <c r="AH1167" i="1"/>
  <c r="AD1167" i="1"/>
  <c r="K1167" i="1" s="1"/>
  <c r="AB1167" i="1"/>
  <c r="AF1167" i="1" s="1"/>
  <c r="J1167" i="1"/>
  <c r="H1167" i="1"/>
  <c r="AH1166" i="1"/>
  <c r="AF1166" i="1"/>
  <c r="AD1166" i="1"/>
  <c r="AE1166" i="1" s="1"/>
  <c r="AB1166" i="1"/>
  <c r="K1166" i="1"/>
  <c r="J1166" i="1"/>
  <c r="H1166" i="1"/>
  <c r="AH1165" i="1"/>
  <c r="AD1165" i="1"/>
  <c r="K1165" i="1" s="1"/>
  <c r="AB1165" i="1"/>
  <c r="AF1165" i="1" s="1"/>
  <c r="J1165" i="1"/>
  <c r="H1165" i="1"/>
  <c r="AH1164" i="1"/>
  <c r="AF1164" i="1"/>
  <c r="AD1164" i="1"/>
  <c r="AB1164" i="1"/>
  <c r="J1164" i="1"/>
  <c r="H1164" i="1"/>
  <c r="AH1163" i="1"/>
  <c r="AF1163" i="1"/>
  <c r="AE1163" i="1"/>
  <c r="AD1163" i="1"/>
  <c r="K1163" i="1" s="1"/>
  <c r="AB1163" i="1"/>
  <c r="J1163" i="1"/>
  <c r="H1163" i="1"/>
  <c r="AH1162" i="1"/>
  <c r="AF1162" i="1"/>
  <c r="AD1162" i="1"/>
  <c r="K1162" i="1" s="1"/>
  <c r="AB1162" i="1"/>
  <c r="J1162" i="1"/>
  <c r="H1162" i="1"/>
  <c r="AH1161" i="1"/>
  <c r="AD1161" i="1"/>
  <c r="K1161" i="1" s="1"/>
  <c r="AB1161" i="1"/>
  <c r="AF1161" i="1" s="1"/>
  <c r="J1161" i="1"/>
  <c r="H1161" i="1"/>
  <c r="AH1160" i="1"/>
  <c r="AD1160" i="1"/>
  <c r="K1160" i="1" s="1"/>
  <c r="AB1160" i="1"/>
  <c r="AF1160" i="1" s="1"/>
  <c r="J1160" i="1"/>
  <c r="H1160" i="1"/>
  <c r="AH1159" i="1"/>
  <c r="AD1159" i="1"/>
  <c r="AB1159" i="1"/>
  <c r="AF1159" i="1" s="1"/>
  <c r="K1159" i="1"/>
  <c r="J1159" i="1"/>
  <c r="H1159" i="1"/>
  <c r="AH1158" i="1"/>
  <c r="AF1158" i="1"/>
  <c r="AD1158" i="1"/>
  <c r="AE1158" i="1" s="1"/>
  <c r="AB1158" i="1"/>
  <c r="J1158" i="1"/>
  <c r="H1158" i="1"/>
  <c r="AH1157" i="1"/>
  <c r="AF1157" i="1"/>
  <c r="AD1157" i="1"/>
  <c r="AE1157" i="1" s="1"/>
  <c r="AB1157" i="1"/>
  <c r="K1157" i="1"/>
  <c r="J1157" i="1"/>
  <c r="H1157" i="1"/>
  <c r="AH1156" i="1"/>
  <c r="AD1156" i="1"/>
  <c r="AB1156" i="1"/>
  <c r="AF1156" i="1" s="1"/>
  <c r="J1156" i="1"/>
  <c r="H1156" i="1"/>
  <c r="AH1155" i="1"/>
  <c r="AD1155" i="1"/>
  <c r="AB1155" i="1"/>
  <c r="AF1155" i="1" s="1"/>
  <c r="J1155" i="1"/>
  <c r="H1155" i="1"/>
  <c r="AH1154" i="1"/>
  <c r="AF1154" i="1"/>
  <c r="AE1154" i="1"/>
  <c r="AD1154" i="1"/>
  <c r="K1154" i="1" s="1"/>
  <c r="AB1154" i="1"/>
  <c r="J1154" i="1"/>
  <c r="H1154" i="1"/>
  <c r="AH1153" i="1"/>
  <c r="AF1153" i="1"/>
  <c r="AD1153" i="1"/>
  <c r="AB1153" i="1"/>
  <c r="J1153" i="1"/>
  <c r="H1153" i="1"/>
  <c r="AH1152" i="1"/>
  <c r="AD1152" i="1"/>
  <c r="K1152" i="1" s="1"/>
  <c r="AB1152" i="1"/>
  <c r="AF1152" i="1" s="1"/>
  <c r="J1152" i="1"/>
  <c r="H1152" i="1"/>
  <c r="AE1152" i="1" s="1"/>
  <c r="AH1151" i="1"/>
  <c r="AD1151" i="1"/>
  <c r="K1151" i="1" s="1"/>
  <c r="AB1151" i="1"/>
  <c r="AF1151" i="1" s="1"/>
  <c r="J1151" i="1"/>
  <c r="H1151" i="1"/>
  <c r="AH1150" i="1"/>
  <c r="AD1150" i="1"/>
  <c r="K1150" i="1" s="1"/>
  <c r="AB1150" i="1"/>
  <c r="AF1150" i="1" s="1"/>
  <c r="J1150" i="1"/>
  <c r="H1150" i="1"/>
  <c r="AH1149" i="1"/>
  <c r="AD1149" i="1"/>
  <c r="K1149" i="1" s="1"/>
  <c r="AB1149" i="1"/>
  <c r="AF1149" i="1" s="1"/>
  <c r="J1149" i="1"/>
  <c r="H1149" i="1"/>
  <c r="AE1149" i="1" s="1"/>
  <c r="AH1148" i="1"/>
  <c r="AF1148" i="1"/>
  <c r="AD1148" i="1"/>
  <c r="AB1148" i="1"/>
  <c r="J1148" i="1"/>
  <c r="H1148" i="1"/>
  <c r="AH1147" i="1"/>
  <c r="AF1147" i="1"/>
  <c r="AD1147" i="1"/>
  <c r="K1147" i="1" s="1"/>
  <c r="AB1147" i="1"/>
  <c r="J1147" i="1"/>
  <c r="H1147" i="1"/>
  <c r="AH1146" i="1"/>
  <c r="AD1146" i="1"/>
  <c r="AB1146" i="1"/>
  <c r="AF1146" i="1" s="1"/>
  <c r="K1146" i="1"/>
  <c r="J1146" i="1"/>
  <c r="H1146" i="1"/>
  <c r="AH1145" i="1"/>
  <c r="AD1145" i="1"/>
  <c r="AB1145" i="1"/>
  <c r="AF1145" i="1" s="1"/>
  <c r="K1145" i="1"/>
  <c r="J1145" i="1"/>
  <c r="H1145" i="1"/>
  <c r="AE1145" i="1" s="1"/>
  <c r="AH1144" i="1"/>
  <c r="AF1144" i="1"/>
  <c r="AD1144" i="1"/>
  <c r="AE1144" i="1" s="1"/>
  <c r="AB1144" i="1"/>
  <c r="J1144" i="1"/>
  <c r="H1144" i="1"/>
  <c r="AH1143" i="1"/>
  <c r="AD1143" i="1"/>
  <c r="K1143" i="1" s="1"/>
  <c r="AB1143" i="1"/>
  <c r="AF1143" i="1" s="1"/>
  <c r="J1143" i="1"/>
  <c r="H1143" i="1"/>
  <c r="AH1142" i="1"/>
  <c r="AF1142" i="1"/>
  <c r="AD1142" i="1"/>
  <c r="K1142" i="1" s="1"/>
  <c r="AB1142" i="1"/>
  <c r="J1142" i="1"/>
  <c r="H1142" i="1"/>
  <c r="AH1141" i="1"/>
  <c r="AF1141" i="1"/>
  <c r="AD1141" i="1"/>
  <c r="AB1141" i="1"/>
  <c r="J1141" i="1"/>
  <c r="H1141" i="1"/>
  <c r="AH1140" i="1"/>
  <c r="AF1140" i="1"/>
  <c r="AD1140" i="1"/>
  <c r="K1140" i="1" s="1"/>
  <c r="AB1140" i="1"/>
  <c r="J1140" i="1"/>
  <c r="H1140" i="1"/>
  <c r="AH1139" i="1"/>
  <c r="AF1139" i="1"/>
  <c r="AD1139" i="1"/>
  <c r="AB1139" i="1"/>
  <c r="J1139" i="1"/>
  <c r="H1139" i="1"/>
  <c r="AH1138" i="1"/>
  <c r="AF1138" i="1"/>
  <c r="AD1138" i="1"/>
  <c r="AE1138" i="1" s="1"/>
  <c r="AB1138" i="1"/>
  <c r="K1138" i="1"/>
  <c r="J1138" i="1"/>
  <c r="H1138" i="1"/>
  <c r="AH1137" i="1"/>
  <c r="AD1137" i="1"/>
  <c r="K1137" i="1" s="1"/>
  <c r="AB1137" i="1"/>
  <c r="AF1137" i="1" s="1"/>
  <c r="J1137" i="1"/>
  <c r="H1137" i="1"/>
  <c r="AE1137" i="1" s="1"/>
  <c r="AH1136" i="1"/>
  <c r="AD1136" i="1"/>
  <c r="K1136" i="1" s="1"/>
  <c r="AB1136" i="1"/>
  <c r="AF1136" i="1" s="1"/>
  <c r="J1136" i="1"/>
  <c r="H1136" i="1"/>
  <c r="AH1135" i="1"/>
  <c r="AF1135" i="1"/>
  <c r="AD1135" i="1"/>
  <c r="K1135" i="1" s="1"/>
  <c r="AB1135" i="1"/>
  <c r="J1135" i="1"/>
  <c r="H1135" i="1"/>
  <c r="AH1134" i="1"/>
  <c r="AF1134" i="1"/>
  <c r="AD1134" i="1"/>
  <c r="AB1134" i="1"/>
  <c r="J1134" i="1"/>
  <c r="H1134" i="1"/>
  <c r="AH1133" i="1"/>
  <c r="AF1133" i="1"/>
  <c r="AD1133" i="1"/>
  <c r="K1133" i="1" s="1"/>
  <c r="AB1133" i="1"/>
  <c r="J1133" i="1"/>
  <c r="H1133" i="1"/>
  <c r="AH1132" i="1"/>
  <c r="AF1132" i="1"/>
  <c r="AD1132" i="1"/>
  <c r="K1132" i="1" s="1"/>
  <c r="AB1132" i="1"/>
  <c r="J1132" i="1"/>
  <c r="H1132" i="1"/>
  <c r="AH1131" i="1"/>
  <c r="AF1131" i="1"/>
  <c r="AD1131" i="1"/>
  <c r="K1131" i="1" s="1"/>
  <c r="AB1131" i="1"/>
  <c r="J1131" i="1"/>
  <c r="H1131" i="1"/>
  <c r="AH1130" i="1"/>
  <c r="AF1130" i="1"/>
  <c r="AD1130" i="1"/>
  <c r="AE1130" i="1" s="1"/>
  <c r="AB1130" i="1"/>
  <c r="J1130" i="1"/>
  <c r="H1130" i="1"/>
  <c r="AH1129" i="1"/>
  <c r="AD1129" i="1"/>
  <c r="AB1129" i="1"/>
  <c r="AF1129" i="1" s="1"/>
  <c r="J1129" i="1"/>
  <c r="H1129" i="1"/>
  <c r="AH1128" i="1"/>
  <c r="AD1128" i="1"/>
  <c r="K1128" i="1" s="1"/>
  <c r="AB1128" i="1"/>
  <c r="AF1128" i="1" s="1"/>
  <c r="J1128" i="1"/>
  <c r="H1128" i="1"/>
  <c r="AH1127" i="1"/>
  <c r="AF1127" i="1"/>
  <c r="AD1127" i="1"/>
  <c r="K1127" i="1" s="1"/>
  <c r="AB1127" i="1"/>
  <c r="J1127" i="1"/>
  <c r="H1127" i="1"/>
  <c r="AH1126" i="1"/>
  <c r="AD1126" i="1"/>
  <c r="K1126" i="1" s="1"/>
  <c r="AB1126" i="1"/>
  <c r="AF1126" i="1" s="1"/>
  <c r="J1126" i="1"/>
  <c r="H1126" i="1"/>
  <c r="AH1125" i="1"/>
  <c r="AF1125" i="1"/>
  <c r="AD1125" i="1"/>
  <c r="K1125" i="1" s="1"/>
  <c r="AB1125" i="1"/>
  <c r="J1125" i="1"/>
  <c r="H1125" i="1"/>
  <c r="AH1124" i="1"/>
  <c r="AF1124" i="1"/>
  <c r="AD1124" i="1"/>
  <c r="AE1124" i="1" s="1"/>
  <c r="AB1124" i="1"/>
  <c r="K1124" i="1"/>
  <c r="J1124" i="1"/>
  <c r="H1124" i="1"/>
  <c r="AH1123" i="1"/>
  <c r="AD1123" i="1"/>
  <c r="K1123" i="1" s="1"/>
  <c r="AB1123" i="1"/>
  <c r="AF1123" i="1" s="1"/>
  <c r="J1123" i="1"/>
  <c r="H1123" i="1"/>
  <c r="AH1122" i="1"/>
  <c r="AF1122" i="1"/>
  <c r="AD1122" i="1"/>
  <c r="AE1122" i="1" s="1"/>
  <c r="AB1122" i="1"/>
  <c r="K1122" i="1"/>
  <c r="J1122" i="1"/>
  <c r="H1122" i="1"/>
  <c r="AH1121" i="1"/>
  <c r="AD1121" i="1"/>
  <c r="K1121" i="1" s="1"/>
  <c r="AB1121" i="1"/>
  <c r="AF1121" i="1" s="1"/>
  <c r="J1121" i="1"/>
  <c r="H1121" i="1"/>
  <c r="AH1120" i="1"/>
  <c r="AF1120" i="1"/>
  <c r="AD1120" i="1"/>
  <c r="AB1120" i="1"/>
  <c r="J1120" i="1"/>
  <c r="H1120" i="1"/>
  <c r="AH1119" i="1"/>
  <c r="AD1119" i="1"/>
  <c r="K1119" i="1" s="1"/>
  <c r="AB1119" i="1"/>
  <c r="AF1119" i="1" s="1"/>
  <c r="J1119" i="1"/>
  <c r="H1119" i="1"/>
  <c r="AH1118" i="1"/>
  <c r="AD1118" i="1"/>
  <c r="AB1118" i="1"/>
  <c r="AF1118" i="1" s="1"/>
  <c r="K1118" i="1"/>
  <c r="J1118" i="1"/>
  <c r="H1118" i="1"/>
  <c r="AH1117" i="1"/>
  <c r="AD1117" i="1"/>
  <c r="AB1117" i="1"/>
  <c r="AF1117" i="1" s="1"/>
  <c r="K1117" i="1"/>
  <c r="J1117" i="1"/>
  <c r="H1117" i="1"/>
  <c r="AE1117" i="1" s="1"/>
  <c r="AH1116" i="1"/>
  <c r="AF1116" i="1"/>
  <c r="AD1116" i="1"/>
  <c r="AE1116" i="1" s="1"/>
  <c r="AB1116" i="1"/>
  <c r="K1116" i="1"/>
  <c r="J1116" i="1"/>
  <c r="H1116" i="1"/>
  <c r="AH1115" i="1"/>
  <c r="AF1115" i="1"/>
  <c r="AD1115" i="1"/>
  <c r="AB1115" i="1"/>
  <c r="J1115" i="1"/>
  <c r="H1115" i="1"/>
  <c r="AH1114" i="1"/>
  <c r="AF1114" i="1"/>
  <c r="AD1114" i="1"/>
  <c r="K1114" i="1" s="1"/>
  <c r="AB1114" i="1"/>
  <c r="J1114" i="1"/>
  <c r="H1114" i="1"/>
  <c r="AH1113" i="1"/>
  <c r="AD1113" i="1"/>
  <c r="K1113" i="1" s="1"/>
  <c r="AB1113" i="1"/>
  <c r="AF1113" i="1" s="1"/>
  <c r="J1113" i="1"/>
  <c r="H1113" i="1"/>
  <c r="AE1113" i="1" s="1"/>
  <c r="AH1112" i="1"/>
  <c r="AF1112" i="1"/>
  <c r="AD1112" i="1"/>
  <c r="K1112" i="1" s="1"/>
  <c r="AB1112" i="1"/>
  <c r="J1112" i="1"/>
  <c r="H1112" i="1"/>
  <c r="AH1111" i="1"/>
  <c r="AD1111" i="1"/>
  <c r="AB1111" i="1"/>
  <c r="AF1111" i="1" s="1"/>
  <c r="K1111" i="1"/>
  <c r="J1111" i="1"/>
  <c r="H1111" i="1"/>
  <c r="AE1111" i="1" s="1"/>
  <c r="AH1110" i="1"/>
  <c r="AD1110" i="1"/>
  <c r="AB1110" i="1"/>
  <c r="AF1110" i="1" s="1"/>
  <c r="K1110" i="1"/>
  <c r="J1110" i="1"/>
  <c r="H1110" i="1"/>
  <c r="AH1109" i="1"/>
  <c r="AD1109" i="1"/>
  <c r="K1109" i="1" s="1"/>
  <c r="AB1109" i="1"/>
  <c r="AF1109" i="1" s="1"/>
  <c r="J1109" i="1"/>
  <c r="H1109" i="1"/>
  <c r="AH1108" i="1"/>
  <c r="AF1108" i="1"/>
  <c r="AD1108" i="1"/>
  <c r="AE1108" i="1" s="1"/>
  <c r="AB1108" i="1"/>
  <c r="J1108" i="1"/>
  <c r="H1108" i="1"/>
  <c r="AH1107" i="1"/>
  <c r="AF1107" i="1"/>
  <c r="AE1107" i="1"/>
  <c r="AD1107" i="1"/>
  <c r="K1107" i="1" s="1"/>
  <c r="AB1107" i="1"/>
  <c r="J1107" i="1"/>
  <c r="H1107" i="1"/>
  <c r="AH1106" i="1"/>
  <c r="AD1106" i="1"/>
  <c r="K1106" i="1" s="1"/>
  <c r="AB1106" i="1"/>
  <c r="AF1106" i="1" s="1"/>
  <c r="J1106" i="1"/>
  <c r="H1106" i="1"/>
  <c r="AH1105" i="1"/>
  <c r="AD1105" i="1"/>
  <c r="K1105" i="1" s="1"/>
  <c r="AB1105" i="1"/>
  <c r="AF1105" i="1" s="1"/>
  <c r="J1105" i="1"/>
  <c r="H1105" i="1"/>
  <c r="AH1104" i="1"/>
  <c r="AD1104" i="1"/>
  <c r="AB1104" i="1"/>
  <c r="AF1104" i="1" s="1"/>
  <c r="K1104" i="1"/>
  <c r="J1104" i="1"/>
  <c r="H1104" i="1"/>
  <c r="AE1104" i="1" s="1"/>
  <c r="AH1103" i="1"/>
  <c r="AF1103" i="1"/>
  <c r="AD1103" i="1"/>
  <c r="K1103" i="1" s="1"/>
  <c r="AB1103" i="1"/>
  <c r="J1103" i="1"/>
  <c r="H1103" i="1"/>
  <c r="AH1102" i="1"/>
  <c r="AF1102" i="1"/>
  <c r="AD1102" i="1"/>
  <c r="AE1102" i="1" s="1"/>
  <c r="AB1102" i="1"/>
  <c r="J1102" i="1"/>
  <c r="H1102" i="1"/>
  <c r="AH1101" i="1"/>
  <c r="AF1101" i="1"/>
  <c r="AD1101" i="1"/>
  <c r="AB1101" i="1"/>
  <c r="J1101" i="1"/>
  <c r="H1101" i="1"/>
  <c r="AH1100" i="1"/>
  <c r="AF1100" i="1"/>
  <c r="AD1100" i="1"/>
  <c r="AB1100" i="1"/>
  <c r="J1100" i="1"/>
  <c r="H1100" i="1"/>
  <c r="AH1099" i="1"/>
  <c r="AD1099" i="1"/>
  <c r="K1099" i="1" s="1"/>
  <c r="AB1099" i="1"/>
  <c r="AF1099" i="1" s="1"/>
  <c r="J1099" i="1"/>
  <c r="H1099" i="1"/>
  <c r="AH1098" i="1"/>
  <c r="AD1098" i="1"/>
  <c r="K1098" i="1" s="1"/>
  <c r="AB1098" i="1"/>
  <c r="AF1098" i="1" s="1"/>
  <c r="J1098" i="1"/>
  <c r="H1098" i="1"/>
  <c r="AE1098" i="1" s="1"/>
  <c r="AH1097" i="1"/>
  <c r="AD1097" i="1"/>
  <c r="K1097" i="1" s="1"/>
  <c r="AB1097" i="1"/>
  <c r="AF1097" i="1" s="1"/>
  <c r="J1097" i="1"/>
  <c r="H1097" i="1"/>
  <c r="AH1096" i="1"/>
  <c r="AD1096" i="1"/>
  <c r="AB1096" i="1"/>
  <c r="AF1096" i="1" s="1"/>
  <c r="K1096" i="1"/>
  <c r="J1096" i="1"/>
  <c r="H1096" i="1"/>
  <c r="AH1095" i="1"/>
  <c r="AD1095" i="1"/>
  <c r="K1095" i="1" s="1"/>
  <c r="AB1095" i="1"/>
  <c r="AF1095" i="1" s="1"/>
  <c r="J1095" i="1"/>
  <c r="H1095" i="1"/>
  <c r="AH1094" i="1"/>
  <c r="AF1094" i="1"/>
  <c r="AD1094" i="1"/>
  <c r="AB1094" i="1"/>
  <c r="J1094" i="1"/>
  <c r="H1094" i="1"/>
  <c r="AH1093" i="1"/>
  <c r="AF1093" i="1"/>
  <c r="AD1093" i="1"/>
  <c r="K1093" i="1" s="1"/>
  <c r="AB1093" i="1"/>
  <c r="J1093" i="1"/>
  <c r="H1093" i="1"/>
  <c r="AH1092" i="1"/>
  <c r="AD1092" i="1"/>
  <c r="K1092" i="1" s="1"/>
  <c r="AB1092" i="1"/>
  <c r="AF1092" i="1" s="1"/>
  <c r="J1092" i="1"/>
  <c r="H1092" i="1"/>
  <c r="AH1091" i="1"/>
  <c r="AF1091" i="1"/>
  <c r="AE1091" i="1"/>
  <c r="AD1091" i="1"/>
  <c r="K1091" i="1" s="1"/>
  <c r="AB1091" i="1"/>
  <c r="J1091" i="1"/>
  <c r="H1091" i="1"/>
  <c r="AH1090" i="1"/>
  <c r="AF1090" i="1"/>
  <c r="AE1090" i="1"/>
  <c r="AD1090" i="1"/>
  <c r="K1090" i="1" s="1"/>
  <c r="AB1090" i="1"/>
  <c r="J1090" i="1"/>
  <c r="H1090" i="1"/>
  <c r="AH1089" i="1"/>
  <c r="AF1089" i="1"/>
  <c r="AD1089" i="1"/>
  <c r="K1089" i="1" s="1"/>
  <c r="AB1089" i="1"/>
  <c r="J1089" i="1"/>
  <c r="H1089" i="1"/>
  <c r="AH1088" i="1"/>
  <c r="AF1088" i="1"/>
  <c r="AD1088" i="1"/>
  <c r="AE1088" i="1" s="1"/>
  <c r="AB1088" i="1"/>
  <c r="J1088" i="1"/>
  <c r="H1088" i="1"/>
  <c r="AH1087" i="1"/>
  <c r="AD1087" i="1"/>
  <c r="AB1087" i="1"/>
  <c r="AF1087" i="1" s="1"/>
  <c r="K1087" i="1"/>
  <c r="J1087" i="1"/>
  <c r="H1087" i="1"/>
  <c r="AH1086" i="1"/>
  <c r="AD1086" i="1"/>
  <c r="K1086" i="1" s="1"/>
  <c r="AB1086" i="1"/>
  <c r="AF1086" i="1" s="1"/>
  <c r="J1086" i="1"/>
  <c r="H1086" i="1"/>
  <c r="AH1085" i="1"/>
  <c r="AF1085" i="1"/>
  <c r="AD1085" i="1"/>
  <c r="K1085" i="1" s="1"/>
  <c r="AB1085" i="1"/>
  <c r="J1085" i="1"/>
  <c r="H1085" i="1"/>
  <c r="AH1084" i="1"/>
  <c r="AF1084" i="1"/>
  <c r="AD1084" i="1"/>
  <c r="K1084" i="1" s="1"/>
  <c r="AB1084" i="1"/>
  <c r="J1084" i="1"/>
  <c r="H1084" i="1"/>
  <c r="AH1083" i="1"/>
  <c r="AF1083" i="1"/>
  <c r="AD1083" i="1"/>
  <c r="K1083" i="1" s="1"/>
  <c r="AB1083" i="1"/>
  <c r="J1083" i="1"/>
  <c r="H1083" i="1"/>
  <c r="AH1082" i="1"/>
  <c r="AF1082" i="1"/>
  <c r="AD1082" i="1"/>
  <c r="K1082" i="1" s="1"/>
  <c r="AB1082" i="1"/>
  <c r="J1082" i="1"/>
  <c r="H1082" i="1"/>
  <c r="AH1081" i="1"/>
  <c r="AF1081" i="1"/>
  <c r="AD1081" i="1"/>
  <c r="K1081" i="1" s="1"/>
  <c r="AB1081" i="1"/>
  <c r="J1081" i="1"/>
  <c r="H1081" i="1"/>
  <c r="AH1080" i="1"/>
  <c r="AD1080" i="1"/>
  <c r="K1080" i="1" s="1"/>
  <c r="AB1080" i="1"/>
  <c r="AF1080" i="1" s="1"/>
  <c r="J1080" i="1"/>
  <c r="H1080" i="1"/>
  <c r="AH1079" i="1"/>
  <c r="AD1079" i="1"/>
  <c r="K1079" i="1" s="1"/>
  <c r="AB1079" i="1"/>
  <c r="AF1079" i="1" s="1"/>
  <c r="J1079" i="1"/>
  <c r="H1079" i="1"/>
  <c r="AH1078" i="1"/>
  <c r="AD1078" i="1"/>
  <c r="K1078" i="1" s="1"/>
  <c r="AB1078" i="1"/>
  <c r="AF1078" i="1" s="1"/>
  <c r="J1078" i="1"/>
  <c r="H1078" i="1"/>
  <c r="AH1077" i="1"/>
  <c r="AF1077" i="1"/>
  <c r="AE1077" i="1"/>
  <c r="AD1077" i="1"/>
  <c r="K1077" i="1" s="1"/>
  <c r="AB1077" i="1"/>
  <c r="J1077" i="1"/>
  <c r="H1077" i="1"/>
  <c r="AH1076" i="1"/>
  <c r="AD1076" i="1"/>
  <c r="K1076" i="1" s="1"/>
  <c r="AB1076" i="1"/>
  <c r="AF1076" i="1" s="1"/>
  <c r="J1076" i="1"/>
  <c r="H1076" i="1"/>
  <c r="AH1075" i="1"/>
  <c r="AD1075" i="1"/>
  <c r="AB1075" i="1"/>
  <c r="AF1075" i="1" s="1"/>
  <c r="K1075" i="1"/>
  <c r="J1075" i="1"/>
  <c r="H1075" i="1"/>
  <c r="AH1074" i="1"/>
  <c r="AD1074" i="1"/>
  <c r="AB1074" i="1"/>
  <c r="AF1074" i="1" s="1"/>
  <c r="J1074" i="1"/>
  <c r="H1074" i="1"/>
  <c r="AH1073" i="1"/>
  <c r="AF1073" i="1"/>
  <c r="AD1073" i="1"/>
  <c r="AE1073" i="1" s="1"/>
  <c r="AB1073" i="1"/>
  <c r="J1073" i="1"/>
  <c r="H1073" i="1"/>
  <c r="AH1072" i="1"/>
  <c r="AF1072" i="1"/>
  <c r="AE1072" i="1"/>
  <c r="AD1072" i="1"/>
  <c r="K1072" i="1" s="1"/>
  <c r="AB1072" i="1"/>
  <c r="J1072" i="1"/>
  <c r="H1072" i="1"/>
  <c r="AH1071" i="1"/>
  <c r="AD1071" i="1"/>
  <c r="K1071" i="1" s="1"/>
  <c r="AB1071" i="1"/>
  <c r="AF1071" i="1" s="1"/>
  <c r="J1071" i="1"/>
  <c r="H1071" i="1"/>
  <c r="AH1070" i="1"/>
  <c r="AF1070" i="1"/>
  <c r="AD1070" i="1"/>
  <c r="AB1070" i="1"/>
  <c r="J1070" i="1"/>
  <c r="H1070" i="1"/>
  <c r="AH1069" i="1"/>
  <c r="AF1069" i="1"/>
  <c r="AE1069" i="1"/>
  <c r="AD1069" i="1"/>
  <c r="K1069" i="1" s="1"/>
  <c r="AB1069" i="1"/>
  <c r="J1069" i="1"/>
  <c r="H1069" i="1"/>
  <c r="AH1068" i="1"/>
  <c r="AD1068" i="1"/>
  <c r="K1068" i="1" s="1"/>
  <c r="AB1068" i="1"/>
  <c r="AF1068" i="1" s="1"/>
  <c r="J1068" i="1"/>
  <c r="H1068" i="1"/>
  <c r="AH1067" i="1"/>
  <c r="AF1067" i="1"/>
  <c r="AD1067" i="1"/>
  <c r="K1067" i="1" s="1"/>
  <c r="AB1067" i="1"/>
  <c r="J1067" i="1"/>
  <c r="H1067" i="1"/>
  <c r="AH1066" i="1"/>
  <c r="AD1066" i="1"/>
  <c r="AB1066" i="1"/>
  <c r="AF1066" i="1" s="1"/>
  <c r="J1066" i="1"/>
  <c r="H1066" i="1"/>
  <c r="AH1065" i="1"/>
  <c r="AF1065" i="1"/>
  <c r="AD1065" i="1"/>
  <c r="AB1065" i="1"/>
  <c r="J1065" i="1"/>
  <c r="H1065" i="1"/>
  <c r="AH1064" i="1"/>
  <c r="AD1064" i="1"/>
  <c r="K1064" i="1" s="1"/>
  <c r="AB1064" i="1"/>
  <c r="AF1064" i="1" s="1"/>
  <c r="J1064" i="1"/>
  <c r="H1064" i="1"/>
  <c r="AH1063" i="1"/>
  <c r="AD1063" i="1"/>
  <c r="K1063" i="1" s="1"/>
  <c r="AB1063" i="1"/>
  <c r="AF1063" i="1" s="1"/>
  <c r="J1063" i="1"/>
  <c r="H1063" i="1"/>
  <c r="AH1062" i="1"/>
  <c r="AD1062" i="1"/>
  <c r="K1062" i="1" s="1"/>
  <c r="AB1062" i="1"/>
  <c r="AF1062" i="1" s="1"/>
  <c r="J1062" i="1"/>
  <c r="H1062" i="1"/>
  <c r="AH1061" i="1"/>
  <c r="AD1061" i="1"/>
  <c r="K1061" i="1" s="1"/>
  <c r="AB1061" i="1"/>
  <c r="AF1061" i="1" s="1"/>
  <c r="J1061" i="1"/>
  <c r="H1061" i="1"/>
  <c r="AH1060" i="1"/>
  <c r="AF1060" i="1"/>
  <c r="AD1060" i="1"/>
  <c r="AE1060" i="1" s="1"/>
  <c r="AB1060" i="1"/>
  <c r="K1060" i="1"/>
  <c r="J1060" i="1"/>
  <c r="H1060" i="1"/>
  <c r="AH1059" i="1"/>
  <c r="AD1059" i="1"/>
  <c r="AE1059" i="1" s="1"/>
  <c r="AB1059" i="1"/>
  <c r="AF1059" i="1" s="1"/>
  <c r="J1059" i="1"/>
  <c r="H1059" i="1"/>
  <c r="AH1058" i="1"/>
  <c r="AF1058" i="1"/>
  <c r="AD1058" i="1"/>
  <c r="K1058" i="1" s="1"/>
  <c r="AB1058" i="1"/>
  <c r="J1058" i="1"/>
  <c r="H1058" i="1"/>
  <c r="AH1057" i="1"/>
  <c r="AD1057" i="1"/>
  <c r="K1057" i="1" s="1"/>
  <c r="AB1057" i="1"/>
  <c r="AF1057" i="1" s="1"/>
  <c r="J1057" i="1"/>
  <c r="H1057" i="1"/>
  <c r="AH1056" i="1"/>
  <c r="AD1056" i="1"/>
  <c r="K1056" i="1" s="1"/>
  <c r="AB1056" i="1"/>
  <c r="AF1056" i="1" s="1"/>
  <c r="J1056" i="1"/>
  <c r="H1056" i="1"/>
  <c r="AH1055" i="1"/>
  <c r="AF1055" i="1"/>
  <c r="AD1055" i="1"/>
  <c r="AE1055" i="1" s="1"/>
  <c r="AB1055" i="1"/>
  <c r="J1055" i="1"/>
  <c r="H1055" i="1"/>
  <c r="AH1054" i="1"/>
  <c r="AF1054" i="1"/>
  <c r="AD1054" i="1"/>
  <c r="AB1054" i="1"/>
  <c r="J1054" i="1"/>
  <c r="H1054" i="1"/>
  <c r="AH1053" i="1"/>
  <c r="AF1053" i="1"/>
  <c r="AD1053" i="1"/>
  <c r="AB1053" i="1"/>
  <c r="J1053" i="1"/>
  <c r="H1053" i="1"/>
  <c r="AH1052" i="1"/>
  <c r="AD1052" i="1"/>
  <c r="K1052" i="1" s="1"/>
  <c r="AB1052" i="1"/>
  <c r="AF1052" i="1" s="1"/>
  <c r="J1052" i="1"/>
  <c r="H1052" i="1"/>
  <c r="AH1051" i="1"/>
  <c r="AD1051" i="1"/>
  <c r="K1051" i="1" s="1"/>
  <c r="AB1051" i="1"/>
  <c r="AF1051" i="1" s="1"/>
  <c r="J1051" i="1"/>
  <c r="H1051" i="1"/>
  <c r="AH1050" i="1"/>
  <c r="AD1050" i="1"/>
  <c r="K1050" i="1" s="1"/>
  <c r="AB1050" i="1"/>
  <c r="AF1050" i="1" s="1"/>
  <c r="J1050" i="1"/>
  <c r="H1050" i="1"/>
  <c r="AE1050" i="1" s="1"/>
  <c r="AH1049" i="1"/>
  <c r="AF1049" i="1"/>
  <c r="AD1049" i="1"/>
  <c r="K1049" i="1" s="1"/>
  <c r="AB1049" i="1"/>
  <c r="J1049" i="1"/>
  <c r="H1049" i="1"/>
  <c r="AH1048" i="1"/>
  <c r="AF1048" i="1"/>
  <c r="AD1048" i="1"/>
  <c r="K1048" i="1" s="1"/>
  <c r="AB1048" i="1"/>
  <c r="J1048" i="1"/>
  <c r="H1048" i="1"/>
  <c r="AH1047" i="1"/>
  <c r="AF1047" i="1"/>
  <c r="AD1047" i="1"/>
  <c r="AE1047" i="1" s="1"/>
  <c r="AB1047" i="1"/>
  <c r="J1047" i="1"/>
  <c r="H1047" i="1"/>
  <c r="AH1046" i="1"/>
  <c r="AF1046" i="1"/>
  <c r="AD1046" i="1"/>
  <c r="AB1046" i="1"/>
  <c r="J1046" i="1"/>
  <c r="H1046" i="1"/>
  <c r="AH1045" i="1"/>
  <c r="AD1045" i="1"/>
  <c r="AB1045" i="1"/>
  <c r="AF1045" i="1" s="1"/>
  <c r="J1045" i="1"/>
  <c r="H1045" i="1"/>
  <c r="AH1044" i="1"/>
  <c r="AF1044" i="1"/>
  <c r="AD1044" i="1"/>
  <c r="K1044" i="1" s="1"/>
  <c r="AB1044" i="1"/>
  <c r="J1044" i="1"/>
  <c r="H1044" i="1"/>
  <c r="AH1043" i="1"/>
  <c r="AF1043" i="1"/>
  <c r="AE1043" i="1"/>
  <c r="AD1043" i="1"/>
  <c r="K1043" i="1" s="1"/>
  <c r="AB1043" i="1"/>
  <c r="J1043" i="1"/>
  <c r="H1043" i="1"/>
  <c r="AH1042" i="1"/>
  <c r="AF1042" i="1"/>
  <c r="AE1042" i="1"/>
  <c r="AD1042" i="1"/>
  <c r="K1042" i="1" s="1"/>
  <c r="AB1042" i="1"/>
  <c r="J1042" i="1"/>
  <c r="H1042" i="1"/>
  <c r="AH1041" i="1"/>
  <c r="AF1041" i="1"/>
  <c r="AE1041" i="1"/>
  <c r="AD1041" i="1"/>
  <c r="K1041" i="1" s="1"/>
  <c r="AB1041" i="1"/>
  <c r="J1041" i="1"/>
  <c r="H1041" i="1"/>
  <c r="AH1040" i="1"/>
  <c r="AF1040" i="1"/>
  <c r="AE1040" i="1"/>
  <c r="AD1040" i="1"/>
  <c r="K1040" i="1" s="1"/>
  <c r="AB1040" i="1"/>
  <c r="J1040" i="1"/>
  <c r="H1040" i="1"/>
  <c r="AH1039" i="1"/>
  <c r="AF1039" i="1"/>
  <c r="AD1039" i="1"/>
  <c r="K1039" i="1" s="1"/>
  <c r="AB1039" i="1"/>
  <c r="J1039" i="1"/>
  <c r="H1039" i="1"/>
  <c r="AH1038" i="1"/>
  <c r="AD1038" i="1"/>
  <c r="K1038" i="1" s="1"/>
  <c r="AB1038" i="1"/>
  <c r="AF1038" i="1" s="1"/>
  <c r="J1038" i="1"/>
  <c r="H1038" i="1"/>
  <c r="AH1037" i="1"/>
  <c r="AF1037" i="1"/>
  <c r="AD1037" i="1"/>
  <c r="K1037" i="1" s="1"/>
  <c r="AB1037" i="1"/>
  <c r="J1037" i="1"/>
  <c r="H1037" i="1"/>
  <c r="AH1036" i="1"/>
  <c r="AF1036" i="1"/>
  <c r="AD1036" i="1"/>
  <c r="AB1036" i="1"/>
  <c r="J1036" i="1"/>
  <c r="H1036" i="1"/>
  <c r="AH1035" i="1"/>
  <c r="AF1035" i="1"/>
  <c r="AD1035" i="1"/>
  <c r="AB1035" i="1"/>
  <c r="J1035" i="1"/>
  <c r="H1035" i="1"/>
  <c r="AH1034" i="1"/>
  <c r="AF1034" i="1"/>
  <c r="AD1034" i="1"/>
  <c r="AB1034" i="1"/>
  <c r="J1034" i="1"/>
  <c r="H1034" i="1"/>
  <c r="AH1033" i="1"/>
  <c r="AF1033" i="1"/>
  <c r="AE1033" i="1"/>
  <c r="AD1033" i="1"/>
  <c r="K1033" i="1" s="1"/>
  <c r="AB1033" i="1"/>
  <c r="J1033" i="1"/>
  <c r="H1033" i="1"/>
  <c r="AH1032" i="1"/>
  <c r="AF1032" i="1"/>
  <c r="AD1032" i="1"/>
  <c r="AE1032" i="1" s="1"/>
  <c r="AB1032" i="1"/>
  <c r="J1032" i="1"/>
  <c r="H1032" i="1"/>
  <c r="AH1031" i="1"/>
  <c r="AF1031" i="1"/>
  <c r="AD1031" i="1"/>
  <c r="AB1031" i="1"/>
  <c r="J1031" i="1"/>
  <c r="H1031" i="1"/>
  <c r="AH1030" i="1"/>
  <c r="AD1030" i="1"/>
  <c r="AB1030" i="1"/>
  <c r="AF1030" i="1" s="1"/>
  <c r="J1030" i="1"/>
  <c r="H1030" i="1"/>
  <c r="AH1029" i="1"/>
  <c r="AD1029" i="1"/>
  <c r="K1029" i="1" s="1"/>
  <c r="AB1029" i="1"/>
  <c r="AF1029" i="1" s="1"/>
  <c r="J1029" i="1"/>
  <c r="H1029" i="1"/>
  <c r="AH1028" i="1"/>
  <c r="AF1028" i="1"/>
  <c r="AE1028" i="1"/>
  <c r="AD1028" i="1"/>
  <c r="K1028" i="1" s="1"/>
  <c r="AB1028" i="1"/>
  <c r="J1028" i="1"/>
  <c r="H1028" i="1"/>
  <c r="AH1027" i="1"/>
  <c r="AD1027" i="1"/>
  <c r="AB1027" i="1"/>
  <c r="AF1027" i="1" s="1"/>
  <c r="K1027" i="1"/>
  <c r="J1027" i="1"/>
  <c r="H1027" i="1"/>
  <c r="AH1026" i="1"/>
  <c r="AF1026" i="1"/>
  <c r="AE1026" i="1"/>
  <c r="AD1026" i="1"/>
  <c r="K1026" i="1" s="1"/>
  <c r="AB1026" i="1"/>
  <c r="J1026" i="1"/>
  <c r="H1026" i="1"/>
  <c r="AH1025" i="1"/>
  <c r="AD1025" i="1"/>
  <c r="AB1025" i="1"/>
  <c r="AF1025" i="1" s="1"/>
  <c r="J1025" i="1"/>
  <c r="H1025" i="1"/>
  <c r="AH1024" i="1"/>
  <c r="AD1024" i="1"/>
  <c r="AE1024" i="1" s="1"/>
  <c r="AB1024" i="1"/>
  <c r="AF1024" i="1" s="1"/>
  <c r="J1024" i="1"/>
  <c r="H1024" i="1"/>
  <c r="AH1023" i="1"/>
  <c r="AD1023" i="1"/>
  <c r="K1023" i="1" s="1"/>
  <c r="AB1023" i="1"/>
  <c r="AF1023" i="1" s="1"/>
  <c r="J1023" i="1"/>
  <c r="H1023" i="1"/>
  <c r="AH1022" i="1"/>
  <c r="AD1022" i="1"/>
  <c r="K1022" i="1" s="1"/>
  <c r="AB1022" i="1"/>
  <c r="AF1022" i="1" s="1"/>
  <c r="J1022" i="1"/>
  <c r="H1022" i="1"/>
  <c r="AH1021" i="1"/>
  <c r="AF1021" i="1"/>
  <c r="AD1021" i="1"/>
  <c r="K1021" i="1" s="1"/>
  <c r="AB1021" i="1"/>
  <c r="J1021" i="1"/>
  <c r="H1021" i="1"/>
  <c r="AH1020" i="1"/>
  <c r="AF1020" i="1"/>
  <c r="AD1020" i="1"/>
  <c r="AE1020" i="1" s="1"/>
  <c r="AB1020" i="1"/>
  <c r="K1020" i="1"/>
  <c r="J1020" i="1"/>
  <c r="H1020" i="1"/>
  <c r="AH1019" i="1"/>
  <c r="AF1019" i="1"/>
  <c r="AE1019" i="1"/>
  <c r="AD1019" i="1"/>
  <c r="AB1019" i="1"/>
  <c r="K1019" i="1"/>
  <c r="J1019" i="1"/>
  <c r="H1019" i="1"/>
  <c r="AH1018" i="1"/>
  <c r="AF1018" i="1"/>
  <c r="AD1018" i="1"/>
  <c r="AB1018" i="1"/>
  <c r="J1018" i="1"/>
  <c r="H1018" i="1"/>
  <c r="AH1017" i="1"/>
  <c r="AD1017" i="1"/>
  <c r="AB1017" i="1"/>
  <c r="AF1017" i="1" s="1"/>
  <c r="J1017" i="1"/>
  <c r="H1017" i="1"/>
  <c r="AH1016" i="1"/>
  <c r="AD1016" i="1"/>
  <c r="K1016" i="1" s="1"/>
  <c r="AB1016" i="1"/>
  <c r="AF1016" i="1" s="1"/>
  <c r="J1016" i="1"/>
  <c r="H1016" i="1"/>
  <c r="AE1016" i="1" s="1"/>
  <c r="AH1015" i="1"/>
  <c r="AF1015" i="1"/>
  <c r="AD1015" i="1"/>
  <c r="AB1015" i="1"/>
  <c r="J1015" i="1"/>
  <c r="H1015" i="1"/>
  <c r="AH1014" i="1"/>
  <c r="AF1014" i="1"/>
  <c r="AD1014" i="1"/>
  <c r="AE1014" i="1" s="1"/>
  <c r="AB1014" i="1"/>
  <c r="K1014" i="1"/>
  <c r="J1014" i="1"/>
  <c r="H1014" i="1"/>
  <c r="AH1013" i="1"/>
  <c r="AF1013" i="1"/>
  <c r="AE1013" i="1"/>
  <c r="AD1013" i="1"/>
  <c r="K1013" i="1" s="1"/>
  <c r="AB1013" i="1"/>
  <c r="J1013" i="1"/>
  <c r="H1013" i="1"/>
  <c r="AH1012" i="1"/>
  <c r="AD1012" i="1"/>
  <c r="AB1012" i="1"/>
  <c r="AF1012" i="1" s="1"/>
  <c r="K1012" i="1"/>
  <c r="J1012" i="1"/>
  <c r="H1012" i="1"/>
  <c r="AE1012" i="1" s="1"/>
  <c r="AH1011" i="1"/>
  <c r="AD1011" i="1"/>
  <c r="AB1011" i="1"/>
  <c r="AF1011" i="1" s="1"/>
  <c r="J1011" i="1"/>
  <c r="H1011" i="1"/>
  <c r="AH1010" i="1"/>
  <c r="AF1010" i="1"/>
  <c r="AD1010" i="1"/>
  <c r="AE1010" i="1" s="1"/>
  <c r="AB1010" i="1"/>
  <c r="K1010" i="1"/>
  <c r="J1010" i="1"/>
  <c r="H1010" i="1"/>
  <c r="AH1009" i="1"/>
  <c r="AF1009" i="1"/>
  <c r="AD1009" i="1"/>
  <c r="K1009" i="1" s="1"/>
  <c r="AB1009" i="1"/>
  <c r="J1009" i="1"/>
  <c r="H1009" i="1"/>
  <c r="AH1008" i="1"/>
  <c r="AF1008" i="1"/>
  <c r="AE1008" i="1"/>
  <c r="AD1008" i="1"/>
  <c r="K1008" i="1" s="1"/>
  <c r="AB1008" i="1"/>
  <c r="J1008" i="1"/>
  <c r="H1008" i="1"/>
  <c r="AH1007" i="1"/>
  <c r="AD1007" i="1"/>
  <c r="K1007" i="1" s="1"/>
  <c r="AB1007" i="1"/>
  <c r="AF1007" i="1" s="1"/>
  <c r="J1007" i="1"/>
  <c r="H1007" i="1"/>
  <c r="AH1006" i="1"/>
  <c r="AF1006" i="1"/>
  <c r="AD1006" i="1"/>
  <c r="AB1006" i="1"/>
  <c r="J1006" i="1"/>
  <c r="H1006" i="1"/>
  <c r="AH1005" i="1"/>
  <c r="AF1005" i="1"/>
  <c r="AD1005" i="1"/>
  <c r="AE1005" i="1" s="1"/>
  <c r="AB1005" i="1"/>
  <c r="K1005" i="1"/>
  <c r="J1005" i="1"/>
  <c r="H1005" i="1"/>
  <c r="AH1004" i="1"/>
  <c r="AD1004" i="1"/>
  <c r="K1004" i="1" s="1"/>
  <c r="AB1004" i="1"/>
  <c r="AF1004" i="1" s="1"/>
  <c r="J1004" i="1"/>
  <c r="H1004" i="1"/>
  <c r="AH1003" i="1"/>
  <c r="AF1003" i="1"/>
  <c r="AD1003" i="1"/>
  <c r="AB1003" i="1"/>
  <c r="J1003" i="1"/>
  <c r="H1003" i="1"/>
  <c r="AH1002" i="1"/>
  <c r="AD1002" i="1"/>
  <c r="K1002" i="1" s="1"/>
  <c r="AB1002" i="1"/>
  <c r="AF1002" i="1" s="1"/>
  <c r="J1002" i="1"/>
  <c r="H1002" i="1"/>
  <c r="AH1001" i="1"/>
  <c r="AF1001" i="1"/>
  <c r="AD1001" i="1"/>
  <c r="K1001" i="1" s="1"/>
  <c r="AB1001" i="1"/>
  <c r="J1001" i="1"/>
  <c r="H1001" i="1"/>
  <c r="AH1000" i="1"/>
  <c r="AF1000" i="1"/>
  <c r="AD1000" i="1"/>
  <c r="AB1000" i="1"/>
  <c r="J1000" i="1"/>
  <c r="H1000" i="1"/>
  <c r="AH999" i="1"/>
  <c r="AF999" i="1"/>
  <c r="AD999" i="1"/>
  <c r="AE999" i="1" s="1"/>
  <c r="AB999" i="1"/>
  <c r="K999" i="1"/>
  <c r="J999" i="1"/>
  <c r="H999" i="1"/>
  <c r="AH998" i="1"/>
  <c r="AF998" i="1"/>
  <c r="AD998" i="1"/>
  <c r="AE998" i="1" s="1"/>
  <c r="AB998" i="1"/>
  <c r="K998" i="1"/>
  <c r="J998" i="1"/>
  <c r="H998" i="1"/>
  <c r="AH997" i="1"/>
  <c r="AD997" i="1"/>
  <c r="AB997" i="1"/>
  <c r="AF997" i="1" s="1"/>
  <c r="J997" i="1"/>
  <c r="H997" i="1"/>
  <c r="AH996" i="1"/>
  <c r="AF996" i="1"/>
  <c r="AD996" i="1"/>
  <c r="AB996" i="1"/>
  <c r="J996" i="1"/>
  <c r="H996" i="1"/>
  <c r="AH995" i="1"/>
  <c r="AD995" i="1"/>
  <c r="K995" i="1" s="1"/>
  <c r="AB995" i="1"/>
  <c r="AF995" i="1" s="1"/>
  <c r="J995" i="1"/>
  <c r="H995" i="1"/>
  <c r="AH994" i="1"/>
  <c r="AD994" i="1"/>
  <c r="K994" i="1" s="1"/>
  <c r="AB994" i="1"/>
  <c r="AF994" i="1" s="1"/>
  <c r="J994" i="1"/>
  <c r="H994" i="1"/>
  <c r="AE994" i="1" s="1"/>
  <c r="AH993" i="1"/>
  <c r="AF993" i="1"/>
  <c r="AD993" i="1"/>
  <c r="AB993" i="1"/>
  <c r="J993" i="1"/>
  <c r="H993" i="1"/>
  <c r="AH992" i="1"/>
  <c r="AF992" i="1"/>
  <c r="AD992" i="1"/>
  <c r="K992" i="1" s="1"/>
  <c r="AB992" i="1"/>
  <c r="J992" i="1"/>
  <c r="H992" i="1"/>
  <c r="AH991" i="1"/>
  <c r="AF991" i="1"/>
  <c r="AD991" i="1"/>
  <c r="AE991" i="1" s="1"/>
  <c r="AB991" i="1"/>
  <c r="J991" i="1"/>
  <c r="H991" i="1"/>
  <c r="AH990" i="1"/>
  <c r="AD990" i="1"/>
  <c r="AB990" i="1"/>
  <c r="AF990" i="1" s="1"/>
  <c r="K990" i="1"/>
  <c r="J990" i="1"/>
  <c r="H990" i="1"/>
  <c r="AE990" i="1" s="1"/>
  <c r="AH989" i="1"/>
  <c r="AF989" i="1"/>
  <c r="AD989" i="1"/>
  <c r="AE989" i="1" s="1"/>
  <c r="AB989" i="1"/>
  <c r="J989" i="1"/>
  <c r="H989" i="1"/>
  <c r="AH988" i="1"/>
  <c r="AF988" i="1"/>
  <c r="AD988" i="1"/>
  <c r="K988" i="1" s="1"/>
  <c r="AB988" i="1"/>
  <c r="J988" i="1"/>
  <c r="H988" i="1"/>
  <c r="AH987" i="1"/>
  <c r="AF987" i="1"/>
  <c r="AD987" i="1"/>
  <c r="K987" i="1" s="1"/>
  <c r="AB987" i="1"/>
  <c r="J987" i="1"/>
  <c r="H987" i="1"/>
  <c r="AH986" i="1"/>
  <c r="AF986" i="1"/>
  <c r="AE986" i="1"/>
  <c r="AD986" i="1"/>
  <c r="K986" i="1" s="1"/>
  <c r="AB986" i="1"/>
  <c r="J986" i="1"/>
  <c r="H986" i="1"/>
  <c r="AH985" i="1"/>
  <c r="AD985" i="1"/>
  <c r="K985" i="1" s="1"/>
  <c r="AB985" i="1"/>
  <c r="AF985" i="1" s="1"/>
  <c r="J985" i="1"/>
  <c r="H985" i="1"/>
  <c r="AE985" i="1" s="1"/>
  <c r="AH984" i="1"/>
  <c r="AF984" i="1"/>
  <c r="AD984" i="1"/>
  <c r="K984" i="1" s="1"/>
  <c r="AB984" i="1"/>
  <c r="J984" i="1"/>
  <c r="H984" i="1"/>
  <c r="AH983" i="1"/>
  <c r="AF983" i="1"/>
  <c r="AE983" i="1"/>
  <c r="AD983" i="1"/>
  <c r="K983" i="1" s="1"/>
  <c r="AB983" i="1"/>
  <c r="J983" i="1"/>
  <c r="H983" i="1"/>
  <c r="AH982" i="1"/>
  <c r="AF982" i="1"/>
  <c r="AD982" i="1"/>
  <c r="AB982" i="1"/>
  <c r="J982" i="1"/>
  <c r="H982" i="1"/>
  <c r="AH981" i="1"/>
  <c r="AD981" i="1"/>
  <c r="K981" i="1" s="1"/>
  <c r="AB981" i="1"/>
  <c r="AF981" i="1" s="1"/>
  <c r="J981" i="1"/>
  <c r="H981" i="1"/>
  <c r="AH980" i="1"/>
  <c r="AF980" i="1"/>
  <c r="AD980" i="1"/>
  <c r="K980" i="1" s="1"/>
  <c r="AB980" i="1"/>
  <c r="J980" i="1"/>
  <c r="H980" i="1"/>
  <c r="AH979" i="1"/>
  <c r="AD979" i="1"/>
  <c r="K979" i="1" s="1"/>
  <c r="AB979" i="1"/>
  <c r="AF979" i="1" s="1"/>
  <c r="J979" i="1"/>
  <c r="H979" i="1"/>
  <c r="AE979" i="1" s="1"/>
  <c r="AH978" i="1"/>
  <c r="AF978" i="1"/>
  <c r="AE978" i="1"/>
  <c r="AD978" i="1"/>
  <c r="K978" i="1" s="1"/>
  <c r="AB978" i="1"/>
  <c r="J978" i="1"/>
  <c r="H978" i="1"/>
  <c r="AH977" i="1"/>
  <c r="AD977" i="1"/>
  <c r="K977" i="1" s="1"/>
  <c r="AB977" i="1"/>
  <c r="AF977" i="1" s="1"/>
  <c r="J977" i="1"/>
  <c r="H977" i="1"/>
  <c r="AH976" i="1"/>
  <c r="AD976" i="1"/>
  <c r="K976" i="1" s="1"/>
  <c r="AB976" i="1"/>
  <c r="AF976" i="1" s="1"/>
  <c r="J976" i="1"/>
  <c r="H976" i="1"/>
  <c r="AH975" i="1"/>
  <c r="AD975" i="1"/>
  <c r="K975" i="1" s="1"/>
  <c r="AB975" i="1"/>
  <c r="AF975" i="1" s="1"/>
  <c r="J975" i="1"/>
  <c r="H975" i="1"/>
  <c r="AH974" i="1"/>
  <c r="AF974" i="1"/>
  <c r="AD974" i="1"/>
  <c r="AB974" i="1"/>
  <c r="J974" i="1"/>
  <c r="H974" i="1"/>
  <c r="AH973" i="1"/>
  <c r="AF973" i="1"/>
  <c r="AD973" i="1"/>
  <c r="AB973" i="1"/>
  <c r="J973" i="1"/>
  <c r="H973" i="1"/>
  <c r="AH972" i="1"/>
  <c r="AF972" i="1"/>
  <c r="AD972" i="1"/>
  <c r="K972" i="1" s="1"/>
  <c r="AB972" i="1"/>
  <c r="J972" i="1"/>
  <c r="H972" i="1"/>
  <c r="AH971" i="1"/>
  <c r="AF971" i="1"/>
  <c r="AD971" i="1"/>
  <c r="AE971" i="1" s="1"/>
  <c r="AB971" i="1"/>
  <c r="J971" i="1"/>
  <c r="H971" i="1"/>
  <c r="AH970" i="1"/>
  <c r="AF970" i="1"/>
  <c r="AE970" i="1"/>
  <c r="AD970" i="1"/>
  <c r="K970" i="1" s="1"/>
  <c r="AB970" i="1"/>
  <c r="J970" i="1"/>
  <c r="H970" i="1"/>
  <c r="AH969" i="1"/>
  <c r="AD969" i="1"/>
  <c r="K969" i="1" s="1"/>
  <c r="AB969" i="1"/>
  <c r="AF969" i="1" s="1"/>
  <c r="J969" i="1"/>
  <c r="H969" i="1"/>
  <c r="AH968" i="1"/>
  <c r="AF968" i="1"/>
  <c r="AD968" i="1"/>
  <c r="AE968" i="1" s="1"/>
  <c r="AB968" i="1"/>
  <c r="J968" i="1"/>
  <c r="H968" i="1"/>
  <c r="AH967" i="1"/>
  <c r="AF967" i="1"/>
  <c r="AD967" i="1"/>
  <c r="AB967" i="1"/>
  <c r="J967" i="1"/>
  <c r="H967" i="1"/>
  <c r="AH966" i="1"/>
  <c r="AF966" i="1"/>
  <c r="AD966" i="1"/>
  <c r="K966" i="1" s="1"/>
  <c r="AB966" i="1"/>
  <c r="J966" i="1"/>
  <c r="H966" i="1"/>
  <c r="AH965" i="1"/>
  <c r="AF965" i="1"/>
  <c r="AD965" i="1"/>
  <c r="AE965" i="1" s="1"/>
  <c r="AB965" i="1"/>
  <c r="J965" i="1"/>
  <c r="H965" i="1"/>
  <c r="AH964" i="1"/>
  <c r="AF964" i="1"/>
  <c r="AD964" i="1"/>
  <c r="K964" i="1" s="1"/>
  <c r="AB964" i="1"/>
  <c r="J964" i="1"/>
  <c r="H964" i="1"/>
  <c r="AH963" i="1"/>
  <c r="AF963" i="1"/>
  <c r="AE963" i="1"/>
  <c r="AD963" i="1"/>
  <c r="AB963" i="1"/>
  <c r="K963" i="1"/>
  <c r="J963" i="1"/>
  <c r="H963" i="1"/>
  <c r="AH962" i="1"/>
  <c r="AD962" i="1"/>
  <c r="K962" i="1" s="1"/>
  <c r="AB962" i="1"/>
  <c r="AF962" i="1" s="1"/>
  <c r="J962" i="1"/>
  <c r="H962" i="1"/>
  <c r="AH961" i="1"/>
  <c r="AF961" i="1"/>
  <c r="AD961" i="1"/>
  <c r="AE961" i="1" s="1"/>
  <c r="AB961" i="1"/>
  <c r="K961" i="1"/>
  <c r="J961" i="1"/>
  <c r="H961" i="1"/>
  <c r="AH960" i="1"/>
  <c r="AF960" i="1"/>
  <c r="AD960" i="1"/>
  <c r="K960" i="1" s="1"/>
  <c r="AB960" i="1"/>
  <c r="J960" i="1"/>
  <c r="H960" i="1"/>
  <c r="AH959" i="1"/>
  <c r="AF959" i="1"/>
  <c r="AE959" i="1"/>
  <c r="AD959" i="1"/>
  <c r="K959" i="1" s="1"/>
  <c r="AB959" i="1"/>
  <c r="J959" i="1"/>
  <c r="H959" i="1"/>
  <c r="AH958" i="1"/>
  <c r="AF958" i="1"/>
  <c r="AD958" i="1"/>
  <c r="AB958" i="1"/>
  <c r="J958" i="1"/>
  <c r="H958" i="1"/>
  <c r="AH957" i="1"/>
  <c r="AF957" i="1"/>
  <c r="AE957" i="1"/>
  <c r="AD957" i="1"/>
  <c r="K957" i="1" s="1"/>
  <c r="AB957" i="1"/>
  <c r="J957" i="1"/>
  <c r="H957" i="1"/>
  <c r="AH956" i="1"/>
  <c r="AD956" i="1"/>
  <c r="K956" i="1" s="1"/>
  <c r="AB956" i="1"/>
  <c r="AF956" i="1" s="1"/>
  <c r="J956" i="1"/>
  <c r="H956" i="1"/>
  <c r="AH955" i="1"/>
  <c r="AD955" i="1"/>
  <c r="K955" i="1" s="1"/>
  <c r="AB955" i="1"/>
  <c r="AF955" i="1" s="1"/>
  <c r="J955" i="1"/>
  <c r="H955" i="1"/>
  <c r="AH954" i="1"/>
  <c r="AD954" i="1"/>
  <c r="AB954" i="1"/>
  <c r="AF954" i="1" s="1"/>
  <c r="J954" i="1"/>
  <c r="H954" i="1"/>
  <c r="AH953" i="1"/>
  <c r="AD953" i="1"/>
  <c r="K953" i="1" s="1"/>
  <c r="AB953" i="1"/>
  <c r="AF953" i="1" s="1"/>
  <c r="J953" i="1"/>
  <c r="H953" i="1"/>
  <c r="AH952" i="1"/>
  <c r="AF952" i="1"/>
  <c r="AD952" i="1"/>
  <c r="AB952" i="1"/>
  <c r="J952" i="1"/>
  <c r="H952" i="1"/>
  <c r="AH951" i="1"/>
  <c r="AD951" i="1"/>
  <c r="K951" i="1" s="1"/>
  <c r="AB951" i="1"/>
  <c r="AF951" i="1" s="1"/>
  <c r="J951" i="1"/>
  <c r="H951" i="1"/>
  <c r="AE951" i="1" s="1"/>
  <c r="AH950" i="1"/>
  <c r="AD950" i="1"/>
  <c r="K950" i="1" s="1"/>
  <c r="AB950" i="1"/>
  <c r="AF950" i="1" s="1"/>
  <c r="J950" i="1"/>
  <c r="H950" i="1"/>
  <c r="AH949" i="1"/>
  <c r="AD949" i="1"/>
  <c r="AB949" i="1"/>
  <c r="AF949" i="1" s="1"/>
  <c r="K949" i="1"/>
  <c r="J949" i="1"/>
  <c r="H949" i="1"/>
  <c r="AE949" i="1" s="1"/>
  <c r="AH948" i="1"/>
  <c r="AD948" i="1"/>
  <c r="AB948" i="1"/>
  <c r="AF948" i="1" s="1"/>
  <c r="J948" i="1"/>
  <c r="H948" i="1"/>
  <c r="AH947" i="1"/>
  <c r="AF947" i="1"/>
  <c r="AD947" i="1"/>
  <c r="AE947" i="1" s="1"/>
  <c r="AB947" i="1"/>
  <c r="J947" i="1"/>
  <c r="H947" i="1"/>
  <c r="AH946" i="1"/>
  <c r="AF946" i="1"/>
  <c r="AD946" i="1"/>
  <c r="AB946" i="1"/>
  <c r="J946" i="1"/>
  <c r="H946" i="1"/>
  <c r="AH945" i="1"/>
  <c r="AF945" i="1"/>
  <c r="AE945" i="1"/>
  <c r="AD945" i="1"/>
  <c r="K945" i="1" s="1"/>
  <c r="AB945" i="1"/>
  <c r="J945" i="1"/>
  <c r="H945" i="1"/>
  <c r="AH944" i="1"/>
  <c r="AD944" i="1"/>
  <c r="K944" i="1" s="1"/>
  <c r="AB944" i="1"/>
  <c r="AF944" i="1" s="1"/>
  <c r="J944" i="1"/>
  <c r="H944" i="1"/>
  <c r="AE944" i="1" s="1"/>
  <c r="AH943" i="1"/>
  <c r="AF943" i="1"/>
  <c r="AE943" i="1"/>
  <c r="AD943" i="1"/>
  <c r="K943" i="1" s="1"/>
  <c r="AB943" i="1"/>
  <c r="J943" i="1"/>
  <c r="H943" i="1"/>
  <c r="AH942" i="1"/>
  <c r="AD942" i="1"/>
  <c r="AB942" i="1"/>
  <c r="AF942" i="1" s="1"/>
  <c r="K942" i="1"/>
  <c r="J942" i="1"/>
  <c r="H942" i="1"/>
  <c r="AH941" i="1"/>
  <c r="AF941" i="1"/>
  <c r="AE941" i="1"/>
  <c r="AD941" i="1"/>
  <c r="K941" i="1" s="1"/>
  <c r="AB941" i="1"/>
  <c r="J941" i="1"/>
  <c r="H941" i="1"/>
  <c r="AH940" i="1"/>
  <c r="AD940" i="1"/>
  <c r="K940" i="1" s="1"/>
  <c r="AB940" i="1"/>
  <c r="AF940" i="1" s="1"/>
  <c r="J940" i="1"/>
  <c r="H940" i="1"/>
  <c r="AH939" i="1"/>
  <c r="AF939" i="1"/>
  <c r="AD939" i="1"/>
  <c r="K939" i="1" s="1"/>
  <c r="AB939" i="1"/>
  <c r="J939" i="1"/>
  <c r="H939" i="1"/>
  <c r="AH938" i="1"/>
  <c r="AF938" i="1"/>
  <c r="AD938" i="1"/>
  <c r="K938" i="1" s="1"/>
  <c r="AB938" i="1"/>
  <c r="J938" i="1"/>
  <c r="H938" i="1"/>
  <c r="AH937" i="1"/>
  <c r="AF937" i="1"/>
  <c r="AD937" i="1"/>
  <c r="K937" i="1" s="1"/>
  <c r="AB937" i="1"/>
  <c r="J937" i="1"/>
  <c r="H937" i="1"/>
  <c r="AH936" i="1"/>
  <c r="AF936" i="1"/>
  <c r="AD936" i="1"/>
  <c r="AE936" i="1" s="1"/>
  <c r="AB936" i="1"/>
  <c r="K936" i="1"/>
  <c r="J936" i="1"/>
  <c r="H936" i="1"/>
  <c r="AH935" i="1"/>
  <c r="AF935" i="1"/>
  <c r="AD935" i="1"/>
  <c r="AE935" i="1" s="1"/>
  <c r="AB935" i="1"/>
  <c r="J935" i="1"/>
  <c r="H935" i="1"/>
  <c r="AH934" i="1"/>
  <c r="AF934" i="1"/>
  <c r="AD934" i="1"/>
  <c r="K934" i="1" s="1"/>
  <c r="AB934" i="1"/>
  <c r="J934" i="1"/>
  <c r="H934" i="1"/>
  <c r="AH933" i="1"/>
  <c r="AF933" i="1"/>
  <c r="AD933" i="1"/>
  <c r="AE933" i="1" s="1"/>
  <c r="AB933" i="1"/>
  <c r="K933" i="1"/>
  <c r="J933" i="1"/>
  <c r="H933" i="1"/>
  <c r="AH932" i="1"/>
  <c r="AF932" i="1"/>
  <c r="AD932" i="1"/>
  <c r="K932" i="1" s="1"/>
  <c r="AB932" i="1"/>
  <c r="J932" i="1"/>
  <c r="H932" i="1"/>
  <c r="AH931" i="1"/>
  <c r="AF931" i="1"/>
  <c r="AD931" i="1"/>
  <c r="K931" i="1" s="1"/>
  <c r="AB931" i="1"/>
  <c r="J931" i="1"/>
  <c r="H931" i="1"/>
  <c r="AH930" i="1"/>
  <c r="AF930" i="1"/>
  <c r="AD930" i="1"/>
  <c r="AB930" i="1"/>
  <c r="J930" i="1"/>
  <c r="H930" i="1"/>
  <c r="AH929" i="1"/>
  <c r="AD929" i="1"/>
  <c r="K929" i="1" s="1"/>
  <c r="AB929" i="1"/>
  <c r="AF929" i="1" s="1"/>
  <c r="J929" i="1"/>
  <c r="H929" i="1"/>
  <c r="AE929" i="1" s="1"/>
  <c r="AH928" i="1"/>
  <c r="AF928" i="1"/>
  <c r="AE928" i="1"/>
  <c r="AD928" i="1"/>
  <c r="K928" i="1" s="1"/>
  <c r="AB928" i="1"/>
  <c r="J928" i="1"/>
  <c r="H928" i="1"/>
  <c r="AH927" i="1"/>
  <c r="AF927" i="1"/>
  <c r="AD927" i="1"/>
  <c r="AE927" i="1" s="1"/>
  <c r="AB927" i="1"/>
  <c r="K927" i="1"/>
  <c r="J927" i="1"/>
  <c r="H927" i="1"/>
  <c r="AH926" i="1"/>
  <c r="AD926" i="1"/>
  <c r="K926" i="1" s="1"/>
  <c r="AB926" i="1"/>
  <c r="AF926" i="1" s="1"/>
  <c r="J926" i="1"/>
  <c r="H926" i="1"/>
  <c r="AH925" i="1"/>
  <c r="AF925" i="1"/>
  <c r="AD925" i="1"/>
  <c r="K925" i="1" s="1"/>
  <c r="AB925" i="1"/>
  <c r="J925" i="1"/>
  <c r="H925" i="1"/>
  <c r="AH924" i="1"/>
  <c r="AD924" i="1"/>
  <c r="K924" i="1" s="1"/>
  <c r="AB924" i="1"/>
  <c r="AF924" i="1" s="1"/>
  <c r="J924" i="1"/>
  <c r="H924" i="1"/>
  <c r="AH923" i="1"/>
  <c r="AF923" i="1"/>
  <c r="AD923" i="1"/>
  <c r="K923" i="1" s="1"/>
  <c r="AB923" i="1"/>
  <c r="J923" i="1"/>
  <c r="H923" i="1"/>
  <c r="AH922" i="1"/>
  <c r="AD922" i="1"/>
  <c r="K922" i="1" s="1"/>
  <c r="AB922" i="1"/>
  <c r="AF922" i="1" s="1"/>
  <c r="J922" i="1"/>
  <c r="H922" i="1"/>
  <c r="AE922" i="1" s="1"/>
  <c r="AH921" i="1"/>
  <c r="AF921" i="1"/>
  <c r="AE921" i="1"/>
  <c r="AD921" i="1"/>
  <c r="K921" i="1" s="1"/>
  <c r="AB921" i="1"/>
  <c r="J921" i="1"/>
  <c r="H921" i="1"/>
  <c r="AH920" i="1"/>
  <c r="AF920" i="1"/>
  <c r="AD920" i="1"/>
  <c r="AE920" i="1" s="1"/>
  <c r="AB920" i="1"/>
  <c r="K920" i="1"/>
  <c r="J920" i="1"/>
  <c r="H920" i="1"/>
  <c r="AH919" i="1"/>
  <c r="AF919" i="1"/>
  <c r="AE919" i="1"/>
  <c r="AD919" i="1"/>
  <c r="K919" i="1" s="1"/>
  <c r="AB919" i="1"/>
  <c r="J919" i="1"/>
  <c r="H919" i="1"/>
  <c r="AH918" i="1"/>
  <c r="AD918" i="1"/>
  <c r="AB918" i="1"/>
  <c r="AF918" i="1" s="1"/>
  <c r="J918" i="1"/>
  <c r="H918" i="1"/>
  <c r="AH917" i="1"/>
  <c r="AF917" i="1"/>
  <c r="AD917" i="1"/>
  <c r="K917" i="1" s="1"/>
  <c r="AB917" i="1"/>
  <c r="J917" i="1"/>
  <c r="H917" i="1"/>
  <c r="AH916" i="1"/>
  <c r="AD916" i="1"/>
  <c r="K916" i="1" s="1"/>
  <c r="AB916" i="1"/>
  <c r="AF916" i="1" s="1"/>
  <c r="J916" i="1"/>
  <c r="H916" i="1"/>
  <c r="AE916" i="1" s="1"/>
  <c r="AH915" i="1"/>
  <c r="AF915" i="1"/>
  <c r="AD915" i="1"/>
  <c r="K915" i="1" s="1"/>
  <c r="AB915" i="1"/>
  <c r="J915" i="1"/>
  <c r="H915" i="1"/>
  <c r="AH914" i="1"/>
  <c r="AF914" i="1"/>
  <c r="AE914" i="1"/>
  <c r="AD914" i="1"/>
  <c r="AB914" i="1"/>
  <c r="K914" i="1"/>
  <c r="J914" i="1"/>
  <c r="H914" i="1"/>
  <c r="AH913" i="1"/>
  <c r="AF913" i="1"/>
  <c r="AD913" i="1"/>
  <c r="K913" i="1" s="1"/>
  <c r="AB913" i="1"/>
  <c r="J913" i="1"/>
  <c r="H913" i="1"/>
  <c r="AH912" i="1"/>
  <c r="AF912" i="1"/>
  <c r="AD912" i="1"/>
  <c r="AE912" i="1" s="1"/>
  <c r="AB912" i="1"/>
  <c r="J912" i="1"/>
  <c r="H912" i="1"/>
  <c r="AH911" i="1"/>
  <c r="AD911" i="1"/>
  <c r="K911" i="1" s="1"/>
  <c r="AB911" i="1"/>
  <c r="AF911" i="1" s="1"/>
  <c r="J911" i="1"/>
  <c r="H911" i="1"/>
  <c r="AH910" i="1"/>
  <c r="AF910" i="1"/>
  <c r="AD910" i="1"/>
  <c r="AB910" i="1"/>
  <c r="J910" i="1"/>
  <c r="H910" i="1"/>
  <c r="AH909" i="1"/>
  <c r="AF909" i="1"/>
  <c r="AD909" i="1"/>
  <c r="K909" i="1" s="1"/>
  <c r="AB909" i="1"/>
  <c r="J909" i="1"/>
  <c r="H909" i="1"/>
  <c r="AH908" i="1"/>
  <c r="AF908" i="1"/>
  <c r="AE908" i="1"/>
  <c r="AD908" i="1"/>
  <c r="K908" i="1" s="1"/>
  <c r="AB908" i="1"/>
  <c r="J908" i="1"/>
  <c r="H908" i="1"/>
  <c r="AH907" i="1"/>
  <c r="AD907" i="1"/>
  <c r="K907" i="1" s="1"/>
  <c r="AB907" i="1"/>
  <c r="AF907" i="1" s="1"/>
  <c r="J907" i="1"/>
  <c r="H907" i="1"/>
  <c r="AH906" i="1"/>
  <c r="AD906" i="1"/>
  <c r="AB906" i="1"/>
  <c r="AF906" i="1" s="1"/>
  <c r="J906" i="1"/>
  <c r="H906" i="1"/>
  <c r="AH905" i="1"/>
  <c r="AD905" i="1"/>
  <c r="AB905" i="1"/>
  <c r="AF905" i="1" s="1"/>
  <c r="J905" i="1"/>
  <c r="H905" i="1"/>
  <c r="AH904" i="1"/>
  <c r="AD904" i="1"/>
  <c r="K904" i="1" s="1"/>
  <c r="AB904" i="1"/>
  <c r="AF904" i="1" s="1"/>
  <c r="J904" i="1"/>
  <c r="H904" i="1"/>
  <c r="AE904" i="1" s="1"/>
  <c r="AH903" i="1"/>
  <c r="AF903" i="1"/>
  <c r="AD903" i="1"/>
  <c r="K903" i="1" s="1"/>
  <c r="AB903" i="1"/>
  <c r="J903" i="1"/>
  <c r="H903" i="1"/>
  <c r="AH902" i="1"/>
  <c r="AF902" i="1"/>
  <c r="AD902" i="1"/>
  <c r="K902" i="1" s="1"/>
  <c r="AB902" i="1"/>
  <c r="J902" i="1"/>
  <c r="H902" i="1"/>
  <c r="AH901" i="1"/>
  <c r="AF901" i="1"/>
  <c r="AD901" i="1"/>
  <c r="K901" i="1" s="1"/>
  <c r="AB901" i="1"/>
  <c r="J901" i="1"/>
  <c r="H901" i="1"/>
  <c r="AH900" i="1"/>
  <c r="AF900" i="1"/>
  <c r="AD900" i="1"/>
  <c r="AE900" i="1" s="1"/>
  <c r="AB900" i="1"/>
  <c r="K900" i="1"/>
  <c r="J900" i="1"/>
  <c r="H900" i="1"/>
  <c r="AH899" i="1"/>
  <c r="AF899" i="1"/>
  <c r="AD899" i="1"/>
  <c r="AB899" i="1"/>
  <c r="J899" i="1"/>
  <c r="H899" i="1"/>
  <c r="AH898" i="1"/>
  <c r="AD898" i="1"/>
  <c r="K898" i="1" s="1"/>
  <c r="AB898" i="1"/>
  <c r="AF898" i="1" s="1"/>
  <c r="J898" i="1"/>
  <c r="H898" i="1"/>
  <c r="AH897" i="1"/>
  <c r="AF897" i="1"/>
  <c r="AD897" i="1"/>
  <c r="AB897" i="1"/>
  <c r="J897" i="1"/>
  <c r="H897" i="1"/>
  <c r="AH896" i="1"/>
  <c r="AF896" i="1"/>
  <c r="AE896" i="1"/>
  <c r="AD896" i="1"/>
  <c r="K896" i="1" s="1"/>
  <c r="AB896" i="1"/>
  <c r="J896" i="1"/>
  <c r="H896" i="1"/>
  <c r="AH895" i="1"/>
  <c r="AD895" i="1"/>
  <c r="K895" i="1" s="1"/>
  <c r="AB895" i="1"/>
  <c r="AF895" i="1" s="1"/>
  <c r="J895" i="1"/>
  <c r="H895" i="1"/>
  <c r="AE895" i="1" s="1"/>
  <c r="AH894" i="1"/>
  <c r="AF894" i="1"/>
  <c r="AD894" i="1"/>
  <c r="AB894" i="1"/>
  <c r="J894" i="1"/>
  <c r="H894" i="1"/>
  <c r="AH893" i="1"/>
  <c r="AF893" i="1"/>
  <c r="AD893" i="1"/>
  <c r="AE893" i="1" s="1"/>
  <c r="AB893" i="1"/>
  <c r="K893" i="1"/>
  <c r="J893" i="1"/>
  <c r="H893" i="1"/>
  <c r="AH892" i="1"/>
  <c r="AD892" i="1"/>
  <c r="K892" i="1" s="1"/>
  <c r="AB892" i="1"/>
  <c r="AF892" i="1" s="1"/>
  <c r="J892" i="1"/>
  <c r="H892" i="1"/>
  <c r="AH891" i="1"/>
  <c r="AD891" i="1"/>
  <c r="K891" i="1" s="1"/>
  <c r="AB891" i="1"/>
  <c r="AF891" i="1" s="1"/>
  <c r="J891" i="1"/>
  <c r="H891" i="1"/>
  <c r="AH890" i="1"/>
  <c r="AD890" i="1"/>
  <c r="K890" i="1" s="1"/>
  <c r="AB890" i="1"/>
  <c r="AF890" i="1" s="1"/>
  <c r="J890" i="1"/>
  <c r="H890" i="1"/>
  <c r="AE890" i="1" s="1"/>
  <c r="AH889" i="1"/>
  <c r="AD889" i="1"/>
  <c r="K889" i="1" s="1"/>
  <c r="AB889" i="1"/>
  <c r="AF889" i="1" s="1"/>
  <c r="J889" i="1"/>
  <c r="H889" i="1"/>
  <c r="AH888" i="1"/>
  <c r="AD888" i="1"/>
  <c r="K888" i="1" s="1"/>
  <c r="AB888" i="1"/>
  <c r="AF888" i="1" s="1"/>
  <c r="J888" i="1"/>
  <c r="H888" i="1"/>
  <c r="AH887" i="1"/>
  <c r="AF887" i="1"/>
  <c r="AD887" i="1"/>
  <c r="K887" i="1" s="1"/>
  <c r="AB887" i="1"/>
  <c r="J887" i="1"/>
  <c r="H887" i="1"/>
  <c r="AH886" i="1"/>
  <c r="AD886" i="1"/>
  <c r="K886" i="1" s="1"/>
  <c r="AB886" i="1"/>
  <c r="AF886" i="1" s="1"/>
  <c r="J886" i="1"/>
  <c r="H886" i="1"/>
  <c r="AH885" i="1"/>
  <c r="AD885" i="1"/>
  <c r="AB885" i="1"/>
  <c r="AF885" i="1" s="1"/>
  <c r="K885" i="1"/>
  <c r="J885" i="1"/>
  <c r="H885" i="1"/>
  <c r="AE885" i="1" s="1"/>
  <c r="AH884" i="1"/>
  <c r="AF884" i="1"/>
  <c r="AD884" i="1"/>
  <c r="AB884" i="1"/>
  <c r="J884" i="1"/>
  <c r="H884" i="1"/>
  <c r="AH883" i="1"/>
  <c r="AD883" i="1"/>
  <c r="K883" i="1" s="1"/>
  <c r="AB883" i="1"/>
  <c r="AF883" i="1" s="1"/>
  <c r="J883" i="1"/>
  <c r="H883" i="1"/>
  <c r="AE883" i="1" s="1"/>
  <c r="AH882" i="1"/>
  <c r="AD882" i="1"/>
  <c r="K882" i="1" s="1"/>
  <c r="AB882" i="1"/>
  <c r="AF882" i="1" s="1"/>
  <c r="J882" i="1"/>
  <c r="H882" i="1"/>
  <c r="AH881" i="1"/>
  <c r="AF881" i="1"/>
  <c r="AD881" i="1"/>
  <c r="AB881" i="1"/>
  <c r="K881" i="1"/>
  <c r="J881" i="1"/>
  <c r="H881" i="1"/>
  <c r="AE881" i="1" s="1"/>
  <c r="AH880" i="1"/>
  <c r="AD880" i="1"/>
  <c r="K880" i="1" s="1"/>
  <c r="AB880" i="1"/>
  <c r="AF880" i="1" s="1"/>
  <c r="J880" i="1"/>
  <c r="H880" i="1"/>
  <c r="AH879" i="1"/>
  <c r="AF879" i="1"/>
  <c r="AD879" i="1"/>
  <c r="AB879" i="1"/>
  <c r="J879" i="1"/>
  <c r="H879" i="1"/>
  <c r="AH878" i="1"/>
  <c r="AD878" i="1"/>
  <c r="K878" i="1" s="1"/>
  <c r="AB878" i="1"/>
  <c r="AF878" i="1" s="1"/>
  <c r="J878" i="1"/>
  <c r="H878" i="1"/>
  <c r="AE878" i="1" s="1"/>
  <c r="AH877" i="1"/>
  <c r="AF877" i="1"/>
  <c r="AD877" i="1"/>
  <c r="AB877" i="1"/>
  <c r="J877" i="1"/>
  <c r="H877" i="1"/>
  <c r="AH876" i="1"/>
  <c r="AD876" i="1"/>
  <c r="K876" i="1" s="1"/>
  <c r="AB876" i="1"/>
  <c r="AF876" i="1" s="1"/>
  <c r="J876" i="1"/>
  <c r="H876" i="1"/>
  <c r="AH875" i="1"/>
  <c r="AF875" i="1"/>
  <c r="AD875" i="1"/>
  <c r="K875" i="1" s="1"/>
  <c r="AB875" i="1"/>
  <c r="J875" i="1"/>
  <c r="H875" i="1"/>
  <c r="AH874" i="1"/>
  <c r="AF874" i="1"/>
  <c r="AD874" i="1"/>
  <c r="AB874" i="1"/>
  <c r="J874" i="1"/>
  <c r="H874" i="1"/>
  <c r="AH873" i="1"/>
  <c r="AF873" i="1"/>
  <c r="AD873" i="1"/>
  <c r="K873" i="1" s="1"/>
  <c r="AB873" i="1"/>
  <c r="J873" i="1"/>
  <c r="H873" i="1"/>
  <c r="AH872" i="1"/>
  <c r="AF872" i="1"/>
  <c r="AD872" i="1"/>
  <c r="AB872" i="1"/>
  <c r="J872" i="1"/>
  <c r="H872" i="1"/>
  <c r="AH871" i="1"/>
  <c r="AD871" i="1"/>
  <c r="K871" i="1" s="1"/>
  <c r="AB871" i="1"/>
  <c r="AF871" i="1" s="1"/>
  <c r="J871" i="1"/>
  <c r="H871" i="1"/>
  <c r="AH870" i="1"/>
  <c r="AF870" i="1"/>
  <c r="AD870" i="1"/>
  <c r="K870" i="1" s="1"/>
  <c r="AB870" i="1"/>
  <c r="J870" i="1"/>
  <c r="H870" i="1"/>
  <c r="AH869" i="1"/>
  <c r="AF869" i="1"/>
  <c r="AD869" i="1"/>
  <c r="AB869" i="1"/>
  <c r="J869" i="1"/>
  <c r="H869" i="1"/>
  <c r="AH868" i="1"/>
  <c r="AF868" i="1"/>
  <c r="AD868" i="1"/>
  <c r="AE868" i="1" s="1"/>
  <c r="AB868" i="1"/>
  <c r="K868" i="1"/>
  <c r="J868" i="1"/>
  <c r="H868" i="1"/>
  <c r="AH867" i="1"/>
  <c r="AD867" i="1"/>
  <c r="AB867" i="1"/>
  <c r="AF867" i="1" s="1"/>
  <c r="K867" i="1"/>
  <c r="J867" i="1"/>
  <c r="H867" i="1"/>
  <c r="AE867" i="1" s="1"/>
  <c r="AH866" i="1"/>
  <c r="AF866" i="1"/>
  <c r="AD866" i="1"/>
  <c r="AB866" i="1"/>
  <c r="J866" i="1"/>
  <c r="H866" i="1"/>
  <c r="AH865" i="1"/>
  <c r="AD865" i="1"/>
  <c r="AE865" i="1" s="1"/>
  <c r="AB865" i="1"/>
  <c r="AF865" i="1" s="1"/>
  <c r="J865" i="1"/>
  <c r="H865" i="1"/>
  <c r="AH864" i="1"/>
  <c r="AF864" i="1"/>
  <c r="AE864" i="1"/>
  <c r="AD864" i="1"/>
  <c r="AB864" i="1"/>
  <c r="K864" i="1"/>
  <c r="J864" i="1"/>
  <c r="H864" i="1"/>
  <c r="AH863" i="1"/>
  <c r="AD863" i="1"/>
  <c r="AB863" i="1"/>
  <c r="AF863" i="1" s="1"/>
  <c r="J863" i="1"/>
  <c r="H863" i="1"/>
  <c r="AH862" i="1"/>
  <c r="AF862" i="1"/>
  <c r="AD862" i="1"/>
  <c r="AB862" i="1"/>
  <c r="J862" i="1"/>
  <c r="H862" i="1"/>
  <c r="AH861" i="1"/>
  <c r="AD861" i="1"/>
  <c r="K861" i="1" s="1"/>
  <c r="AB861" i="1"/>
  <c r="AF861" i="1" s="1"/>
  <c r="J861" i="1"/>
  <c r="H861" i="1"/>
  <c r="AH860" i="1"/>
  <c r="AD860" i="1"/>
  <c r="K860" i="1" s="1"/>
  <c r="AB860" i="1"/>
  <c r="AF860" i="1" s="1"/>
  <c r="J860" i="1"/>
  <c r="H860" i="1"/>
  <c r="AH859" i="1"/>
  <c r="AF859" i="1"/>
  <c r="AD859" i="1"/>
  <c r="K859" i="1" s="1"/>
  <c r="AB859" i="1"/>
  <c r="J859" i="1"/>
  <c r="H859" i="1"/>
  <c r="AH858" i="1"/>
  <c r="AF858" i="1"/>
  <c r="AE858" i="1"/>
  <c r="AD858" i="1"/>
  <c r="K858" i="1" s="1"/>
  <c r="AB858" i="1"/>
  <c r="J858" i="1"/>
  <c r="H858" i="1"/>
  <c r="AH857" i="1"/>
  <c r="AD857" i="1"/>
  <c r="AB857" i="1"/>
  <c r="AF857" i="1" s="1"/>
  <c r="K857" i="1"/>
  <c r="J857" i="1"/>
  <c r="H857" i="1"/>
  <c r="AE857" i="1" s="1"/>
  <c r="AH856" i="1"/>
  <c r="AF856" i="1"/>
  <c r="AD856" i="1"/>
  <c r="AB856" i="1"/>
  <c r="J856" i="1"/>
  <c r="H856" i="1"/>
  <c r="AH855" i="1"/>
  <c r="AF855" i="1"/>
  <c r="AD855" i="1"/>
  <c r="AB855" i="1"/>
  <c r="J855" i="1"/>
  <c r="H855" i="1"/>
  <c r="AH854" i="1"/>
  <c r="AD854" i="1"/>
  <c r="AB854" i="1"/>
  <c r="AF854" i="1" s="1"/>
  <c r="J854" i="1"/>
  <c r="H854" i="1"/>
  <c r="AH853" i="1"/>
  <c r="AF853" i="1"/>
  <c r="AD853" i="1"/>
  <c r="AE853" i="1" s="1"/>
  <c r="AB853" i="1"/>
  <c r="J853" i="1"/>
  <c r="H853" i="1"/>
  <c r="AH852" i="1"/>
  <c r="AF852" i="1"/>
  <c r="AD852" i="1"/>
  <c r="AE852" i="1" s="1"/>
  <c r="AB852" i="1"/>
  <c r="J852" i="1"/>
  <c r="H852" i="1"/>
  <c r="AH851" i="1"/>
  <c r="AF851" i="1"/>
  <c r="AD851" i="1"/>
  <c r="AB851" i="1"/>
  <c r="J851" i="1"/>
  <c r="H851" i="1"/>
  <c r="AH850" i="1"/>
  <c r="AF850" i="1"/>
  <c r="AD850" i="1"/>
  <c r="K850" i="1" s="1"/>
  <c r="AB850" i="1"/>
  <c r="J850" i="1"/>
  <c r="H850" i="1"/>
  <c r="AH849" i="1"/>
  <c r="AD849" i="1"/>
  <c r="K849" i="1" s="1"/>
  <c r="AB849" i="1"/>
  <c r="AF849" i="1" s="1"/>
  <c r="J849" i="1"/>
  <c r="H849" i="1"/>
  <c r="AH848" i="1"/>
  <c r="AF848" i="1"/>
  <c r="AD848" i="1"/>
  <c r="K848" i="1" s="1"/>
  <c r="AB848" i="1"/>
  <c r="J848" i="1"/>
  <c r="H848" i="1"/>
  <c r="AH847" i="1"/>
  <c r="AF847" i="1"/>
  <c r="AD847" i="1"/>
  <c r="AE847" i="1" s="1"/>
  <c r="AB847" i="1"/>
  <c r="K847" i="1"/>
  <c r="J847" i="1"/>
  <c r="H847" i="1"/>
  <c r="AH846" i="1"/>
  <c r="AF846" i="1"/>
  <c r="AD846" i="1"/>
  <c r="AB846" i="1"/>
  <c r="J846" i="1"/>
  <c r="H846" i="1"/>
  <c r="AH845" i="1"/>
  <c r="AD845" i="1"/>
  <c r="K845" i="1" s="1"/>
  <c r="AB845" i="1"/>
  <c r="AF845" i="1" s="1"/>
  <c r="J845" i="1"/>
  <c r="H845" i="1"/>
  <c r="AE845" i="1" s="1"/>
  <c r="AH844" i="1"/>
  <c r="AD844" i="1"/>
  <c r="K844" i="1" s="1"/>
  <c r="AB844" i="1"/>
  <c r="AF844" i="1" s="1"/>
  <c r="J844" i="1"/>
  <c r="H844" i="1"/>
  <c r="AH843" i="1"/>
  <c r="AD843" i="1"/>
  <c r="K843" i="1" s="1"/>
  <c r="AB843" i="1"/>
  <c r="AF843" i="1" s="1"/>
  <c r="J843" i="1"/>
  <c r="H843" i="1"/>
  <c r="AH842" i="1"/>
  <c r="AD842" i="1"/>
  <c r="K842" i="1" s="1"/>
  <c r="AB842" i="1"/>
  <c r="AF842" i="1" s="1"/>
  <c r="J842" i="1"/>
  <c r="H842" i="1"/>
  <c r="AH841" i="1"/>
  <c r="AF841" i="1"/>
  <c r="AD841" i="1"/>
  <c r="AB841" i="1"/>
  <c r="J841" i="1"/>
  <c r="H841" i="1"/>
  <c r="AH840" i="1"/>
  <c r="AF840" i="1"/>
  <c r="AD840" i="1"/>
  <c r="AB840" i="1"/>
  <c r="J840" i="1"/>
  <c r="H840" i="1"/>
  <c r="AH839" i="1"/>
  <c r="AD839" i="1"/>
  <c r="K839" i="1" s="1"/>
  <c r="AB839" i="1"/>
  <c r="AF839" i="1" s="1"/>
  <c r="J839" i="1"/>
  <c r="H839" i="1"/>
  <c r="AH838" i="1"/>
  <c r="AF838" i="1"/>
  <c r="AD838" i="1"/>
  <c r="AE838" i="1" s="1"/>
  <c r="AB838" i="1"/>
  <c r="J838" i="1"/>
  <c r="H838" i="1"/>
  <c r="AH837" i="1"/>
  <c r="AF837" i="1"/>
  <c r="AD837" i="1"/>
  <c r="AE837" i="1" s="1"/>
  <c r="AB837" i="1"/>
  <c r="J837" i="1"/>
  <c r="H837" i="1"/>
  <c r="AH836" i="1"/>
  <c r="AD836" i="1"/>
  <c r="K836" i="1" s="1"/>
  <c r="AB836" i="1"/>
  <c r="AF836" i="1" s="1"/>
  <c r="J836" i="1"/>
  <c r="H836" i="1"/>
  <c r="AH835" i="1"/>
  <c r="AF835" i="1"/>
  <c r="AD835" i="1"/>
  <c r="K835" i="1" s="1"/>
  <c r="AB835" i="1"/>
  <c r="J835" i="1"/>
  <c r="H835" i="1"/>
  <c r="AH834" i="1"/>
  <c r="AF834" i="1"/>
  <c r="AD834" i="1"/>
  <c r="AB834" i="1"/>
  <c r="J834" i="1"/>
  <c r="H834" i="1"/>
  <c r="AH833" i="1"/>
  <c r="AD833" i="1"/>
  <c r="K833" i="1" s="1"/>
  <c r="AB833" i="1"/>
  <c r="AF833" i="1" s="1"/>
  <c r="J833" i="1"/>
  <c r="H833" i="1"/>
  <c r="AE833" i="1" s="1"/>
  <c r="AH832" i="1"/>
  <c r="AD832" i="1"/>
  <c r="K832" i="1" s="1"/>
  <c r="AB832" i="1"/>
  <c r="AF832" i="1" s="1"/>
  <c r="J832" i="1"/>
  <c r="H832" i="1"/>
  <c r="AH831" i="1"/>
  <c r="AD831" i="1"/>
  <c r="K831" i="1" s="1"/>
  <c r="AB831" i="1"/>
  <c r="AF831" i="1" s="1"/>
  <c r="J831" i="1"/>
  <c r="H831" i="1"/>
  <c r="AH830" i="1"/>
  <c r="AD830" i="1"/>
  <c r="AB830" i="1"/>
  <c r="AF830" i="1" s="1"/>
  <c r="K830" i="1"/>
  <c r="J830" i="1"/>
  <c r="H830" i="1"/>
  <c r="AH829" i="1"/>
  <c r="AF829" i="1"/>
  <c r="AD829" i="1"/>
  <c r="K829" i="1" s="1"/>
  <c r="AB829" i="1"/>
  <c r="J829" i="1"/>
  <c r="H829" i="1"/>
  <c r="AH828" i="1"/>
  <c r="AF828" i="1"/>
  <c r="AD828" i="1"/>
  <c r="K828" i="1" s="1"/>
  <c r="AB828" i="1"/>
  <c r="J828" i="1"/>
  <c r="H828" i="1"/>
  <c r="AH827" i="1"/>
  <c r="AD827" i="1"/>
  <c r="K827" i="1" s="1"/>
  <c r="AB827" i="1"/>
  <c r="AF827" i="1" s="1"/>
  <c r="J827" i="1"/>
  <c r="H827" i="1"/>
  <c r="AH826" i="1"/>
  <c r="AD826" i="1"/>
  <c r="AB826" i="1"/>
  <c r="AF826" i="1" s="1"/>
  <c r="J826" i="1"/>
  <c r="H826" i="1"/>
  <c r="AH825" i="1"/>
  <c r="AF825" i="1"/>
  <c r="AD825" i="1"/>
  <c r="AE825" i="1" s="1"/>
  <c r="AB825" i="1"/>
  <c r="K825" i="1"/>
  <c r="J825" i="1"/>
  <c r="H825" i="1"/>
  <c r="AH824" i="1"/>
  <c r="AD824" i="1"/>
  <c r="K824" i="1" s="1"/>
  <c r="AB824" i="1"/>
  <c r="AF824" i="1" s="1"/>
  <c r="J824" i="1"/>
  <c r="H824" i="1"/>
  <c r="AH823" i="1"/>
  <c r="AF823" i="1"/>
  <c r="AD823" i="1"/>
  <c r="AB823" i="1"/>
  <c r="J823" i="1"/>
  <c r="H823" i="1"/>
  <c r="AH822" i="1"/>
  <c r="AF822" i="1"/>
  <c r="AD822" i="1"/>
  <c r="AE822" i="1" s="1"/>
  <c r="AB822" i="1"/>
  <c r="J822" i="1"/>
  <c r="H822" i="1"/>
  <c r="AH821" i="1"/>
  <c r="AD821" i="1"/>
  <c r="AB821" i="1"/>
  <c r="AF821" i="1" s="1"/>
  <c r="J821" i="1"/>
  <c r="H821" i="1"/>
  <c r="AH820" i="1"/>
  <c r="AD820" i="1"/>
  <c r="K820" i="1" s="1"/>
  <c r="AB820" i="1"/>
  <c r="AF820" i="1" s="1"/>
  <c r="J820" i="1"/>
  <c r="H820" i="1"/>
  <c r="AH819" i="1"/>
  <c r="AF819" i="1"/>
  <c r="AD819" i="1"/>
  <c r="AE819" i="1" s="1"/>
  <c r="AB819" i="1"/>
  <c r="J819" i="1"/>
  <c r="H819" i="1"/>
  <c r="AH818" i="1"/>
  <c r="AF818" i="1"/>
  <c r="AD818" i="1"/>
  <c r="AE818" i="1" s="1"/>
  <c r="AB818" i="1"/>
  <c r="K818" i="1"/>
  <c r="J818" i="1"/>
  <c r="H818" i="1"/>
  <c r="AH817" i="1"/>
  <c r="AD817" i="1"/>
  <c r="K817" i="1" s="1"/>
  <c r="AB817" i="1"/>
  <c r="AF817" i="1" s="1"/>
  <c r="J817" i="1"/>
  <c r="H817" i="1"/>
  <c r="AH816" i="1"/>
  <c r="AF816" i="1"/>
  <c r="AD816" i="1"/>
  <c r="K816" i="1" s="1"/>
  <c r="AB816" i="1"/>
  <c r="J816" i="1"/>
  <c r="H816" i="1"/>
  <c r="AH815" i="1"/>
  <c r="AF815" i="1"/>
  <c r="AD815" i="1"/>
  <c r="AE815" i="1" s="1"/>
  <c r="AB815" i="1"/>
  <c r="J815" i="1"/>
  <c r="H815" i="1"/>
  <c r="AH814" i="1"/>
  <c r="AD814" i="1"/>
  <c r="K814" i="1" s="1"/>
  <c r="AB814" i="1"/>
  <c r="AF814" i="1" s="1"/>
  <c r="J814" i="1"/>
  <c r="H814" i="1"/>
  <c r="AH813" i="1"/>
  <c r="AF813" i="1"/>
  <c r="AD813" i="1"/>
  <c r="AB813" i="1"/>
  <c r="J813" i="1"/>
  <c r="H813" i="1"/>
  <c r="AH812" i="1"/>
  <c r="AF812" i="1"/>
  <c r="AD812" i="1"/>
  <c r="AE812" i="1" s="1"/>
  <c r="AB812" i="1"/>
  <c r="K812" i="1"/>
  <c r="J812" i="1"/>
  <c r="H812" i="1"/>
  <c r="AH811" i="1"/>
  <c r="AD811" i="1"/>
  <c r="AB811" i="1"/>
  <c r="AF811" i="1" s="1"/>
  <c r="K811" i="1"/>
  <c r="J811" i="1"/>
  <c r="H811" i="1"/>
  <c r="AE811" i="1" s="1"/>
  <c r="AH810" i="1"/>
  <c r="AF810" i="1"/>
  <c r="AD810" i="1"/>
  <c r="AE810" i="1" s="1"/>
  <c r="AB810" i="1"/>
  <c r="J810" i="1"/>
  <c r="H810" i="1"/>
  <c r="AH809" i="1"/>
  <c r="AF809" i="1"/>
  <c r="AD809" i="1"/>
  <c r="AB809" i="1"/>
  <c r="J809" i="1"/>
  <c r="H809" i="1"/>
  <c r="AH808" i="1"/>
  <c r="AF808" i="1"/>
  <c r="AE808" i="1"/>
  <c r="AD808" i="1"/>
  <c r="AB808" i="1"/>
  <c r="K808" i="1"/>
  <c r="J808" i="1"/>
  <c r="H808" i="1"/>
  <c r="AH807" i="1"/>
  <c r="AF807" i="1"/>
  <c r="AD807" i="1"/>
  <c r="K807" i="1" s="1"/>
  <c r="AB807" i="1"/>
  <c r="J807" i="1"/>
  <c r="H807" i="1"/>
  <c r="AH806" i="1"/>
  <c r="AF806" i="1"/>
  <c r="AD806" i="1"/>
  <c r="K806" i="1" s="1"/>
  <c r="AB806" i="1"/>
  <c r="J806" i="1"/>
  <c r="H806" i="1"/>
  <c r="AH805" i="1"/>
  <c r="AF805" i="1"/>
  <c r="AD805" i="1"/>
  <c r="AB805" i="1"/>
  <c r="J805" i="1"/>
  <c r="H805" i="1"/>
  <c r="AH804" i="1"/>
  <c r="AF804" i="1"/>
  <c r="AD804" i="1"/>
  <c r="AE804" i="1" s="1"/>
  <c r="AB804" i="1"/>
  <c r="J804" i="1"/>
  <c r="H804" i="1"/>
  <c r="AH803" i="1"/>
  <c r="AF803" i="1"/>
  <c r="AD803" i="1"/>
  <c r="AE803" i="1" s="1"/>
  <c r="AB803" i="1"/>
  <c r="J803" i="1"/>
  <c r="H803" i="1"/>
  <c r="AH802" i="1"/>
  <c r="AF802" i="1"/>
  <c r="AE802" i="1"/>
  <c r="AD802" i="1"/>
  <c r="K802" i="1" s="1"/>
  <c r="AB802" i="1"/>
  <c r="J802" i="1"/>
  <c r="H802" i="1"/>
  <c r="AH801" i="1"/>
  <c r="AD801" i="1"/>
  <c r="K801" i="1" s="1"/>
  <c r="AB801" i="1"/>
  <c r="AF801" i="1" s="1"/>
  <c r="J801" i="1"/>
  <c r="H801" i="1"/>
  <c r="AH800" i="1"/>
  <c r="AF800" i="1"/>
  <c r="AD800" i="1"/>
  <c r="K800" i="1" s="1"/>
  <c r="AB800" i="1"/>
  <c r="J800" i="1"/>
  <c r="H800" i="1"/>
  <c r="AH799" i="1"/>
  <c r="AD799" i="1"/>
  <c r="K799" i="1" s="1"/>
  <c r="AB799" i="1"/>
  <c r="AF799" i="1" s="1"/>
  <c r="J799" i="1"/>
  <c r="H799" i="1"/>
  <c r="AH798" i="1"/>
  <c r="AD798" i="1"/>
  <c r="K798" i="1" s="1"/>
  <c r="AB798" i="1"/>
  <c r="AF798" i="1" s="1"/>
  <c r="J798" i="1"/>
  <c r="H798" i="1"/>
  <c r="AH797" i="1"/>
  <c r="AF797" i="1"/>
  <c r="AD797" i="1"/>
  <c r="K797" i="1" s="1"/>
  <c r="AB797" i="1"/>
  <c r="J797" i="1"/>
  <c r="H797" i="1"/>
  <c r="AH796" i="1"/>
  <c r="AF796" i="1"/>
  <c r="AD796" i="1"/>
  <c r="AE796" i="1" s="1"/>
  <c r="AB796" i="1"/>
  <c r="J796" i="1"/>
  <c r="H796" i="1"/>
  <c r="AH795" i="1"/>
  <c r="AD795" i="1"/>
  <c r="AB795" i="1"/>
  <c r="AF795" i="1" s="1"/>
  <c r="J795" i="1"/>
  <c r="H795" i="1"/>
  <c r="AH794" i="1"/>
  <c r="AF794" i="1"/>
  <c r="AD794" i="1"/>
  <c r="AE794" i="1" s="1"/>
  <c r="AB794" i="1"/>
  <c r="K794" i="1"/>
  <c r="J794" i="1"/>
  <c r="H794" i="1"/>
  <c r="AH793" i="1"/>
  <c r="AD793" i="1"/>
  <c r="K793" i="1" s="1"/>
  <c r="AB793" i="1"/>
  <c r="AF793" i="1" s="1"/>
  <c r="J793" i="1"/>
  <c r="H793" i="1"/>
  <c r="AH792" i="1"/>
  <c r="AF792" i="1"/>
  <c r="AD792" i="1"/>
  <c r="AB792" i="1"/>
  <c r="J792" i="1"/>
  <c r="H792" i="1"/>
  <c r="AH791" i="1"/>
  <c r="AF791" i="1"/>
  <c r="AD791" i="1"/>
  <c r="AE791" i="1" s="1"/>
  <c r="AB791" i="1"/>
  <c r="K791" i="1"/>
  <c r="J791" i="1"/>
  <c r="H791" i="1"/>
  <c r="AH790" i="1"/>
  <c r="AF790" i="1"/>
  <c r="AD790" i="1"/>
  <c r="K790" i="1" s="1"/>
  <c r="AB790" i="1"/>
  <c r="J790" i="1"/>
  <c r="H790" i="1"/>
  <c r="AH789" i="1"/>
  <c r="AD789" i="1"/>
  <c r="K789" i="1" s="1"/>
  <c r="AB789" i="1"/>
  <c r="AF789" i="1" s="1"/>
  <c r="J789" i="1"/>
  <c r="H789" i="1"/>
  <c r="AE789" i="1" s="1"/>
  <c r="AH788" i="1"/>
  <c r="AF788" i="1"/>
  <c r="AD788" i="1"/>
  <c r="K788" i="1" s="1"/>
  <c r="AB788" i="1"/>
  <c r="J788" i="1"/>
  <c r="H788" i="1"/>
  <c r="AH787" i="1"/>
  <c r="AD787" i="1"/>
  <c r="K787" i="1" s="1"/>
  <c r="AB787" i="1"/>
  <c r="AF787" i="1" s="1"/>
  <c r="J787" i="1"/>
  <c r="H787" i="1"/>
  <c r="AH786" i="1"/>
  <c r="AF786" i="1"/>
  <c r="AD786" i="1"/>
  <c r="AB786" i="1"/>
  <c r="J786" i="1"/>
  <c r="H786" i="1"/>
  <c r="AH785" i="1"/>
  <c r="AF785" i="1"/>
  <c r="AD785" i="1"/>
  <c r="AB785" i="1"/>
  <c r="J785" i="1"/>
  <c r="H785" i="1"/>
  <c r="AH784" i="1"/>
  <c r="AF784" i="1"/>
  <c r="AE784" i="1"/>
  <c r="AD784" i="1"/>
  <c r="AB784" i="1"/>
  <c r="K784" i="1"/>
  <c r="J784" i="1"/>
  <c r="H784" i="1"/>
  <c r="AH783" i="1"/>
  <c r="AF783" i="1"/>
  <c r="AD783" i="1"/>
  <c r="AB783" i="1"/>
  <c r="J783" i="1"/>
  <c r="H783" i="1"/>
  <c r="AH782" i="1"/>
  <c r="AF782" i="1"/>
  <c r="AD782" i="1"/>
  <c r="AE782" i="1" s="1"/>
  <c r="AB782" i="1"/>
  <c r="J782" i="1"/>
  <c r="H782" i="1"/>
  <c r="AH781" i="1"/>
  <c r="AF781" i="1"/>
  <c r="AD781" i="1"/>
  <c r="AE781" i="1" s="1"/>
  <c r="AB781" i="1"/>
  <c r="J781" i="1"/>
  <c r="H781" i="1"/>
  <c r="AH780" i="1"/>
  <c r="AD780" i="1"/>
  <c r="K780" i="1" s="1"/>
  <c r="AB780" i="1"/>
  <c r="AF780" i="1" s="1"/>
  <c r="J780" i="1"/>
  <c r="H780" i="1"/>
  <c r="AH779" i="1"/>
  <c r="AF779" i="1"/>
  <c r="AD779" i="1"/>
  <c r="K779" i="1" s="1"/>
  <c r="AB779" i="1"/>
  <c r="J779" i="1"/>
  <c r="H779" i="1"/>
  <c r="AH778" i="1"/>
  <c r="AF778" i="1"/>
  <c r="AD778" i="1"/>
  <c r="AB778" i="1"/>
  <c r="J778" i="1"/>
  <c r="H778" i="1"/>
  <c r="AH777" i="1"/>
  <c r="AD777" i="1"/>
  <c r="AB777" i="1"/>
  <c r="AF777" i="1" s="1"/>
  <c r="K777" i="1"/>
  <c r="J777" i="1"/>
  <c r="H777" i="1"/>
  <c r="AH776" i="1"/>
  <c r="AD776" i="1"/>
  <c r="K776" i="1" s="1"/>
  <c r="AB776" i="1"/>
  <c r="AF776" i="1" s="1"/>
  <c r="J776" i="1"/>
  <c r="H776" i="1"/>
  <c r="AH775" i="1"/>
  <c r="AD775" i="1"/>
  <c r="K775" i="1" s="1"/>
  <c r="AB775" i="1"/>
  <c r="AF775" i="1" s="1"/>
  <c r="J775" i="1"/>
  <c r="H775" i="1"/>
  <c r="AH774" i="1"/>
  <c r="AD774" i="1"/>
  <c r="K774" i="1" s="1"/>
  <c r="AB774" i="1"/>
  <c r="AF774" i="1" s="1"/>
  <c r="J774" i="1"/>
  <c r="H774" i="1"/>
  <c r="AH773" i="1"/>
  <c r="AD773" i="1"/>
  <c r="AB773" i="1"/>
  <c r="AF773" i="1" s="1"/>
  <c r="K773" i="1"/>
  <c r="J773" i="1"/>
  <c r="H773" i="1"/>
  <c r="AE773" i="1" s="1"/>
  <c r="AH772" i="1"/>
  <c r="AD772" i="1"/>
  <c r="K772" i="1" s="1"/>
  <c r="AB772" i="1"/>
  <c r="AF772" i="1" s="1"/>
  <c r="J772" i="1"/>
  <c r="H772" i="1"/>
  <c r="AH771" i="1"/>
  <c r="AF771" i="1"/>
  <c r="AD771" i="1"/>
  <c r="AB771" i="1"/>
  <c r="J771" i="1"/>
  <c r="H771" i="1"/>
  <c r="AH770" i="1"/>
  <c r="AF770" i="1"/>
  <c r="AE770" i="1"/>
  <c r="AD770" i="1"/>
  <c r="K770" i="1" s="1"/>
  <c r="AB770" i="1"/>
  <c r="J770" i="1"/>
  <c r="H770" i="1"/>
  <c r="AH769" i="1"/>
  <c r="AF769" i="1"/>
  <c r="AD769" i="1"/>
  <c r="AE769" i="1" s="1"/>
  <c r="AB769" i="1"/>
  <c r="K769" i="1"/>
  <c r="J769" i="1"/>
  <c r="H769" i="1"/>
  <c r="AH768" i="1"/>
  <c r="AD768" i="1"/>
  <c r="K768" i="1" s="1"/>
  <c r="AB768" i="1"/>
  <c r="AF768" i="1" s="1"/>
  <c r="J768" i="1"/>
  <c r="H768" i="1"/>
  <c r="AH767" i="1"/>
  <c r="AF767" i="1"/>
  <c r="AD767" i="1"/>
  <c r="AB767" i="1"/>
  <c r="J767" i="1"/>
  <c r="H767" i="1"/>
  <c r="AH766" i="1"/>
  <c r="AD766" i="1"/>
  <c r="K766" i="1" s="1"/>
  <c r="AB766" i="1"/>
  <c r="AF766" i="1" s="1"/>
  <c r="J766" i="1"/>
  <c r="H766" i="1"/>
  <c r="AH765" i="1"/>
  <c r="AD765" i="1"/>
  <c r="K765" i="1" s="1"/>
  <c r="AB765" i="1"/>
  <c r="AF765" i="1" s="1"/>
  <c r="J765" i="1"/>
  <c r="H765" i="1"/>
  <c r="AH764" i="1"/>
  <c r="AD764" i="1"/>
  <c r="K764" i="1" s="1"/>
  <c r="AB764" i="1"/>
  <c r="AF764" i="1" s="1"/>
  <c r="J764" i="1"/>
  <c r="H764" i="1"/>
  <c r="AH763" i="1"/>
  <c r="AF763" i="1"/>
  <c r="AD763" i="1"/>
  <c r="AE763" i="1" s="1"/>
  <c r="AB763" i="1"/>
  <c r="J763" i="1"/>
  <c r="H763" i="1"/>
  <c r="AH762" i="1"/>
  <c r="AD762" i="1"/>
  <c r="K762" i="1" s="1"/>
  <c r="AB762" i="1"/>
  <c r="AF762" i="1" s="1"/>
  <c r="J762" i="1"/>
  <c r="H762" i="1"/>
  <c r="AH761" i="1"/>
  <c r="AF761" i="1"/>
  <c r="AD761" i="1"/>
  <c r="AB761" i="1"/>
  <c r="J761" i="1"/>
  <c r="H761" i="1"/>
  <c r="AH760" i="1"/>
  <c r="AF760" i="1"/>
  <c r="AD760" i="1"/>
  <c r="AB760" i="1"/>
  <c r="J760" i="1"/>
  <c r="H760" i="1"/>
  <c r="AH759" i="1"/>
  <c r="AF759" i="1"/>
  <c r="AD759" i="1"/>
  <c r="AE759" i="1" s="1"/>
  <c r="AB759" i="1"/>
  <c r="K759" i="1"/>
  <c r="J759" i="1"/>
  <c r="H759" i="1"/>
  <c r="AH758" i="1"/>
  <c r="AF758" i="1"/>
  <c r="AD758" i="1"/>
  <c r="K758" i="1" s="1"/>
  <c r="AB758" i="1"/>
  <c r="J758" i="1"/>
  <c r="H758" i="1"/>
  <c r="AH757" i="1"/>
  <c r="AF757" i="1"/>
  <c r="AD757" i="1"/>
  <c r="AB757" i="1"/>
  <c r="J757" i="1"/>
  <c r="H757" i="1"/>
  <c r="AH756" i="1"/>
  <c r="AF756" i="1"/>
  <c r="AD756" i="1"/>
  <c r="AE756" i="1" s="1"/>
  <c r="AB756" i="1"/>
  <c r="J756" i="1"/>
  <c r="H756" i="1"/>
  <c r="AH755" i="1"/>
  <c r="AD755" i="1"/>
  <c r="K755" i="1" s="1"/>
  <c r="AB755" i="1"/>
  <c r="AF755" i="1" s="1"/>
  <c r="J755" i="1"/>
  <c r="H755" i="1"/>
  <c r="AH754" i="1"/>
  <c r="AD754" i="1"/>
  <c r="K754" i="1" s="1"/>
  <c r="AB754" i="1"/>
  <c r="AF754" i="1" s="1"/>
  <c r="J754" i="1"/>
  <c r="H754" i="1"/>
  <c r="AH753" i="1"/>
  <c r="AF753" i="1"/>
  <c r="AD753" i="1"/>
  <c r="K753" i="1" s="1"/>
  <c r="AB753" i="1"/>
  <c r="J753" i="1"/>
  <c r="H753" i="1"/>
  <c r="AH752" i="1"/>
  <c r="AF752" i="1"/>
  <c r="AD752" i="1"/>
  <c r="AE752" i="1" s="1"/>
  <c r="AB752" i="1"/>
  <c r="K752" i="1"/>
  <c r="J752" i="1"/>
  <c r="H752" i="1"/>
  <c r="AH751" i="1"/>
  <c r="AE751" i="1"/>
  <c r="AD751" i="1"/>
  <c r="K751" i="1" s="1"/>
  <c r="AB751" i="1"/>
  <c r="AF751" i="1" s="1"/>
  <c r="J751" i="1"/>
  <c r="H751" i="1"/>
  <c r="AH750" i="1"/>
  <c r="AF750" i="1"/>
  <c r="AD750" i="1"/>
  <c r="AB750" i="1"/>
  <c r="J750" i="1"/>
  <c r="H750" i="1"/>
  <c r="AH749" i="1"/>
  <c r="AF749" i="1"/>
  <c r="AD749" i="1"/>
  <c r="K749" i="1" s="1"/>
  <c r="AB749" i="1"/>
  <c r="J749" i="1"/>
  <c r="H749" i="1"/>
  <c r="AH748" i="1"/>
  <c r="AD748" i="1"/>
  <c r="AB748" i="1"/>
  <c r="AF748" i="1" s="1"/>
  <c r="K748" i="1"/>
  <c r="J748" i="1"/>
  <c r="H748" i="1"/>
  <c r="AE748" i="1" s="1"/>
  <c r="AH747" i="1"/>
  <c r="AD747" i="1"/>
  <c r="K747" i="1" s="1"/>
  <c r="AB747" i="1"/>
  <c r="AF747" i="1" s="1"/>
  <c r="J747" i="1"/>
  <c r="H747" i="1"/>
  <c r="AH746" i="1"/>
  <c r="AF746" i="1"/>
  <c r="AD746" i="1"/>
  <c r="AB746" i="1"/>
  <c r="J746" i="1"/>
  <c r="H746" i="1"/>
  <c r="AH745" i="1"/>
  <c r="AF745" i="1"/>
  <c r="AD745" i="1"/>
  <c r="AE745" i="1" s="1"/>
  <c r="AB745" i="1"/>
  <c r="J745" i="1"/>
  <c r="H745" i="1"/>
  <c r="AH744" i="1"/>
  <c r="AF744" i="1"/>
  <c r="AD744" i="1"/>
  <c r="AB744" i="1"/>
  <c r="J744" i="1"/>
  <c r="H744" i="1"/>
  <c r="AH743" i="1"/>
  <c r="AF743" i="1"/>
  <c r="AD743" i="1"/>
  <c r="AE743" i="1" s="1"/>
  <c r="AB743" i="1"/>
  <c r="J743" i="1"/>
  <c r="H743" i="1"/>
  <c r="AH742" i="1"/>
  <c r="AE742" i="1"/>
  <c r="AD742" i="1"/>
  <c r="K742" i="1" s="1"/>
  <c r="AB742" i="1"/>
  <c r="AF742" i="1" s="1"/>
  <c r="J742" i="1"/>
  <c r="H742" i="1"/>
  <c r="AH741" i="1"/>
  <c r="AF741" i="1"/>
  <c r="AD741" i="1"/>
  <c r="AE741" i="1" s="1"/>
  <c r="AB741" i="1"/>
  <c r="J741" i="1"/>
  <c r="H741" i="1"/>
  <c r="AH740" i="1"/>
  <c r="AD740" i="1"/>
  <c r="K740" i="1" s="1"/>
  <c r="AB740" i="1"/>
  <c r="AF740" i="1" s="1"/>
  <c r="J740" i="1"/>
  <c r="H740" i="1"/>
  <c r="AH739" i="1"/>
  <c r="AD739" i="1"/>
  <c r="K739" i="1" s="1"/>
  <c r="AB739" i="1"/>
  <c r="AF739" i="1" s="1"/>
  <c r="J739" i="1"/>
  <c r="H739" i="1"/>
  <c r="AH738" i="1"/>
  <c r="AD738" i="1"/>
  <c r="K738" i="1" s="1"/>
  <c r="AB738" i="1"/>
  <c r="AF738" i="1" s="1"/>
  <c r="J738" i="1"/>
  <c r="H738" i="1"/>
  <c r="AH737" i="1"/>
  <c r="AF737" i="1"/>
  <c r="AD737" i="1"/>
  <c r="K737" i="1" s="1"/>
  <c r="AB737" i="1"/>
  <c r="J737" i="1"/>
  <c r="H737" i="1"/>
  <c r="AH736" i="1"/>
  <c r="AD736" i="1"/>
  <c r="K736" i="1" s="1"/>
  <c r="AB736" i="1"/>
  <c r="AF736" i="1" s="1"/>
  <c r="J736" i="1"/>
  <c r="H736" i="1"/>
  <c r="AH735" i="1"/>
  <c r="AD735" i="1"/>
  <c r="K735" i="1" s="1"/>
  <c r="AB735" i="1"/>
  <c r="AF735" i="1" s="1"/>
  <c r="J735" i="1"/>
  <c r="H735" i="1"/>
  <c r="AH734" i="1"/>
  <c r="AF734" i="1"/>
  <c r="AD734" i="1"/>
  <c r="AE734" i="1" s="1"/>
  <c r="AB734" i="1"/>
  <c r="J734" i="1"/>
  <c r="H734" i="1"/>
  <c r="AH733" i="1"/>
  <c r="AF733" i="1"/>
  <c r="AD733" i="1"/>
  <c r="K733" i="1" s="1"/>
  <c r="AB733" i="1"/>
  <c r="J733" i="1"/>
  <c r="H733" i="1"/>
  <c r="AH732" i="1"/>
  <c r="AD732" i="1"/>
  <c r="AE732" i="1" s="1"/>
  <c r="AB732" i="1"/>
  <c r="AF732" i="1" s="1"/>
  <c r="J732" i="1"/>
  <c r="H732" i="1"/>
  <c r="AH731" i="1"/>
  <c r="AF731" i="1"/>
  <c r="AD731" i="1"/>
  <c r="K731" i="1" s="1"/>
  <c r="AB731" i="1"/>
  <c r="J731" i="1"/>
  <c r="H731" i="1"/>
  <c r="AH730" i="1"/>
  <c r="AF730" i="1"/>
  <c r="AD730" i="1"/>
  <c r="K730" i="1" s="1"/>
  <c r="AB730" i="1"/>
  <c r="J730" i="1"/>
  <c r="H730" i="1"/>
  <c r="AH729" i="1"/>
  <c r="AF729" i="1"/>
  <c r="AD729" i="1"/>
  <c r="AB729" i="1"/>
  <c r="J729" i="1"/>
  <c r="H729" i="1"/>
  <c r="AH728" i="1"/>
  <c r="AD728" i="1"/>
  <c r="K728" i="1" s="1"/>
  <c r="AB728" i="1"/>
  <c r="AF728" i="1" s="1"/>
  <c r="J728" i="1"/>
  <c r="H728" i="1"/>
  <c r="AH727" i="1"/>
  <c r="AD727" i="1"/>
  <c r="K727" i="1" s="1"/>
  <c r="AB727" i="1"/>
  <c r="AF727" i="1" s="1"/>
  <c r="J727" i="1"/>
  <c r="H727" i="1"/>
  <c r="AH726" i="1"/>
  <c r="AD726" i="1"/>
  <c r="K726" i="1" s="1"/>
  <c r="AB726" i="1"/>
  <c r="AF726" i="1" s="1"/>
  <c r="J726" i="1"/>
  <c r="H726" i="1"/>
  <c r="AE726" i="1" s="1"/>
  <c r="AH725" i="1"/>
  <c r="AD725" i="1"/>
  <c r="K725" i="1" s="1"/>
  <c r="AB725" i="1"/>
  <c r="AF725" i="1" s="1"/>
  <c r="J725" i="1"/>
  <c r="H725" i="1"/>
  <c r="AH724" i="1"/>
  <c r="AD724" i="1"/>
  <c r="AB724" i="1"/>
  <c r="AF724" i="1" s="1"/>
  <c r="K724" i="1"/>
  <c r="J724" i="1"/>
  <c r="H724" i="1"/>
  <c r="AH723" i="1"/>
  <c r="AF723" i="1"/>
  <c r="AD723" i="1"/>
  <c r="AB723" i="1"/>
  <c r="J723" i="1"/>
  <c r="H723" i="1"/>
  <c r="AH722" i="1"/>
  <c r="AD722" i="1"/>
  <c r="K722" i="1" s="1"/>
  <c r="AB722" i="1"/>
  <c r="AF722" i="1" s="1"/>
  <c r="J722" i="1"/>
  <c r="H722" i="1"/>
  <c r="AH721" i="1"/>
  <c r="AF721" i="1"/>
  <c r="AD721" i="1"/>
  <c r="AE721" i="1" s="1"/>
  <c r="AB721" i="1"/>
  <c r="J721" i="1"/>
  <c r="H721" i="1"/>
  <c r="AH720" i="1"/>
  <c r="AF720" i="1"/>
  <c r="AD720" i="1"/>
  <c r="AE720" i="1" s="1"/>
  <c r="AB720" i="1"/>
  <c r="J720" i="1"/>
  <c r="H720" i="1"/>
  <c r="AH719" i="1"/>
  <c r="AF719" i="1"/>
  <c r="AD719" i="1"/>
  <c r="K719" i="1" s="1"/>
  <c r="AB719" i="1"/>
  <c r="J719" i="1"/>
  <c r="H719" i="1"/>
  <c r="AH718" i="1"/>
  <c r="AF718" i="1"/>
  <c r="AD718" i="1"/>
  <c r="AE718" i="1" s="1"/>
  <c r="AB718" i="1"/>
  <c r="J718" i="1"/>
  <c r="H718" i="1"/>
  <c r="AH717" i="1"/>
  <c r="AF717" i="1"/>
  <c r="AD717" i="1"/>
  <c r="AB717" i="1"/>
  <c r="J717" i="1"/>
  <c r="H717" i="1"/>
  <c r="AH716" i="1"/>
  <c r="AF716" i="1"/>
  <c r="AD716" i="1"/>
  <c r="K716" i="1" s="1"/>
  <c r="AB716" i="1"/>
  <c r="J716" i="1"/>
  <c r="H716" i="1"/>
  <c r="AH715" i="1"/>
  <c r="AD715" i="1"/>
  <c r="K715" i="1" s="1"/>
  <c r="AB715" i="1"/>
  <c r="AF715" i="1" s="1"/>
  <c r="J715" i="1"/>
  <c r="H715" i="1"/>
  <c r="AH714" i="1"/>
  <c r="AD714" i="1"/>
  <c r="AE714" i="1" s="1"/>
  <c r="AB714" i="1"/>
  <c r="AF714" i="1" s="1"/>
  <c r="K714" i="1"/>
  <c r="J714" i="1"/>
  <c r="H714" i="1"/>
  <c r="AH713" i="1"/>
  <c r="AD713" i="1"/>
  <c r="K713" i="1" s="1"/>
  <c r="AB713" i="1"/>
  <c r="AF713" i="1" s="1"/>
  <c r="J713" i="1"/>
  <c r="H713" i="1"/>
  <c r="AH712" i="1"/>
  <c r="AD712" i="1"/>
  <c r="K712" i="1" s="1"/>
  <c r="AB712" i="1"/>
  <c r="AF712" i="1" s="1"/>
  <c r="J712" i="1"/>
  <c r="H712" i="1"/>
  <c r="AH711" i="1"/>
  <c r="AF711" i="1"/>
  <c r="AD711" i="1"/>
  <c r="AB711" i="1"/>
  <c r="J711" i="1"/>
  <c r="H711" i="1"/>
  <c r="AH710" i="1"/>
  <c r="AD710" i="1"/>
  <c r="K710" i="1" s="1"/>
  <c r="AB710" i="1"/>
  <c r="AF710" i="1" s="1"/>
  <c r="J710" i="1"/>
  <c r="H710" i="1"/>
  <c r="AE710" i="1" s="1"/>
  <c r="AH709" i="1"/>
  <c r="AD709" i="1"/>
  <c r="K709" i="1" s="1"/>
  <c r="AB709" i="1"/>
  <c r="AF709" i="1" s="1"/>
  <c r="J709" i="1"/>
  <c r="H709" i="1"/>
  <c r="AH708" i="1"/>
  <c r="AF708" i="1"/>
  <c r="AD708" i="1"/>
  <c r="AB708" i="1"/>
  <c r="J708" i="1"/>
  <c r="H708" i="1"/>
  <c r="AH707" i="1"/>
  <c r="AD707" i="1"/>
  <c r="AB707" i="1"/>
  <c r="AF707" i="1" s="1"/>
  <c r="K707" i="1"/>
  <c r="J707" i="1"/>
  <c r="H707" i="1"/>
  <c r="AE707" i="1" s="1"/>
  <c r="AH706" i="1"/>
  <c r="AF706" i="1"/>
  <c r="AD706" i="1"/>
  <c r="AB706" i="1"/>
  <c r="J706" i="1"/>
  <c r="H706" i="1"/>
  <c r="AH705" i="1"/>
  <c r="AF705" i="1"/>
  <c r="AD705" i="1"/>
  <c r="AB705" i="1"/>
  <c r="J705" i="1"/>
  <c r="H705" i="1"/>
  <c r="AH704" i="1"/>
  <c r="AD704" i="1"/>
  <c r="K704" i="1" s="1"/>
  <c r="AB704" i="1"/>
  <c r="AF704" i="1" s="1"/>
  <c r="J704" i="1"/>
  <c r="H704" i="1"/>
  <c r="AH703" i="1"/>
  <c r="AD703" i="1"/>
  <c r="K703" i="1" s="1"/>
  <c r="AB703" i="1"/>
  <c r="AF703" i="1" s="1"/>
  <c r="J703" i="1"/>
  <c r="H703" i="1"/>
  <c r="AH702" i="1"/>
  <c r="AD702" i="1"/>
  <c r="K702" i="1" s="1"/>
  <c r="AB702" i="1"/>
  <c r="AF702" i="1" s="1"/>
  <c r="J702" i="1"/>
  <c r="H702" i="1"/>
  <c r="AH701" i="1"/>
  <c r="AD701" i="1"/>
  <c r="K701" i="1" s="1"/>
  <c r="AB701" i="1"/>
  <c r="AF701" i="1" s="1"/>
  <c r="J701" i="1"/>
  <c r="H701" i="1"/>
  <c r="AH700" i="1"/>
  <c r="AF700" i="1"/>
  <c r="AD700" i="1"/>
  <c r="AE700" i="1" s="1"/>
  <c r="AB700" i="1"/>
  <c r="K700" i="1"/>
  <c r="J700" i="1"/>
  <c r="H700" i="1"/>
  <c r="AH699" i="1"/>
  <c r="AF699" i="1"/>
  <c r="AD699" i="1"/>
  <c r="AE699" i="1" s="1"/>
  <c r="AB699" i="1"/>
  <c r="J699" i="1"/>
  <c r="H699" i="1"/>
  <c r="AH698" i="1"/>
  <c r="AF698" i="1"/>
  <c r="AD698" i="1"/>
  <c r="K698" i="1" s="1"/>
  <c r="AB698" i="1"/>
  <c r="J698" i="1"/>
  <c r="H698" i="1"/>
  <c r="AH697" i="1"/>
  <c r="AD697" i="1"/>
  <c r="AB697" i="1"/>
  <c r="AF697" i="1" s="1"/>
  <c r="J697" i="1"/>
  <c r="H697" i="1"/>
  <c r="AH696" i="1"/>
  <c r="AD696" i="1"/>
  <c r="K696" i="1" s="1"/>
  <c r="AB696" i="1"/>
  <c r="AF696" i="1" s="1"/>
  <c r="J696" i="1"/>
  <c r="H696" i="1"/>
  <c r="AH695" i="1"/>
  <c r="AD695" i="1"/>
  <c r="AB695" i="1"/>
  <c r="AF695" i="1" s="1"/>
  <c r="J695" i="1"/>
  <c r="H695" i="1"/>
  <c r="AH694" i="1"/>
  <c r="AD694" i="1"/>
  <c r="K694" i="1" s="1"/>
  <c r="AB694" i="1"/>
  <c r="AF694" i="1" s="1"/>
  <c r="J694" i="1"/>
  <c r="H694" i="1"/>
  <c r="AH693" i="1"/>
  <c r="AF693" i="1"/>
  <c r="AD693" i="1"/>
  <c r="K693" i="1" s="1"/>
  <c r="AB693" i="1"/>
  <c r="J693" i="1"/>
  <c r="H693" i="1"/>
  <c r="AH692" i="1"/>
  <c r="AF692" i="1"/>
  <c r="AD692" i="1"/>
  <c r="AE692" i="1" s="1"/>
  <c r="AB692" i="1"/>
  <c r="J692" i="1"/>
  <c r="H692" i="1"/>
  <c r="AH691" i="1"/>
  <c r="AD691" i="1"/>
  <c r="K691" i="1" s="1"/>
  <c r="AB691" i="1"/>
  <c r="AF691" i="1" s="1"/>
  <c r="J691" i="1"/>
  <c r="H691" i="1"/>
  <c r="AH690" i="1"/>
  <c r="AD690" i="1"/>
  <c r="AB690" i="1"/>
  <c r="AF690" i="1" s="1"/>
  <c r="J690" i="1"/>
  <c r="H690" i="1"/>
  <c r="AH689" i="1"/>
  <c r="AF689" i="1"/>
  <c r="AD689" i="1"/>
  <c r="AE689" i="1" s="1"/>
  <c r="AB689" i="1"/>
  <c r="J689" i="1"/>
  <c r="H689" i="1"/>
  <c r="AH688" i="1"/>
  <c r="AD688" i="1"/>
  <c r="K688" i="1" s="1"/>
  <c r="AB688" i="1"/>
  <c r="AF688" i="1" s="1"/>
  <c r="J688" i="1"/>
  <c r="H688" i="1"/>
  <c r="AH687" i="1"/>
  <c r="AF687" i="1"/>
  <c r="AD687" i="1"/>
  <c r="AE687" i="1" s="1"/>
  <c r="AB687" i="1"/>
  <c r="J687" i="1"/>
  <c r="H687" i="1"/>
  <c r="AH686" i="1"/>
  <c r="AF686" i="1"/>
  <c r="AE686" i="1"/>
  <c r="AD686" i="1"/>
  <c r="K686" i="1" s="1"/>
  <c r="AB686" i="1"/>
  <c r="J686" i="1"/>
  <c r="H686" i="1"/>
  <c r="AH685" i="1"/>
  <c r="AF685" i="1"/>
  <c r="AD685" i="1"/>
  <c r="AE685" i="1" s="1"/>
  <c r="AB685" i="1"/>
  <c r="J685" i="1"/>
  <c r="H685" i="1"/>
  <c r="AH684" i="1"/>
  <c r="AF684" i="1"/>
  <c r="AD684" i="1"/>
  <c r="AB684" i="1"/>
  <c r="J684" i="1"/>
  <c r="H684" i="1"/>
  <c r="AH683" i="1"/>
  <c r="AD683" i="1"/>
  <c r="AB683" i="1"/>
  <c r="AF683" i="1" s="1"/>
  <c r="K683" i="1"/>
  <c r="J683" i="1"/>
  <c r="H683" i="1"/>
  <c r="AH682" i="1"/>
  <c r="AF682" i="1"/>
  <c r="AD682" i="1"/>
  <c r="K682" i="1" s="1"/>
  <c r="AB682" i="1"/>
  <c r="J682" i="1"/>
  <c r="H682" i="1"/>
  <c r="AH681" i="1"/>
  <c r="AD681" i="1"/>
  <c r="K681" i="1" s="1"/>
  <c r="AB681" i="1"/>
  <c r="AF681" i="1" s="1"/>
  <c r="J681" i="1"/>
  <c r="H681" i="1"/>
  <c r="AH680" i="1"/>
  <c r="AD680" i="1"/>
  <c r="AB680" i="1"/>
  <c r="AF680" i="1" s="1"/>
  <c r="K680" i="1"/>
  <c r="J680" i="1"/>
  <c r="H680" i="1"/>
  <c r="AH679" i="1"/>
  <c r="AF679" i="1"/>
  <c r="AD679" i="1"/>
  <c r="AE679" i="1" s="1"/>
  <c r="AB679" i="1"/>
  <c r="K679" i="1"/>
  <c r="J679" i="1"/>
  <c r="H679" i="1"/>
  <c r="AH678" i="1"/>
  <c r="AD678" i="1"/>
  <c r="K678" i="1" s="1"/>
  <c r="AB678" i="1"/>
  <c r="AF678" i="1" s="1"/>
  <c r="J678" i="1"/>
  <c r="H678" i="1"/>
  <c r="AH677" i="1"/>
  <c r="AF677" i="1"/>
  <c r="AD677" i="1"/>
  <c r="AB677" i="1"/>
  <c r="J677" i="1"/>
  <c r="H677" i="1"/>
  <c r="AH676" i="1"/>
  <c r="AF676" i="1"/>
  <c r="AD676" i="1"/>
  <c r="AB676" i="1"/>
  <c r="J676" i="1"/>
  <c r="H676" i="1"/>
  <c r="AH675" i="1"/>
  <c r="AF675" i="1"/>
  <c r="AD675" i="1"/>
  <c r="AE675" i="1" s="1"/>
  <c r="AB675" i="1"/>
  <c r="J675" i="1"/>
  <c r="H675" i="1"/>
  <c r="AH674" i="1"/>
  <c r="AD674" i="1"/>
  <c r="K674" i="1" s="1"/>
  <c r="AB674" i="1"/>
  <c r="AF674" i="1" s="1"/>
  <c r="J674" i="1"/>
  <c r="H674" i="1"/>
  <c r="AE674" i="1" s="1"/>
  <c r="AH673" i="1"/>
  <c r="AF673" i="1"/>
  <c r="AD673" i="1"/>
  <c r="K673" i="1" s="1"/>
  <c r="AB673" i="1"/>
  <c r="J673" i="1"/>
  <c r="H673" i="1"/>
  <c r="AH672" i="1"/>
  <c r="AF672" i="1"/>
  <c r="AD672" i="1"/>
  <c r="AE672" i="1" s="1"/>
  <c r="AB672" i="1"/>
  <c r="K672" i="1"/>
  <c r="J672" i="1"/>
  <c r="H672" i="1"/>
  <c r="AH671" i="1"/>
  <c r="AF671" i="1"/>
  <c r="AD671" i="1"/>
  <c r="AE671" i="1" s="1"/>
  <c r="AB671" i="1"/>
  <c r="J671" i="1"/>
  <c r="H671" i="1"/>
  <c r="AH670" i="1"/>
  <c r="AD670" i="1"/>
  <c r="K670" i="1" s="1"/>
  <c r="AB670" i="1"/>
  <c r="AF670" i="1" s="1"/>
  <c r="J670" i="1"/>
  <c r="H670" i="1"/>
  <c r="AE670" i="1" s="1"/>
  <c r="AH669" i="1"/>
  <c r="AF669" i="1"/>
  <c r="AD669" i="1"/>
  <c r="AE669" i="1" s="1"/>
  <c r="AB669" i="1"/>
  <c r="K669" i="1"/>
  <c r="J669" i="1"/>
  <c r="H669" i="1"/>
  <c r="AH668" i="1"/>
  <c r="AF668" i="1"/>
  <c r="AD668" i="1"/>
  <c r="AB668" i="1"/>
  <c r="J668" i="1"/>
  <c r="H668" i="1"/>
  <c r="AH667" i="1"/>
  <c r="AD667" i="1"/>
  <c r="K667" i="1" s="1"/>
  <c r="AB667" i="1"/>
  <c r="AF667" i="1" s="1"/>
  <c r="J667" i="1"/>
  <c r="H667" i="1"/>
  <c r="AE667" i="1" s="1"/>
  <c r="AH666" i="1"/>
  <c r="AF666" i="1"/>
  <c r="AD666" i="1"/>
  <c r="AE666" i="1" s="1"/>
  <c r="AB666" i="1"/>
  <c r="K666" i="1"/>
  <c r="J666" i="1"/>
  <c r="H666" i="1"/>
  <c r="AH665" i="1"/>
  <c r="AF665" i="1"/>
  <c r="AD665" i="1"/>
  <c r="AE665" i="1" s="1"/>
  <c r="AB665" i="1"/>
  <c r="J665" i="1"/>
  <c r="H665" i="1"/>
  <c r="AH664" i="1"/>
  <c r="AF664" i="1"/>
  <c r="AD664" i="1"/>
  <c r="AB664" i="1"/>
  <c r="J664" i="1"/>
  <c r="H664" i="1"/>
  <c r="AH663" i="1"/>
  <c r="AD663" i="1"/>
  <c r="K663" i="1" s="1"/>
  <c r="AB663" i="1"/>
  <c r="AF663" i="1" s="1"/>
  <c r="J663" i="1"/>
  <c r="H663" i="1"/>
  <c r="AE663" i="1" s="1"/>
  <c r="AH662" i="1"/>
  <c r="AD662" i="1"/>
  <c r="K662" i="1" s="1"/>
  <c r="AB662" i="1"/>
  <c r="AF662" i="1" s="1"/>
  <c r="J662" i="1"/>
  <c r="H662" i="1"/>
  <c r="AE662" i="1" s="1"/>
  <c r="AH661" i="1"/>
  <c r="AD661" i="1"/>
  <c r="K661" i="1" s="1"/>
  <c r="AB661" i="1"/>
  <c r="AF661" i="1" s="1"/>
  <c r="J661" i="1"/>
  <c r="H661" i="1"/>
  <c r="AH660" i="1"/>
  <c r="AF660" i="1"/>
  <c r="AE660" i="1"/>
  <c r="AD660" i="1"/>
  <c r="K660" i="1" s="1"/>
  <c r="AB660" i="1"/>
  <c r="J660" i="1"/>
  <c r="H660" i="1"/>
  <c r="AH659" i="1"/>
  <c r="AF659" i="1"/>
  <c r="AD659" i="1"/>
  <c r="AB659" i="1"/>
  <c r="J659" i="1"/>
  <c r="H659" i="1"/>
  <c r="AH658" i="1"/>
  <c r="AF658" i="1"/>
  <c r="AD658" i="1"/>
  <c r="K658" i="1" s="1"/>
  <c r="AB658" i="1"/>
  <c r="J658" i="1"/>
  <c r="H658" i="1"/>
  <c r="AH657" i="1"/>
  <c r="AF657" i="1"/>
  <c r="AD657" i="1"/>
  <c r="AE657" i="1" s="1"/>
  <c r="AB657" i="1"/>
  <c r="K657" i="1"/>
  <c r="J657" i="1"/>
  <c r="H657" i="1"/>
  <c r="AH656" i="1"/>
  <c r="AD656" i="1"/>
  <c r="K656" i="1" s="1"/>
  <c r="AB656" i="1"/>
  <c r="AF656" i="1" s="1"/>
  <c r="J656" i="1"/>
  <c r="H656" i="1"/>
  <c r="AH655" i="1"/>
  <c r="AF655" i="1"/>
  <c r="AD655" i="1"/>
  <c r="AB655" i="1"/>
  <c r="J655" i="1"/>
  <c r="H655" i="1"/>
  <c r="AH654" i="1"/>
  <c r="AD654" i="1"/>
  <c r="K654" i="1" s="1"/>
  <c r="AB654" i="1"/>
  <c r="AF654" i="1" s="1"/>
  <c r="J654" i="1"/>
  <c r="H654" i="1"/>
  <c r="AH653" i="1"/>
  <c r="AF653" i="1"/>
  <c r="AD653" i="1"/>
  <c r="K653" i="1" s="1"/>
  <c r="AB653" i="1"/>
  <c r="J653" i="1"/>
  <c r="H653" i="1"/>
  <c r="AH652" i="1"/>
  <c r="AD652" i="1"/>
  <c r="AB652" i="1"/>
  <c r="AF652" i="1" s="1"/>
  <c r="J652" i="1"/>
  <c r="H652" i="1"/>
  <c r="AH651" i="1"/>
  <c r="AF651" i="1"/>
  <c r="AD651" i="1"/>
  <c r="AE651" i="1" s="1"/>
  <c r="AB651" i="1"/>
  <c r="K651" i="1"/>
  <c r="J651" i="1"/>
  <c r="H651" i="1"/>
  <c r="AH650" i="1"/>
  <c r="AF650" i="1"/>
  <c r="AD650" i="1"/>
  <c r="AB650" i="1"/>
  <c r="J650" i="1"/>
  <c r="H650" i="1"/>
  <c r="AH649" i="1"/>
  <c r="AF649" i="1"/>
  <c r="AD649" i="1"/>
  <c r="K649" i="1" s="1"/>
  <c r="AB649" i="1"/>
  <c r="J649" i="1"/>
  <c r="H649" i="1"/>
  <c r="AH648" i="1"/>
  <c r="AD648" i="1"/>
  <c r="K648" i="1" s="1"/>
  <c r="AB648" i="1"/>
  <c r="AF648" i="1" s="1"/>
  <c r="J648" i="1"/>
  <c r="H648" i="1"/>
  <c r="AH647" i="1"/>
  <c r="AD647" i="1"/>
  <c r="K647" i="1" s="1"/>
  <c r="AB647" i="1"/>
  <c r="AF647" i="1" s="1"/>
  <c r="J647" i="1"/>
  <c r="H647" i="1"/>
  <c r="AH646" i="1"/>
  <c r="AD646" i="1"/>
  <c r="K646" i="1" s="1"/>
  <c r="AB646" i="1"/>
  <c r="AF646" i="1" s="1"/>
  <c r="J646" i="1"/>
  <c r="H646" i="1"/>
  <c r="AH645" i="1"/>
  <c r="AD645" i="1"/>
  <c r="K645" i="1" s="1"/>
  <c r="AB645" i="1"/>
  <c r="AF645" i="1" s="1"/>
  <c r="J645" i="1"/>
  <c r="H645" i="1"/>
  <c r="AH644" i="1"/>
  <c r="AF644" i="1"/>
  <c r="AD644" i="1"/>
  <c r="K644" i="1" s="1"/>
  <c r="AB644" i="1"/>
  <c r="J644" i="1"/>
  <c r="H644" i="1"/>
  <c r="AH643" i="1"/>
  <c r="AF643" i="1"/>
  <c r="AD643" i="1"/>
  <c r="AB643" i="1"/>
  <c r="J643" i="1"/>
  <c r="H643" i="1"/>
  <c r="AH642" i="1"/>
  <c r="AF642" i="1"/>
  <c r="AD642" i="1"/>
  <c r="K642" i="1" s="1"/>
  <c r="AB642" i="1"/>
  <c r="J642" i="1"/>
  <c r="H642" i="1"/>
  <c r="AH641" i="1"/>
  <c r="AF641" i="1"/>
  <c r="AD641" i="1"/>
  <c r="AE641" i="1" s="1"/>
  <c r="AB641" i="1"/>
  <c r="J641" i="1"/>
  <c r="H641" i="1"/>
  <c r="AH640" i="1"/>
  <c r="AF640" i="1"/>
  <c r="AE640" i="1"/>
  <c r="AD640" i="1"/>
  <c r="K640" i="1" s="1"/>
  <c r="AB640" i="1"/>
  <c r="J640" i="1"/>
  <c r="H640" i="1"/>
  <c r="AH639" i="1"/>
  <c r="AD639" i="1"/>
  <c r="AB639" i="1"/>
  <c r="AF639" i="1" s="1"/>
  <c r="J639" i="1"/>
  <c r="H639" i="1"/>
  <c r="AH638" i="1"/>
  <c r="AF638" i="1"/>
  <c r="AD638" i="1"/>
  <c r="AB638" i="1"/>
  <c r="J638" i="1"/>
  <c r="H638" i="1"/>
  <c r="AH637" i="1"/>
  <c r="AF637" i="1"/>
  <c r="AD637" i="1"/>
  <c r="K637" i="1" s="1"/>
  <c r="AB637" i="1"/>
  <c r="J637" i="1"/>
  <c r="H637" i="1"/>
  <c r="AH636" i="1"/>
  <c r="AD636" i="1"/>
  <c r="K636" i="1" s="1"/>
  <c r="AB636" i="1"/>
  <c r="AF636" i="1" s="1"/>
  <c r="J636" i="1"/>
  <c r="H636" i="1"/>
  <c r="AH635" i="1"/>
  <c r="AF635" i="1"/>
  <c r="AE635" i="1"/>
  <c r="AD635" i="1"/>
  <c r="K635" i="1" s="1"/>
  <c r="AB635" i="1"/>
  <c r="J635" i="1"/>
  <c r="H635" i="1"/>
  <c r="AH634" i="1"/>
  <c r="AD634" i="1"/>
  <c r="AB634" i="1"/>
  <c r="AF634" i="1" s="1"/>
  <c r="J634" i="1"/>
  <c r="H634" i="1"/>
  <c r="AH633" i="1"/>
  <c r="AF633" i="1"/>
  <c r="AE633" i="1"/>
  <c r="AD633" i="1"/>
  <c r="K633" i="1" s="1"/>
  <c r="AB633" i="1"/>
  <c r="J633" i="1"/>
  <c r="H633" i="1"/>
  <c r="AH632" i="1"/>
  <c r="AF632" i="1"/>
  <c r="AD632" i="1"/>
  <c r="AB632" i="1"/>
  <c r="J632" i="1"/>
  <c r="H632" i="1"/>
  <c r="AH631" i="1"/>
  <c r="AF631" i="1"/>
  <c r="AD631" i="1"/>
  <c r="K631" i="1" s="1"/>
  <c r="AB631" i="1"/>
  <c r="J631" i="1"/>
  <c r="H631" i="1"/>
  <c r="AH630" i="1"/>
  <c r="AD630" i="1"/>
  <c r="K630" i="1" s="1"/>
  <c r="AB630" i="1"/>
  <c r="AF630" i="1" s="1"/>
  <c r="J630" i="1"/>
  <c r="H630" i="1"/>
  <c r="AH629" i="1"/>
  <c r="AF629" i="1"/>
  <c r="AD629" i="1"/>
  <c r="K629" i="1" s="1"/>
  <c r="AB629" i="1"/>
  <c r="J629" i="1"/>
  <c r="H629" i="1"/>
  <c r="AH628" i="1"/>
  <c r="AF628" i="1"/>
  <c r="AD628" i="1"/>
  <c r="AB628" i="1"/>
  <c r="J628" i="1"/>
  <c r="H628" i="1"/>
  <c r="AH627" i="1"/>
  <c r="AD627" i="1"/>
  <c r="AE627" i="1" s="1"/>
  <c r="AB627" i="1"/>
  <c r="AF627" i="1" s="1"/>
  <c r="J627" i="1"/>
  <c r="H627" i="1"/>
  <c r="AH626" i="1"/>
  <c r="AF626" i="1"/>
  <c r="AD626" i="1"/>
  <c r="AB626" i="1"/>
  <c r="J626" i="1"/>
  <c r="H626" i="1"/>
  <c r="AH625" i="1"/>
  <c r="AF625" i="1"/>
  <c r="AD625" i="1"/>
  <c r="K625" i="1" s="1"/>
  <c r="AB625" i="1"/>
  <c r="J625" i="1"/>
  <c r="H625" i="1"/>
  <c r="AH624" i="1"/>
  <c r="AF624" i="1"/>
  <c r="AD624" i="1"/>
  <c r="AE624" i="1" s="1"/>
  <c r="AB624" i="1"/>
  <c r="J624" i="1"/>
  <c r="H624" i="1"/>
  <c r="AH623" i="1"/>
  <c r="AF623" i="1"/>
  <c r="AD623" i="1"/>
  <c r="AE623" i="1" s="1"/>
  <c r="AB623" i="1"/>
  <c r="J623" i="1"/>
  <c r="H623" i="1"/>
  <c r="AH622" i="1"/>
  <c r="AD622" i="1"/>
  <c r="K622" i="1" s="1"/>
  <c r="AB622" i="1"/>
  <c r="AF622" i="1" s="1"/>
  <c r="J622" i="1"/>
  <c r="H622" i="1"/>
  <c r="AH621" i="1"/>
  <c r="AD621" i="1"/>
  <c r="K621" i="1" s="1"/>
  <c r="AB621" i="1"/>
  <c r="AF621" i="1" s="1"/>
  <c r="J621" i="1"/>
  <c r="H621" i="1"/>
  <c r="AH620" i="1"/>
  <c r="AD620" i="1"/>
  <c r="K620" i="1" s="1"/>
  <c r="AB620" i="1"/>
  <c r="AF620" i="1" s="1"/>
  <c r="J620" i="1"/>
  <c r="H620" i="1"/>
  <c r="AH619" i="1"/>
  <c r="AF619" i="1"/>
  <c r="AD619" i="1"/>
  <c r="AB619" i="1"/>
  <c r="J619" i="1"/>
  <c r="H619" i="1"/>
  <c r="AH618" i="1"/>
  <c r="AF618" i="1"/>
  <c r="AD618" i="1"/>
  <c r="K618" i="1" s="1"/>
  <c r="AB618" i="1"/>
  <c r="J618" i="1"/>
  <c r="H618" i="1"/>
  <c r="AH617" i="1"/>
  <c r="AF617" i="1"/>
  <c r="AD617" i="1"/>
  <c r="AE617" i="1" s="1"/>
  <c r="AB617" i="1"/>
  <c r="J617" i="1"/>
  <c r="H617" i="1"/>
  <c r="AH616" i="1"/>
  <c r="AD616" i="1"/>
  <c r="K616" i="1" s="1"/>
  <c r="AB616" i="1"/>
  <c r="AF616" i="1" s="1"/>
  <c r="J616" i="1"/>
  <c r="H616" i="1"/>
  <c r="AH615" i="1"/>
  <c r="AD615" i="1"/>
  <c r="K615" i="1" s="1"/>
  <c r="AB615" i="1"/>
  <c r="AF615" i="1" s="1"/>
  <c r="J615" i="1"/>
  <c r="H615" i="1"/>
  <c r="AH614" i="1"/>
  <c r="AD614" i="1"/>
  <c r="K614" i="1" s="1"/>
  <c r="AB614" i="1"/>
  <c r="AF614" i="1" s="1"/>
  <c r="J614" i="1"/>
  <c r="H614" i="1"/>
  <c r="AH613" i="1"/>
  <c r="AD613" i="1"/>
  <c r="AB613" i="1"/>
  <c r="AF613" i="1" s="1"/>
  <c r="J613" i="1"/>
  <c r="H613" i="1"/>
  <c r="AH612" i="1"/>
  <c r="AD612" i="1"/>
  <c r="K612" i="1" s="1"/>
  <c r="AB612" i="1"/>
  <c r="AF612" i="1" s="1"/>
  <c r="J612" i="1"/>
  <c r="H612" i="1"/>
  <c r="AH611" i="1"/>
  <c r="AD611" i="1"/>
  <c r="K611" i="1" s="1"/>
  <c r="AB611" i="1"/>
  <c r="AF611" i="1" s="1"/>
  <c r="J611" i="1"/>
  <c r="H611" i="1"/>
  <c r="AH610" i="1"/>
  <c r="AF610" i="1"/>
  <c r="AD610" i="1"/>
  <c r="K610" i="1" s="1"/>
  <c r="AB610" i="1"/>
  <c r="J610" i="1"/>
  <c r="H610" i="1"/>
  <c r="AH609" i="1"/>
  <c r="AF609" i="1"/>
  <c r="AD609" i="1"/>
  <c r="AB609" i="1"/>
  <c r="J609" i="1"/>
  <c r="H609" i="1"/>
  <c r="AH608" i="1"/>
  <c r="AF608" i="1"/>
  <c r="AD608" i="1"/>
  <c r="AE608" i="1" s="1"/>
  <c r="AB608" i="1"/>
  <c r="J608" i="1"/>
  <c r="H608" i="1"/>
  <c r="AH607" i="1"/>
  <c r="AF607" i="1"/>
  <c r="AD607" i="1"/>
  <c r="AB607" i="1"/>
  <c r="J607" i="1"/>
  <c r="H607" i="1"/>
  <c r="AH606" i="1"/>
  <c r="AF606" i="1"/>
  <c r="AD606" i="1"/>
  <c r="AB606" i="1"/>
  <c r="J606" i="1"/>
  <c r="H606" i="1"/>
  <c r="AH605" i="1"/>
  <c r="AF605" i="1"/>
  <c r="AD605" i="1"/>
  <c r="AB605" i="1"/>
  <c r="J605" i="1"/>
  <c r="H605" i="1"/>
  <c r="AH604" i="1"/>
  <c r="AD604" i="1"/>
  <c r="K604" i="1" s="1"/>
  <c r="AB604" i="1"/>
  <c r="AF604" i="1" s="1"/>
  <c r="J604" i="1"/>
  <c r="H604" i="1"/>
  <c r="AH603" i="1"/>
  <c r="AF603" i="1"/>
  <c r="AD603" i="1"/>
  <c r="AE603" i="1" s="1"/>
  <c r="AB603" i="1"/>
  <c r="J603" i="1"/>
  <c r="H603" i="1"/>
  <c r="AH602" i="1"/>
  <c r="AF602" i="1"/>
  <c r="AD602" i="1"/>
  <c r="AE602" i="1" s="1"/>
  <c r="AB602" i="1"/>
  <c r="J602" i="1"/>
  <c r="H602" i="1"/>
  <c r="AH601" i="1"/>
  <c r="AF601" i="1"/>
  <c r="AD601" i="1"/>
  <c r="AE601" i="1" s="1"/>
  <c r="AB601" i="1"/>
  <c r="J601" i="1"/>
  <c r="H601" i="1"/>
  <c r="AH600" i="1"/>
  <c r="AD600" i="1"/>
  <c r="K600" i="1" s="1"/>
  <c r="AB600" i="1"/>
  <c r="AF600" i="1" s="1"/>
  <c r="J600" i="1"/>
  <c r="H600" i="1"/>
  <c r="AH599" i="1"/>
  <c r="AD599" i="1"/>
  <c r="AB599" i="1"/>
  <c r="AF599" i="1" s="1"/>
  <c r="K599" i="1"/>
  <c r="J599" i="1"/>
  <c r="H599" i="1"/>
  <c r="AH598" i="1"/>
  <c r="AF598" i="1"/>
  <c r="AD598" i="1"/>
  <c r="AB598" i="1"/>
  <c r="J598" i="1"/>
  <c r="H598" i="1"/>
  <c r="AH597" i="1"/>
  <c r="AD597" i="1"/>
  <c r="K597" i="1" s="1"/>
  <c r="AB597" i="1"/>
  <c r="AF597" i="1" s="1"/>
  <c r="J597" i="1"/>
  <c r="H597" i="1"/>
  <c r="AH596" i="1"/>
  <c r="AF596" i="1"/>
  <c r="AD596" i="1"/>
  <c r="AE596" i="1" s="1"/>
  <c r="AB596" i="1"/>
  <c r="K596" i="1"/>
  <c r="J596" i="1"/>
  <c r="H596" i="1"/>
  <c r="AH595" i="1"/>
  <c r="AD595" i="1"/>
  <c r="K595" i="1" s="1"/>
  <c r="AB595" i="1"/>
  <c r="AF595" i="1" s="1"/>
  <c r="J595" i="1"/>
  <c r="H595" i="1"/>
  <c r="AH594" i="1"/>
  <c r="AD594" i="1"/>
  <c r="K594" i="1" s="1"/>
  <c r="AB594" i="1"/>
  <c r="AF594" i="1" s="1"/>
  <c r="J594" i="1"/>
  <c r="H594" i="1"/>
  <c r="AH593" i="1"/>
  <c r="AF593" i="1"/>
  <c r="AD593" i="1"/>
  <c r="AB593" i="1"/>
  <c r="J593" i="1"/>
  <c r="H593" i="1"/>
  <c r="AH592" i="1"/>
  <c r="AD592" i="1"/>
  <c r="AB592" i="1"/>
  <c r="AF592" i="1" s="1"/>
  <c r="J592" i="1"/>
  <c r="H592" i="1"/>
  <c r="AH591" i="1"/>
  <c r="AD591" i="1"/>
  <c r="K591" i="1" s="1"/>
  <c r="AB591" i="1"/>
  <c r="AF591" i="1" s="1"/>
  <c r="J591" i="1"/>
  <c r="H591" i="1"/>
  <c r="AH590" i="1"/>
  <c r="AF590" i="1"/>
  <c r="AD590" i="1"/>
  <c r="AB590" i="1"/>
  <c r="J590" i="1"/>
  <c r="H590" i="1"/>
  <c r="AH589" i="1"/>
  <c r="AF589" i="1"/>
  <c r="AD589" i="1"/>
  <c r="K589" i="1" s="1"/>
  <c r="AB589" i="1"/>
  <c r="J589" i="1"/>
  <c r="H589" i="1"/>
  <c r="AH588" i="1"/>
  <c r="AD588" i="1"/>
  <c r="K588" i="1" s="1"/>
  <c r="AB588" i="1"/>
  <c r="AF588" i="1" s="1"/>
  <c r="J588" i="1"/>
  <c r="H588" i="1"/>
  <c r="AH587" i="1"/>
  <c r="AD587" i="1"/>
  <c r="K587" i="1" s="1"/>
  <c r="AB587" i="1"/>
  <c r="AF587" i="1" s="1"/>
  <c r="J587" i="1"/>
  <c r="H587" i="1"/>
  <c r="AH586" i="1"/>
  <c r="AF586" i="1"/>
  <c r="AD586" i="1"/>
  <c r="K586" i="1" s="1"/>
  <c r="AB586" i="1"/>
  <c r="J586" i="1"/>
  <c r="H586" i="1"/>
  <c r="AH585" i="1"/>
  <c r="AF585" i="1"/>
  <c r="AE585" i="1"/>
  <c r="AD585" i="1"/>
  <c r="K585" i="1" s="1"/>
  <c r="AB585" i="1"/>
  <c r="J585" i="1"/>
  <c r="H585" i="1"/>
  <c r="AH584" i="1"/>
  <c r="AF584" i="1"/>
  <c r="AD584" i="1"/>
  <c r="AE584" i="1" s="1"/>
  <c r="AB584" i="1"/>
  <c r="K584" i="1"/>
  <c r="J584" i="1"/>
  <c r="H584" i="1"/>
  <c r="AH583" i="1"/>
  <c r="AF583" i="1"/>
  <c r="AD583" i="1"/>
  <c r="K583" i="1" s="1"/>
  <c r="AB583" i="1"/>
  <c r="J583" i="1"/>
  <c r="H583" i="1"/>
  <c r="AH582" i="1"/>
  <c r="AF582" i="1"/>
  <c r="AD582" i="1"/>
  <c r="K582" i="1" s="1"/>
  <c r="AB582" i="1"/>
  <c r="J582" i="1"/>
  <c r="H582" i="1"/>
  <c r="AH581" i="1"/>
  <c r="AF581" i="1"/>
  <c r="AE581" i="1"/>
  <c r="AD581" i="1"/>
  <c r="K581" i="1" s="1"/>
  <c r="AB581" i="1"/>
  <c r="J581" i="1"/>
  <c r="H581" i="1"/>
  <c r="AH580" i="1"/>
  <c r="AF580" i="1"/>
  <c r="AD580" i="1"/>
  <c r="AB580" i="1"/>
  <c r="J580" i="1"/>
  <c r="H580" i="1"/>
  <c r="AH579" i="1"/>
  <c r="AD579" i="1"/>
  <c r="K579" i="1" s="1"/>
  <c r="AB579" i="1"/>
  <c r="AF579" i="1" s="1"/>
  <c r="J579" i="1"/>
  <c r="H579" i="1"/>
  <c r="AH578" i="1"/>
  <c r="AD578" i="1"/>
  <c r="K578" i="1" s="1"/>
  <c r="AB578" i="1"/>
  <c r="AF578" i="1" s="1"/>
  <c r="J578" i="1"/>
  <c r="H578" i="1"/>
  <c r="AH577" i="1"/>
  <c r="AF577" i="1"/>
  <c r="AD577" i="1"/>
  <c r="AE577" i="1" s="1"/>
  <c r="AB577" i="1"/>
  <c r="J577" i="1"/>
  <c r="H577" i="1"/>
  <c r="AH576" i="1"/>
  <c r="AD576" i="1"/>
  <c r="K576" i="1" s="1"/>
  <c r="AB576" i="1"/>
  <c r="AF576" i="1" s="1"/>
  <c r="J576" i="1"/>
  <c r="H576" i="1"/>
  <c r="AH575" i="1"/>
  <c r="AF575" i="1"/>
  <c r="AD575" i="1"/>
  <c r="AE575" i="1" s="1"/>
  <c r="AB575" i="1"/>
  <c r="J575" i="1"/>
  <c r="H575" i="1"/>
  <c r="AH574" i="1"/>
  <c r="AD574" i="1"/>
  <c r="K574" i="1" s="1"/>
  <c r="AB574" i="1"/>
  <c r="AF574" i="1" s="1"/>
  <c r="J574" i="1"/>
  <c r="H574" i="1"/>
  <c r="AH573" i="1"/>
  <c r="AF573" i="1"/>
  <c r="AD573" i="1"/>
  <c r="AB573" i="1"/>
  <c r="J573" i="1"/>
  <c r="H573" i="1"/>
  <c r="AH572" i="1"/>
  <c r="AF572" i="1"/>
  <c r="AD572" i="1"/>
  <c r="AB572" i="1"/>
  <c r="J572" i="1"/>
  <c r="H572" i="1"/>
  <c r="AH571" i="1"/>
  <c r="AD571" i="1"/>
  <c r="K571" i="1" s="1"/>
  <c r="AB571" i="1"/>
  <c r="AF571" i="1" s="1"/>
  <c r="J571" i="1"/>
  <c r="H571" i="1"/>
  <c r="AE571" i="1" s="1"/>
  <c r="AH570" i="1"/>
  <c r="AD570" i="1"/>
  <c r="AB570" i="1"/>
  <c r="AF570" i="1" s="1"/>
  <c r="K570" i="1"/>
  <c r="J570" i="1"/>
  <c r="H570" i="1"/>
  <c r="AE570" i="1" s="1"/>
  <c r="AH569" i="1"/>
  <c r="AF569" i="1"/>
  <c r="AD569" i="1"/>
  <c r="AB569" i="1"/>
  <c r="J569" i="1"/>
  <c r="H569" i="1"/>
  <c r="AH568" i="1"/>
  <c r="AF568" i="1"/>
  <c r="AE568" i="1"/>
  <c r="AD568" i="1"/>
  <c r="K568" i="1" s="1"/>
  <c r="AB568" i="1"/>
  <c r="J568" i="1"/>
  <c r="H568" i="1"/>
  <c r="AH567" i="1"/>
  <c r="AF567" i="1"/>
  <c r="AD567" i="1"/>
  <c r="AB567" i="1"/>
  <c r="J567" i="1"/>
  <c r="H567" i="1"/>
  <c r="AH566" i="1"/>
  <c r="AF566" i="1"/>
  <c r="AD566" i="1"/>
  <c r="K566" i="1" s="1"/>
  <c r="AB566" i="1"/>
  <c r="J566" i="1"/>
  <c r="H566" i="1"/>
  <c r="AH565" i="1"/>
  <c r="AD565" i="1"/>
  <c r="K565" i="1" s="1"/>
  <c r="AB565" i="1"/>
  <c r="AF565" i="1" s="1"/>
  <c r="J565" i="1"/>
  <c r="H565" i="1"/>
  <c r="AH564" i="1"/>
  <c r="AF564" i="1"/>
  <c r="AD564" i="1"/>
  <c r="K564" i="1" s="1"/>
  <c r="AB564" i="1"/>
  <c r="J564" i="1"/>
  <c r="H564" i="1"/>
  <c r="AH563" i="1"/>
  <c r="AF563" i="1"/>
  <c r="AD563" i="1"/>
  <c r="AE563" i="1" s="1"/>
  <c r="AB563" i="1"/>
  <c r="J563" i="1"/>
  <c r="H563" i="1"/>
  <c r="AH562" i="1"/>
  <c r="AF562" i="1"/>
  <c r="AD562" i="1"/>
  <c r="K562" i="1" s="1"/>
  <c r="AB562" i="1"/>
  <c r="J562" i="1"/>
  <c r="H562" i="1"/>
  <c r="AH561" i="1"/>
  <c r="AD561" i="1"/>
  <c r="K561" i="1" s="1"/>
  <c r="AB561" i="1"/>
  <c r="AF561" i="1" s="1"/>
  <c r="J561" i="1"/>
  <c r="H561" i="1"/>
  <c r="AH560" i="1"/>
  <c r="AF560" i="1"/>
  <c r="AE560" i="1"/>
  <c r="AD560" i="1"/>
  <c r="K560" i="1" s="1"/>
  <c r="AB560" i="1"/>
  <c r="J560" i="1"/>
  <c r="H560" i="1"/>
  <c r="AH559" i="1"/>
  <c r="AF559" i="1"/>
  <c r="AD559" i="1"/>
  <c r="AB559" i="1"/>
  <c r="J559" i="1"/>
  <c r="H559" i="1"/>
  <c r="AH558" i="1"/>
  <c r="AD558" i="1"/>
  <c r="K558" i="1" s="1"/>
  <c r="AB558" i="1"/>
  <c r="AF558" i="1" s="1"/>
  <c r="J558" i="1"/>
  <c r="H558" i="1"/>
  <c r="AH557" i="1"/>
  <c r="AF557" i="1"/>
  <c r="AD557" i="1"/>
  <c r="AB557" i="1"/>
  <c r="J557" i="1"/>
  <c r="H557" i="1"/>
  <c r="AH556" i="1"/>
  <c r="AF556" i="1"/>
  <c r="AD556" i="1"/>
  <c r="K556" i="1" s="1"/>
  <c r="AB556" i="1"/>
  <c r="J556" i="1"/>
  <c r="H556" i="1"/>
  <c r="AH555" i="1"/>
  <c r="AD555" i="1"/>
  <c r="AB555" i="1"/>
  <c r="AF555" i="1" s="1"/>
  <c r="J555" i="1"/>
  <c r="H555" i="1"/>
  <c r="AH554" i="1"/>
  <c r="AD554" i="1"/>
  <c r="K554" i="1" s="1"/>
  <c r="AB554" i="1"/>
  <c r="AF554" i="1" s="1"/>
  <c r="J554" i="1"/>
  <c r="H554" i="1"/>
  <c r="AH553" i="1"/>
  <c r="AF553" i="1"/>
  <c r="AE553" i="1"/>
  <c r="AD553" i="1"/>
  <c r="K553" i="1" s="1"/>
  <c r="AB553" i="1"/>
  <c r="J553" i="1"/>
  <c r="H553" i="1"/>
  <c r="AH552" i="1"/>
  <c r="AF552" i="1"/>
  <c r="AD552" i="1"/>
  <c r="AE552" i="1" s="1"/>
  <c r="AB552" i="1"/>
  <c r="J552" i="1"/>
  <c r="H552" i="1"/>
  <c r="AH551" i="1"/>
  <c r="AF551" i="1"/>
  <c r="AD551" i="1"/>
  <c r="K551" i="1" s="1"/>
  <c r="AB551" i="1"/>
  <c r="J551" i="1"/>
  <c r="H551" i="1"/>
  <c r="AH550" i="1"/>
  <c r="AD550" i="1"/>
  <c r="K550" i="1" s="1"/>
  <c r="AB550" i="1"/>
  <c r="AF550" i="1" s="1"/>
  <c r="J550" i="1"/>
  <c r="H550" i="1"/>
  <c r="AH549" i="1"/>
  <c r="AD549" i="1"/>
  <c r="K549" i="1" s="1"/>
  <c r="AB549" i="1"/>
  <c r="AF549" i="1" s="1"/>
  <c r="J549" i="1"/>
  <c r="H549" i="1"/>
  <c r="AH548" i="1"/>
  <c r="AF548" i="1"/>
  <c r="AD548" i="1"/>
  <c r="K548" i="1" s="1"/>
  <c r="AB548" i="1"/>
  <c r="J548" i="1"/>
  <c r="H548" i="1"/>
  <c r="AH547" i="1"/>
  <c r="AF547" i="1"/>
  <c r="AD547" i="1"/>
  <c r="AB547" i="1"/>
  <c r="J547" i="1"/>
  <c r="H547" i="1"/>
  <c r="AH546" i="1"/>
  <c r="AF546" i="1"/>
  <c r="AD546" i="1"/>
  <c r="K546" i="1" s="1"/>
  <c r="AB546" i="1"/>
  <c r="J546" i="1"/>
  <c r="H546" i="1"/>
  <c r="AH545" i="1"/>
  <c r="AD545" i="1"/>
  <c r="AB545" i="1"/>
  <c r="AF545" i="1" s="1"/>
  <c r="K545" i="1"/>
  <c r="J545" i="1"/>
  <c r="H545" i="1"/>
  <c r="AH544" i="1"/>
  <c r="AD544" i="1"/>
  <c r="K544" i="1" s="1"/>
  <c r="AB544" i="1"/>
  <c r="AF544" i="1" s="1"/>
  <c r="J544" i="1"/>
  <c r="H544" i="1"/>
  <c r="AH543" i="1"/>
  <c r="AF543" i="1"/>
  <c r="AD543" i="1"/>
  <c r="AE543" i="1" s="1"/>
  <c r="AB543" i="1"/>
  <c r="J543" i="1"/>
  <c r="H543" i="1"/>
  <c r="AH542" i="1"/>
  <c r="AF542" i="1"/>
  <c r="AD542" i="1"/>
  <c r="AE542" i="1" s="1"/>
  <c r="AB542" i="1"/>
  <c r="K542" i="1"/>
  <c r="J542" i="1"/>
  <c r="H542" i="1"/>
  <c r="AH541" i="1"/>
  <c r="AF541" i="1"/>
  <c r="AD541" i="1"/>
  <c r="K541" i="1" s="1"/>
  <c r="AB541" i="1"/>
  <c r="J541" i="1"/>
  <c r="H541" i="1"/>
  <c r="AH540" i="1"/>
  <c r="AD540" i="1"/>
  <c r="K540" i="1" s="1"/>
  <c r="AB540" i="1"/>
  <c r="AF540" i="1" s="1"/>
  <c r="J540" i="1"/>
  <c r="H540" i="1"/>
  <c r="AE540" i="1" s="1"/>
  <c r="AH539" i="1"/>
  <c r="AF539" i="1"/>
  <c r="AE539" i="1"/>
  <c r="AD539" i="1"/>
  <c r="K539" i="1" s="1"/>
  <c r="AB539" i="1"/>
  <c r="J539" i="1"/>
  <c r="H539" i="1"/>
  <c r="AH538" i="1"/>
  <c r="AD538" i="1"/>
  <c r="K538" i="1" s="1"/>
  <c r="AB538" i="1"/>
  <c r="AF538" i="1" s="1"/>
  <c r="J538" i="1"/>
  <c r="H538" i="1"/>
  <c r="AE538" i="1" s="1"/>
  <c r="AH537" i="1"/>
  <c r="AD537" i="1"/>
  <c r="K537" i="1" s="1"/>
  <c r="AB537" i="1"/>
  <c r="AF537" i="1" s="1"/>
  <c r="J537" i="1"/>
  <c r="H537" i="1"/>
  <c r="AH536" i="1"/>
  <c r="AF536" i="1"/>
  <c r="AD536" i="1"/>
  <c r="AB536" i="1"/>
  <c r="J536" i="1"/>
  <c r="H536" i="1"/>
  <c r="AH535" i="1"/>
  <c r="AF535" i="1"/>
  <c r="AD535" i="1"/>
  <c r="K535" i="1" s="1"/>
  <c r="AB535" i="1"/>
  <c r="J535" i="1"/>
  <c r="H535" i="1"/>
  <c r="AH534" i="1"/>
  <c r="AF534" i="1"/>
  <c r="AD534" i="1"/>
  <c r="AB534" i="1"/>
  <c r="J534" i="1"/>
  <c r="H534" i="1"/>
  <c r="AH533" i="1"/>
  <c r="AD533" i="1"/>
  <c r="K533" i="1" s="1"/>
  <c r="AB533" i="1"/>
  <c r="AF533" i="1" s="1"/>
  <c r="J533" i="1"/>
  <c r="H533" i="1"/>
  <c r="AH532" i="1"/>
  <c r="AD532" i="1"/>
  <c r="AB532" i="1"/>
  <c r="AF532" i="1" s="1"/>
  <c r="J532" i="1"/>
  <c r="H532" i="1"/>
  <c r="AH531" i="1"/>
  <c r="AF531" i="1"/>
  <c r="AD531" i="1"/>
  <c r="AB531" i="1"/>
  <c r="J531" i="1"/>
  <c r="H531" i="1"/>
  <c r="AH530" i="1"/>
  <c r="AD530" i="1"/>
  <c r="K530" i="1" s="1"/>
  <c r="AB530" i="1"/>
  <c r="AF530" i="1" s="1"/>
  <c r="J530" i="1"/>
  <c r="H530" i="1"/>
  <c r="AE530" i="1" s="1"/>
  <c r="AH529" i="1"/>
  <c r="AD529" i="1"/>
  <c r="K529" i="1" s="1"/>
  <c r="AB529" i="1"/>
  <c r="AF529" i="1" s="1"/>
  <c r="J529" i="1"/>
  <c r="H529" i="1"/>
  <c r="AH528" i="1"/>
  <c r="AF528" i="1"/>
  <c r="AD528" i="1"/>
  <c r="AE528" i="1" s="1"/>
  <c r="AB528" i="1"/>
  <c r="J528" i="1"/>
  <c r="H528" i="1"/>
  <c r="AH527" i="1"/>
  <c r="AD527" i="1"/>
  <c r="K527" i="1" s="1"/>
  <c r="AB527" i="1"/>
  <c r="AF527" i="1" s="1"/>
  <c r="J527" i="1"/>
  <c r="H527" i="1"/>
  <c r="AH526" i="1"/>
  <c r="AF526" i="1"/>
  <c r="AD526" i="1"/>
  <c r="AE526" i="1" s="1"/>
  <c r="AB526" i="1"/>
  <c r="J526" i="1"/>
  <c r="H526" i="1"/>
  <c r="AH525" i="1"/>
  <c r="AD525" i="1"/>
  <c r="K525" i="1" s="1"/>
  <c r="AB525" i="1"/>
  <c r="AF525" i="1" s="1"/>
  <c r="J525" i="1"/>
  <c r="H525" i="1"/>
  <c r="AE525" i="1" s="1"/>
  <c r="AH524" i="1"/>
  <c r="AF524" i="1"/>
  <c r="AD524" i="1"/>
  <c r="AE524" i="1" s="1"/>
  <c r="AB524" i="1"/>
  <c r="J524" i="1"/>
  <c r="H524" i="1"/>
  <c r="AH523" i="1"/>
  <c r="AD523" i="1"/>
  <c r="AB523" i="1"/>
  <c r="AF523" i="1" s="1"/>
  <c r="K523" i="1"/>
  <c r="J523" i="1"/>
  <c r="H523" i="1"/>
  <c r="AE523" i="1" s="1"/>
  <c r="AH522" i="1"/>
  <c r="AF522" i="1"/>
  <c r="AD522" i="1"/>
  <c r="AE522" i="1" s="1"/>
  <c r="AB522" i="1"/>
  <c r="J522" i="1"/>
  <c r="H522" i="1"/>
  <c r="AH521" i="1"/>
  <c r="AF521" i="1"/>
  <c r="AD521" i="1"/>
  <c r="AE521" i="1" s="1"/>
  <c r="AB521" i="1"/>
  <c r="K521" i="1"/>
  <c r="J521" i="1"/>
  <c r="H521" i="1"/>
  <c r="AH520" i="1"/>
  <c r="AF520" i="1"/>
  <c r="AD520" i="1"/>
  <c r="K520" i="1" s="1"/>
  <c r="AB520" i="1"/>
  <c r="J520" i="1"/>
  <c r="H520" i="1"/>
  <c r="AH519" i="1"/>
  <c r="AF519" i="1"/>
  <c r="AD519" i="1"/>
  <c r="AB519" i="1"/>
  <c r="J519" i="1"/>
  <c r="H519" i="1"/>
  <c r="AH518" i="1"/>
  <c r="AF518" i="1"/>
  <c r="AD518" i="1"/>
  <c r="AE518" i="1" s="1"/>
  <c r="AB518" i="1"/>
  <c r="J518" i="1"/>
  <c r="H518" i="1"/>
  <c r="AH517" i="1"/>
  <c r="AD517" i="1"/>
  <c r="K517" i="1" s="1"/>
  <c r="AB517" i="1"/>
  <c r="AF517" i="1" s="1"/>
  <c r="J517" i="1"/>
  <c r="H517" i="1"/>
  <c r="AH516" i="1"/>
  <c r="AF516" i="1"/>
  <c r="AD516" i="1"/>
  <c r="K516" i="1" s="1"/>
  <c r="AB516" i="1"/>
  <c r="J516" i="1"/>
  <c r="H516" i="1"/>
  <c r="AH515" i="1"/>
  <c r="AF515" i="1"/>
  <c r="AD515" i="1"/>
  <c r="AB515" i="1"/>
  <c r="J515" i="1"/>
  <c r="H515" i="1"/>
  <c r="AH514" i="1"/>
  <c r="AF514" i="1"/>
  <c r="AD514" i="1"/>
  <c r="AE514" i="1" s="1"/>
  <c r="AB514" i="1"/>
  <c r="K514" i="1"/>
  <c r="J514" i="1"/>
  <c r="H514" i="1"/>
  <c r="AH513" i="1"/>
  <c r="AF513" i="1"/>
  <c r="AD513" i="1"/>
  <c r="AB513" i="1"/>
  <c r="J513" i="1"/>
  <c r="H513" i="1"/>
  <c r="AH512" i="1"/>
  <c r="AD512" i="1"/>
  <c r="K512" i="1" s="1"/>
  <c r="AB512" i="1"/>
  <c r="AF512" i="1" s="1"/>
  <c r="J512" i="1"/>
  <c r="H512" i="1"/>
  <c r="AH511" i="1"/>
  <c r="AF511" i="1"/>
  <c r="AD511" i="1"/>
  <c r="AB511" i="1"/>
  <c r="J511" i="1"/>
  <c r="H511" i="1"/>
  <c r="AH510" i="1"/>
  <c r="AF510" i="1"/>
  <c r="AD510" i="1"/>
  <c r="K510" i="1" s="1"/>
  <c r="AB510" i="1"/>
  <c r="J510" i="1"/>
  <c r="H510" i="1"/>
  <c r="AH509" i="1"/>
  <c r="AF509" i="1"/>
  <c r="AD509" i="1"/>
  <c r="AE509" i="1" s="1"/>
  <c r="AB509" i="1"/>
  <c r="K509" i="1"/>
  <c r="J509" i="1"/>
  <c r="H509" i="1"/>
  <c r="AH508" i="1"/>
  <c r="AF508" i="1"/>
  <c r="AD508" i="1"/>
  <c r="K508" i="1" s="1"/>
  <c r="AB508" i="1"/>
  <c r="J508" i="1"/>
  <c r="H508" i="1"/>
  <c r="AH507" i="1"/>
  <c r="AD507" i="1"/>
  <c r="AB507" i="1"/>
  <c r="AF507" i="1" s="1"/>
  <c r="K507" i="1"/>
  <c r="J507" i="1"/>
  <c r="H507" i="1"/>
  <c r="AH506" i="1"/>
  <c r="AF506" i="1"/>
  <c r="AE506" i="1"/>
  <c r="AD506" i="1"/>
  <c r="K506" i="1" s="1"/>
  <c r="AB506" i="1"/>
  <c r="J506" i="1"/>
  <c r="H506" i="1"/>
  <c r="AH505" i="1"/>
  <c r="AD505" i="1"/>
  <c r="AB505" i="1"/>
  <c r="AF505" i="1" s="1"/>
  <c r="K505" i="1"/>
  <c r="J505" i="1"/>
  <c r="H505" i="1"/>
  <c r="AH504" i="1"/>
  <c r="AF504" i="1"/>
  <c r="AD504" i="1"/>
  <c r="K504" i="1" s="1"/>
  <c r="AB504" i="1"/>
  <c r="J504" i="1"/>
  <c r="H504" i="1"/>
  <c r="AH503" i="1"/>
  <c r="AD503" i="1"/>
  <c r="AB503" i="1"/>
  <c r="AF503" i="1" s="1"/>
  <c r="K503" i="1"/>
  <c r="J503" i="1"/>
  <c r="H503" i="1"/>
  <c r="AE503" i="1" s="1"/>
  <c r="AH502" i="1"/>
  <c r="AF502" i="1"/>
  <c r="AD502" i="1"/>
  <c r="K502" i="1" s="1"/>
  <c r="AB502" i="1"/>
  <c r="J502" i="1"/>
  <c r="H502" i="1"/>
  <c r="AH501" i="1"/>
  <c r="AF501" i="1"/>
  <c r="AD501" i="1"/>
  <c r="K501" i="1" s="1"/>
  <c r="AB501" i="1"/>
  <c r="J501" i="1"/>
  <c r="H501" i="1"/>
  <c r="AH500" i="1"/>
  <c r="AF500" i="1"/>
  <c r="AD500" i="1"/>
  <c r="AB500" i="1"/>
  <c r="J500" i="1"/>
  <c r="H500" i="1"/>
  <c r="AH499" i="1"/>
  <c r="AD499" i="1"/>
  <c r="K499" i="1" s="1"/>
  <c r="AB499" i="1"/>
  <c r="AF499" i="1" s="1"/>
  <c r="J499" i="1"/>
  <c r="H499" i="1"/>
  <c r="AH498" i="1"/>
  <c r="AD498" i="1"/>
  <c r="AB498" i="1"/>
  <c r="AF498" i="1" s="1"/>
  <c r="K498" i="1"/>
  <c r="J498" i="1"/>
  <c r="H498" i="1"/>
  <c r="AE498" i="1" s="1"/>
  <c r="AH497" i="1"/>
  <c r="AD497" i="1"/>
  <c r="K497" i="1" s="1"/>
  <c r="AB497" i="1"/>
  <c r="AF497" i="1" s="1"/>
  <c r="J497" i="1"/>
  <c r="H497" i="1"/>
  <c r="AH496" i="1"/>
  <c r="AF496" i="1"/>
  <c r="AD496" i="1"/>
  <c r="AE496" i="1" s="1"/>
  <c r="AB496" i="1"/>
  <c r="J496" i="1"/>
  <c r="H496" i="1"/>
  <c r="AH495" i="1"/>
  <c r="AD495" i="1"/>
  <c r="K495" i="1" s="1"/>
  <c r="AB495" i="1"/>
  <c r="AF495" i="1" s="1"/>
  <c r="J495" i="1"/>
  <c r="H495" i="1"/>
  <c r="AH494" i="1"/>
  <c r="AF494" i="1"/>
  <c r="AD494" i="1"/>
  <c r="K494" i="1" s="1"/>
  <c r="AB494" i="1"/>
  <c r="J494" i="1"/>
  <c r="H494" i="1"/>
  <c r="AH493" i="1"/>
  <c r="AF493" i="1"/>
  <c r="AD493" i="1"/>
  <c r="AB493" i="1"/>
  <c r="J493" i="1"/>
  <c r="H493" i="1"/>
  <c r="AH492" i="1"/>
  <c r="AD492" i="1"/>
  <c r="K492" i="1" s="1"/>
  <c r="AB492" i="1"/>
  <c r="AF492" i="1" s="1"/>
  <c r="J492" i="1"/>
  <c r="H492" i="1"/>
  <c r="AH491" i="1"/>
  <c r="AF491" i="1"/>
  <c r="AD491" i="1"/>
  <c r="AE491" i="1" s="1"/>
  <c r="AB491" i="1"/>
  <c r="J491" i="1"/>
  <c r="H491" i="1"/>
  <c r="AH490" i="1"/>
  <c r="AF490" i="1"/>
  <c r="AD490" i="1"/>
  <c r="AE490" i="1" s="1"/>
  <c r="AB490" i="1"/>
  <c r="K490" i="1"/>
  <c r="J490" i="1"/>
  <c r="H490" i="1"/>
  <c r="AH489" i="1"/>
  <c r="AF489" i="1"/>
  <c r="AD489" i="1"/>
  <c r="AE489" i="1" s="1"/>
  <c r="AB489" i="1"/>
  <c r="J489" i="1"/>
  <c r="H489" i="1"/>
  <c r="AH488" i="1"/>
  <c r="AD488" i="1"/>
  <c r="AB488" i="1"/>
  <c r="AF488" i="1" s="1"/>
  <c r="K488" i="1"/>
  <c r="J488" i="1"/>
  <c r="H488" i="1"/>
  <c r="AE488" i="1" s="1"/>
  <c r="AH487" i="1"/>
  <c r="AF487" i="1"/>
  <c r="AD487" i="1"/>
  <c r="K487" i="1" s="1"/>
  <c r="AB487" i="1"/>
  <c r="J487" i="1"/>
  <c r="H487" i="1"/>
  <c r="AH486" i="1"/>
  <c r="AF486" i="1"/>
  <c r="AD486" i="1"/>
  <c r="AB486" i="1"/>
  <c r="J486" i="1"/>
  <c r="H486" i="1"/>
  <c r="AH485" i="1"/>
  <c r="AD485" i="1"/>
  <c r="K485" i="1" s="1"/>
  <c r="AB485" i="1"/>
  <c r="AF485" i="1" s="1"/>
  <c r="J485" i="1"/>
  <c r="H485" i="1"/>
  <c r="AH484" i="1"/>
  <c r="AF484" i="1"/>
  <c r="AD484" i="1"/>
  <c r="AE484" i="1" s="1"/>
  <c r="AB484" i="1"/>
  <c r="K484" i="1"/>
  <c r="J484" i="1"/>
  <c r="H484" i="1"/>
  <c r="AH483" i="1"/>
  <c r="AD483" i="1"/>
  <c r="AB483" i="1"/>
  <c r="AF483" i="1" s="1"/>
  <c r="K483" i="1"/>
  <c r="J483" i="1"/>
  <c r="H483" i="1"/>
  <c r="AH482" i="1"/>
  <c r="AD482" i="1"/>
  <c r="AB482" i="1"/>
  <c r="AF482" i="1" s="1"/>
  <c r="J482" i="1"/>
  <c r="H482" i="1"/>
  <c r="AH481" i="1"/>
  <c r="AD481" i="1"/>
  <c r="K481" i="1" s="1"/>
  <c r="AB481" i="1"/>
  <c r="AF481" i="1" s="1"/>
  <c r="J481" i="1"/>
  <c r="H481" i="1"/>
  <c r="AH480" i="1"/>
  <c r="AF480" i="1"/>
  <c r="AD480" i="1"/>
  <c r="K480" i="1" s="1"/>
  <c r="AB480" i="1"/>
  <c r="J480" i="1"/>
  <c r="H480" i="1"/>
  <c r="AH479" i="1"/>
  <c r="AF479" i="1"/>
  <c r="AD479" i="1"/>
  <c r="AB479" i="1"/>
  <c r="J479" i="1"/>
  <c r="H479" i="1"/>
  <c r="AH478" i="1"/>
  <c r="AD478" i="1"/>
  <c r="K478" i="1" s="1"/>
  <c r="AB478" i="1"/>
  <c r="AF478" i="1" s="1"/>
  <c r="J478" i="1"/>
  <c r="H478" i="1"/>
  <c r="AH477" i="1"/>
  <c r="AD477" i="1"/>
  <c r="AB477" i="1"/>
  <c r="AF477" i="1" s="1"/>
  <c r="K477" i="1"/>
  <c r="J477" i="1"/>
  <c r="H477" i="1"/>
  <c r="AE477" i="1" s="1"/>
  <c r="AH476" i="1"/>
  <c r="AF476" i="1"/>
  <c r="AD476" i="1"/>
  <c r="AE476" i="1" s="1"/>
  <c r="AB476" i="1"/>
  <c r="J476" i="1"/>
  <c r="H476" i="1"/>
  <c r="AH475" i="1"/>
  <c r="AD475" i="1"/>
  <c r="K475" i="1" s="1"/>
  <c r="AB475" i="1"/>
  <c r="AF475" i="1" s="1"/>
  <c r="J475" i="1"/>
  <c r="H475" i="1"/>
  <c r="AH474" i="1"/>
  <c r="AF474" i="1"/>
  <c r="AD474" i="1"/>
  <c r="AE474" i="1" s="1"/>
  <c r="AB474" i="1"/>
  <c r="J474" i="1"/>
  <c r="H474" i="1"/>
  <c r="AH473" i="1"/>
  <c r="AF473" i="1"/>
  <c r="AD473" i="1"/>
  <c r="K473" i="1" s="1"/>
  <c r="AB473" i="1"/>
  <c r="J473" i="1"/>
  <c r="H473" i="1"/>
  <c r="AH472" i="1"/>
  <c r="AF472" i="1"/>
  <c r="AD472" i="1"/>
  <c r="AB472" i="1"/>
  <c r="J472" i="1"/>
  <c r="H472" i="1"/>
  <c r="AH471" i="1"/>
  <c r="AD471" i="1"/>
  <c r="K471" i="1" s="1"/>
  <c r="AB471" i="1"/>
  <c r="AF471" i="1" s="1"/>
  <c r="J471" i="1"/>
  <c r="H471" i="1"/>
  <c r="AE471" i="1" s="1"/>
  <c r="AH470" i="1"/>
  <c r="AF470" i="1"/>
  <c r="AD470" i="1"/>
  <c r="AE470" i="1" s="1"/>
  <c r="AB470" i="1"/>
  <c r="K470" i="1"/>
  <c r="J470" i="1"/>
  <c r="H470" i="1"/>
  <c r="AH469" i="1"/>
  <c r="AD469" i="1"/>
  <c r="AB469" i="1"/>
  <c r="AF469" i="1" s="1"/>
  <c r="K469" i="1"/>
  <c r="J469" i="1"/>
  <c r="H469" i="1"/>
  <c r="AE469" i="1" s="1"/>
  <c r="AH468" i="1"/>
  <c r="AF468" i="1"/>
  <c r="AD468" i="1"/>
  <c r="AE468" i="1" s="1"/>
  <c r="AB468" i="1"/>
  <c r="J468" i="1"/>
  <c r="H468" i="1"/>
  <c r="AH467" i="1"/>
  <c r="AD467" i="1"/>
  <c r="K467" i="1" s="1"/>
  <c r="AB467" i="1"/>
  <c r="AF467" i="1" s="1"/>
  <c r="J467" i="1"/>
  <c r="H467" i="1"/>
  <c r="AH466" i="1"/>
  <c r="AF466" i="1"/>
  <c r="AD466" i="1"/>
  <c r="K466" i="1" s="1"/>
  <c r="AB466" i="1"/>
  <c r="J466" i="1"/>
  <c r="H466" i="1"/>
  <c r="AH465" i="1"/>
  <c r="AD465" i="1"/>
  <c r="K465" i="1" s="1"/>
  <c r="AB465" i="1"/>
  <c r="AF465" i="1" s="1"/>
  <c r="J465" i="1"/>
  <c r="H465" i="1"/>
  <c r="AH464" i="1"/>
  <c r="AF464" i="1"/>
  <c r="AD464" i="1"/>
  <c r="K464" i="1" s="1"/>
  <c r="AB464" i="1"/>
  <c r="J464" i="1"/>
  <c r="H464" i="1"/>
  <c r="AH463" i="1"/>
  <c r="AD463" i="1"/>
  <c r="AB463" i="1"/>
  <c r="AF463" i="1" s="1"/>
  <c r="K463" i="1"/>
  <c r="J463" i="1"/>
  <c r="H463" i="1"/>
  <c r="AE463" i="1" s="1"/>
  <c r="AH462" i="1"/>
  <c r="AD462" i="1"/>
  <c r="K462" i="1" s="1"/>
  <c r="AB462" i="1"/>
  <c r="AF462" i="1" s="1"/>
  <c r="J462" i="1"/>
  <c r="H462" i="1"/>
  <c r="AH461" i="1"/>
  <c r="AE461" i="1"/>
  <c r="AD461" i="1"/>
  <c r="K461" i="1" s="1"/>
  <c r="AB461" i="1"/>
  <c r="AF461" i="1" s="1"/>
  <c r="J461" i="1"/>
  <c r="H461" i="1"/>
  <c r="AH460" i="1"/>
  <c r="AF460" i="1"/>
  <c r="AD460" i="1"/>
  <c r="AB460" i="1"/>
  <c r="J460" i="1"/>
  <c r="H460" i="1"/>
  <c r="AH459" i="1"/>
  <c r="AF459" i="1"/>
  <c r="AD459" i="1"/>
  <c r="K459" i="1" s="1"/>
  <c r="AB459" i="1"/>
  <c r="J459" i="1"/>
  <c r="H459" i="1"/>
  <c r="AH458" i="1"/>
  <c r="AD458" i="1"/>
  <c r="K458" i="1" s="1"/>
  <c r="AB458" i="1"/>
  <c r="AF458" i="1" s="1"/>
  <c r="J458" i="1"/>
  <c r="H458" i="1"/>
  <c r="AH457" i="1"/>
  <c r="AF457" i="1"/>
  <c r="AD457" i="1"/>
  <c r="AB457" i="1"/>
  <c r="J457" i="1"/>
  <c r="H457" i="1"/>
  <c r="AH456" i="1"/>
  <c r="AF456" i="1"/>
  <c r="AD456" i="1"/>
  <c r="AE456" i="1" s="1"/>
  <c r="AB456" i="1"/>
  <c r="K456" i="1"/>
  <c r="J456" i="1"/>
  <c r="H456" i="1"/>
  <c r="AH455" i="1"/>
  <c r="AF455" i="1"/>
  <c r="AD455" i="1"/>
  <c r="K455" i="1" s="1"/>
  <c r="AB455" i="1"/>
  <c r="J455" i="1"/>
  <c r="H455" i="1"/>
  <c r="AH454" i="1"/>
  <c r="AF454" i="1"/>
  <c r="AD454" i="1"/>
  <c r="AB454" i="1"/>
  <c r="J454" i="1"/>
  <c r="H454" i="1"/>
  <c r="AH453" i="1"/>
  <c r="AF453" i="1"/>
  <c r="AD453" i="1"/>
  <c r="K453" i="1" s="1"/>
  <c r="AB453" i="1"/>
  <c r="J453" i="1"/>
  <c r="H453" i="1"/>
  <c r="AH452" i="1"/>
  <c r="AD452" i="1"/>
  <c r="K452" i="1" s="1"/>
  <c r="AB452" i="1"/>
  <c r="AF452" i="1" s="1"/>
  <c r="J452" i="1"/>
  <c r="H452" i="1"/>
  <c r="AH451" i="1"/>
  <c r="AD451" i="1"/>
  <c r="K451" i="1" s="1"/>
  <c r="AB451" i="1"/>
  <c r="AF451" i="1" s="1"/>
  <c r="J451" i="1"/>
  <c r="H451" i="1"/>
  <c r="AE451" i="1" s="1"/>
  <c r="AH450" i="1"/>
  <c r="AD450" i="1"/>
  <c r="K450" i="1" s="1"/>
  <c r="AB450" i="1"/>
  <c r="AF450" i="1" s="1"/>
  <c r="J450" i="1"/>
  <c r="H450" i="1"/>
  <c r="AE450" i="1" s="1"/>
  <c r="AH449" i="1"/>
  <c r="AF449" i="1"/>
  <c r="AE449" i="1"/>
  <c r="AD449" i="1"/>
  <c r="AB449" i="1"/>
  <c r="K449" i="1"/>
  <c r="J449" i="1"/>
  <c r="H449" i="1"/>
  <c r="AH448" i="1"/>
  <c r="AD448" i="1"/>
  <c r="K448" i="1" s="1"/>
  <c r="AB448" i="1"/>
  <c r="AF448" i="1" s="1"/>
  <c r="J448" i="1"/>
  <c r="H448" i="1"/>
  <c r="AE448" i="1" s="1"/>
  <c r="AH447" i="1"/>
  <c r="AD447" i="1"/>
  <c r="K447" i="1" s="1"/>
  <c r="AB447" i="1"/>
  <c r="AF447" i="1" s="1"/>
  <c r="J447" i="1"/>
  <c r="H447" i="1"/>
  <c r="AH446" i="1"/>
  <c r="AD446" i="1"/>
  <c r="K446" i="1" s="1"/>
  <c r="AB446" i="1"/>
  <c r="AF446" i="1" s="1"/>
  <c r="J446" i="1"/>
  <c r="H446" i="1"/>
  <c r="AH445" i="1"/>
  <c r="AF445" i="1"/>
  <c r="AD445" i="1"/>
  <c r="AB445" i="1"/>
  <c r="J445" i="1"/>
  <c r="H445" i="1"/>
  <c r="AH444" i="1"/>
  <c r="AF444" i="1"/>
  <c r="AD444" i="1"/>
  <c r="AB444" i="1"/>
  <c r="J444" i="1"/>
  <c r="H444" i="1"/>
  <c r="AH443" i="1"/>
  <c r="AF443" i="1"/>
  <c r="AD443" i="1"/>
  <c r="K443" i="1" s="1"/>
  <c r="AB443" i="1"/>
  <c r="J443" i="1"/>
  <c r="H443" i="1"/>
  <c r="AH442" i="1"/>
  <c r="AD442" i="1"/>
  <c r="K442" i="1" s="1"/>
  <c r="AB442" i="1"/>
  <c r="AF442" i="1" s="1"/>
  <c r="J442" i="1"/>
  <c r="H442" i="1"/>
  <c r="AH441" i="1"/>
  <c r="AD441" i="1"/>
  <c r="K441" i="1" s="1"/>
  <c r="AB441" i="1"/>
  <c r="AF441" i="1" s="1"/>
  <c r="J441" i="1"/>
  <c r="H441" i="1"/>
  <c r="AH440" i="1"/>
  <c r="AF440" i="1"/>
  <c r="AD440" i="1"/>
  <c r="AE440" i="1" s="1"/>
  <c r="AB440" i="1"/>
  <c r="J440" i="1"/>
  <c r="H440" i="1"/>
  <c r="AH439" i="1"/>
  <c r="AF439" i="1"/>
  <c r="AD439" i="1"/>
  <c r="AE439" i="1" s="1"/>
  <c r="AB439" i="1"/>
  <c r="K439" i="1"/>
  <c r="J439" i="1"/>
  <c r="H439" i="1"/>
  <c r="AH438" i="1"/>
  <c r="AF438" i="1"/>
  <c r="AD438" i="1"/>
  <c r="K438" i="1" s="1"/>
  <c r="AB438" i="1"/>
  <c r="J438" i="1"/>
  <c r="H438" i="1"/>
  <c r="AH437" i="1"/>
  <c r="AF437" i="1"/>
  <c r="AD437" i="1"/>
  <c r="AB437" i="1"/>
  <c r="J437" i="1"/>
  <c r="H437" i="1"/>
  <c r="AH436" i="1"/>
  <c r="AD436" i="1"/>
  <c r="K436" i="1" s="1"/>
  <c r="AB436" i="1"/>
  <c r="AF436" i="1" s="1"/>
  <c r="J436" i="1"/>
  <c r="H436" i="1"/>
  <c r="AH435" i="1"/>
  <c r="AF435" i="1"/>
  <c r="AD435" i="1"/>
  <c r="AB435" i="1"/>
  <c r="K435" i="1"/>
  <c r="J435" i="1"/>
  <c r="H435" i="1"/>
  <c r="AE435" i="1" s="1"/>
  <c r="AH434" i="1"/>
  <c r="AD434" i="1"/>
  <c r="K434" i="1" s="1"/>
  <c r="AB434" i="1"/>
  <c r="AF434" i="1" s="1"/>
  <c r="J434" i="1"/>
  <c r="H434" i="1"/>
  <c r="AH433" i="1"/>
  <c r="AD433" i="1"/>
  <c r="AB433" i="1"/>
  <c r="AF433" i="1" s="1"/>
  <c r="J433" i="1"/>
  <c r="H433" i="1"/>
  <c r="AH432" i="1"/>
  <c r="AD432" i="1"/>
  <c r="AB432" i="1"/>
  <c r="AF432" i="1" s="1"/>
  <c r="K432" i="1"/>
  <c r="J432" i="1"/>
  <c r="H432" i="1"/>
  <c r="AE432" i="1" s="1"/>
  <c r="AH431" i="1"/>
  <c r="AF431" i="1"/>
  <c r="AD431" i="1"/>
  <c r="K431" i="1" s="1"/>
  <c r="AB431" i="1"/>
  <c r="J431" i="1"/>
  <c r="H431" i="1"/>
  <c r="AH430" i="1"/>
  <c r="AF430" i="1"/>
  <c r="AD430" i="1"/>
  <c r="AB430" i="1"/>
  <c r="J430" i="1"/>
  <c r="H430" i="1"/>
  <c r="AH429" i="1"/>
  <c r="AF429" i="1"/>
  <c r="AD429" i="1"/>
  <c r="K429" i="1" s="1"/>
  <c r="AB429" i="1"/>
  <c r="J429" i="1"/>
  <c r="H429" i="1"/>
  <c r="AH428" i="1"/>
  <c r="AF428" i="1"/>
  <c r="AE428" i="1"/>
  <c r="AD428" i="1"/>
  <c r="K428" i="1" s="1"/>
  <c r="AB428" i="1"/>
  <c r="J428" i="1"/>
  <c r="H428" i="1"/>
  <c r="AH427" i="1"/>
  <c r="AF427" i="1"/>
  <c r="AD427" i="1"/>
  <c r="K427" i="1" s="1"/>
  <c r="AB427" i="1"/>
  <c r="J427" i="1"/>
  <c r="H427" i="1"/>
  <c r="AH426" i="1"/>
  <c r="AF426" i="1"/>
  <c r="AD426" i="1"/>
  <c r="AE426" i="1" s="1"/>
  <c r="AB426" i="1"/>
  <c r="J426" i="1"/>
  <c r="H426" i="1"/>
  <c r="AH425" i="1"/>
  <c r="AD425" i="1"/>
  <c r="K425" i="1" s="1"/>
  <c r="AB425" i="1"/>
  <c r="AF425" i="1" s="1"/>
  <c r="J425" i="1"/>
  <c r="H425" i="1"/>
  <c r="AH424" i="1"/>
  <c r="AD424" i="1"/>
  <c r="K424" i="1" s="1"/>
  <c r="AB424" i="1"/>
  <c r="AF424" i="1" s="1"/>
  <c r="J424" i="1"/>
  <c r="H424" i="1"/>
  <c r="AH423" i="1"/>
  <c r="AF423" i="1"/>
  <c r="AD423" i="1"/>
  <c r="AB423" i="1"/>
  <c r="J423" i="1"/>
  <c r="H423" i="1"/>
  <c r="AH422" i="1"/>
  <c r="AF422" i="1"/>
  <c r="AD422" i="1"/>
  <c r="K422" i="1" s="1"/>
  <c r="AB422" i="1"/>
  <c r="J422" i="1"/>
  <c r="H422" i="1"/>
  <c r="AH421" i="1"/>
  <c r="AF421" i="1"/>
  <c r="AE421" i="1"/>
  <c r="AD421" i="1"/>
  <c r="AB421" i="1"/>
  <c r="K421" i="1"/>
  <c r="J421" i="1"/>
  <c r="H421" i="1"/>
  <c r="AH420" i="1"/>
  <c r="AF420" i="1"/>
  <c r="AD420" i="1"/>
  <c r="K420" i="1" s="1"/>
  <c r="AB420" i="1"/>
  <c r="J420" i="1"/>
  <c r="H420" i="1"/>
  <c r="AH419" i="1"/>
  <c r="AD419" i="1"/>
  <c r="AB419" i="1"/>
  <c r="AF419" i="1" s="1"/>
  <c r="J419" i="1"/>
  <c r="H419" i="1"/>
  <c r="AH418" i="1"/>
  <c r="AF418" i="1"/>
  <c r="AD418" i="1"/>
  <c r="K418" i="1" s="1"/>
  <c r="AB418" i="1"/>
  <c r="J418" i="1"/>
  <c r="H418" i="1"/>
  <c r="AH417" i="1"/>
  <c r="AD417" i="1"/>
  <c r="K417" i="1" s="1"/>
  <c r="AB417" i="1"/>
  <c r="AF417" i="1" s="1"/>
  <c r="J417" i="1"/>
  <c r="H417" i="1"/>
  <c r="AH416" i="1"/>
  <c r="AF416" i="1"/>
  <c r="AD416" i="1"/>
  <c r="AB416" i="1"/>
  <c r="J416" i="1"/>
  <c r="H416" i="1"/>
  <c r="AH415" i="1"/>
  <c r="AF415" i="1"/>
  <c r="AD415" i="1"/>
  <c r="K415" i="1" s="1"/>
  <c r="AB415" i="1"/>
  <c r="J415" i="1"/>
  <c r="H415" i="1"/>
  <c r="AH414" i="1"/>
  <c r="AF414" i="1"/>
  <c r="AD414" i="1"/>
  <c r="AB414" i="1"/>
  <c r="J414" i="1"/>
  <c r="H414" i="1"/>
  <c r="AH413" i="1"/>
  <c r="AD413" i="1"/>
  <c r="K413" i="1" s="1"/>
  <c r="AB413" i="1"/>
  <c r="AF413" i="1" s="1"/>
  <c r="J413" i="1"/>
  <c r="H413" i="1"/>
  <c r="AH412" i="1"/>
  <c r="AF412" i="1"/>
  <c r="AD412" i="1"/>
  <c r="AE412" i="1" s="1"/>
  <c r="AB412" i="1"/>
  <c r="J412" i="1"/>
  <c r="H412" i="1"/>
  <c r="AH411" i="1"/>
  <c r="AF411" i="1"/>
  <c r="AD411" i="1"/>
  <c r="AE411" i="1" s="1"/>
  <c r="AB411" i="1"/>
  <c r="J411" i="1"/>
  <c r="H411" i="1"/>
  <c r="AH410" i="1"/>
  <c r="AF410" i="1"/>
  <c r="AD410" i="1"/>
  <c r="K410" i="1" s="1"/>
  <c r="AB410" i="1"/>
  <c r="J410" i="1"/>
  <c r="H410" i="1"/>
  <c r="AH409" i="1"/>
  <c r="AF409" i="1"/>
  <c r="AD409" i="1"/>
  <c r="AB409" i="1"/>
  <c r="J409" i="1"/>
  <c r="H409" i="1"/>
  <c r="AH408" i="1"/>
  <c r="AD408" i="1"/>
  <c r="K408" i="1" s="1"/>
  <c r="AB408" i="1"/>
  <c r="AF408" i="1" s="1"/>
  <c r="J408" i="1"/>
  <c r="H408" i="1"/>
  <c r="AH407" i="1"/>
  <c r="AF407" i="1"/>
  <c r="AD407" i="1"/>
  <c r="K407" i="1" s="1"/>
  <c r="AB407" i="1"/>
  <c r="J407" i="1"/>
  <c r="H407" i="1"/>
  <c r="AH406" i="1"/>
  <c r="AF406" i="1"/>
  <c r="AD406" i="1"/>
  <c r="K406" i="1" s="1"/>
  <c r="AB406" i="1"/>
  <c r="J406" i="1"/>
  <c r="H406" i="1"/>
  <c r="AH405" i="1"/>
  <c r="AF405" i="1"/>
  <c r="AD405" i="1"/>
  <c r="K405" i="1" s="1"/>
  <c r="AB405" i="1"/>
  <c r="J405" i="1"/>
  <c r="H405" i="1"/>
  <c r="AH404" i="1"/>
  <c r="AF404" i="1"/>
  <c r="AD404" i="1"/>
  <c r="K404" i="1" s="1"/>
  <c r="AB404" i="1"/>
  <c r="J404" i="1"/>
  <c r="H404" i="1"/>
  <c r="AH403" i="1"/>
  <c r="AF403" i="1"/>
  <c r="AD403" i="1"/>
  <c r="K403" i="1" s="1"/>
  <c r="AB403" i="1"/>
  <c r="J403" i="1"/>
  <c r="H403" i="1"/>
  <c r="AH402" i="1"/>
  <c r="AF402" i="1"/>
  <c r="AD402" i="1"/>
  <c r="AB402" i="1"/>
  <c r="J402" i="1"/>
  <c r="H402" i="1"/>
  <c r="AH401" i="1"/>
  <c r="AF401" i="1"/>
  <c r="AD401" i="1"/>
  <c r="K401" i="1" s="1"/>
  <c r="AB401" i="1"/>
  <c r="J401" i="1"/>
  <c r="H401" i="1"/>
  <c r="AH400" i="1"/>
  <c r="AF400" i="1"/>
  <c r="AD400" i="1"/>
  <c r="K400" i="1" s="1"/>
  <c r="AB400" i="1"/>
  <c r="J400" i="1"/>
  <c r="H400" i="1"/>
  <c r="AH399" i="1"/>
  <c r="AF399" i="1"/>
  <c r="AD399" i="1"/>
  <c r="K399" i="1" s="1"/>
  <c r="AB399" i="1"/>
  <c r="J399" i="1"/>
  <c r="H399" i="1"/>
  <c r="AH398" i="1"/>
  <c r="AD398" i="1"/>
  <c r="AB398" i="1"/>
  <c r="AF398" i="1" s="1"/>
  <c r="K398" i="1"/>
  <c r="J398" i="1"/>
  <c r="H398" i="1"/>
  <c r="AE398" i="1" s="1"/>
  <c r="AH397" i="1"/>
  <c r="AD397" i="1"/>
  <c r="K397" i="1" s="1"/>
  <c r="AB397" i="1"/>
  <c r="AF397" i="1" s="1"/>
  <c r="J397" i="1"/>
  <c r="H397" i="1"/>
  <c r="AE397" i="1" s="1"/>
  <c r="AH396" i="1"/>
  <c r="AF396" i="1"/>
  <c r="AE396" i="1"/>
  <c r="AD396" i="1"/>
  <c r="K396" i="1" s="1"/>
  <c r="AB396" i="1"/>
  <c r="J396" i="1"/>
  <c r="H396" i="1"/>
  <c r="AH395" i="1"/>
  <c r="AF395" i="1"/>
  <c r="AD395" i="1"/>
  <c r="AB395" i="1"/>
  <c r="J395" i="1"/>
  <c r="H395" i="1"/>
  <c r="AH394" i="1"/>
  <c r="AF394" i="1"/>
  <c r="AD394" i="1"/>
  <c r="K394" i="1" s="1"/>
  <c r="AB394" i="1"/>
  <c r="J394" i="1"/>
  <c r="H394" i="1"/>
  <c r="AH393" i="1"/>
  <c r="AF393" i="1"/>
  <c r="AE393" i="1"/>
  <c r="AD393" i="1"/>
  <c r="K393" i="1" s="1"/>
  <c r="AB393" i="1"/>
  <c r="J393" i="1"/>
  <c r="H393" i="1"/>
  <c r="AH392" i="1"/>
  <c r="AD392" i="1"/>
  <c r="K392" i="1" s="1"/>
  <c r="AB392" i="1"/>
  <c r="AF392" i="1" s="1"/>
  <c r="J392" i="1"/>
  <c r="H392" i="1"/>
  <c r="AH391" i="1"/>
  <c r="AD391" i="1"/>
  <c r="K391" i="1" s="1"/>
  <c r="AB391" i="1"/>
  <c r="AF391" i="1" s="1"/>
  <c r="J391" i="1"/>
  <c r="H391" i="1"/>
  <c r="AE391" i="1" s="1"/>
  <c r="AH390" i="1"/>
  <c r="AD390" i="1"/>
  <c r="K390" i="1" s="1"/>
  <c r="AB390" i="1"/>
  <c r="AF390" i="1" s="1"/>
  <c r="J390" i="1"/>
  <c r="H390" i="1"/>
  <c r="AE390" i="1" s="1"/>
  <c r="AH389" i="1"/>
  <c r="AF389" i="1"/>
  <c r="AD389" i="1"/>
  <c r="K389" i="1" s="1"/>
  <c r="AB389" i="1"/>
  <c r="J389" i="1"/>
  <c r="H389" i="1"/>
  <c r="AH388" i="1"/>
  <c r="AF388" i="1"/>
  <c r="AD388" i="1"/>
  <c r="AB388" i="1"/>
  <c r="J388" i="1"/>
  <c r="H388" i="1"/>
  <c r="AH387" i="1"/>
  <c r="AD387" i="1"/>
  <c r="K387" i="1" s="1"/>
  <c r="AB387" i="1"/>
  <c r="AF387" i="1" s="1"/>
  <c r="J387" i="1"/>
  <c r="H387" i="1"/>
  <c r="AH386" i="1"/>
  <c r="AF386" i="1"/>
  <c r="AD386" i="1"/>
  <c r="K386" i="1" s="1"/>
  <c r="AB386" i="1"/>
  <c r="J386" i="1"/>
  <c r="H386" i="1"/>
  <c r="AH385" i="1"/>
  <c r="AF385" i="1"/>
  <c r="AD385" i="1"/>
  <c r="AE385" i="1" s="1"/>
  <c r="AB385" i="1"/>
  <c r="J385" i="1"/>
  <c r="H385" i="1"/>
  <c r="AH384" i="1"/>
  <c r="AD384" i="1"/>
  <c r="AB384" i="1"/>
  <c r="AF384" i="1" s="1"/>
  <c r="J384" i="1"/>
  <c r="H384" i="1"/>
  <c r="AH383" i="1"/>
  <c r="AD383" i="1"/>
  <c r="K383" i="1" s="1"/>
  <c r="AB383" i="1"/>
  <c r="AF383" i="1" s="1"/>
  <c r="J383" i="1"/>
  <c r="H383" i="1"/>
  <c r="AH382" i="1"/>
  <c r="AD382" i="1"/>
  <c r="K382" i="1" s="1"/>
  <c r="AB382" i="1"/>
  <c r="AF382" i="1" s="1"/>
  <c r="J382" i="1"/>
  <c r="H382" i="1"/>
  <c r="AH381" i="1"/>
  <c r="AF381" i="1"/>
  <c r="AD381" i="1"/>
  <c r="AB381" i="1"/>
  <c r="J381" i="1"/>
  <c r="H381" i="1"/>
  <c r="AH380" i="1"/>
  <c r="AF380" i="1"/>
  <c r="AD380" i="1"/>
  <c r="AE380" i="1" s="1"/>
  <c r="AB380" i="1"/>
  <c r="J380" i="1"/>
  <c r="H380" i="1"/>
  <c r="AH379" i="1"/>
  <c r="AF379" i="1"/>
  <c r="AD379" i="1"/>
  <c r="AE379" i="1" s="1"/>
  <c r="AB379" i="1"/>
  <c r="K379" i="1"/>
  <c r="J379" i="1"/>
  <c r="H379" i="1"/>
  <c r="AH378" i="1"/>
  <c r="AD378" i="1"/>
  <c r="K378" i="1" s="1"/>
  <c r="AB378" i="1"/>
  <c r="AF378" i="1" s="1"/>
  <c r="J378" i="1"/>
  <c r="H378" i="1"/>
  <c r="AH377" i="1"/>
  <c r="AD377" i="1"/>
  <c r="K377" i="1" s="1"/>
  <c r="AB377" i="1"/>
  <c r="AF377" i="1" s="1"/>
  <c r="J377" i="1"/>
  <c r="H377" i="1"/>
  <c r="AH376" i="1"/>
  <c r="AF376" i="1"/>
  <c r="AD376" i="1"/>
  <c r="AE376" i="1" s="1"/>
  <c r="AB376" i="1"/>
  <c r="J376" i="1"/>
  <c r="H376" i="1"/>
  <c r="AH375" i="1"/>
  <c r="AD375" i="1"/>
  <c r="K375" i="1" s="1"/>
  <c r="AB375" i="1"/>
  <c r="AF375" i="1" s="1"/>
  <c r="J375" i="1"/>
  <c r="H375" i="1"/>
  <c r="AH374" i="1"/>
  <c r="AD374" i="1"/>
  <c r="K374" i="1" s="1"/>
  <c r="AB374" i="1"/>
  <c r="AF374" i="1" s="1"/>
  <c r="J374" i="1"/>
  <c r="H374" i="1"/>
  <c r="AH373" i="1"/>
  <c r="AD373" i="1"/>
  <c r="K373" i="1" s="1"/>
  <c r="AB373" i="1"/>
  <c r="AF373" i="1" s="1"/>
  <c r="J373" i="1"/>
  <c r="H373" i="1"/>
  <c r="AE373" i="1" s="1"/>
  <c r="AH372" i="1"/>
  <c r="AD372" i="1"/>
  <c r="K372" i="1" s="1"/>
  <c r="AB372" i="1"/>
  <c r="AF372" i="1" s="1"/>
  <c r="J372" i="1"/>
  <c r="H372" i="1"/>
  <c r="AH371" i="1"/>
  <c r="AF371" i="1"/>
  <c r="AD371" i="1"/>
  <c r="AE371" i="1" s="1"/>
  <c r="AB371" i="1"/>
  <c r="J371" i="1"/>
  <c r="H371" i="1"/>
  <c r="AH370" i="1"/>
  <c r="AD370" i="1"/>
  <c r="AB370" i="1"/>
  <c r="AF370" i="1" s="1"/>
  <c r="J370" i="1"/>
  <c r="H370" i="1"/>
  <c r="AH369" i="1"/>
  <c r="AD369" i="1"/>
  <c r="K369" i="1" s="1"/>
  <c r="AB369" i="1"/>
  <c r="AF369" i="1" s="1"/>
  <c r="J369" i="1"/>
  <c r="H369" i="1"/>
  <c r="AH368" i="1"/>
  <c r="AF368" i="1"/>
  <c r="AD368" i="1"/>
  <c r="K368" i="1" s="1"/>
  <c r="AB368" i="1"/>
  <c r="J368" i="1"/>
  <c r="H368" i="1"/>
  <c r="AH367" i="1"/>
  <c r="AF367" i="1"/>
  <c r="AD367" i="1"/>
  <c r="AB367" i="1"/>
  <c r="J367" i="1"/>
  <c r="H367" i="1"/>
  <c r="AH366" i="1"/>
  <c r="AF366" i="1"/>
  <c r="AD366" i="1"/>
  <c r="AE366" i="1" s="1"/>
  <c r="AB366" i="1"/>
  <c r="J366" i="1"/>
  <c r="H366" i="1"/>
  <c r="AH365" i="1"/>
  <c r="AF365" i="1"/>
  <c r="AD365" i="1"/>
  <c r="AE365" i="1" s="1"/>
  <c r="AB365" i="1"/>
  <c r="K365" i="1"/>
  <c r="J365" i="1"/>
  <c r="H365" i="1"/>
  <c r="AH364" i="1"/>
  <c r="AF364" i="1"/>
  <c r="AD364" i="1"/>
  <c r="AE364" i="1" s="1"/>
  <c r="AB364" i="1"/>
  <c r="J364" i="1"/>
  <c r="H364" i="1"/>
  <c r="AH363" i="1"/>
  <c r="AF363" i="1"/>
  <c r="AD363" i="1"/>
  <c r="AE363" i="1" s="1"/>
  <c r="AB363" i="1"/>
  <c r="K363" i="1"/>
  <c r="J363" i="1"/>
  <c r="H363" i="1"/>
  <c r="AH362" i="1"/>
  <c r="AD362" i="1"/>
  <c r="K362" i="1" s="1"/>
  <c r="AB362" i="1"/>
  <c r="AF362" i="1" s="1"/>
  <c r="J362" i="1"/>
  <c r="H362" i="1"/>
  <c r="AH361" i="1"/>
  <c r="AD361" i="1"/>
  <c r="K361" i="1" s="1"/>
  <c r="AB361" i="1"/>
  <c r="AF361" i="1" s="1"/>
  <c r="J361" i="1"/>
  <c r="H361" i="1"/>
  <c r="AH360" i="1"/>
  <c r="AF360" i="1"/>
  <c r="AD360" i="1"/>
  <c r="AB360" i="1"/>
  <c r="J360" i="1"/>
  <c r="H360" i="1"/>
  <c r="AH359" i="1"/>
  <c r="AF359" i="1"/>
  <c r="AD359" i="1"/>
  <c r="K359" i="1" s="1"/>
  <c r="AB359" i="1"/>
  <c r="J359" i="1"/>
  <c r="H359" i="1"/>
  <c r="AH358" i="1"/>
  <c r="AD358" i="1"/>
  <c r="K358" i="1" s="1"/>
  <c r="AB358" i="1"/>
  <c r="AF358" i="1" s="1"/>
  <c r="J358" i="1"/>
  <c r="H358" i="1"/>
  <c r="AH357" i="1"/>
  <c r="AF357" i="1"/>
  <c r="AD357" i="1"/>
  <c r="AE357" i="1" s="1"/>
  <c r="AB357" i="1"/>
  <c r="J357" i="1"/>
  <c r="H357" i="1"/>
  <c r="AH356" i="1"/>
  <c r="AF356" i="1"/>
  <c r="AD356" i="1"/>
  <c r="AE356" i="1" s="1"/>
  <c r="AB356" i="1"/>
  <c r="K356" i="1"/>
  <c r="J356" i="1"/>
  <c r="H356" i="1"/>
  <c r="AH355" i="1"/>
  <c r="AF355" i="1"/>
  <c r="AE355" i="1"/>
  <c r="AD355" i="1"/>
  <c r="K355" i="1" s="1"/>
  <c r="AB355" i="1"/>
  <c r="J355" i="1"/>
  <c r="H355" i="1"/>
  <c r="AH354" i="1"/>
  <c r="AF354" i="1"/>
  <c r="AD354" i="1"/>
  <c r="K354" i="1" s="1"/>
  <c r="AB354" i="1"/>
  <c r="J354" i="1"/>
  <c r="H354" i="1"/>
  <c r="AH353" i="1"/>
  <c r="AF353" i="1"/>
  <c r="AD353" i="1"/>
  <c r="K353" i="1" s="1"/>
  <c r="AB353" i="1"/>
  <c r="J353" i="1"/>
  <c r="H353" i="1"/>
  <c r="AH352" i="1"/>
  <c r="AF352" i="1"/>
  <c r="AD352" i="1"/>
  <c r="AB352" i="1"/>
  <c r="J352" i="1"/>
  <c r="H352" i="1"/>
  <c r="AH351" i="1"/>
  <c r="AF351" i="1"/>
  <c r="AD351" i="1"/>
  <c r="K351" i="1" s="1"/>
  <c r="AB351" i="1"/>
  <c r="J351" i="1"/>
  <c r="H351" i="1"/>
  <c r="AH350" i="1"/>
  <c r="AF350" i="1"/>
  <c r="AD350" i="1"/>
  <c r="AE350" i="1" s="1"/>
  <c r="AB350" i="1"/>
  <c r="J350" i="1"/>
  <c r="H350" i="1"/>
  <c r="AH349" i="1"/>
  <c r="AD349" i="1"/>
  <c r="AB349" i="1"/>
  <c r="AF349" i="1" s="1"/>
  <c r="J349" i="1"/>
  <c r="H349" i="1"/>
  <c r="AH348" i="1"/>
  <c r="AD348" i="1"/>
  <c r="K348" i="1" s="1"/>
  <c r="AB348" i="1"/>
  <c r="AF348" i="1" s="1"/>
  <c r="J348" i="1"/>
  <c r="H348" i="1"/>
  <c r="AH347" i="1"/>
  <c r="AD347" i="1"/>
  <c r="K347" i="1" s="1"/>
  <c r="AB347" i="1"/>
  <c r="AF347" i="1" s="1"/>
  <c r="J347" i="1"/>
  <c r="H347" i="1"/>
  <c r="AH346" i="1"/>
  <c r="AF346" i="1"/>
  <c r="AD346" i="1"/>
  <c r="K346" i="1" s="1"/>
  <c r="AB346" i="1"/>
  <c r="J346" i="1"/>
  <c r="H346" i="1"/>
  <c r="AH345" i="1"/>
  <c r="AD345" i="1"/>
  <c r="K345" i="1" s="1"/>
  <c r="AB345" i="1"/>
  <c r="AF345" i="1" s="1"/>
  <c r="J345" i="1"/>
  <c r="H345" i="1"/>
  <c r="AH344" i="1"/>
  <c r="AF344" i="1"/>
  <c r="AD344" i="1"/>
  <c r="AE344" i="1" s="1"/>
  <c r="AB344" i="1"/>
  <c r="K344" i="1"/>
  <c r="J344" i="1"/>
  <c r="H344" i="1"/>
  <c r="AH343" i="1"/>
  <c r="AF343" i="1"/>
  <c r="AE343" i="1"/>
  <c r="AD343" i="1"/>
  <c r="K343" i="1" s="1"/>
  <c r="AB343" i="1"/>
  <c r="J343" i="1"/>
  <c r="H343" i="1"/>
  <c r="AH342" i="1"/>
  <c r="AF342" i="1"/>
  <c r="AD342" i="1"/>
  <c r="AE342" i="1" s="1"/>
  <c r="AB342" i="1"/>
  <c r="K342" i="1"/>
  <c r="J342" i="1"/>
  <c r="H342" i="1"/>
  <c r="AH341" i="1"/>
  <c r="AF341" i="1"/>
  <c r="AD341" i="1"/>
  <c r="AE341" i="1" s="1"/>
  <c r="AB341" i="1"/>
  <c r="J341" i="1"/>
  <c r="H341" i="1"/>
  <c r="AH340" i="1"/>
  <c r="AF340" i="1"/>
  <c r="AD340" i="1"/>
  <c r="K340" i="1" s="1"/>
  <c r="AB340" i="1"/>
  <c r="J340" i="1"/>
  <c r="H340" i="1"/>
  <c r="AH339" i="1"/>
  <c r="AF339" i="1"/>
  <c r="AD339" i="1"/>
  <c r="K339" i="1" s="1"/>
  <c r="AB339" i="1"/>
  <c r="J339" i="1"/>
  <c r="H339" i="1"/>
  <c r="AH338" i="1"/>
  <c r="AD338" i="1"/>
  <c r="AB338" i="1"/>
  <c r="AF338" i="1" s="1"/>
  <c r="K338" i="1"/>
  <c r="J338" i="1"/>
  <c r="H338" i="1"/>
  <c r="AH337" i="1"/>
  <c r="AD337" i="1"/>
  <c r="K337" i="1" s="1"/>
  <c r="AB337" i="1"/>
  <c r="AF337" i="1" s="1"/>
  <c r="J337" i="1"/>
  <c r="H337" i="1"/>
  <c r="AH336" i="1"/>
  <c r="AD336" i="1"/>
  <c r="K336" i="1" s="1"/>
  <c r="AB336" i="1"/>
  <c r="AF336" i="1" s="1"/>
  <c r="J336" i="1"/>
  <c r="H336" i="1"/>
  <c r="AH335" i="1"/>
  <c r="AF335" i="1"/>
  <c r="AD335" i="1"/>
  <c r="AE335" i="1" s="1"/>
  <c r="AB335" i="1"/>
  <c r="J335" i="1"/>
  <c r="H335" i="1"/>
  <c r="AH334" i="1"/>
  <c r="AF334" i="1"/>
  <c r="AE334" i="1"/>
  <c r="AD334" i="1"/>
  <c r="K334" i="1" s="1"/>
  <c r="AB334" i="1"/>
  <c r="J334" i="1"/>
  <c r="H334" i="1"/>
  <c r="AH333" i="1"/>
  <c r="AF333" i="1"/>
  <c r="AD333" i="1"/>
  <c r="K333" i="1" s="1"/>
  <c r="AB333" i="1"/>
  <c r="J333" i="1"/>
  <c r="H333" i="1"/>
  <c r="AH332" i="1"/>
  <c r="AF332" i="1"/>
  <c r="AD332" i="1"/>
  <c r="K332" i="1" s="1"/>
  <c r="AB332" i="1"/>
  <c r="J332" i="1"/>
  <c r="H332" i="1"/>
  <c r="AH331" i="1"/>
  <c r="AD331" i="1"/>
  <c r="K331" i="1" s="1"/>
  <c r="AB331" i="1"/>
  <c r="AF331" i="1" s="1"/>
  <c r="J331" i="1"/>
  <c r="H331" i="1"/>
  <c r="AE331" i="1" s="1"/>
  <c r="AH330" i="1"/>
  <c r="AF330" i="1"/>
  <c r="AD330" i="1"/>
  <c r="AE330" i="1" s="1"/>
  <c r="AB330" i="1"/>
  <c r="J330" i="1"/>
  <c r="H330" i="1"/>
  <c r="AH329" i="1"/>
  <c r="AF329" i="1"/>
  <c r="AD329" i="1"/>
  <c r="AE329" i="1" s="1"/>
  <c r="AB329" i="1"/>
  <c r="J329" i="1"/>
  <c r="H329" i="1"/>
  <c r="AH328" i="1"/>
  <c r="AD328" i="1"/>
  <c r="K328" i="1" s="1"/>
  <c r="AB328" i="1"/>
  <c r="AF328" i="1" s="1"/>
  <c r="J328" i="1"/>
  <c r="H328" i="1"/>
  <c r="AE328" i="1" s="1"/>
  <c r="AH327" i="1"/>
  <c r="AD327" i="1"/>
  <c r="K327" i="1" s="1"/>
  <c r="AB327" i="1"/>
  <c r="AF327" i="1" s="1"/>
  <c r="J327" i="1"/>
  <c r="H327" i="1"/>
  <c r="AH326" i="1"/>
  <c r="AF326" i="1"/>
  <c r="AD326" i="1"/>
  <c r="AB326" i="1"/>
  <c r="J326" i="1"/>
  <c r="H326" i="1"/>
  <c r="AH325" i="1"/>
  <c r="AF325" i="1"/>
  <c r="AD325" i="1"/>
  <c r="K325" i="1" s="1"/>
  <c r="AB325" i="1"/>
  <c r="J325" i="1"/>
  <c r="H325" i="1"/>
  <c r="AH324" i="1"/>
  <c r="AF324" i="1"/>
  <c r="AD324" i="1"/>
  <c r="AB324" i="1"/>
  <c r="J324" i="1"/>
  <c r="H324" i="1"/>
  <c r="AH323" i="1"/>
  <c r="AF323" i="1"/>
  <c r="AD323" i="1"/>
  <c r="AE323" i="1" s="1"/>
  <c r="AB323" i="1"/>
  <c r="J323" i="1"/>
  <c r="H323" i="1"/>
  <c r="AH322" i="1"/>
  <c r="AD322" i="1"/>
  <c r="AB322" i="1"/>
  <c r="AF322" i="1" s="1"/>
  <c r="K322" i="1"/>
  <c r="J322" i="1"/>
  <c r="H322" i="1"/>
  <c r="AE322" i="1" s="1"/>
  <c r="AH321" i="1"/>
  <c r="AF321" i="1"/>
  <c r="AD321" i="1"/>
  <c r="AE321" i="1" s="1"/>
  <c r="AB321" i="1"/>
  <c r="J321" i="1"/>
  <c r="H321" i="1"/>
  <c r="AH320" i="1"/>
  <c r="AF320" i="1"/>
  <c r="AE320" i="1"/>
  <c r="AD320" i="1"/>
  <c r="AB320" i="1"/>
  <c r="K320" i="1"/>
  <c r="J320" i="1"/>
  <c r="H320" i="1"/>
  <c r="AH319" i="1"/>
  <c r="AD319" i="1"/>
  <c r="K319" i="1" s="1"/>
  <c r="AB319" i="1"/>
  <c r="AF319" i="1" s="1"/>
  <c r="J319" i="1"/>
  <c r="H319" i="1"/>
  <c r="AH318" i="1"/>
  <c r="AD318" i="1"/>
  <c r="K318" i="1" s="1"/>
  <c r="AB318" i="1"/>
  <c r="AF318" i="1" s="1"/>
  <c r="J318" i="1"/>
  <c r="H318" i="1"/>
  <c r="AH317" i="1"/>
  <c r="AD317" i="1"/>
  <c r="K317" i="1" s="1"/>
  <c r="AB317" i="1"/>
  <c r="AF317" i="1" s="1"/>
  <c r="J317" i="1"/>
  <c r="H317" i="1"/>
  <c r="AE317" i="1" s="1"/>
  <c r="AH316" i="1"/>
  <c r="AF316" i="1"/>
  <c r="AD316" i="1"/>
  <c r="K316" i="1" s="1"/>
  <c r="AB316" i="1"/>
  <c r="J316" i="1"/>
  <c r="H316" i="1"/>
  <c r="AH315" i="1"/>
  <c r="AF315" i="1"/>
  <c r="AD315" i="1"/>
  <c r="K315" i="1" s="1"/>
  <c r="AB315" i="1"/>
  <c r="J315" i="1"/>
  <c r="H315" i="1"/>
  <c r="AH314" i="1"/>
  <c r="AF314" i="1"/>
  <c r="AD314" i="1"/>
  <c r="AE314" i="1" s="1"/>
  <c r="AB314" i="1"/>
  <c r="J314" i="1"/>
  <c r="H314" i="1"/>
  <c r="AH313" i="1"/>
  <c r="AF313" i="1"/>
  <c r="AD313" i="1"/>
  <c r="K313" i="1" s="1"/>
  <c r="AB313" i="1"/>
  <c r="J313" i="1"/>
  <c r="H313" i="1"/>
  <c r="AH312" i="1"/>
  <c r="AF312" i="1"/>
  <c r="AD312" i="1"/>
  <c r="K312" i="1" s="1"/>
  <c r="AB312" i="1"/>
  <c r="J312" i="1"/>
  <c r="H312" i="1"/>
  <c r="AH311" i="1"/>
  <c r="AF311" i="1"/>
  <c r="AD311" i="1"/>
  <c r="K311" i="1" s="1"/>
  <c r="AB311" i="1"/>
  <c r="J311" i="1"/>
  <c r="H311" i="1"/>
  <c r="AH310" i="1"/>
  <c r="AF310" i="1"/>
  <c r="AD310" i="1"/>
  <c r="AE310" i="1" s="1"/>
  <c r="AB310" i="1"/>
  <c r="J310" i="1"/>
  <c r="H310" i="1"/>
  <c r="AH309" i="1"/>
  <c r="AF309" i="1"/>
  <c r="AD309" i="1"/>
  <c r="K309" i="1" s="1"/>
  <c r="AB309" i="1"/>
  <c r="J309" i="1"/>
  <c r="H309" i="1"/>
  <c r="AH308" i="1"/>
  <c r="AF308" i="1"/>
  <c r="AD308" i="1"/>
  <c r="AE308" i="1" s="1"/>
  <c r="AB308" i="1"/>
  <c r="K308" i="1"/>
  <c r="J308" i="1"/>
  <c r="H308" i="1"/>
  <c r="AH307" i="1"/>
  <c r="AD307" i="1"/>
  <c r="K307" i="1" s="1"/>
  <c r="AB307" i="1"/>
  <c r="AF307" i="1" s="1"/>
  <c r="J307" i="1"/>
  <c r="H307" i="1"/>
  <c r="AH306" i="1"/>
  <c r="AD306" i="1"/>
  <c r="K306" i="1" s="1"/>
  <c r="AB306" i="1"/>
  <c r="AF306" i="1" s="1"/>
  <c r="J306" i="1"/>
  <c r="H306" i="1"/>
  <c r="AH305" i="1"/>
  <c r="AF305" i="1"/>
  <c r="AD305" i="1"/>
  <c r="K305" i="1" s="1"/>
  <c r="AB305" i="1"/>
  <c r="J305" i="1"/>
  <c r="H305" i="1"/>
  <c r="AH304" i="1"/>
  <c r="AD304" i="1"/>
  <c r="K304" i="1" s="1"/>
  <c r="AB304" i="1"/>
  <c r="AF304" i="1" s="1"/>
  <c r="J304" i="1"/>
  <c r="H304" i="1"/>
  <c r="AH303" i="1"/>
  <c r="AD303" i="1"/>
  <c r="AB303" i="1"/>
  <c r="AF303" i="1" s="1"/>
  <c r="K303" i="1"/>
  <c r="J303" i="1"/>
  <c r="H303" i="1"/>
  <c r="AH302" i="1"/>
  <c r="AF302" i="1"/>
  <c r="AD302" i="1"/>
  <c r="K302" i="1" s="1"/>
  <c r="AB302" i="1"/>
  <c r="J302" i="1"/>
  <c r="H302" i="1"/>
  <c r="AH301" i="1"/>
  <c r="AF301" i="1"/>
  <c r="AD301" i="1"/>
  <c r="K301" i="1" s="1"/>
  <c r="AB301" i="1"/>
  <c r="J301" i="1"/>
  <c r="H301" i="1"/>
  <c r="AH300" i="1"/>
  <c r="AF300" i="1"/>
  <c r="AD300" i="1"/>
  <c r="AB300" i="1"/>
  <c r="J300" i="1"/>
  <c r="H300" i="1"/>
  <c r="AH299" i="1"/>
  <c r="AD299" i="1"/>
  <c r="K299" i="1" s="1"/>
  <c r="AB299" i="1"/>
  <c r="AF299" i="1" s="1"/>
  <c r="J299" i="1"/>
  <c r="H299" i="1"/>
  <c r="AH298" i="1"/>
  <c r="AF298" i="1"/>
  <c r="AE298" i="1"/>
  <c r="AD298" i="1"/>
  <c r="K298" i="1" s="1"/>
  <c r="AB298" i="1"/>
  <c r="J298" i="1"/>
  <c r="H298" i="1"/>
  <c r="AH297" i="1"/>
  <c r="AD297" i="1"/>
  <c r="K297" i="1" s="1"/>
  <c r="AB297" i="1"/>
  <c r="AF297" i="1" s="1"/>
  <c r="J297" i="1"/>
  <c r="H297" i="1"/>
  <c r="AE297" i="1" s="1"/>
  <c r="AH296" i="1"/>
  <c r="AD296" i="1"/>
  <c r="K296" i="1" s="1"/>
  <c r="AB296" i="1"/>
  <c r="AF296" i="1" s="1"/>
  <c r="J296" i="1"/>
  <c r="H296" i="1"/>
  <c r="AH295" i="1"/>
  <c r="AD295" i="1"/>
  <c r="K295" i="1" s="1"/>
  <c r="AB295" i="1"/>
  <c r="AF295" i="1" s="1"/>
  <c r="J295" i="1"/>
  <c r="H295" i="1"/>
  <c r="AH294" i="1"/>
  <c r="AD294" i="1"/>
  <c r="K294" i="1" s="1"/>
  <c r="AB294" i="1"/>
  <c r="AF294" i="1" s="1"/>
  <c r="J294" i="1"/>
  <c r="H294" i="1"/>
  <c r="AH293" i="1"/>
  <c r="AF293" i="1"/>
  <c r="AD293" i="1"/>
  <c r="K293" i="1" s="1"/>
  <c r="AB293" i="1"/>
  <c r="J293" i="1"/>
  <c r="H293" i="1"/>
  <c r="AH292" i="1"/>
  <c r="AD292" i="1"/>
  <c r="K292" i="1" s="1"/>
  <c r="AB292" i="1"/>
  <c r="AF292" i="1" s="1"/>
  <c r="J292" i="1"/>
  <c r="H292" i="1"/>
  <c r="AH291" i="1"/>
  <c r="AD291" i="1"/>
  <c r="K291" i="1" s="1"/>
  <c r="AB291" i="1"/>
  <c r="AF291" i="1" s="1"/>
  <c r="J291" i="1"/>
  <c r="H291" i="1"/>
  <c r="AH290" i="1"/>
  <c r="AD290" i="1"/>
  <c r="K290" i="1" s="1"/>
  <c r="AB290" i="1"/>
  <c r="AF290" i="1" s="1"/>
  <c r="J290" i="1"/>
  <c r="H290" i="1"/>
  <c r="AH289" i="1"/>
  <c r="AD289" i="1"/>
  <c r="AB289" i="1"/>
  <c r="AF289" i="1" s="1"/>
  <c r="K289" i="1"/>
  <c r="J289" i="1"/>
  <c r="H289" i="1"/>
  <c r="AH288" i="1"/>
  <c r="AF288" i="1"/>
  <c r="AD288" i="1"/>
  <c r="AE288" i="1" s="1"/>
  <c r="AB288" i="1"/>
  <c r="K288" i="1"/>
  <c r="J288" i="1"/>
  <c r="H288" i="1"/>
  <c r="AH287" i="1"/>
  <c r="AF287" i="1"/>
  <c r="AD287" i="1"/>
  <c r="K287" i="1" s="1"/>
  <c r="AB287" i="1"/>
  <c r="J287" i="1"/>
  <c r="H287" i="1"/>
  <c r="AH286" i="1"/>
  <c r="AD286" i="1"/>
  <c r="K286" i="1" s="1"/>
  <c r="AB286" i="1"/>
  <c r="AF286" i="1" s="1"/>
  <c r="J286" i="1"/>
  <c r="H286" i="1"/>
  <c r="AH285" i="1"/>
  <c r="AD285" i="1"/>
  <c r="K285" i="1" s="1"/>
  <c r="AB285" i="1"/>
  <c r="AF285" i="1" s="1"/>
  <c r="J285" i="1"/>
  <c r="H285" i="1"/>
  <c r="AH284" i="1"/>
  <c r="AF284" i="1"/>
  <c r="AD284" i="1"/>
  <c r="K284" i="1" s="1"/>
  <c r="AB284" i="1"/>
  <c r="J284" i="1"/>
  <c r="H284" i="1"/>
  <c r="AH283" i="1"/>
  <c r="AF283" i="1"/>
  <c r="AD283" i="1"/>
  <c r="AB283" i="1"/>
  <c r="J283" i="1"/>
  <c r="H283" i="1"/>
  <c r="AH282" i="1"/>
  <c r="AF282" i="1"/>
  <c r="AE282" i="1"/>
  <c r="AD282" i="1"/>
  <c r="K282" i="1" s="1"/>
  <c r="AB282" i="1"/>
  <c r="J282" i="1"/>
  <c r="H282" i="1"/>
  <c r="AH281" i="1"/>
  <c r="AF281" i="1"/>
  <c r="AD281" i="1"/>
  <c r="AE281" i="1" s="1"/>
  <c r="AB281" i="1"/>
  <c r="J281" i="1"/>
  <c r="H281" i="1"/>
  <c r="AH280" i="1"/>
  <c r="AD280" i="1"/>
  <c r="K280" i="1" s="1"/>
  <c r="AB280" i="1"/>
  <c r="AF280" i="1" s="1"/>
  <c r="J280" i="1"/>
  <c r="H280" i="1"/>
  <c r="AH279" i="1"/>
  <c r="AF279" i="1"/>
  <c r="AD279" i="1"/>
  <c r="AE279" i="1" s="1"/>
  <c r="AB279" i="1"/>
  <c r="J279" i="1"/>
  <c r="H279" i="1"/>
  <c r="AH278" i="1"/>
  <c r="AD278" i="1"/>
  <c r="K278" i="1" s="1"/>
  <c r="AB278" i="1"/>
  <c r="AF278" i="1" s="1"/>
  <c r="J278" i="1"/>
  <c r="H278" i="1"/>
  <c r="AH277" i="1"/>
  <c r="AF277" i="1"/>
  <c r="AD277" i="1"/>
  <c r="K277" i="1" s="1"/>
  <c r="AB277" i="1"/>
  <c r="J277" i="1"/>
  <c r="H277" i="1"/>
  <c r="AH276" i="1"/>
  <c r="AF276" i="1"/>
  <c r="AD276" i="1"/>
  <c r="K276" i="1" s="1"/>
  <c r="AB276" i="1"/>
  <c r="J276" i="1"/>
  <c r="H276" i="1"/>
  <c r="AH275" i="1"/>
  <c r="AF275" i="1"/>
  <c r="AD275" i="1"/>
  <c r="K275" i="1" s="1"/>
  <c r="AB275" i="1"/>
  <c r="J275" i="1"/>
  <c r="H275" i="1"/>
  <c r="AH274" i="1"/>
  <c r="AD274" i="1"/>
  <c r="K274" i="1" s="1"/>
  <c r="AB274" i="1"/>
  <c r="AF274" i="1" s="1"/>
  <c r="J274" i="1"/>
  <c r="H274" i="1"/>
  <c r="AH273" i="1"/>
  <c r="AD273" i="1"/>
  <c r="K273" i="1" s="1"/>
  <c r="AB273" i="1"/>
  <c r="AF273" i="1" s="1"/>
  <c r="J273" i="1"/>
  <c r="H273" i="1"/>
  <c r="AH272" i="1"/>
  <c r="AF272" i="1"/>
  <c r="AD272" i="1"/>
  <c r="AE272" i="1" s="1"/>
  <c r="AB272" i="1"/>
  <c r="J272" i="1"/>
  <c r="H272" i="1"/>
  <c r="AH271" i="1"/>
  <c r="AD271" i="1"/>
  <c r="AE271" i="1" s="1"/>
  <c r="AB271" i="1"/>
  <c r="AF271" i="1" s="1"/>
  <c r="K271" i="1"/>
  <c r="J271" i="1"/>
  <c r="H271" i="1"/>
  <c r="AH270" i="1"/>
  <c r="AD270" i="1"/>
  <c r="K270" i="1" s="1"/>
  <c r="AB270" i="1"/>
  <c r="AF270" i="1" s="1"/>
  <c r="J270" i="1"/>
  <c r="H270" i="1"/>
  <c r="AH269" i="1"/>
  <c r="AF269" i="1"/>
  <c r="AD269" i="1"/>
  <c r="K269" i="1" s="1"/>
  <c r="AB269" i="1"/>
  <c r="J269" i="1"/>
  <c r="H269" i="1"/>
  <c r="AH268" i="1"/>
  <c r="AF268" i="1"/>
  <c r="AD268" i="1"/>
  <c r="K268" i="1" s="1"/>
  <c r="AB268" i="1"/>
  <c r="J268" i="1"/>
  <c r="H268" i="1"/>
  <c r="AH267" i="1"/>
  <c r="AF267" i="1"/>
  <c r="AD267" i="1"/>
  <c r="AE267" i="1" s="1"/>
  <c r="AB267" i="1"/>
  <c r="K267" i="1"/>
  <c r="J267" i="1"/>
  <c r="H267" i="1"/>
  <c r="AH266" i="1"/>
  <c r="AF266" i="1"/>
  <c r="AD266" i="1"/>
  <c r="AB266" i="1"/>
  <c r="J266" i="1"/>
  <c r="H266" i="1"/>
  <c r="AH265" i="1"/>
  <c r="AF265" i="1"/>
  <c r="AD265" i="1"/>
  <c r="K265" i="1" s="1"/>
  <c r="AB265" i="1"/>
  <c r="J265" i="1"/>
  <c r="H265" i="1"/>
  <c r="AH264" i="1"/>
  <c r="AF264" i="1"/>
  <c r="AE264" i="1"/>
  <c r="AD264" i="1"/>
  <c r="AB264" i="1"/>
  <c r="K264" i="1"/>
  <c r="J264" i="1"/>
  <c r="H264" i="1"/>
  <c r="AH263" i="1"/>
  <c r="AF263" i="1"/>
  <c r="AD263" i="1"/>
  <c r="K263" i="1" s="1"/>
  <c r="AB263" i="1"/>
  <c r="J263" i="1"/>
  <c r="H263" i="1"/>
  <c r="AH262" i="1"/>
  <c r="AF262" i="1"/>
  <c r="AD262" i="1"/>
  <c r="K262" i="1" s="1"/>
  <c r="AB262" i="1"/>
  <c r="J262" i="1"/>
  <c r="H262" i="1"/>
  <c r="AH261" i="1"/>
  <c r="AF261" i="1"/>
  <c r="AD261" i="1"/>
  <c r="K261" i="1" s="1"/>
  <c r="AB261" i="1"/>
  <c r="J261" i="1"/>
  <c r="H261" i="1"/>
  <c r="AH260" i="1"/>
  <c r="AF260" i="1"/>
  <c r="AD260" i="1"/>
  <c r="AE260" i="1" s="1"/>
  <c r="AB260" i="1"/>
  <c r="K260" i="1"/>
  <c r="J260" i="1"/>
  <c r="H260" i="1"/>
  <c r="AH259" i="1"/>
  <c r="AF259" i="1"/>
  <c r="AD259" i="1"/>
  <c r="AE259" i="1" s="1"/>
  <c r="AB259" i="1"/>
  <c r="J259" i="1"/>
  <c r="H259" i="1"/>
  <c r="AH258" i="1"/>
  <c r="AD258" i="1"/>
  <c r="K258" i="1" s="1"/>
  <c r="AB258" i="1"/>
  <c r="AF258" i="1" s="1"/>
  <c r="J258" i="1"/>
  <c r="H258" i="1"/>
  <c r="AH257" i="1"/>
  <c r="AD257" i="1"/>
  <c r="K257" i="1" s="1"/>
  <c r="AB257" i="1"/>
  <c r="AF257" i="1" s="1"/>
  <c r="J257" i="1"/>
  <c r="H257" i="1"/>
  <c r="AH256" i="1"/>
  <c r="AF256" i="1"/>
  <c r="AD256" i="1"/>
  <c r="K256" i="1" s="1"/>
  <c r="AB256" i="1"/>
  <c r="J256" i="1"/>
  <c r="H256" i="1"/>
  <c r="AH255" i="1"/>
  <c r="AF255" i="1"/>
  <c r="AD255" i="1"/>
  <c r="K255" i="1" s="1"/>
  <c r="AB255" i="1"/>
  <c r="J255" i="1"/>
  <c r="H255" i="1"/>
  <c r="AH254" i="1"/>
  <c r="AF254" i="1"/>
  <c r="AD254" i="1"/>
  <c r="K254" i="1" s="1"/>
  <c r="AB254" i="1"/>
  <c r="J254" i="1"/>
  <c r="H254" i="1"/>
  <c r="AH253" i="1"/>
  <c r="AF253" i="1"/>
  <c r="AE253" i="1"/>
  <c r="AD253" i="1"/>
  <c r="K253" i="1" s="1"/>
  <c r="AB253" i="1"/>
  <c r="J253" i="1"/>
  <c r="H253" i="1"/>
  <c r="AH252" i="1"/>
  <c r="AF252" i="1"/>
  <c r="AE252" i="1"/>
  <c r="AD252" i="1"/>
  <c r="AB252" i="1"/>
  <c r="K252" i="1"/>
  <c r="J252" i="1"/>
  <c r="H252" i="1"/>
  <c r="AH251" i="1"/>
  <c r="AF251" i="1"/>
  <c r="AD251" i="1"/>
  <c r="AE251" i="1" s="1"/>
  <c r="AB251" i="1"/>
  <c r="J251" i="1"/>
  <c r="H251" i="1"/>
  <c r="AH250" i="1"/>
  <c r="AF250" i="1"/>
  <c r="AE250" i="1"/>
  <c r="AD250" i="1"/>
  <c r="AB250" i="1"/>
  <c r="K250" i="1"/>
  <c r="J250" i="1"/>
  <c r="H250" i="1"/>
  <c r="AH249" i="1"/>
  <c r="AF249" i="1"/>
  <c r="AD249" i="1"/>
  <c r="K249" i="1" s="1"/>
  <c r="AB249" i="1"/>
  <c r="J249" i="1"/>
  <c r="H249" i="1"/>
  <c r="AH248" i="1"/>
  <c r="AD248" i="1"/>
  <c r="K248" i="1" s="1"/>
  <c r="AB248" i="1"/>
  <c r="AF248" i="1" s="1"/>
  <c r="J248" i="1"/>
  <c r="H248" i="1"/>
  <c r="AH247" i="1"/>
  <c r="AF247" i="1"/>
  <c r="AD247" i="1"/>
  <c r="K247" i="1" s="1"/>
  <c r="AB247" i="1"/>
  <c r="J247" i="1"/>
  <c r="H247" i="1"/>
  <c r="AH246" i="1"/>
  <c r="AF246" i="1"/>
  <c r="AD246" i="1"/>
  <c r="AE246" i="1" s="1"/>
  <c r="AB246" i="1"/>
  <c r="J246" i="1"/>
  <c r="H246" i="1"/>
  <c r="AH245" i="1"/>
  <c r="AD245" i="1"/>
  <c r="K245" i="1" s="1"/>
  <c r="AB245" i="1"/>
  <c r="AF245" i="1" s="1"/>
  <c r="J245" i="1"/>
  <c r="H245" i="1"/>
  <c r="AH244" i="1"/>
  <c r="AF244" i="1"/>
  <c r="AD244" i="1"/>
  <c r="K244" i="1" s="1"/>
  <c r="AB244" i="1"/>
  <c r="J244" i="1"/>
  <c r="H244" i="1"/>
  <c r="AH243" i="1"/>
  <c r="AF243" i="1"/>
  <c r="AD243" i="1"/>
  <c r="K243" i="1" s="1"/>
  <c r="AB243" i="1"/>
  <c r="J243" i="1"/>
  <c r="H243" i="1"/>
  <c r="AH242" i="1"/>
  <c r="AF242" i="1"/>
  <c r="AD242" i="1"/>
  <c r="K242" i="1" s="1"/>
  <c r="AB242" i="1"/>
  <c r="J242" i="1"/>
  <c r="H242" i="1"/>
  <c r="AH241" i="1"/>
  <c r="AF241" i="1"/>
  <c r="AD241" i="1"/>
  <c r="K241" i="1" s="1"/>
  <c r="AB241" i="1"/>
  <c r="J241" i="1"/>
  <c r="H241" i="1"/>
  <c r="AH240" i="1"/>
  <c r="AD240" i="1"/>
  <c r="AB240" i="1"/>
  <c r="AF240" i="1" s="1"/>
  <c r="J240" i="1"/>
  <c r="H240" i="1"/>
  <c r="AH239" i="1"/>
  <c r="AD239" i="1"/>
  <c r="K239" i="1" s="1"/>
  <c r="AB239" i="1"/>
  <c r="AF239" i="1" s="1"/>
  <c r="J239" i="1"/>
  <c r="H239" i="1"/>
  <c r="AH238" i="1"/>
  <c r="AD238" i="1"/>
  <c r="K238" i="1" s="1"/>
  <c r="AB238" i="1"/>
  <c r="AF238" i="1" s="1"/>
  <c r="J238" i="1"/>
  <c r="H238" i="1"/>
  <c r="AH237" i="1"/>
  <c r="AD237" i="1"/>
  <c r="AB237" i="1"/>
  <c r="AF237" i="1" s="1"/>
  <c r="K237" i="1"/>
  <c r="J237" i="1"/>
  <c r="H237" i="1"/>
  <c r="AH236" i="1"/>
  <c r="AD236" i="1"/>
  <c r="K236" i="1" s="1"/>
  <c r="AB236" i="1"/>
  <c r="AF236" i="1" s="1"/>
  <c r="J236" i="1"/>
  <c r="H236" i="1"/>
  <c r="AH235" i="1"/>
  <c r="AD235" i="1"/>
  <c r="K235" i="1" s="1"/>
  <c r="AB235" i="1"/>
  <c r="AF235" i="1" s="1"/>
  <c r="J235" i="1"/>
  <c r="H235" i="1"/>
  <c r="AH234" i="1"/>
  <c r="AD234" i="1"/>
  <c r="K234" i="1" s="1"/>
  <c r="AB234" i="1"/>
  <c r="AF234" i="1" s="1"/>
  <c r="J234" i="1"/>
  <c r="H234" i="1"/>
  <c r="AH233" i="1"/>
  <c r="AF233" i="1"/>
  <c r="AD233" i="1"/>
  <c r="K233" i="1" s="1"/>
  <c r="AB233" i="1"/>
  <c r="J233" i="1"/>
  <c r="H233" i="1"/>
  <c r="AH232" i="1"/>
  <c r="AF232" i="1"/>
  <c r="AD232" i="1"/>
  <c r="K232" i="1" s="1"/>
  <c r="AB232" i="1"/>
  <c r="J232" i="1"/>
  <c r="H232" i="1"/>
  <c r="AH231" i="1"/>
  <c r="AF231" i="1"/>
  <c r="AD231" i="1"/>
  <c r="AE231" i="1" s="1"/>
  <c r="AB231" i="1"/>
  <c r="J231" i="1"/>
  <c r="H231" i="1"/>
  <c r="AH230" i="1"/>
  <c r="AD230" i="1"/>
  <c r="AB230" i="1"/>
  <c r="AF230" i="1" s="1"/>
  <c r="J230" i="1"/>
  <c r="H230" i="1"/>
  <c r="AH229" i="1"/>
  <c r="AD229" i="1"/>
  <c r="K229" i="1" s="1"/>
  <c r="AB229" i="1"/>
  <c r="AF229" i="1" s="1"/>
  <c r="J229" i="1"/>
  <c r="H229" i="1"/>
  <c r="AH228" i="1"/>
  <c r="AF228" i="1"/>
  <c r="AD228" i="1"/>
  <c r="K228" i="1" s="1"/>
  <c r="AB228" i="1"/>
  <c r="J228" i="1"/>
  <c r="H228" i="1"/>
  <c r="AH227" i="1"/>
  <c r="AF227" i="1"/>
  <c r="AD227" i="1"/>
  <c r="K227" i="1" s="1"/>
  <c r="AB227" i="1"/>
  <c r="J227" i="1"/>
  <c r="H227" i="1"/>
  <c r="AH226" i="1"/>
  <c r="AD226" i="1"/>
  <c r="K226" i="1" s="1"/>
  <c r="AB226" i="1"/>
  <c r="AF226" i="1" s="1"/>
  <c r="J226" i="1"/>
  <c r="H226" i="1"/>
  <c r="AH225" i="1"/>
  <c r="AD225" i="1"/>
  <c r="K225" i="1" s="1"/>
  <c r="AB225" i="1"/>
  <c r="AF225" i="1" s="1"/>
  <c r="J225" i="1"/>
  <c r="H225" i="1"/>
  <c r="AH224" i="1"/>
  <c r="AF224" i="1"/>
  <c r="AD224" i="1"/>
  <c r="AE224" i="1" s="1"/>
  <c r="AB224" i="1"/>
  <c r="J224" i="1"/>
  <c r="H224" i="1"/>
  <c r="AH223" i="1"/>
  <c r="AF223" i="1"/>
  <c r="AD223" i="1"/>
  <c r="AE223" i="1" s="1"/>
  <c r="AB223" i="1"/>
  <c r="J223" i="1"/>
  <c r="H223" i="1"/>
  <c r="AH222" i="1"/>
  <c r="AD222" i="1"/>
  <c r="K222" i="1" s="1"/>
  <c r="AB222" i="1"/>
  <c r="AF222" i="1" s="1"/>
  <c r="J222" i="1"/>
  <c r="H222" i="1"/>
  <c r="AH221" i="1"/>
  <c r="AF221" i="1"/>
  <c r="AD221" i="1"/>
  <c r="K221" i="1" s="1"/>
  <c r="AB221" i="1"/>
  <c r="J221" i="1"/>
  <c r="H221" i="1"/>
  <c r="AH220" i="1"/>
  <c r="AF220" i="1"/>
  <c r="AD220" i="1"/>
  <c r="K220" i="1" s="1"/>
  <c r="AB220" i="1"/>
  <c r="J220" i="1"/>
  <c r="H220" i="1"/>
  <c r="AH219" i="1"/>
  <c r="AF219" i="1"/>
  <c r="AD219" i="1"/>
  <c r="K219" i="1" s="1"/>
  <c r="AB219" i="1"/>
  <c r="J219" i="1"/>
  <c r="H219" i="1"/>
  <c r="AH218" i="1"/>
  <c r="AD218" i="1"/>
  <c r="AB218" i="1"/>
  <c r="AF218" i="1" s="1"/>
  <c r="K218" i="1"/>
  <c r="J218" i="1"/>
  <c r="H218" i="1"/>
  <c r="AH217" i="1"/>
  <c r="AF217" i="1"/>
  <c r="AD217" i="1"/>
  <c r="AE217" i="1" s="1"/>
  <c r="AB217" i="1"/>
  <c r="J217" i="1"/>
  <c r="H217" i="1"/>
  <c r="AH216" i="1"/>
  <c r="AD216" i="1"/>
  <c r="AB216" i="1"/>
  <c r="AF216" i="1" s="1"/>
  <c r="J216" i="1"/>
  <c r="H216" i="1"/>
  <c r="AH215" i="1"/>
  <c r="AD215" i="1"/>
  <c r="K215" i="1" s="1"/>
  <c r="AB215" i="1"/>
  <c r="AF215" i="1" s="1"/>
  <c r="J215" i="1"/>
  <c r="H215" i="1"/>
  <c r="AH214" i="1"/>
  <c r="AF214" i="1"/>
  <c r="AD214" i="1"/>
  <c r="K214" i="1" s="1"/>
  <c r="AB214" i="1"/>
  <c r="J214" i="1"/>
  <c r="H214" i="1"/>
  <c r="AH213" i="1"/>
  <c r="AF213" i="1"/>
  <c r="AD213" i="1"/>
  <c r="K213" i="1" s="1"/>
  <c r="AB213" i="1"/>
  <c r="J213" i="1"/>
  <c r="H213" i="1"/>
  <c r="AH212" i="1"/>
  <c r="AF212" i="1"/>
  <c r="AD212" i="1"/>
  <c r="K212" i="1" s="1"/>
  <c r="AB212" i="1"/>
  <c r="J212" i="1"/>
  <c r="H212" i="1"/>
  <c r="AH211" i="1"/>
  <c r="AD211" i="1"/>
  <c r="AB211" i="1"/>
  <c r="AF211" i="1" s="1"/>
  <c r="K211" i="1"/>
  <c r="J211" i="1"/>
  <c r="H211" i="1"/>
  <c r="AE211" i="1" s="1"/>
  <c r="AH210" i="1"/>
  <c r="AF210" i="1"/>
  <c r="AD210" i="1"/>
  <c r="AB210" i="1"/>
  <c r="J210" i="1"/>
  <c r="H210" i="1"/>
  <c r="AH209" i="1"/>
  <c r="AF209" i="1"/>
  <c r="AD209" i="1"/>
  <c r="AE209" i="1" s="1"/>
  <c r="AB209" i="1"/>
  <c r="K209" i="1"/>
  <c r="J209" i="1"/>
  <c r="H209" i="1"/>
  <c r="AH208" i="1"/>
  <c r="AF208" i="1"/>
  <c r="AD208" i="1"/>
  <c r="AB208" i="1"/>
  <c r="J208" i="1"/>
  <c r="H208" i="1"/>
  <c r="AH207" i="1"/>
  <c r="AD207" i="1"/>
  <c r="K207" i="1" s="1"/>
  <c r="AB207" i="1"/>
  <c r="AF207" i="1" s="1"/>
  <c r="J207" i="1"/>
  <c r="H207" i="1"/>
  <c r="AH206" i="1"/>
  <c r="AD206" i="1"/>
  <c r="K206" i="1" s="1"/>
  <c r="AB206" i="1"/>
  <c r="AF206" i="1" s="1"/>
  <c r="J206" i="1"/>
  <c r="H206" i="1"/>
  <c r="AH205" i="1"/>
  <c r="AF205" i="1"/>
  <c r="AD205" i="1"/>
  <c r="K205" i="1" s="1"/>
  <c r="AB205" i="1"/>
  <c r="J205" i="1"/>
  <c r="H205" i="1"/>
  <c r="AH204" i="1"/>
  <c r="AD204" i="1"/>
  <c r="AB204" i="1"/>
  <c r="AF204" i="1" s="1"/>
  <c r="K204" i="1"/>
  <c r="J204" i="1"/>
  <c r="H204" i="1"/>
  <c r="AE204" i="1" s="1"/>
  <c r="AH203" i="1"/>
  <c r="AF203" i="1"/>
  <c r="AE203" i="1"/>
  <c r="AD203" i="1"/>
  <c r="K203" i="1" s="1"/>
  <c r="AB203" i="1"/>
  <c r="J203" i="1"/>
  <c r="H203" i="1"/>
  <c r="AH202" i="1"/>
  <c r="AD202" i="1"/>
  <c r="AB202" i="1"/>
  <c r="AF202" i="1" s="1"/>
  <c r="K202" i="1"/>
  <c r="J202" i="1"/>
  <c r="H202" i="1"/>
  <c r="AH201" i="1"/>
  <c r="AF201" i="1"/>
  <c r="AD201" i="1"/>
  <c r="K201" i="1" s="1"/>
  <c r="AB201" i="1"/>
  <c r="J201" i="1"/>
  <c r="H201" i="1"/>
  <c r="AH200" i="1"/>
  <c r="AD200" i="1"/>
  <c r="K200" i="1" s="1"/>
  <c r="AB200" i="1"/>
  <c r="AF200" i="1" s="1"/>
  <c r="J200" i="1"/>
  <c r="H200" i="1"/>
  <c r="AH199" i="1"/>
  <c r="AD199" i="1"/>
  <c r="K199" i="1" s="1"/>
  <c r="AB199" i="1"/>
  <c r="AF199" i="1" s="1"/>
  <c r="J199" i="1"/>
  <c r="H199" i="1"/>
  <c r="AH198" i="1"/>
  <c r="AF198" i="1"/>
  <c r="AD198" i="1"/>
  <c r="K198" i="1" s="1"/>
  <c r="AB198" i="1"/>
  <c r="J198" i="1"/>
  <c r="H198" i="1"/>
  <c r="AH197" i="1"/>
  <c r="AD197" i="1"/>
  <c r="K197" i="1" s="1"/>
  <c r="AB197" i="1"/>
  <c r="AF197" i="1" s="1"/>
  <c r="J197" i="1"/>
  <c r="H197" i="1"/>
  <c r="AH196" i="1"/>
  <c r="AD196" i="1"/>
  <c r="K196" i="1" s="1"/>
  <c r="AB196" i="1"/>
  <c r="AF196" i="1" s="1"/>
  <c r="J196" i="1"/>
  <c r="H196" i="1"/>
  <c r="AH195" i="1"/>
  <c r="AF195" i="1"/>
  <c r="AD195" i="1"/>
  <c r="AB195" i="1"/>
  <c r="J195" i="1"/>
  <c r="H195" i="1"/>
  <c r="AH194" i="1"/>
  <c r="AF194" i="1"/>
  <c r="AD194" i="1"/>
  <c r="K194" i="1" s="1"/>
  <c r="AB194" i="1"/>
  <c r="J194" i="1"/>
  <c r="H194" i="1"/>
  <c r="AH193" i="1"/>
  <c r="AF193" i="1"/>
  <c r="AD193" i="1"/>
  <c r="K193" i="1" s="1"/>
  <c r="AB193" i="1"/>
  <c r="J193" i="1"/>
  <c r="H193" i="1"/>
  <c r="AH192" i="1"/>
  <c r="AD192" i="1"/>
  <c r="K192" i="1" s="1"/>
  <c r="AB192" i="1"/>
  <c r="AF192" i="1" s="1"/>
  <c r="J192" i="1"/>
  <c r="H192" i="1"/>
  <c r="AH191" i="1"/>
  <c r="AF191" i="1"/>
  <c r="AD191" i="1"/>
  <c r="AB191" i="1"/>
  <c r="J191" i="1"/>
  <c r="H191" i="1"/>
  <c r="AH190" i="1"/>
  <c r="AD190" i="1"/>
  <c r="AB190" i="1"/>
  <c r="AF190" i="1" s="1"/>
  <c r="K190" i="1"/>
  <c r="J190" i="1"/>
  <c r="H190" i="1"/>
  <c r="AE190" i="1" s="1"/>
  <c r="AH189" i="1"/>
  <c r="AD189" i="1"/>
  <c r="K189" i="1" s="1"/>
  <c r="AB189" i="1"/>
  <c r="AF189" i="1" s="1"/>
  <c r="J189" i="1"/>
  <c r="H189" i="1"/>
  <c r="AH188" i="1"/>
  <c r="AF188" i="1"/>
  <c r="AD188" i="1"/>
  <c r="AE188" i="1" s="1"/>
  <c r="AB188" i="1"/>
  <c r="J188" i="1"/>
  <c r="H188" i="1"/>
  <c r="AH187" i="1"/>
  <c r="AF187" i="1"/>
  <c r="AD187" i="1"/>
  <c r="AE187" i="1" s="1"/>
  <c r="AB187" i="1"/>
  <c r="J187" i="1"/>
  <c r="H187" i="1"/>
  <c r="AH186" i="1"/>
  <c r="AF186" i="1"/>
  <c r="AD186" i="1"/>
  <c r="K186" i="1" s="1"/>
  <c r="AB186" i="1"/>
  <c r="J186" i="1"/>
  <c r="H186" i="1"/>
  <c r="AH185" i="1"/>
  <c r="AD185" i="1"/>
  <c r="K185" i="1" s="1"/>
  <c r="AB185" i="1"/>
  <c r="AF185" i="1" s="1"/>
  <c r="J185" i="1"/>
  <c r="H185" i="1"/>
  <c r="AH184" i="1"/>
  <c r="AF184" i="1"/>
  <c r="AD184" i="1"/>
  <c r="AB184" i="1"/>
  <c r="J184" i="1"/>
  <c r="H184" i="1"/>
  <c r="AH183" i="1"/>
  <c r="AF183" i="1"/>
  <c r="AD183" i="1"/>
  <c r="AE183" i="1" s="1"/>
  <c r="AB183" i="1"/>
  <c r="K183" i="1"/>
  <c r="J183" i="1"/>
  <c r="H183" i="1"/>
  <c r="AH182" i="1"/>
  <c r="AF182" i="1"/>
  <c r="AE182" i="1"/>
  <c r="AD182" i="1"/>
  <c r="K182" i="1" s="1"/>
  <c r="AB182" i="1"/>
  <c r="J182" i="1"/>
  <c r="H182" i="1"/>
  <c r="AH181" i="1"/>
  <c r="AD181" i="1"/>
  <c r="AB181" i="1"/>
  <c r="AF181" i="1" s="1"/>
  <c r="K181" i="1"/>
  <c r="J181" i="1"/>
  <c r="H181" i="1"/>
  <c r="AE181" i="1" s="1"/>
  <c r="AH180" i="1"/>
  <c r="AF180" i="1"/>
  <c r="AD180" i="1"/>
  <c r="AE180" i="1" s="1"/>
  <c r="AB180" i="1"/>
  <c r="J180" i="1"/>
  <c r="H180" i="1"/>
  <c r="AH179" i="1"/>
  <c r="AF179" i="1"/>
  <c r="AD179" i="1"/>
  <c r="K179" i="1" s="1"/>
  <c r="AB179" i="1"/>
  <c r="J179" i="1"/>
  <c r="H179" i="1"/>
  <c r="AH178" i="1"/>
  <c r="AD178" i="1"/>
  <c r="K178" i="1" s="1"/>
  <c r="AB178" i="1"/>
  <c r="AF178" i="1" s="1"/>
  <c r="J178" i="1"/>
  <c r="H178" i="1"/>
  <c r="AH177" i="1"/>
  <c r="AD177" i="1"/>
  <c r="K177" i="1" s="1"/>
  <c r="AB177" i="1"/>
  <c r="AF177" i="1" s="1"/>
  <c r="J177" i="1"/>
  <c r="H177" i="1"/>
  <c r="AH176" i="1"/>
  <c r="AD176" i="1"/>
  <c r="K176" i="1" s="1"/>
  <c r="AB176" i="1"/>
  <c r="AF176" i="1" s="1"/>
  <c r="J176" i="1"/>
  <c r="H176" i="1"/>
  <c r="AH175" i="1"/>
  <c r="AF175" i="1"/>
  <c r="AE175" i="1"/>
  <c r="AD175" i="1"/>
  <c r="AB175" i="1"/>
  <c r="K175" i="1"/>
  <c r="J175" i="1"/>
  <c r="H175" i="1"/>
  <c r="AH174" i="1"/>
  <c r="AD174" i="1"/>
  <c r="AB174" i="1"/>
  <c r="AF174" i="1" s="1"/>
  <c r="J174" i="1"/>
  <c r="H174" i="1"/>
  <c r="AH173" i="1"/>
  <c r="AF173" i="1"/>
  <c r="AD173" i="1"/>
  <c r="AE173" i="1" s="1"/>
  <c r="AB173" i="1"/>
  <c r="J173" i="1"/>
  <c r="H173" i="1"/>
  <c r="AH172" i="1"/>
  <c r="AF172" i="1"/>
  <c r="AD172" i="1"/>
  <c r="K172" i="1" s="1"/>
  <c r="AB172" i="1"/>
  <c r="J172" i="1"/>
  <c r="H172" i="1"/>
  <c r="AH171" i="1"/>
  <c r="AD171" i="1"/>
  <c r="AE171" i="1" s="1"/>
  <c r="AB171" i="1"/>
  <c r="AF171" i="1" s="1"/>
  <c r="J171" i="1"/>
  <c r="H171" i="1"/>
  <c r="AH170" i="1"/>
  <c r="AF170" i="1"/>
  <c r="AD170" i="1"/>
  <c r="K170" i="1" s="1"/>
  <c r="AB170" i="1"/>
  <c r="J170" i="1"/>
  <c r="H170" i="1"/>
  <c r="AH169" i="1"/>
  <c r="AD169" i="1"/>
  <c r="AB169" i="1"/>
  <c r="AF169" i="1" s="1"/>
  <c r="J169" i="1"/>
  <c r="H169" i="1"/>
  <c r="AH168" i="1"/>
  <c r="AD168" i="1"/>
  <c r="K168" i="1" s="1"/>
  <c r="AB168" i="1"/>
  <c r="AF168" i="1" s="1"/>
  <c r="J168" i="1"/>
  <c r="H168" i="1"/>
  <c r="AH167" i="1"/>
  <c r="AF167" i="1"/>
  <c r="AD167" i="1"/>
  <c r="AE167" i="1" s="1"/>
  <c r="AB167" i="1"/>
  <c r="J167" i="1"/>
  <c r="H167" i="1"/>
  <c r="AH166" i="1"/>
  <c r="AF166" i="1"/>
  <c r="AD166" i="1"/>
  <c r="AE166" i="1" s="1"/>
  <c r="AB166" i="1"/>
  <c r="K166" i="1"/>
  <c r="J166" i="1"/>
  <c r="H166" i="1"/>
  <c r="AH165" i="1"/>
  <c r="AF165" i="1"/>
  <c r="AD165" i="1"/>
  <c r="AE165" i="1" s="1"/>
  <c r="AB165" i="1"/>
  <c r="J165" i="1"/>
  <c r="H165" i="1"/>
  <c r="AH164" i="1"/>
  <c r="AD164" i="1"/>
  <c r="AB164" i="1"/>
  <c r="AF164" i="1" s="1"/>
  <c r="J164" i="1"/>
  <c r="H164" i="1"/>
  <c r="AH163" i="1"/>
  <c r="AF163" i="1"/>
  <c r="AD163" i="1"/>
  <c r="AE163" i="1" s="1"/>
  <c r="AB163" i="1"/>
  <c r="J163" i="1"/>
  <c r="H163" i="1"/>
  <c r="AH162" i="1"/>
  <c r="AF162" i="1"/>
  <c r="AD162" i="1"/>
  <c r="K162" i="1" s="1"/>
  <c r="AB162" i="1"/>
  <c r="J162" i="1"/>
  <c r="H162" i="1"/>
  <c r="AH161" i="1"/>
  <c r="AD161" i="1"/>
  <c r="K161" i="1" s="1"/>
  <c r="AB161" i="1"/>
  <c r="AF161" i="1" s="1"/>
  <c r="J161" i="1"/>
  <c r="H161" i="1"/>
  <c r="AH160" i="1"/>
  <c r="AF160" i="1"/>
  <c r="AE160" i="1"/>
  <c r="AD160" i="1"/>
  <c r="K160" i="1" s="1"/>
  <c r="AB160" i="1"/>
  <c r="J160" i="1"/>
  <c r="H160" i="1"/>
  <c r="AH159" i="1"/>
  <c r="AF159" i="1"/>
  <c r="AD159" i="1"/>
  <c r="AE159" i="1" s="1"/>
  <c r="AB159" i="1"/>
  <c r="J159" i="1"/>
  <c r="H159" i="1"/>
  <c r="AH158" i="1"/>
  <c r="AF158" i="1"/>
  <c r="AD158" i="1"/>
  <c r="AE158" i="1" s="1"/>
  <c r="AB158" i="1"/>
  <c r="J158" i="1"/>
  <c r="H158" i="1"/>
  <c r="AH157" i="1"/>
  <c r="AD157" i="1"/>
  <c r="AB157" i="1"/>
  <c r="AF157" i="1" s="1"/>
  <c r="J157" i="1"/>
  <c r="H157" i="1"/>
  <c r="AH156" i="1"/>
  <c r="AD156" i="1"/>
  <c r="K156" i="1" s="1"/>
  <c r="AB156" i="1"/>
  <c r="AF156" i="1" s="1"/>
  <c r="J156" i="1"/>
  <c r="H156" i="1"/>
  <c r="AH155" i="1"/>
  <c r="AD155" i="1"/>
  <c r="K155" i="1" s="1"/>
  <c r="AB155" i="1"/>
  <c r="AF155" i="1" s="1"/>
  <c r="J155" i="1"/>
  <c r="H155" i="1"/>
  <c r="AH154" i="1"/>
  <c r="AF154" i="1"/>
  <c r="AD154" i="1"/>
  <c r="AE154" i="1" s="1"/>
  <c r="AB154" i="1"/>
  <c r="J154" i="1"/>
  <c r="H154" i="1"/>
  <c r="AH153" i="1"/>
  <c r="AF153" i="1"/>
  <c r="AD153" i="1"/>
  <c r="AE153" i="1" s="1"/>
  <c r="AB153" i="1"/>
  <c r="J153" i="1"/>
  <c r="H153" i="1"/>
  <c r="AH152" i="1"/>
  <c r="AF152" i="1"/>
  <c r="AD152" i="1"/>
  <c r="AB152" i="1"/>
  <c r="J152" i="1"/>
  <c r="H152" i="1"/>
  <c r="AH151" i="1"/>
  <c r="AD151" i="1"/>
  <c r="K151" i="1" s="1"/>
  <c r="AB151" i="1"/>
  <c r="AF151" i="1" s="1"/>
  <c r="J151" i="1"/>
  <c r="H151" i="1"/>
  <c r="AH150" i="1"/>
  <c r="AD150" i="1"/>
  <c r="AB150" i="1"/>
  <c r="AF150" i="1" s="1"/>
  <c r="J150" i="1"/>
  <c r="H150" i="1"/>
  <c r="AH149" i="1"/>
  <c r="AD149" i="1"/>
  <c r="K149" i="1" s="1"/>
  <c r="AB149" i="1"/>
  <c r="AF149" i="1" s="1"/>
  <c r="J149" i="1"/>
  <c r="H149" i="1"/>
  <c r="AH148" i="1"/>
  <c r="AD148" i="1"/>
  <c r="K148" i="1" s="1"/>
  <c r="AB148" i="1"/>
  <c r="AF148" i="1" s="1"/>
  <c r="J148" i="1"/>
  <c r="H148" i="1"/>
  <c r="AH147" i="1"/>
  <c r="AD147" i="1"/>
  <c r="K147" i="1" s="1"/>
  <c r="AB147" i="1"/>
  <c r="AF147" i="1" s="1"/>
  <c r="J147" i="1"/>
  <c r="H147" i="1"/>
  <c r="AH146" i="1"/>
  <c r="AF146" i="1"/>
  <c r="AD146" i="1"/>
  <c r="AE146" i="1" s="1"/>
  <c r="AB146" i="1"/>
  <c r="K146" i="1"/>
  <c r="J146" i="1"/>
  <c r="H146" i="1"/>
  <c r="AH145" i="1"/>
  <c r="AF145" i="1"/>
  <c r="AD145" i="1"/>
  <c r="AE145" i="1" s="1"/>
  <c r="AB145" i="1"/>
  <c r="K145" i="1"/>
  <c r="J145" i="1"/>
  <c r="H145" i="1"/>
  <c r="AH144" i="1"/>
  <c r="AF144" i="1"/>
  <c r="AD144" i="1"/>
  <c r="AE144" i="1" s="1"/>
  <c r="AB144" i="1"/>
  <c r="K144" i="1"/>
  <c r="J144" i="1"/>
  <c r="H144" i="1"/>
  <c r="AH143" i="1"/>
  <c r="AD143" i="1"/>
  <c r="AB143" i="1"/>
  <c r="AF143" i="1" s="1"/>
  <c r="J143" i="1"/>
  <c r="H143" i="1"/>
  <c r="AH142" i="1"/>
  <c r="AF142" i="1"/>
  <c r="AD142" i="1"/>
  <c r="AE142" i="1" s="1"/>
  <c r="AB142" i="1"/>
  <c r="J142" i="1"/>
  <c r="H142" i="1"/>
  <c r="AH141" i="1"/>
  <c r="AF141" i="1"/>
  <c r="AD141" i="1"/>
  <c r="AB141" i="1"/>
  <c r="J141" i="1"/>
  <c r="H141" i="1"/>
  <c r="AH140" i="1"/>
  <c r="AD140" i="1"/>
  <c r="K140" i="1" s="1"/>
  <c r="AB140" i="1"/>
  <c r="AF140" i="1" s="1"/>
  <c r="J140" i="1"/>
  <c r="H140" i="1"/>
  <c r="AH139" i="1"/>
  <c r="AF139" i="1"/>
  <c r="AD139" i="1"/>
  <c r="AE139" i="1" s="1"/>
  <c r="AB139" i="1"/>
  <c r="J139" i="1"/>
  <c r="H139" i="1"/>
  <c r="AH138" i="1"/>
  <c r="AD138" i="1"/>
  <c r="AE138" i="1" s="1"/>
  <c r="AB138" i="1"/>
  <c r="AF138" i="1" s="1"/>
  <c r="J138" i="1"/>
  <c r="H138" i="1"/>
  <c r="AH137" i="1"/>
  <c r="AF137" i="1"/>
  <c r="AD137" i="1"/>
  <c r="AE137" i="1" s="1"/>
  <c r="AB137" i="1"/>
  <c r="K137" i="1"/>
  <c r="J137" i="1"/>
  <c r="H137" i="1"/>
  <c r="AH136" i="1"/>
  <c r="AF136" i="1"/>
  <c r="AD136" i="1"/>
  <c r="AE136" i="1" s="1"/>
  <c r="AB136" i="1"/>
  <c r="J136" i="1"/>
  <c r="H136" i="1"/>
  <c r="AH135" i="1"/>
  <c r="AD135" i="1"/>
  <c r="K135" i="1" s="1"/>
  <c r="AB135" i="1"/>
  <c r="AF135" i="1" s="1"/>
  <c r="J135" i="1"/>
  <c r="H135" i="1"/>
  <c r="AH134" i="1"/>
  <c r="AF134" i="1"/>
  <c r="AE134" i="1"/>
  <c r="AD134" i="1"/>
  <c r="K134" i="1" s="1"/>
  <c r="AB134" i="1"/>
  <c r="J134" i="1"/>
  <c r="H134" i="1"/>
  <c r="AH133" i="1"/>
  <c r="AF133" i="1"/>
  <c r="AD133" i="1"/>
  <c r="AB133" i="1"/>
  <c r="J133" i="1"/>
  <c r="H133" i="1"/>
  <c r="AH132" i="1"/>
  <c r="AD132" i="1"/>
  <c r="K132" i="1" s="1"/>
  <c r="AB132" i="1"/>
  <c r="AF132" i="1" s="1"/>
  <c r="J132" i="1"/>
  <c r="H132" i="1"/>
  <c r="AH131" i="1"/>
  <c r="AD131" i="1"/>
  <c r="AE131" i="1" s="1"/>
  <c r="AB131" i="1"/>
  <c r="AF131" i="1" s="1"/>
  <c r="J131" i="1"/>
  <c r="H131" i="1"/>
  <c r="AH130" i="1"/>
  <c r="AF130" i="1"/>
  <c r="AD130" i="1"/>
  <c r="AE130" i="1" s="1"/>
  <c r="AB130" i="1"/>
  <c r="J130" i="1"/>
  <c r="H130" i="1"/>
  <c r="AH129" i="1"/>
  <c r="AD129" i="1"/>
  <c r="AE129" i="1" s="1"/>
  <c r="AB129" i="1"/>
  <c r="AF129" i="1" s="1"/>
  <c r="J129" i="1"/>
  <c r="H129" i="1"/>
  <c r="AH128" i="1"/>
  <c r="AD128" i="1"/>
  <c r="K128" i="1" s="1"/>
  <c r="AB128" i="1"/>
  <c r="AF128" i="1" s="1"/>
  <c r="J128" i="1"/>
  <c r="H128" i="1"/>
  <c r="AH127" i="1"/>
  <c r="AF127" i="1"/>
  <c r="AD127" i="1"/>
  <c r="K127" i="1" s="1"/>
  <c r="AB127" i="1"/>
  <c r="J127" i="1"/>
  <c r="H127" i="1"/>
  <c r="AH126" i="1"/>
  <c r="AD126" i="1"/>
  <c r="K126" i="1" s="1"/>
  <c r="AB126" i="1"/>
  <c r="AF126" i="1" s="1"/>
  <c r="J126" i="1"/>
  <c r="H126" i="1"/>
  <c r="AE126" i="1" s="1"/>
  <c r="AH125" i="1"/>
  <c r="AD125" i="1"/>
  <c r="K125" i="1" s="1"/>
  <c r="AB125" i="1"/>
  <c r="AF125" i="1" s="1"/>
  <c r="J125" i="1"/>
  <c r="H125" i="1"/>
  <c r="AE125" i="1" s="1"/>
  <c r="AH124" i="1"/>
  <c r="AD124" i="1"/>
  <c r="K124" i="1" s="1"/>
  <c r="AB124" i="1"/>
  <c r="AF124" i="1" s="1"/>
  <c r="J124" i="1"/>
  <c r="H124" i="1"/>
  <c r="AH123" i="1"/>
  <c r="AD123" i="1"/>
  <c r="K123" i="1" s="1"/>
  <c r="AB123" i="1"/>
  <c r="AF123" i="1" s="1"/>
  <c r="J123" i="1"/>
  <c r="H123" i="1"/>
  <c r="AH122" i="1"/>
  <c r="AF122" i="1"/>
  <c r="AD122" i="1"/>
  <c r="AE122" i="1" s="1"/>
  <c r="AB122" i="1"/>
  <c r="J122" i="1"/>
  <c r="H122" i="1"/>
  <c r="AH121" i="1"/>
  <c r="AD121" i="1"/>
  <c r="K121" i="1" s="1"/>
  <c r="AB121" i="1"/>
  <c r="AF121" i="1" s="1"/>
  <c r="J121" i="1"/>
  <c r="H121" i="1"/>
  <c r="AH120" i="1"/>
  <c r="AF120" i="1"/>
  <c r="AD120" i="1"/>
  <c r="K120" i="1" s="1"/>
  <c r="AB120" i="1"/>
  <c r="J120" i="1"/>
  <c r="H120" i="1"/>
  <c r="AH119" i="1"/>
  <c r="AF119" i="1"/>
  <c r="AD119" i="1"/>
  <c r="AE119" i="1" s="1"/>
  <c r="AB119" i="1"/>
  <c r="K119" i="1"/>
  <c r="J119" i="1"/>
  <c r="H119" i="1"/>
  <c r="AH118" i="1"/>
  <c r="AF118" i="1"/>
  <c r="AD118" i="1"/>
  <c r="AE118" i="1" s="1"/>
  <c r="AB118" i="1"/>
  <c r="K118" i="1"/>
  <c r="J118" i="1"/>
  <c r="H118" i="1"/>
  <c r="AH117" i="1"/>
  <c r="AF117" i="1"/>
  <c r="AD117" i="1"/>
  <c r="AE117" i="1" s="1"/>
  <c r="AB117" i="1"/>
  <c r="J117" i="1"/>
  <c r="H117" i="1"/>
  <c r="AH116" i="1"/>
  <c r="AD116" i="1"/>
  <c r="K116" i="1" s="1"/>
  <c r="AB116" i="1"/>
  <c r="AF116" i="1" s="1"/>
  <c r="J116" i="1"/>
  <c r="H116" i="1"/>
  <c r="AH115" i="1"/>
  <c r="AF115" i="1"/>
  <c r="AD115" i="1"/>
  <c r="AE115" i="1" s="1"/>
  <c r="AB115" i="1"/>
  <c r="J115" i="1"/>
  <c r="H115" i="1"/>
  <c r="AH114" i="1"/>
  <c r="AF114" i="1"/>
  <c r="AD114" i="1"/>
  <c r="AE114" i="1" s="1"/>
  <c r="AB114" i="1"/>
  <c r="J114" i="1"/>
  <c r="H114" i="1"/>
  <c r="AH113" i="1"/>
  <c r="AF113" i="1"/>
  <c r="AD113" i="1"/>
  <c r="K113" i="1" s="1"/>
  <c r="AB113" i="1"/>
  <c r="J113" i="1"/>
  <c r="H113" i="1"/>
  <c r="AH112" i="1"/>
  <c r="AF112" i="1"/>
  <c r="AE112" i="1"/>
  <c r="AD112" i="1"/>
  <c r="AB112" i="1"/>
  <c r="K112" i="1"/>
  <c r="J112" i="1"/>
  <c r="H112" i="1"/>
  <c r="AH111" i="1"/>
  <c r="AD111" i="1"/>
  <c r="AB111" i="1"/>
  <c r="AF111" i="1" s="1"/>
  <c r="K111" i="1"/>
  <c r="J111" i="1"/>
  <c r="H111" i="1"/>
  <c r="AH110" i="1"/>
  <c r="AD110" i="1"/>
  <c r="AE110" i="1" s="1"/>
  <c r="AB110" i="1"/>
  <c r="AF110" i="1" s="1"/>
  <c r="J110" i="1"/>
  <c r="H110" i="1"/>
  <c r="AH109" i="1"/>
  <c r="AD109" i="1"/>
  <c r="K109" i="1" s="1"/>
  <c r="AB109" i="1"/>
  <c r="AF109" i="1" s="1"/>
  <c r="J109" i="1"/>
  <c r="H109" i="1"/>
  <c r="AH108" i="1"/>
  <c r="AD108" i="1"/>
  <c r="AE108" i="1" s="1"/>
  <c r="AB108" i="1"/>
  <c r="AF108" i="1" s="1"/>
  <c r="J108" i="1"/>
  <c r="H108" i="1"/>
  <c r="AH107" i="1"/>
  <c r="AF107" i="1"/>
  <c r="AD107" i="1"/>
  <c r="AE107" i="1" s="1"/>
  <c r="AB107" i="1"/>
  <c r="J107" i="1"/>
  <c r="H107" i="1"/>
  <c r="AH106" i="1"/>
  <c r="AF106" i="1"/>
  <c r="AD106" i="1"/>
  <c r="K106" i="1" s="1"/>
  <c r="AB106" i="1"/>
  <c r="J106" i="1"/>
  <c r="H106" i="1"/>
  <c r="AH105" i="1"/>
  <c r="AD105" i="1"/>
  <c r="AB105" i="1"/>
  <c r="AF105" i="1" s="1"/>
  <c r="K105" i="1"/>
  <c r="J105" i="1"/>
  <c r="H105" i="1"/>
  <c r="AH104" i="1"/>
  <c r="AD104" i="1"/>
  <c r="AB104" i="1"/>
  <c r="AF104" i="1" s="1"/>
  <c r="K104" i="1"/>
  <c r="J104" i="1"/>
  <c r="H104" i="1"/>
  <c r="AE104" i="1" s="1"/>
  <c r="AH103" i="1"/>
  <c r="AD103" i="1"/>
  <c r="K103" i="1" s="1"/>
  <c r="AB103" i="1"/>
  <c r="AF103" i="1" s="1"/>
  <c r="J103" i="1"/>
  <c r="H103" i="1"/>
  <c r="AH102" i="1"/>
  <c r="AD102" i="1"/>
  <c r="K102" i="1" s="1"/>
  <c r="AB102" i="1"/>
  <c r="AF102" i="1" s="1"/>
  <c r="J102" i="1"/>
  <c r="H102" i="1"/>
  <c r="AH101" i="1"/>
  <c r="AD101" i="1"/>
  <c r="AB101" i="1"/>
  <c r="AF101" i="1" s="1"/>
  <c r="J101" i="1"/>
  <c r="H101" i="1"/>
  <c r="AH100" i="1"/>
  <c r="AF100" i="1"/>
  <c r="AD100" i="1"/>
  <c r="AE100" i="1" s="1"/>
  <c r="AB100" i="1"/>
  <c r="J100" i="1"/>
  <c r="H100" i="1"/>
  <c r="AH99" i="1"/>
  <c r="AD99" i="1"/>
  <c r="K99" i="1" s="1"/>
  <c r="AB99" i="1"/>
  <c r="AF99" i="1" s="1"/>
  <c r="J99" i="1"/>
  <c r="H99" i="1"/>
  <c r="AH98" i="1"/>
  <c r="AD98" i="1"/>
  <c r="K98" i="1" s="1"/>
  <c r="AB98" i="1"/>
  <c r="AF98" i="1" s="1"/>
  <c r="J98" i="1"/>
  <c r="H98" i="1"/>
  <c r="AH97" i="1"/>
  <c r="AF97" i="1"/>
  <c r="AD97" i="1"/>
  <c r="AE97" i="1" s="1"/>
  <c r="AB97" i="1"/>
  <c r="J97" i="1"/>
  <c r="H97" i="1"/>
  <c r="AH96" i="1"/>
  <c r="AD96" i="1"/>
  <c r="AB96" i="1"/>
  <c r="AF96" i="1" s="1"/>
  <c r="K96" i="1"/>
  <c r="J96" i="1"/>
  <c r="H96" i="1"/>
  <c r="AH95" i="1"/>
  <c r="AF95" i="1"/>
  <c r="AD95" i="1"/>
  <c r="AE95" i="1" s="1"/>
  <c r="AB95" i="1"/>
  <c r="J95" i="1"/>
  <c r="H95" i="1"/>
  <c r="AH94" i="1"/>
  <c r="AF94" i="1"/>
  <c r="AD94" i="1"/>
  <c r="AE94" i="1" s="1"/>
  <c r="AB94" i="1"/>
  <c r="J94" i="1"/>
  <c r="H94" i="1"/>
  <c r="AH93" i="1"/>
  <c r="AD93" i="1"/>
  <c r="K93" i="1" s="1"/>
  <c r="AB93" i="1"/>
  <c r="AF93" i="1" s="1"/>
  <c r="J93" i="1"/>
  <c r="H93" i="1"/>
  <c r="AH92" i="1"/>
  <c r="AF92" i="1"/>
  <c r="AD92" i="1"/>
  <c r="AB92" i="1"/>
  <c r="J92" i="1"/>
  <c r="H92" i="1"/>
  <c r="AH91" i="1"/>
  <c r="AD91" i="1"/>
  <c r="AB91" i="1"/>
  <c r="AF91" i="1" s="1"/>
  <c r="K91" i="1"/>
  <c r="J91" i="1"/>
  <c r="H91" i="1"/>
  <c r="AH90" i="1"/>
  <c r="AF90" i="1"/>
  <c r="AE90" i="1"/>
  <c r="AD90" i="1"/>
  <c r="K90" i="1" s="1"/>
  <c r="AB90" i="1"/>
  <c r="J90" i="1"/>
  <c r="H90" i="1"/>
  <c r="AH89" i="1"/>
  <c r="AD89" i="1"/>
  <c r="AB89" i="1"/>
  <c r="AF89" i="1" s="1"/>
  <c r="K89" i="1"/>
  <c r="J89" i="1"/>
  <c r="H89" i="1"/>
  <c r="AH88" i="1"/>
  <c r="AF88" i="1"/>
  <c r="AE88" i="1"/>
  <c r="AD88" i="1"/>
  <c r="K88" i="1" s="1"/>
  <c r="AB88" i="1"/>
  <c r="J88" i="1"/>
  <c r="H88" i="1"/>
  <c r="AH87" i="1"/>
  <c r="AF87" i="1"/>
  <c r="AD87" i="1"/>
  <c r="AE87" i="1" s="1"/>
  <c r="AB87" i="1"/>
  <c r="J87" i="1"/>
  <c r="H87" i="1"/>
  <c r="AH86" i="1"/>
  <c r="AD86" i="1"/>
  <c r="K86" i="1" s="1"/>
  <c r="AB86" i="1"/>
  <c r="AF86" i="1" s="1"/>
  <c r="J86" i="1"/>
  <c r="H86" i="1"/>
  <c r="AH85" i="1"/>
  <c r="AF85" i="1"/>
  <c r="AD85" i="1"/>
  <c r="AE85" i="1" s="1"/>
  <c r="AB85" i="1"/>
  <c r="K85" i="1"/>
  <c r="J85" i="1"/>
  <c r="H85" i="1"/>
  <c r="AH84" i="1"/>
  <c r="AF84" i="1"/>
  <c r="AD84" i="1"/>
  <c r="K84" i="1" s="1"/>
  <c r="AB84" i="1"/>
  <c r="J84" i="1"/>
  <c r="H84" i="1"/>
  <c r="AH83" i="1"/>
  <c r="AD83" i="1"/>
  <c r="K83" i="1" s="1"/>
  <c r="AB83" i="1"/>
  <c r="AF83" i="1" s="1"/>
  <c r="J83" i="1"/>
  <c r="H83" i="1"/>
  <c r="AH82" i="1"/>
  <c r="AF82" i="1"/>
  <c r="AD82" i="1"/>
  <c r="AE82" i="1" s="1"/>
  <c r="AB82" i="1"/>
  <c r="J82" i="1"/>
  <c r="H82" i="1"/>
  <c r="AH81" i="1"/>
  <c r="AF81" i="1"/>
  <c r="AD81" i="1"/>
  <c r="AE81" i="1" s="1"/>
  <c r="AB81" i="1"/>
  <c r="J81" i="1"/>
  <c r="H81" i="1"/>
  <c r="AH80" i="1"/>
  <c r="AF80" i="1"/>
  <c r="AD80" i="1"/>
  <c r="AE80" i="1" s="1"/>
  <c r="AB80" i="1"/>
  <c r="J80" i="1"/>
  <c r="H80" i="1"/>
  <c r="AH79" i="1"/>
  <c r="AD79" i="1"/>
  <c r="K79" i="1" s="1"/>
  <c r="AB79" i="1"/>
  <c r="AF79" i="1" s="1"/>
  <c r="J79" i="1"/>
  <c r="H79" i="1"/>
  <c r="AH78" i="1"/>
  <c r="AF78" i="1"/>
  <c r="AD78" i="1"/>
  <c r="K78" i="1" s="1"/>
  <c r="AB78" i="1"/>
  <c r="J78" i="1"/>
  <c r="H78" i="1"/>
  <c r="AH77" i="1"/>
  <c r="AD77" i="1"/>
  <c r="AB77" i="1"/>
  <c r="AF77" i="1" s="1"/>
  <c r="K77" i="1"/>
  <c r="J77" i="1"/>
  <c r="H77" i="1"/>
  <c r="AH76" i="1"/>
  <c r="AF76" i="1"/>
  <c r="AD76" i="1"/>
  <c r="AE76" i="1" s="1"/>
  <c r="AB76" i="1"/>
  <c r="J76" i="1"/>
  <c r="H76" i="1"/>
  <c r="AH75" i="1"/>
  <c r="AD75" i="1"/>
  <c r="AB75" i="1"/>
  <c r="AF75" i="1" s="1"/>
  <c r="K75" i="1"/>
  <c r="J75" i="1"/>
  <c r="H75" i="1"/>
  <c r="AH74" i="1"/>
  <c r="AD74" i="1"/>
  <c r="K74" i="1" s="1"/>
  <c r="AB74" i="1"/>
  <c r="AF74" i="1" s="1"/>
  <c r="J74" i="1"/>
  <c r="H74" i="1"/>
  <c r="AH73" i="1"/>
  <c r="AD73" i="1"/>
  <c r="AB73" i="1"/>
  <c r="AF73" i="1" s="1"/>
  <c r="J73" i="1"/>
  <c r="H73" i="1"/>
  <c r="AH72" i="1"/>
  <c r="AF72" i="1"/>
  <c r="AD72" i="1"/>
  <c r="AE72" i="1" s="1"/>
  <c r="AB72" i="1"/>
  <c r="J72" i="1"/>
  <c r="H72" i="1"/>
  <c r="AH71" i="1"/>
  <c r="AF71" i="1"/>
  <c r="AD71" i="1"/>
  <c r="K71" i="1" s="1"/>
  <c r="AB71" i="1"/>
  <c r="J71" i="1"/>
  <c r="H71" i="1"/>
  <c r="AH70" i="1"/>
  <c r="AD70" i="1"/>
  <c r="K70" i="1" s="1"/>
  <c r="AB70" i="1"/>
  <c r="AF70" i="1" s="1"/>
  <c r="J70" i="1"/>
  <c r="H70" i="1"/>
  <c r="AH69" i="1"/>
  <c r="AD69" i="1"/>
  <c r="K69" i="1" s="1"/>
  <c r="AB69" i="1"/>
  <c r="AF69" i="1" s="1"/>
  <c r="J69" i="1"/>
  <c r="H69" i="1"/>
  <c r="AH68" i="1"/>
  <c r="AD68" i="1"/>
  <c r="AB68" i="1"/>
  <c r="AF68" i="1" s="1"/>
  <c r="K68" i="1"/>
  <c r="J68" i="1"/>
  <c r="H68" i="1"/>
  <c r="AH67" i="1"/>
  <c r="AF67" i="1"/>
  <c r="AD67" i="1"/>
  <c r="AE67" i="1" s="1"/>
  <c r="AB67" i="1"/>
  <c r="J67" i="1"/>
  <c r="H67" i="1"/>
  <c r="AH66" i="1"/>
  <c r="AD66" i="1"/>
  <c r="AB66" i="1"/>
  <c r="AF66" i="1" s="1"/>
  <c r="J66" i="1"/>
  <c r="H66" i="1"/>
  <c r="AH65" i="1"/>
  <c r="AD65" i="1"/>
  <c r="K65" i="1" s="1"/>
  <c r="AB65" i="1"/>
  <c r="AF65" i="1" s="1"/>
  <c r="J65" i="1"/>
  <c r="H65" i="1"/>
  <c r="AE65" i="1" s="1"/>
  <c r="AH64" i="1"/>
  <c r="AF64" i="1"/>
  <c r="AD64" i="1"/>
  <c r="AB64" i="1"/>
  <c r="J64" i="1"/>
  <c r="H64" i="1"/>
  <c r="AH63" i="1"/>
  <c r="AD63" i="1"/>
  <c r="AB63" i="1"/>
  <c r="AF63" i="1" s="1"/>
  <c r="K63" i="1"/>
  <c r="J63" i="1"/>
  <c r="H63" i="1"/>
  <c r="AE63" i="1" s="1"/>
  <c r="AH62" i="1"/>
  <c r="AF62" i="1"/>
  <c r="AE62" i="1"/>
  <c r="AD62" i="1"/>
  <c r="K62" i="1" s="1"/>
  <c r="AB62" i="1"/>
  <c r="J62" i="1"/>
  <c r="H62" i="1"/>
  <c r="AH61" i="1"/>
  <c r="AD61" i="1"/>
  <c r="AB61" i="1"/>
  <c r="AF61" i="1" s="1"/>
  <c r="K61" i="1"/>
  <c r="J61" i="1"/>
  <c r="H61" i="1"/>
  <c r="AH60" i="1"/>
  <c r="AD60" i="1"/>
  <c r="K60" i="1" s="1"/>
  <c r="AB60" i="1"/>
  <c r="AF60" i="1" s="1"/>
  <c r="J60" i="1"/>
  <c r="H60" i="1"/>
  <c r="AH59" i="1"/>
  <c r="AF59" i="1"/>
  <c r="AD59" i="1"/>
  <c r="AE59" i="1" s="1"/>
  <c r="AB59" i="1"/>
  <c r="J59" i="1"/>
  <c r="H59" i="1"/>
  <c r="AH58" i="1"/>
  <c r="AD58" i="1"/>
  <c r="K58" i="1" s="1"/>
  <c r="AB58" i="1"/>
  <c r="AF58" i="1" s="1"/>
  <c r="J58" i="1"/>
  <c r="H58" i="1"/>
  <c r="AH57" i="1"/>
  <c r="AF57" i="1"/>
  <c r="AD57" i="1"/>
  <c r="K57" i="1" s="1"/>
  <c r="AB57" i="1"/>
  <c r="J57" i="1"/>
  <c r="H57" i="1"/>
  <c r="AH56" i="1"/>
  <c r="AF56" i="1"/>
  <c r="AD56" i="1"/>
  <c r="AE56" i="1" s="1"/>
  <c r="AB56" i="1"/>
  <c r="J56" i="1"/>
  <c r="H56" i="1"/>
  <c r="AH55" i="1"/>
  <c r="AD55" i="1"/>
  <c r="K55" i="1" s="1"/>
  <c r="AB55" i="1"/>
  <c r="AF55" i="1" s="1"/>
  <c r="J55" i="1"/>
  <c r="H55" i="1"/>
  <c r="AH54" i="1"/>
  <c r="AD54" i="1"/>
  <c r="AB54" i="1"/>
  <c r="AF54" i="1" s="1"/>
  <c r="K54" i="1"/>
  <c r="J54" i="1"/>
  <c r="H54" i="1"/>
  <c r="AH53" i="1"/>
  <c r="AD53" i="1"/>
  <c r="AB53" i="1"/>
  <c r="AF53" i="1" s="1"/>
  <c r="K53" i="1"/>
  <c r="J53" i="1"/>
  <c r="H53" i="1"/>
  <c r="AH52" i="1"/>
  <c r="AD52" i="1"/>
  <c r="AB52" i="1"/>
  <c r="AF52" i="1" s="1"/>
  <c r="J52" i="1"/>
  <c r="H52" i="1"/>
  <c r="AH51" i="1"/>
  <c r="AD51" i="1"/>
  <c r="K51" i="1" s="1"/>
  <c r="AB51" i="1"/>
  <c r="AF51" i="1" s="1"/>
  <c r="J51" i="1"/>
  <c r="H51" i="1"/>
  <c r="AH50" i="1"/>
  <c r="AF50" i="1"/>
  <c r="AD50" i="1"/>
  <c r="K50" i="1" s="1"/>
  <c r="AB50" i="1"/>
  <c r="J50" i="1"/>
  <c r="H50" i="1"/>
  <c r="AH49" i="1"/>
  <c r="AF49" i="1"/>
  <c r="AE49" i="1"/>
  <c r="AD49" i="1"/>
  <c r="K49" i="1" s="1"/>
  <c r="AB49" i="1"/>
  <c r="J49" i="1"/>
  <c r="H49" i="1"/>
  <c r="AH48" i="1"/>
  <c r="AF48" i="1"/>
  <c r="AD48" i="1"/>
  <c r="AE48" i="1" s="1"/>
  <c r="AB48" i="1"/>
  <c r="J48" i="1"/>
  <c r="H48" i="1"/>
  <c r="AH47" i="1"/>
  <c r="AF47" i="1"/>
  <c r="AD47" i="1"/>
  <c r="AE47" i="1" s="1"/>
  <c r="AB47" i="1"/>
  <c r="J47" i="1"/>
  <c r="H47" i="1"/>
  <c r="AH46" i="1"/>
  <c r="AF46" i="1"/>
  <c r="AD46" i="1"/>
  <c r="AB46" i="1"/>
  <c r="J46" i="1"/>
  <c r="H46" i="1"/>
  <c r="AH45" i="1"/>
  <c r="AD45" i="1"/>
  <c r="AB45" i="1"/>
  <c r="AF45" i="1" s="1"/>
  <c r="J45" i="1"/>
  <c r="H45" i="1"/>
  <c r="AH44" i="1"/>
  <c r="AF44" i="1"/>
  <c r="AD44" i="1"/>
  <c r="AE44" i="1" s="1"/>
  <c r="AB44" i="1"/>
  <c r="J44" i="1"/>
  <c r="H44" i="1"/>
  <c r="AH43" i="1"/>
  <c r="AF43" i="1"/>
  <c r="AE43" i="1"/>
  <c r="AD43" i="1"/>
  <c r="K43" i="1" s="1"/>
  <c r="AB43" i="1"/>
  <c r="J43" i="1"/>
  <c r="H43" i="1"/>
  <c r="AH42" i="1"/>
  <c r="AD42" i="1"/>
  <c r="K42" i="1" s="1"/>
  <c r="AB42" i="1"/>
  <c r="AF42" i="1" s="1"/>
  <c r="J42" i="1"/>
  <c r="H42" i="1"/>
  <c r="AH41" i="1"/>
  <c r="AD41" i="1"/>
  <c r="K41" i="1" s="1"/>
  <c r="AB41" i="1"/>
  <c r="AF41" i="1" s="1"/>
  <c r="J41" i="1"/>
  <c r="H41" i="1"/>
  <c r="AH40" i="1"/>
  <c r="AD40" i="1"/>
  <c r="AB40" i="1"/>
  <c r="AF40" i="1" s="1"/>
  <c r="K40" i="1"/>
  <c r="J40" i="1"/>
  <c r="H40" i="1"/>
  <c r="AH39" i="1"/>
  <c r="AF39" i="1"/>
  <c r="AD39" i="1"/>
  <c r="AE39" i="1" s="1"/>
  <c r="AB39" i="1"/>
  <c r="J39" i="1"/>
  <c r="H39" i="1"/>
  <c r="AH38" i="1"/>
  <c r="AD38" i="1"/>
  <c r="AB38" i="1"/>
  <c r="AF38" i="1" s="1"/>
  <c r="J38" i="1"/>
  <c r="H38" i="1"/>
  <c r="AH37" i="1"/>
  <c r="AD37" i="1"/>
  <c r="K37" i="1" s="1"/>
  <c r="AB37" i="1"/>
  <c r="AF37" i="1" s="1"/>
  <c r="J37" i="1"/>
  <c r="H37" i="1"/>
  <c r="AE37" i="1" s="1"/>
  <c r="AH36" i="1"/>
  <c r="AD36" i="1"/>
  <c r="K36" i="1" s="1"/>
  <c r="AB36" i="1"/>
  <c r="AF36" i="1" s="1"/>
  <c r="J36" i="1"/>
  <c r="H36" i="1"/>
  <c r="AH35" i="1"/>
  <c r="AD35" i="1"/>
  <c r="AB35" i="1"/>
  <c r="AF35" i="1" s="1"/>
  <c r="K35" i="1"/>
  <c r="J35" i="1"/>
  <c r="H35" i="1"/>
  <c r="AE35" i="1" s="1"/>
  <c r="AH34" i="1"/>
  <c r="AF34" i="1"/>
  <c r="AD34" i="1"/>
  <c r="AE34" i="1" s="1"/>
  <c r="AB34" i="1"/>
  <c r="K34" i="1"/>
  <c r="J34" i="1"/>
  <c r="H34" i="1"/>
  <c r="AH33" i="1"/>
  <c r="AD33" i="1"/>
  <c r="AB33" i="1"/>
  <c r="AF33" i="1" s="1"/>
  <c r="K33" i="1"/>
  <c r="J33" i="1"/>
  <c r="H33" i="1"/>
  <c r="AH32" i="1"/>
  <c r="AD32" i="1"/>
  <c r="K32" i="1" s="1"/>
  <c r="AB32" i="1"/>
  <c r="AF32" i="1" s="1"/>
  <c r="J32" i="1"/>
  <c r="H32" i="1"/>
  <c r="AH31" i="1"/>
  <c r="AD31" i="1"/>
  <c r="AB31" i="1"/>
  <c r="AF31" i="1" s="1"/>
  <c r="J31" i="1"/>
  <c r="H31" i="1"/>
  <c r="AH30" i="1"/>
  <c r="AD30" i="1"/>
  <c r="K30" i="1" s="1"/>
  <c r="AB30" i="1"/>
  <c r="AF30" i="1" s="1"/>
  <c r="J30" i="1"/>
  <c r="H30" i="1"/>
  <c r="AH29" i="1"/>
  <c r="AD29" i="1"/>
  <c r="K29" i="1" s="1"/>
  <c r="AB29" i="1"/>
  <c r="AF29" i="1" s="1"/>
  <c r="J29" i="1"/>
  <c r="H29" i="1"/>
  <c r="AH28" i="1"/>
  <c r="AF28" i="1"/>
  <c r="AD28" i="1"/>
  <c r="AE28" i="1" s="1"/>
  <c r="AB28" i="1"/>
  <c r="J28" i="1"/>
  <c r="H28" i="1"/>
  <c r="AH27" i="1"/>
  <c r="AF27" i="1"/>
  <c r="AD27" i="1"/>
  <c r="AE27" i="1" s="1"/>
  <c r="AB27" i="1"/>
  <c r="J27" i="1"/>
  <c r="H27" i="1"/>
  <c r="AH26" i="1"/>
  <c r="AF26" i="1"/>
  <c r="AD26" i="1"/>
  <c r="AE26" i="1" s="1"/>
  <c r="AB26" i="1"/>
  <c r="J26" i="1"/>
  <c r="H26" i="1"/>
  <c r="AH25" i="1"/>
  <c r="AF25" i="1"/>
  <c r="AD25" i="1"/>
  <c r="AE25" i="1" s="1"/>
  <c r="AB25" i="1"/>
  <c r="J25" i="1"/>
  <c r="H25" i="1"/>
  <c r="AH24" i="1"/>
  <c r="AD24" i="1"/>
  <c r="AE24" i="1" s="1"/>
  <c r="AB24" i="1"/>
  <c r="AF24" i="1" s="1"/>
  <c r="J24" i="1"/>
  <c r="H24" i="1"/>
  <c r="AH23" i="1"/>
  <c r="AD23" i="1"/>
  <c r="K23" i="1" s="1"/>
  <c r="AB23" i="1"/>
  <c r="AF23" i="1" s="1"/>
  <c r="J23" i="1"/>
  <c r="H23" i="1"/>
  <c r="AE23" i="1" s="1"/>
  <c r="AH22" i="1"/>
  <c r="AF22" i="1"/>
  <c r="AD22" i="1"/>
  <c r="AE22" i="1" s="1"/>
  <c r="AB22" i="1"/>
  <c r="K22" i="1"/>
  <c r="J22" i="1"/>
  <c r="H22" i="1"/>
  <c r="AH21" i="1"/>
  <c r="AD21" i="1"/>
  <c r="AB21" i="1"/>
  <c r="AF21" i="1" s="1"/>
  <c r="K21" i="1"/>
  <c r="J21" i="1"/>
  <c r="H21" i="1"/>
  <c r="AH20" i="1"/>
  <c r="AD20" i="1"/>
  <c r="AB20" i="1"/>
  <c r="AF20" i="1" s="1"/>
  <c r="K20" i="1"/>
  <c r="J20" i="1"/>
  <c r="H20" i="1"/>
  <c r="AE20" i="1" s="1"/>
  <c r="AH19" i="1"/>
  <c r="AD19" i="1"/>
  <c r="K19" i="1" s="1"/>
  <c r="AB19" i="1"/>
  <c r="AF19" i="1" s="1"/>
  <c r="J19" i="1"/>
  <c r="H19" i="1"/>
  <c r="AH18" i="1"/>
  <c r="AF18" i="1"/>
  <c r="AE18" i="1"/>
  <c r="AD18" i="1"/>
  <c r="AB18" i="1"/>
  <c r="K18" i="1"/>
  <c r="J18" i="1"/>
  <c r="H18" i="1"/>
  <c r="AH17" i="1"/>
  <c r="AF17" i="1"/>
  <c r="AD17" i="1"/>
  <c r="AE17" i="1" s="1"/>
  <c r="AB17" i="1"/>
  <c r="J17" i="1"/>
  <c r="H17" i="1"/>
  <c r="AH16" i="1"/>
  <c r="AD16" i="1"/>
  <c r="K16" i="1" s="1"/>
  <c r="AB16" i="1"/>
  <c r="AF16" i="1" s="1"/>
  <c r="J16" i="1"/>
  <c r="H16" i="1"/>
  <c r="AE16" i="1" s="1"/>
  <c r="AH15" i="1"/>
  <c r="AD15" i="1"/>
  <c r="K15" i="1" s="1"/>
  <c r="AB15" i="1"/>
  <c r="AF15" i="1" s="1"/>
  <c r="J15" i="1"/>
  <c r="H15" i="1"/>
  <c r="AH14" i="1"/>
  <c r="AF14" i="1"/>
  <c r="AD14" i="1"/>
  <c r="AE14" i="1" s="1"/>
  <c r="AB14" i="1"/>
  <c r="K14" i="1"/>
  <c r="J14" i="1"/>
  <c r="H14" i="1"/>
  <c r="AH13" i="1"/>
  <c r="AF13" i="1"/>
  <c r="AD13" i="1"/>
  <c r="K13" i="1" s="1"/>
  <c r="AB13" i="1"/>
  <c r="J13" i="1"/>
  <c r="H13" i="1"/>
  <c r="AH12" i="1"/>
  <c r="AF12" i="1"/>
  <c r="AD12" i="1"/>
  <c r="AE12" i="1" s="1"/>
  <c r="AB12" i="1"/>
  <c r="K12" i="1"/>
  <c r="J12" i="1"/>
  <c r="H12" i="1"/>
  <c r="AH11" i="1"/>
  <c r="AF11" i="1"/>
  <c r="AD11" i="1"/>
  <c r="K11" i="1" s="1"/>
  <c r="AB11" i="1"/>
  <c r="J11" i="1"/>
  <c r="H11" i="1"/>
  <c r="AH10" i="1"/>
  <c r="AF10" i="1"/>
  <c r="AD10" i="1"/>
  <c r="AE10" i="1" s="1"/>
  <c r="AB10" i="1"/>
  <c r="J10" i="1"/>
  <c r="H10" i="1"/>
  <c r="AH9" i="1"/>
  <c r="AF9" i="1"/>
  <c r="AD9" i="1"/>
  <c r="AE9" i="1" s="1"/>
  <c r="AB9" i="1"/>
  <c r="J9" i="1"/>
  <c r="H9" i="1"/>
  <c r="AH8" i="1"/>
  <c r="AF8" i="1"/>
  <c r="AD8" i="1"/>
  <c r="K8" i="1" s="1"/>
  <c r="AB8" i="1"/>
  <c r="J8" i="1"/>
  <c r="H8" i="1"/>
  <c r="AH7" i="1"/>
  <c r="AF7" i="1"/>
  <c r="AD7" i="1"/>
  <c r="K7" i="1" s="1"/>
  <c r="AB7" i="1"/>
  <c r="J7" i="1"/>
  <c r="H7" i="1"/>
  <c r="AH6" i="1"/>
  <c r="AF6" i="1"/>
  <c r="AE6" i="1"/>
  <c r="AD6" i="1"/>
  <c r="AB6" i="1"/>
  <c r="K6" i="1"/>
  <c r="J6" i="1"/>
  <c r="H6" i="1"/>
  <c r="AH5" i="1"/>
  <c r="AF5" i="1"/>
  <c r="AD5" i="1"/>
  <c r="AE5" i="1" s="1"/>
  <c r="AB5" i="1"/>
  <c r="K5" i="1"/>
  <c r="J5" i="1"/>
  <c r="H5" i="1"/>
  <c r="AH4" i="1"/>
  <c r="AD4" i="1"/>
  <c r="AB4" i="1"/>
  <c r="AF4" i="1" s="1"/>
  <c r="K4" i="1"/>
  <c r="J4" i="1"/>
  <c r="H4" i="1"/>
  <c r="AE4" i="1" s="1"/>
  <c r="AH3" i="1"/>
  <c r="AD3" i="1"/>
  <c r="AB3" i="1"/>
  <c r="AF3" i="1" s="1"/>
  <c r="J3" i="1"/>
  <c r="H3" i="1"/>
  <c r="AH2" i="1"/>
  <c r="AF2" i="1"/>
  <c r="AD2" i="1"/>
  <c r="AE2" i="1" s="1"/>
  <c r="AB2" i="1"/>
  <c r="J2" i="1"/>
  <c r="H2" i="1"/>
  <c r="AE257" i="1" l="1"/>
  <c r="AE91" i="1"/>
  <c r="AE111" i="1"/>
  <c r="K191" i="1"/>
  <c r="AE191" i="1"/>
  <c r="AE208" i="1"/>
  <c r="K208" i="1"/>
  <c r="K246" i="1"/>
  <c r="AE278" i="1"/>
  <c r="AE497" i="1"/>
  <c r="AE527" i="1"/>
  <c r="AE544" i="1"/>
  <c r="AE565" i="1"/>
  <c r="K641" i="1"/>
  <c r="AE953" i="1"/>
  <c r="AE1031" i="1"/>
  <c r="K1031" i="1"/>
  <c r="AE1057" i="1"/>
  <c r="AE1151" i="1"/>
  <c r="K1253" i="1"/>
  <c r="AE1253" i="1"/>
  <c r="K1479" i="1"/>
  <c r="AE1899" i="1"/>
  <c r="K1906" i="1"/>
  <c r="K48" i="1"/>
  <c r="K184" i="1"/>
  <c r="AE184" i="1"/>
  <c r="AE199" i="1"/>
  <c r="AE201" i="1"/>
  <c r="AE206" i="1"/>
  <c r="AE237" i="1"/>
  <c r="K300" i="1"/>
  <c r="AE300" i="1"/>
  <c r="K323" i="1"/>
  <c r="AE386" i="1"/>
  <c r="AE454" i="1"/>
  <c r="K454" i="1"/>
  <c r="AE499" i="1"/>
  <c r="AE508" i="1"/>
  <c r="AE551" i="1"/>
  <c r="K563" i="1"/>
  <c r="AE620" i="1"/>
  <c r="K745" i="1"/>
  <c r="AE754" i="1"/>
  <c r="K815" i="1"/>
  <c r="AE849" i="1"/>
  <c r="K935" i="1"/>
  <c r="AE950" i="1"/>
  <c r="AE956" i="1"/>
  <c r="AE976" i="1"/>
  <c r="AE1071" i="1"/>
  <c r="AE1085" i="1"/>
  <c r="K1227" i="1"/>
  <c r="AE1241" i="1"/>
  <c r="K1262" i="1"/>
  <c r="AE1262" i="1"/>
  <c r="AE1309" i="1"/>
  <c r="K1364" i="1"/>
  <c r="AE1380" i="1"/>
  <c r="AE1463" i="1"/>
  <c r="K1465" i="1"/>
  <c r="AE1558" i="1"/>
  <c r="AE1628" i="1"/>
  <c r="K1628" i="1"/>
  <c r="AE1732" i="1"/>
  <c r="AE1743" i="1"/>
  <c r="K1887" i="1"/>
  <c r="AE1913" i="1"/>
  <c r="K1944" i="1"/>
  <c r="AE844" i="1"/>
  <c r="AE995" i="1"/>
  <c r="AE625" i="1"/>
  <c r="AE668" i="1"/>
  <c r="K668" i="1"/>
  <c r="AE913" i="1"/>
  <c r="AE937" i="1"/>
  <c r="K684" i="1"/>
  <c r="AE684" i="1"/>
  <c r="K1385" i="1"/>
  <c r="AE1385" i="1"/>
  <c r="AE234" i="1"/>
  <c r="AE312" i="1"/>
  <c r="AE537" i="1"/>
  <c r="AE598" i="1"/>
  <c r="K598" i="1"/>
  <c r="AE1289" i="1"/>
  <c r="AE1218" i="1"/>
  <c r="AE1395" i="1"/>
  <c r="K1395" i="1"/>
  <c r="AE1423" i="1"/>
  <c r="K1556" i="1"/>
  <c r="AE1556" i="1"/>
  <c r="AE1689" i="1"/>
  <c r="AE1801" i="1"/>
  <c r="AE1855" i="1"/>
  <c r="AE1926" i="1"/>
  <c r="K1926" i="1"/>
  <c r="AE795" i="1"/>
  <c r="AE870" i="1"/>
  <c r="AE1202" i="1"/>
  <c r="AE1329" i="1"/>
  <c r="K1329" i="1"/>
  <c r="AE443" i="1"/>
  <c r="AE589" i="1"/>
  <c r="AE673" i="1"/>
  <c r="K767" i="1"/>
  <c r="AE767" i="1"/>
  <c r="AE909" i="1"/>
  <c r="AE1084" i="1"/>
  <c r="AE1135" i="1"/>
  <c r="AE1282" i="1"/>
  <c r="AE1405" i="1"/>
  <c r="K92" i="1"/>
  <c r="AE92" i="1"/>
  <c r="K138" i="1"/>
  <c r="AE162" i="1"/>
  <c r="K195" i="1"/>
  <c r="AE195" i="1"/>
  <c r="K324" i="1"/>
  <c r="AE324" i="1"/>
  <c r="AE404" i="1"/>
  <c r="AE420" i="1"/>
  <c r="K557" i="1"/>
  <c r="AE557" i="1"/>
  <c r="AE652" i="1"/>
  <c r="AE859" i="1"/>
  <c r="AE1082" i="1"/>
  <c r="AE1093" i="1"/>
  <c r="AE1266" i="1"/>
  <c r="K1310" i="1"/>
  <c r="AE1310" i="1"/>
  <c r="K1347" i="1"/>
  <c r="AE1347" i="1"/>
  <c r="AE1396" i="1"/>
  <c r="AE1414" i="1"/>
  <c r="AE1512" i="1"/>
  <c r="AE1526" i="1"/>
  <c r="K1528" i="1"/>
  <c r="K1747" i="1"/>
  <c r="AE1828" i="1"/>
  <c r="K1828" i="1"/>
  <c r="AE1833" i="1"/>
  <c r="AE305" i="1"/>
  <c r="K1168" i="1"/>
  <c r="AE1168" i="1"/>
  <c r="AE113" i="1"/>
  <c r="AE7" i="1"/>
  <c r="AE254" i="1"/>
  <c r="AE261" i="1"/>
  <c r="AE359" i="1"/>
  <c r="AE362" i="1"/>
  <c r="AE427" i="1"/>
  <c r="AE595" i="1"/>
  <c r="AE599" i="1"/>
  <c r="K626" i="1"/>
  <c r="AE626" i="1"/>
  <c r="K705" i="1"/>
  <c r="AE705" i="1"/>
  <c r="AE816" i="1"/>
  <c r="AE1131" i="1"/>
  <c r="AE1193" i="1"/>
  <c r="AE1268" i="1"/>
  <c r="K1273" i="1"/>
  <c r="AE1345" i="1"/>
  <c r="K1613" i="1"/>
  <c r="AE1613" i="1"/>
  <c r="AE1745" i="1"/>
  <c r="AE1959" i="1"/>
  <c r="K1959" i="1"/>
  <c r="AE232" i="1"/>
  <c r="AE464" i="1"/>
  <c r="AE889" i="1"/>
  <c r="AE3" i="1"/>
  <c r="AE150" i="1"/>
  <c r="AE307" i="1"/>
  <c r="AE369" i="1"/>
  <c r="K376" i="1"/>
  <c r="AE418" i="1"/>
  <c r="AE519" i="1"/>
  <c r="K519" i="1"/>
  <c r="AE564" i="1"/>
  <c r="K602" i="1"/>
  <c r="AE631" i="1"/>
  <c r="AE636" i="1"/>
  <c r="AE683" i="1"/>
  <c r="AE775" i="1"/>
  <c r="AE777" i="1"/>
  <c r="AE873" i="1"/>
  <c r="AE1089" i="1"/>
  <c r="K1198" i="1"/>
  <c r="AE1198" i="1"/>
  <c r="AE1371" i="1"/>
  <c r="K1433" i="1"/>
  <c r="AE1433" i="1"/>
  <c r="AE1640" i="1"/>
  <c r="AE1750" i="1"/>
  <c r="AE492" i="1"/>
  <c r="AE556" i="1"/>
  <c r="K677" i="1"/>
  <c r="AE677" i="1"/>
  <c r="K856" i="1"/>
  <c r="AE856" i="1"/>
  <c r="AE874" i="1"/>
  <c r="K874" i="1"/>
  <c r="K974" i="1"/>
  <c r="AE974" i="1"/>
  <c r="AE1004" i="1"/>
  <c r="AE1067" i="1"/>
  <c r="AE1132" i="1"/>
  <c r="K1244" i="1"/>
  <c r="AE1244" i="1"/>
  <c r="AE716" i="1"/>
  <c r="AE1125" i="1"/>
  <c r="AE1220" i="1"/>
  <c r="AE178" i="1"/>
  <c r="AE349" i="1"/>
  <c r="AE610" i="1"/>
  <c r="AE915" i="1"/>
  <c r="AE1002" i="1"/>
  <c r="AE75" i="1"/>
  <c r="AE13" i="1"/>
  <c r="AE315" i="1"/>
  <c r="K352" i="1"/>
  <c r="AE352" i="1"/>
  <c r="AE406" i="1"/>
  <c r="AE40" i="1"/>
  <c r="AE93" i="1"/>
  <c r="AE148" i="1"/>
  <c r="AE212" i="1"/>
  <c r="AE219" i="1"/>
  <c r="K224" i="1"/>
  <c r="AE243" i="1"/>
  <c r="AE248" i="1"/>
  <c r="K259" i="1"/>
  <c r="AE289" i="1"/>
  <c r="AE374" i="1"/>
  <c r="AE574" i="1"/>
  <c r="AE588" i="1"/>
  <c r="K609" i="1"/>
  <c r="AE609" i="1"/>
  <c r="K619" i="1"/>
  <c r="AE619" i="1"/>
  <c r="AE740" i="1"/>
  <c r="AE780" i="1"/>
  <c r="K853" i="1"/>
  <c r="AE860" i="1"/>
  <c r="AE981" i="1"/>
  <c r="K1073" i="1"/>
  <c r="AE1481" i="1"/>
  <c r="AE1821" i="1"/>
  <c r="K1821" i="1"/>
  <c r="AE1962" i="1"/>
  <c r="AE46" i="1"/>
  <c r="K46" i="1"/>
  <c r="AE1784" i="1"/>
  <c r="K1784" i="1"/>
  <c r="AE415" i="1"/>
  <c r="AE11" i="1"/>
  <c r="K133" i="1"/>
  <c r="AE133" i="1"/>
  <c r="AE152" i="1"/>
  <c r="K152" i="1"/>
  <c r="AE830" i="1"/>
  <c r="K840" i="1"/>
  <c r="AE840" i="1"/>
  <c r="AE887" i="1"/>
  <c r="AE1209" i="1"/>
  <c r="AE1349" i="1"/>
  <c r="AE1617" i="1"/>
  <c r="AE1794" i="1"/>
  <c r="AE68" i="1"/>
  <c r="K64" i="1"/>
  <c r="AE64" i="1"/>
  <c r="AE210" i="1"/>
  <c r="K210" i="1"/>
  <c r="AE215" i="1"/>
  <c r="AE239" i="1"/>
  <c r="AE337" i="1"/>
  <c r="AE351" i="1"/>
  <c r="AE442" i="1"/>
  <c r="K720" i="1"/>
  <c r="AE926" i="1"/>
  <c r="K1059" i="1"/>
  <c r="AE1087" i="1"/>
  <c r="AE1255" i="1"/>
  <c r="AE1315" i="1"/>
  <c r="AE1318" i="1"/>
  <c r="AE1328" i="1"/>
  <c r="AE1474" i="1"/>
  <c r="K1474" i="1"/>
  <c r="AE1630" i="1"/>
  <c r="K1630" i="1"/>
  <c r="AE1729" i="1"/>
  <c r="K1755" i="1"/>
  <c r="K1819" i="1"/>
  <c r="AE1911" i="1"/>
  <c r="AE1955" i="1"/>
  <c r="AE988" i="1"/>
  <c r="AE1021" i="1"/>
  <c r="AE1037" i="1"/>
  <c r="AE1051" i="1"/>
  <c r="AE1181" i="1"/>
  <c r="AE1224" i="1"/>
  <c r="AE1236" i="1"/>
  <c r="AE1247" i="1"/>
  <c r="AE1293" i="1"/>
  <c r="AE1296" i="1"/>
  <c r="AE1327" i="1"/>
  <c r="AE1388" i="1"/>
  <c r="AE1550" i="1"/>
  <c r="AE1635" i="1"/>
  <c r="AE1680" i="1"/>
  <c r="AE1796" i="1"/>
  <c r="AE1937" i="1"/>
  <c r="AE1982" i="1"/>
  <c r="AE53" i="1"/>
  <c r="AE147" i="1"/>
  <c r="AE236" i="1"/>
  <c r="AE296" i="1"/>
  <c r="AE370" i="1"/>
  <c r="AE483" i="1"/>
  <c r="AE485" i="1"/>
  <c r="AE529" i="1"/>
  <c r="AE546" i="1"/>
  <c r="AE594" i="1"/>
  <c r="AE772" i="1"/>
  <c r="AE839" i="1"/>
  <c r="AE1355" i="1"/>
  <c r="AE1398" i="1"/>
  <c r="AE1498" i="1"/>
  <c r="AE1500" i="1"/>
  <c r="AE1619" i="1"/>
  <c r="AE1708" i="1"/>
  <c r="D35" i="2"/>
  <c r="AE45" i="1"/>
  <c r="AE96" i="1"/>
  <c r="AE99" i="1"/>
  <c r="AE101" i="1"/>
  <c r="AE135" i="1"/>
  <c r="AE161" i="1"/>
  <c r="AE198" i="1"/>
  <c r="AE205" i="1"/>
  <c r="AE290" i="1"/>
  <c r="AE318" i="1"/>
  <c r="AE512" i="1"/>
  <c r="AE566" i="1"/>
  <c r="AE654" i="1"/>
  <c r="AE691" i="1"/>
  <c r="AE722" i="1"/>
  <c r="AE836" i="1"/>
  <c r="AE1450" i="1"/>
  <c r="AE1487" i="1"/>
  <c r="AE1781" i="1"/>
  <c r="AE1788" i="1"/>
  <c r="AE36" i="1"/>
  <c r="AE38" i="1"/>
  <c r="AE66" i="1"/>
  <c r="AE74" i="1"/>
  <c r="AE149" i="1"/>
  <c r="AE238" i="1"/>
  <c r="AE249" i="1"/>
  <c r="AE255" i="1"/>
  <c r="AE268" i="1"/>
  <c r="AE336" i="1"/>
  <c r="AE345" i="1"/>
  <c r="AE384" i="1"/>
  <c r="AE417" i="1"/>
  <c r="AE586" i="1"/>
  <c r="AE696" i="1"/>
  <c r="AE727" i="1"/>
  <c r="AE826" i="1"/>
  <c r="AE972" i="1"/>
  <c r="AE992" i="1"/>
  <c r="AE1039" i="1"/>
  <c r="AE1140" i="1"/>
  <c r="AE1147" i="1"/>
  <c r="AE1245" i="1"/>
  <c r="AE1352" i="1"/>
  <c r="AE1402" i="1"/>
  <c r="AE1572" i="1"/>
  <c r="AE1802" i="1"/>
  <c r="AE1832" i="1"/>
  <c r="AE1953" i="1"/>
  <c r="AE1957" i="1"/>
  <c r="AE1858" i="1"/>
  <c r="AE31" i="1"/>
  <c r="AE102" i="1"/>
  <c r="AE128" i="1"/>
  <c r="K159" i="1"/>
  <c r="AE338" i="1"/>
  <c r="K370" i="1"/>
  <c r="AE387" i="1"/>
  <c r="AE438" i="1"/>
  <c r="AE517" i="1"/>
  <c r="K526" i="1"/>
  <c r="AE612" i="1"/>
  <c r="AE774" i="1"/>
  <c r="K804" i="1"/>
  <c r="AE1143" i="1"/>
  <c r="AE1222" i="1"/>
  <c r="AE1279" i="1"/>
  <c r="K1322" i="1"/>
  <c r="K1460" i="1"/>
  <c r="K1548" i="1"/>
  <c r="K1577" i="1"/>
  <c r="AE1586" i="1"/>
  <c r="K1632" i="1"/>
  <c r="K1637" i="1"/>
  <c r="AE1655" i="1"/>
  <c r="K1733" i="1"/>
  <c r="AE1846" i="1"/>
  <c r="K1912" i="1"/>
  <c r="K1914" i="1"/>
  <c r="AE1987" i="1"/>
  <c r="K26" i="1"/>
  <c r="AE30" i="1"/>
  <c r="K39" i="1"/>
  <c r="K56" i="1"/>
  <c r="K67" i="1"/>
  <c r="K82" i="1"/>
  <c r="AE121" i="1"/>
  <c r="K139" i="1"/>
  <c r="K154" i="1"/>
  <c r="K281" i="1"/>
  <c r="AE458" i="1"/>
  <c r="AE460" i="1"/>
  <c r="K460" i="1"/>
  <c r="AE465" i="1"/>
  <c r="K491" i="1"/>
  <c r="K593" i="1"/>
  <c r="AE593" i="1"/>
  <c r="K623" i="1"/>
  <c r="AE711" i="1"/>
  <c r="K711" i="1"/>
  <c r="K732" i="1"/>
  <c r="K734" i="1"/>
  <c r="K763" i="1"/>
  <c r="K819" i="1"/>
  <c r="K989" i="1"/>
  <c r="K991" i="1"/>
  <c r="K1024" i="1"/>
  <c r="K1065" i="1"/>
  <c r="AE1065" i="1"/>
  <c r="AE1559" i="1"/>
  <c r="K1559" i="1"/>
  <c r="AE15" i="1"/>
  <c r="K28" i="1"/>
  <c r="AE71" i="1"/>
  <c r="K76" i="1"/>
  <c r="K95" i="1"/>
  <c r="K97" i="1"/>
  <c r="K117" i="1"/>
  <c r="K141" i="1"/>
  <c r="AE141" i="1"/>
  <c r="K165" i="1"/>
  <c r="K167" i="1"/>
  <c r="K187" i="1"/>
  <c r="K217" i="1"/>
  <c r="AE247" i="1"/>
  <c r="K283" i="1"/>
  <c r="AE283" i="1"/>
  <c r="AE309" i="1"/>
  <c r="AE313" i="1"/>
  <c r="K341" i="1"/>
  <c r="AE378" i="1"/>
  <c r="K380" i="1"/>
  <c r="K412" i="1"/>
  <c r="K414" i="1"/>
  <c r="AE414" i="1"/>
  <c r="AE429" i="1"/>
  <c r="AE436" i="1"/>
  <c r="K474" i="1"/>
  <c r="K476" i="1"/>
  <c r="AE502" i="1"/>
  <c r="AE504" i="1"/>
  <c r="K528" i="1"/>
  <c r="AE535" i="1"/>
  <c r="AE549" i="1"/>
  <c r="AE591" i="1"/>
  <c r="AE621" i="1"/>
  <c r="K627" i="1"/>
  <c r="K665" i="1"/>
  <c r="K690" i="1"/>
  <c r="AE690" i="1"/>
  <c r="AE765" i="1"/>
  <c r="AE842" i="1"/>
  <c r="AE875" i="1"/>
  <c r="AE882" i="1"/>
  <c r="AE934" i="1"/>
  <c r="K967" i="1"/>
  <c r="AE967" i="1"/>
  <c r="K993" i="1"/>
  <c r="AE993" i="1"/>
  <c r="K1015" i="1"/>
  <c r="AE1015" i="1"/>
  <c r="K1053" i="1"/>
  <c r="AE1053" i="1"/>
  <c r="AE1133" i="1"/>
  <c r="AE1434" i="1"/>
  <c r="K1434" i="1"/>
  <c r="AE1534" i="1"/>
  <c r="K1534" i="1"/>
  <c r="AE1046" i="1"/>
  <c r="K1046" i="1"/>
  <c r="AE42" i="1"/>
  <c r="AE389" i="1"/>
  <c r="AE408" i="1"/>
  <c r="AE515" i="1"/>
  <c r="K515" i="1"/>
  <c r="AE728" i="1"/>
  <c r="K1997" i="1"/>
  <c r="AE1997" i="1"/>
  <c r="AE83" i="1"/>
  <c r="AE140" i="1"/>
  <c r="AE177" i="1"/>
  <c r="AE233" i="1"/>
  <c r="AE258" i="1"/>
  <c r="AE273" i="1"/>
  <c r="AE277" i="1"/>
  <c r="AE306" i="1"/>
  <c r="AE372" i="1"/>
  <c r="AE383" i="1"/>
  <c r="AE400" i="1"/>
  <c r="AE419" i="1"/>
  <c r="AE547" i="1"/>
  <c r="K547" i="1"/>
  <c r="AE561" i="1"/>
  <c r="AE583" i="1"/>
  <c r="AE630" i="1"/>
  <c r="AE642" i="1"/>
  <c r="AE661" i="1"/>
  <c r="AE698" i="1"/>
  <c r="K744" i="1"/>
  <c r="AE744" i="1"/>
  <c r="AE793" i="1"/>
  <c r="AE800" i="1"/>
  <c r="AE829" i="1"/>
  <c r="K854" i="1"/>
  <c r="AE854" i="1"/>
  <c r="K952" i="1"/>
  <c r="AE952" i="1"/>
  <c r="AE1164" i="1"/>
  <c r="K1164" i="1"/>
  <c r="AE1194" i="1"/>
  <c r="K1194" i="1"/>
  <c r="AE1519" i="1"/>
  <c r="K1519" i="1"/>
  <c r="AE1587" i="1"/>
  <c r="K169" i="1"/>
  <c r="AE169" i="1"/>
  <c r="K894" i="1"/>
  <c r="AE894" i="1"/>
  <c r="K1301" i="1"/>
  <c r="AE1301" i="1"/>
  <c r="K761" i="1"/>
  <c r="AE761" i="1"/>
  <c r="AE901" i="1"/>
  <c r="K1011" i="1"/>
  <c r="AE1011" i="1"/>
  <c r="K1070" i="1"/>
  <c r="AE1070" i="1"/>
  <c r="AE1180" i="1"/>
  <c r="K1180" i="1"/>
  <c r="K1717" i="1"/>
  <c r="AE1717" i="1"/>
  <c r="AE1966" i="1"/>
  <c r="K1966" i="1"/>
  <c r="AE54" i="1"/>
  <c r="AE70" i="1"/>
  <c r="AE106" i="1"/>
  <c r="AE174" i="1"/>
  <c r="K174" i="1"/>
  <c r="AE222" i="1"/>
  <c r="AE693" i="1"/>
  <c r="AE702" i="1"/>
  <c r="K1876" i="1"/>
  <c r="AE1876" i="1"/>
  <c r="K25" i="1"/>
  <c r="AE33" i="1"/>
  <c r="AE52" i="1"/>
  <c r="AE55" i="1"/>
  <c r="AE61" i="1"/>
  <c r="K81" i="1"/>
  <c r="K131" i="1"/>
  <c r="K153" i="1"/>
  <c r="AE168" i="1"/>
  <c r="AE194" i="1"/>
  <c r="AE213" i="1"/>
  <c r="AE218" i="1"/>
  <c r="AE226" i="1"/>
  <c r="K231" i="1"/>
  <c r="AE275" i="1"/>
  <c r="K310" i="1"/>
  <c r="AE327" i="1"/>
  <c r="K329" i="1"/>
  <c r="AE348" i="1"/>
  <c r="K511" i="1"/>
  <c r="AE511" i="1"/>
  <c r="K572" i="1"/>
  <c r="AE572" i="1"/>
  <c r="K689" i="1"/>
  <c r="AE703" i="1"/>
  <c r="AE724" i="1"/>
  <c r="AE762" i="1"/>
  <c r="AE832" i="1"/>
  <c r="AE886" i="1"/>
  <c r="K968" i="1"/>
  <c r="AE1064" i="1"/>
  <c r="AE1066" i="1"/>
  <c r="K1066" i="1"/>
  <c r="AE1174" i="1"/>
  <c r="AE1240" i="1"/>
  <c r="K1240" i="1"/>
  <c r="K1382" i="1"/>
  <c r="AE1382" i="1"/>
  <c r="K1428" i="1"/>
  <c r="AE1428" i="1"/>
  <c r="AE1701" i="1"/>
  <c r="K1701" i="1"/>
  <c r="AE1862" i="1"/>
  <c r="K1862" i="1"/>
  <c r="K445" i="1"/>
  <c r="AE445" i="1"/>
  <c r="K569" i="1"/>
  <c r="AE569" i="1"/>
  <c r="K607" i="1"/>
  <c r="AE607" i="1"/>
  <c r="K930" i="1"/>
  <c r="AE930" i="1"/>
  <c r="AE1129" i="1"/>
  <c r="K1129" i="1"/>
  <c r="K1196" i="1"/>
  <c r="AE1196" i="1"/>
  <c r="K1221" i="1"/>
  <c r="AE1221" i="1"/>
  <c r="AE1259" i="1"/>
  <c r="K1259" i="1"/>
  <c r="K1368" i="1"/>
  <c r="AE1368" i="1"/>
  <c r="K1384" i="1"/>
  <c r="AE1384" i="1"/>
  <c r="AE1469" i="1"/>
  <c r="K1469" i="1"/>
  <c r="K266" i="1"/>
  <c r="AE266" i="1"/>
  <c r="K326" i="1"/>
  <c r="AE326" i="1"/>
  <c r="AE478" i="1"/>
  <c r="AE567" i="1"/>
  <c r="K567" i="1"/>
  <c r="AE576" i="1"/>
  <c r="AE658" i="1"/>
  <c r="AE682" i="1"/>
  <c r="AE899" i="1"/>
  <c r="K899" i="1"/>
  <c r="AE917" i="1"/>
  <c r="AE78" i="1"/>
  <c r="AE109" i="1"/>
  <c r="AE301" i="1"/>
  <c r="AE481" i="1"/>
  <c r="K605" i="1"/>
  <c r="AE605" i="1"/>
  <c r="AE638" i="1"/>
  <c r="K638" i="1"/>
  <c r="AE644" i="1"/>
  <c r="K786" i="1"/>
  <c r="AE786" i="1"/>
  <c r="AE8" i="1"/>
  <c r="AE21" i="1"/>
  <c r="K27" i="1"/>
  <c r="AE98" i="1"/>
  <c r="AE105" i="1"/>
  <c r="AE116" i="1"/>
  <c r="AE124" i="1"/>
  <c r="AE229" i="1"/>
  <c r="AE295" i="1"/>
  <c r="AE304" i="1"/>
  <c r="AE316" i="1"/>
  <c r="AE394" i="1"/>
  <c r="K411" i="1"/>
  <c r="AE413" i="1"/>
  <c r="K518" i="1"/>
  <c r="K522" i="1"/>
  <c r="AE536" i="1"/>
  <c r="K536" i="1"/>
  <c r="K543" i="1"/>
  <c r="K577" i="1"/>
  <c r="K685" i="1"/>
  <c r="K687" i="1"/>
  <c r="AE798" i="1"/>
  <c r="AE1003" i="1"/>
  <c r="K1003" i="1"/>
  <c r="K1047" i="1"/>
  <c r="AE1054" i="1"/>
  <c r="K1054" i="1"/>
  <c r="K1238" i="1"/>
  <c r="K1323" i="1"/>
  <c r="AE1323" i="1"/>
  <c r="K1403" i="1"/>
  <c r="AE1403" i="1"/>
  <c r="AE1419" i="1"/>
  <c r="K1419" i="1"/>
  <c r="AE1594" i="1"/>
  <c r="K1594" i="1"/>
  <c r="AE1847" i="1"/>
  <c r="K1847" i="1"/>
  <c r="AE634" i="1"/>
  <c r="K634" i="1"/>
  <c r="AE717" i="1"/>
  <c r="K717" i="1"/>
  <c r="K863" i="1"/>
  <c r="AE863" i="1"/>
  <c r="K1155" i="1"/>
  <c r="AE1155" i="1"/>
  <c r="AE1459" i="1"/>
  <c r="K1459" i="1"/>
  <c r="AE1583" i="1"/>
  <c r="K1583" i="1"/>
  <c r="D30" i="2"/>
  <c r="AE559" i="1"/>
  <c r="K559" i="1"/>
  <c r="AE659" i="1"/>
  <c r="K659" i="1"/>
  <c r="AE731" i="1"/>
  <c r="AE733" i="1"/>
  <c r="AE735" i="1"/>
  <c r="AE805" i="1"/>
  <c r="K805" i="1"/>
  <c r="K1034" i="1"/>
  <c r="AE1034" i="1"/>
  <c r="AE1112" i="1"/>
  <c r="K1153" i="1"/>
  <c r="AE1153" i="1"/>
  <c r="K1204" i="1"/>
  <c r="AE1204" i="1"/>
  <c r="K1290" i="1"/>
  <c r="AE1290" i="1"/>
  <c r="K1399" i="1"/>
  <c r="AE1399" i="1"/>
  <c r="K1445" i="1"/>
  <c r="AE1445" i="1"/>
  <c r="AE1767" i="1"/>
  <c r="K1767" i="1"/>
  <c r="AE220" i="1"/>
  <c r="AE293" i="1"/>
  <c r="AE57" i="1"/>
  <c r="AE84" i="1"/>
  <c r="AE225" i="1"/>
  <c r="AE285" i="1"/>
  <c r="AE291" i="1"/>
  <c r="K606" i="1"/>
  <c r="AE606" i="1"/>
  <c r="AE753" i="1"/>
  <c r="AE1103" i="1"/>
  <c r="AE29" i="1"/>
  <c r="AE86" i="1"/>
  <c r="AE120" i="1"/>
  <c r="AE123" i="1"/>
  <c r="K158" i="1"/>
  <c r="AE164" i="1"/>
  <c r="K180" i="1"/>
  <c r="AE216" i="1"/>
  <c r="AE245" i="1"/>
  <c r="AE269" i="1"/>
  <c r="AE287" i="1"/>
  <c r="AE302" i="1"/>
  <c r="AE403" i="1"/>
  <c r="AE405" i="1"/>
  <c r="AE407" i="1"/>
  <c r="AE433" i="1"/>
  <c r="AE447" i="1"/>
  <c r="AE453" i="1"/>
  <c r="AE455" i="1"/>
  <c r="K457" i="1"/>
  <c r="AE457" i="1"/>
  <c r="AE467" i="1"/>
  <c r="AE516" i="1"/>
  <c r="K532" i="1"/>
  <c r="AE532" i="1"/>
  <c r="K756" i="1"/>
  <c r="AE823" i="1"/>
  <c r="K823" i="1"/>
  <c r="K884" i="1"/>
  <c r="AE884" i="1"/>
  <c r="K946" i="1"/>
  <c r="AE946" i="1"/>
  <c r="AE962" i="1"/>
  <c r="AE964" i="1"/>
  <c r="AE969" i="1"/>
  <c r="AE984" i="1"/>
  <c r="AE1101" i="1"/>
  <c r="K1101" i="1"/>
  <c r="K1139" i="1"/>
  <c r="AE1139" i="1"/>
  <c r="AE1276" i="1"/>
  <c r="AE1281" i="1"/>
  <c r="AE1283" i="1"/>
  <c r="AE170" i="1"/>
  <c r="AE60" i="1"/>
  <c r="AE132" i="1"/>
  <c r="AE155" i="1"/>
  <c r="K628" i="1"/>
  <c r="AE628" i="1"/>
  <c r="AE729" i="1"/>
  <c r="K729" i="1"/>
  <c r="AE982" i="1"/>
  <c r="K982" i="1"/>
  <c r="AE41" i="1"/>
  <c r="K47" i="1"/>
  <c r="AE51" i="1"/>
  <c r="AE69" i="1"/>
  <c r="K110" i="1"/>
  <c r="AE127" i="1"/>
  <c r="AE294" i="1"/>
  <c r="AE319" i="1"/>
  <c r="K366" i="1"/>
  <c r="AE399" i="1"/>
  <c r="AE401" i="1"/>
  <c r="AE422" i="1"/>
  <c r="AE548" i="1"/>
  <c r="AE582" i="1"/>
  <c r="AE637" i="1"/>
  <c r="AE655" i="1"/>
  <c r="K655" i="1"/>
  <c r="K675" i="1"/>
  <c r="AE708" i="1"/>
  <c r="K708" i="1"/>
  <c r="K741" i="1"/>
  <c r="AE758" i="1"/>
  <c r="K866" i="1"/>
  <c r="AE866" i="1"/>
  <c r="K958" i="1"/>
  <c r="AE958" i="1"/>
  <c r="K1055" i="1"/>
  <c r="AE1252" i="1"/>
  <c r="AE1254" i="1"/>
  <c r="K1274" i="1"/>
  <c r="AE1274" i="1"/>
  <c r="K1319" i="1"/>
  <c r="AE1319" i="1"/>
  <c r="AE1490" i="1"/>
  <c r="AE50" i="1"/>
  <c r="AE32" i="1"/>
  <c r="K240" i="1"/>
  <c r="AE240" i="1"/>
  <c r="AE274" i="1"/>
  <c r="AE550" i="1"/>
  <c r="AE616" i="1"/>
  <c r="AE749" i="1"/>
  <c r="AE19" i="1"/>
  <c r="AE58" i="1"/>
  <c r="AE73" i="1"/>
  <c r="AE103" i="1"/>
  <c r="K130" i="1"/>
  <c r="AE143" i="1"/>
  <c r="AE156" i="1"/>
  <c r="AE189" i="1"/>
  <c r="AE292" i="1"/>
  <c r="K330" i="1"/>
  <c r="AE425" i="1"/>
  <c r="AE482" i="1"/>
  <c r="K671" i="1"/>
  <c r="AE1006" i="1"/>
  <c r="K1006" i="1"/>
  <c r="AE1017" i="1"/>
  <c r="K1017" i="1"/>
  <c r="K1250" i="1"/>
  <c r="AE1250" i="1"/>
  <c r="K1308" i="1"/>
  <c r="AE1308" i="1"/>
  <c r="K1480" i="1"/>
  <c r="AE1480" i="1"/>
  <c r="AE1814" i="1"/>
  <c r="K1814" i="1"/>
  <c r="AE1939" i="1"/>
  <c r="K1939" i="1"/>
  <c r="AE814" i="1"/>
  <c r="AE827" i="1"/>
  <c r="K872" i="1"/>
  <c r="AE872" i="1"/>
  <c r="AE888" i="1"/>
  <c r="AE1061" i="1"/>
  <c r="AE1075" i="1"/>
  <c r="AE1118" i="1"/>
  <c r="AE1192" i="1"/>
  <c r="AE1269" i="1"/>
  <c r="K1269" i="1"/>
  <c r="AE1342" i="1"/>
  <c r="K1344" i="1"/>
  <c r="AE1344" i="1"/>
  <c r="AE1365" i="1"/>
  <c r="K1365" i="1"/>
  <c r="AE1569" i="1"/>
  <c r="K1569" i="1"/>
  <c r="AE1778" i="1"/>
  <c r="AE1894" i="1"/>
  <c r="K1894" i="1"/>
  <c r="C6" i="2"/>
  <c r="B8" i="2"/>
  <c r="AE1332" i="1"/>
  <c r="K1332" i="1"/>
  <c r="K1554" i="1"/>
  <c r="AE1554" i="1"/>
  <c r="AE1651" i="1"/>
  <c r="K1651" i="1"/>
  <c r="AE1735" i="1"/>
  <c r="K1735" i="1"/>
  <c r="K1265" i="1"/>
  <c r="AE1265" i="1"/>
  <c r="AE1488" i="1"/>
  <c r="AE1649" i="1"/>
  <c r="K1649" i="1"/>
  <c r="AE1731" i="1"/>
  <c r="AE1754" i="1"/>
  <c r="AE507" i="1"/>
  <c r="AE579" i="1"/>
  <c r="AE600" i="1"/>
  <c r="AE680" i="1"/>
  <c r="AE701" i="1"/>
  <c r="AE787" i="1"/>
  <c r="AE871" i="1"/>
  <c r="AE907" i="1"/>
  <c r="AE1062" i="1"/>
  <c r="AE1078" i="1"/>
  <c r="AE1242" i="1"/>
  <c r="AE1246" i="1"/>
  <c r="AE1248" i="1"/>
  <c r="K1263" i="1"/>
  <c r="AE1263" i="1"/>
  <c r="AE1316" i="1"/>
  <c r="K1316" i="1"/>
  <c r="K1330" i="1"/>
  <c r="AE1330" i="1"/>
  <c r="AE1333" i="1"/>
  <c r="K1335" i="1"/>
  <c r="AE1335" i="1"/>
  <c r="AE1457" i="1"/>
  <c r="K1843" i="1"/>
  <c r="AE1843" i="1"/>
  <c r="AE77" i="1"/>
  <c r="AE79" i="1"/>
  <c r="AE89" i="1"/>
  <c r="AE196" i="1"/>
  <c r="AE202" i="1"/>
  <c r="AE392" i="1"/>
  <c r="AE434" i="1"/>
  <c r="AE678" i="1"/>
  <c r="AE712" i="1"/>
  <c r="AE725" i="1"/>
  <c r="AE817" i="1"/>
  <c r="AE880" i="1"/>
  <c r="K1035" i="1"/>
  <c r="AE1035" i="1"/>
  <c r="AE1096" i="1"/>
  <c r="AE1159" i="1"/>
  <c r="K1197" i="1"/>
  <c r="AE1197" i="1"/>
  <c r="K1261" i="1"/>
  <c r="AE1261" i="1"/>
  <c r="AE1530" i="1"/>
  <c r="K1532" i="1"/>
  <c r="K1699" i="1"/>
  <c r="AE1703" i="1"/>
  <c r="AE1749" i="1"/>
  <c r="K1749" i="1"/>
  <c r="AE1229" i="1"/>
  <c r="K1229" i="1"/>
  <c r="K1326" i="1"/>
  <c r="AE1326" i="1"/>
  <c r="AE1521" i="1"/>
  <c r="K1521" i="1"/>
  <c r="AE1523" i="1"/>
  <c r="K1523" i="1"/>
  <c r="AE1715" i="1"/>
  <c r="K1715" i="1"/>
  <c r="AE1706" i="1"/>
  <c r="K1706" i="1"/>
  <c r="AE1713" i="1"/>
  <c r="K1713" i="1"/>
  <c r="AE1736" i="1"/>
  <c r="K1736" i="1"/>
  <c r="K1918" i="1"/>
  <c r="AE1918" i="1"/>
  <c r="AE151" i="1"/>
  <c r="AE176" i="1"/>
  <c r="AE280" i="1"/>
  <c r="AE299" i="1"/>
  <c r="K335" i="1"/>
  <c r="AE358" i="1"/>
  <c r="AE441" i="1"/>
  <c r="AE462" i="1"/>
  <c r="K524" i="1"/>
  <c r="AE554" i="1"/>
  <c r="AE558" i="1"/>
  <c r="AE614" i="1"/>
  <c r="AE647" i="1"/>
  <c r="AE715" i="1"/>
  <c r="K721" i="1"/>
  <c r="K781" i="1"/>
  <c r="AE783" i="1"/>
  <c r="K783" i="1"/>
  <c r="AE824" i="1"/>
  <c r="K826" i="1"/>
  <c r="K912" i="1"/>
  <c r="AE955" i="1"/>
  <c r="K1032" i="1"/>
  <c r="AE1063" i="1"/>
  <c r="K1173" i="1"/>
  <c r="K1317" i="1"/>
  <c r="AE1317" i="1"/>
  <c r="AE1389" i="1"/>
  <c r="AE1393" i="1"/>
  <c r="K1393" i="1"/>
  <c r="AE1432" i="1"/>
  <c r="AE1468" i="1"/>
  <c r="K1468" i="1"/>
  <c r="AE1612" i="1"/>
  <c r="AE1787" i="1"/>
  <c r="AE1905" i="1"/>
  <c r="K1905" i="1"/>
  <c r="AE656" i="1"/>
  <c r="AE713" i="1"/>
  <c r="K723" i="1"/>
  <c r="AE723" i="1"/>
  <c r="AE736" i="1"/>
  <c r="AE747" i="1"/>
  <c r="AE801" i="1"/>
  <c r="AE861" i="1"/>
  <c r="AE942" i="1"/>
  <c r="AE977" i="1"/>
  <c r="K1000" i="1"/>
  <c r="AE1000" i="1"/>
  <c r="AE1007" i="1"/>
  <c r="AE1049" i="1"/>
  <c r="AE1068" i="1"/>
  <c r="AE1083" i="1"/>
  <c r="AE1094" i="1"/>
  <c r="K1094" i="1"/>
  <c r="AE1115" i="1"/>
  <c r="K1115" i="1"/>
  <c r="AE1126" i="1"/>
  <c r="K1191" i="1"/>
  <c r="AE1191" i="1"/>
  <c r="AE1216" i="1"/>
  <c r="K1216" i="1"/>
  <c r="AE1517" i="1"/>
  <c r="K1517" i="1"/>
  <c r="AE1591" i="1"/>
  <c r="K1591" i="1"/>
  <c r="AE1662" i="1"/>
  <c r="K1662" i="1"/>
  <c r="AE157" i="1"/>
  <c r="AE197" i="1"/>
  <c r="AE230" i="1"/>
  <c r="AE303" i="1"/>
  <c r="AE377" i="1"/>
  <c r="AE510" i="1"/>
  <c r="AE645" i="1"/>
  <c r="AE649" i="1"/>
  <c r="AE719" i="1"/>
  <c r="AE766" i="1"/>
  <c r="AE797" i="1"/>
  <c r="AE807" i="1"/>
  <c r="K822" i="1"/>
  <c r="AE831" i="1"/>
  <c r="AE846" i="1"/>
  <c r="K846" i="1"/>
  <c r="AE850" i="1"/>
  <c r="AE905" i="1"/>
  <c r="AE940" i="1"/>
  <c r="AE1038" i="1"/>
  <c r="AE1056" i="1"/>
  <c r="K1211" i="1"/>
  <c r="AE1211" i="1"/>
  <c r="K1223" i="1"/>
  <c r="AE1223" i="1"/>
  <c r="K1354" i="1"/>
  <c r="AE1354" i="1"/>
  <c r="AE1372" i="1"/>
  <c r="K1508" i="1"/>
  <c r="AE1596" i="1"/>
  <c r="AE1667" i="1"/>
  <c r="K1667" i="1"/>
  <c r="K1711" i="1"/>
  <c r="AE1711" i="1"/>
  <c r="AE1896" i="1"/>
  <c r="K1896" i="1"/>
  <c r="AE1974" i="1"/>
  <c r="D8" i="2"/>
  <c r="F28" i="2"/>
  <c r="AE1772" i="1"/>
  <c r="K1772" i="1"/>
  <c r="AE1806" i="1"/>
  <c r="K1806" i="1"/>
  <c r="AE1839" i="1"/>
  <c r="K1839" i="1"/>
  <c r="AE446" i="1"/>
  <c r="AE475" i="1"/>
  <c r="AE495" i="1"/>
  <c r="AE505" i="1"/>
  <c r="AE613" i="1"/>
  <c r="AE738" i="1"/>
  <c r="AE755" i="1"/>
  <c r="AE776" i="1"/>
  <c r="AE843" i="1"/>
  <c r="K965" i="1"/>
  <c r="K971" i="1"/>
  <c r="AE1022" i="1"/>
  <c r="AE1076" i="1"/>
  <c r="AE1097" i="1"/>
  <c r="AE1106" i="1"/>
  <c r="K1108" i="1"/>
  <c r="AE1119" i="1"/>
  <c r="K1130" i="1"/>
  <c r="AE1160" i="1"/>
  <c r="K1175" i="1"/>
  <c r="AE1175" i="1"/>
  <c r="AE1219" i="1"/>
  <c r="AE1251" i="1"/>
  <c r="K1251" i="1"/>
  <c r="AE1275" i="1"/>
  <c r="AE1286" i="1"/>
  <c r="K1286" i="1"/>
  <c r="K1324" i="1"/>
  <c r="AE1324" i="1"/>
  <c r="K1379" i="1"/>
  <c r="K1453" i="1"/>
  <c r="K1592" i="1"/>
  <c r="AE1592" i="1"/>
  <c r="AE1666" i="1"/>
  <c r="AE1670" i="1"/>
  <c r="AE1683" i="1"/>
  <c r="AE1817" i="1"/>
  <c r="K1817" i="1"/>
  <c r="K1844" i="1"/>
  <c r="AE1931" i="1"/>
  <c r="AE975" i="1"/>
  <c r="K1018" i="1"/>
  <c r="AE1018" i="1"/>
  <c r="AE1045" i="1"/>
  <c r="K1045" i="1"/>
  <c r="AE1080" i="1"/>
  <c r="K1307" i="1"/>
  <c r="AE1307" i="1"/>
  <c r="K1338" i="1"/>
  <c r="AE1338" i="1"/>
  <c r="K1366" i="1"/>
  <c r="K1451" i="1"/>
  <c r="AE1535" i="1"/>
  <c r="K1535" i="1"/>
  <c r="K1679" i="1"/>
  <c r="K1681" i="1"/>
  <c r="K1752" i="1"/>
  <c r="AE1826" i="1"/>
  <c r="K1826" i="1"/>
  <c r="AE1863" i="1"/>
  <c r="K1863" i="1"/>
  <c r="K1929" i="1"/>
  <c r="AE1948" i="1"/>
  <c r="K1948" i="1"/>
  <c r="AE1136" i="1"/>
  <c r="AE1187" i="1"/>
  <c r="AE1325" i="1"/>
  <c r="AE1360" i="1"/>
  <c r="AE1464" i="1"/>
  <c r="K1464" i="1"/>
  <c r="AE1533" i="1"/>
  <c r="K1533" i="1"/>
  <c r="AE1551" i="1"/>
  <c r="AE1620" i="1"/>
  <c r="AE1709" i="1"/>
  <c r="K1709" i="1"/>
  <c r="AE1748" i="1"/>
  <c r="AE1861" i="1"/>
  <c r="K1861" i="1"/>
  <c r="AE1294" i="1"/>
  <c r="AE1303" i="1"/>
  <c r="K1373" i="1"/>
  <c r="AE1373" i="1"/>
  <c r="AE1409" i="1"/>
  <c r="AE1436" i="1"/>
  <c r="AE1531" i="1"/>
  <c r="K1531" i="1"/>
  <c r="AE1538" i="1"/>
  <c r="AE1547" i="1"/>
  <c r="AE1549" i="1"/>
  <c r="AE1718" i="1"/>
  <c r="K1718" i="1"/>
  <c r="AE1746" i="1"/>
  <c r="AE1766" i="1"/>
  <c r="K1766" i="1"/>
  <c r="AE1859" i="1"/>
  <c r="K1859" i="1"/>
  <c r="AE1907" i="1"/>
  <c r="AE1989" i="1"/>
  <c r="K1989" i="1"/>
  <c r="AE768" i="1"/>
  <c r="AE892" i="1"/>
  <c r="AE923" i="1"/>
  <c r="AE996" i="1"/>
  <c r="K996" i="1"/>
  <c r="AE1048" i="1"/>
  <c r="AE1052" i="1"/>
  <c r="AE1185" i="1"/>
  <c r="AE1334" i="1"/>
  <c r="AE1350" i="1"/>
  <c r="AE1443" i="1"/>
  <c r="AE1505" i="1"/>
  <c r="AE1507" i="1"/>
  <c r="AE1509" i="1"/>
  <c r="AE1542" i="1"/>
  <c r="AE1597" i="1"/>
  <c r="K1597" i="1"/>
  <c r="AE1599" i="1"/>
  <c r="K1631" i="1"/>
  <c r="AE1631" i="1"/>
  <c r="AE1636" i="1"/>
  <c r="AE1809" i="1"/>
  <c r="AE1853" i="1"/>
  <c r="K1853" i="1"/>
  <c r="AE1864" i="1"/>
  <c r="AE1866" i="1"/>
  <c r="AE1870" i="1"/>
  <c r="K1870" i="1"/>
  <c r="AE1916" i="1"/>
  <c r="AE1940" i="1"/>
  <c r="AE790" i="1"/>
  <c r="AE902" i="1"/>
  <c r="AE1025" i="1"/>
  <c r="AE1095" i="1"/>
  <c r="AE1161" i="1"/>
  <c r="AE1292" i="1"/>
  <c r="AE1336" i="1"/>
  <c r="K1336" i="1"/>
  <c r="AE1421" i="1"/>
  <c r="AE1456" i="1"/>
  <c r="K1456" i="1"/>
  <c r="K1575" i="1"/>
  <c r="AE1575" i="1"/>
  <c r="AE1607" i="1"/>
  <c r="AE1634" i="1"/>
  <c r="AE1776" i="1"/>
  <c r="AE1820" i="1"/>
  <c r="AE1822" i="1"/>
  <c r="AE1925" i="1"/>
  <c r="AE1027" i="1"/>
  <c r="AE1105" i="1"/>
  <c r="AE1150" i="1"/>
  <c r="AE1167" i="1"/>
  <c r="AE1203" i="1"/>
  <c r="AE1383" i="1"/>
  <c r="AE1387" i="1"/>
  <c r="AE1470" i="1"/>
  <c r="AE1472" i="1"/>
  <c r="K1496" i="1"/>
  <c r="K1510" i="1"/>
  <c r="AE1539" i="1"/>
  <c r="K1588" i="1"/>
  <c r="AE1605" i="1"/>
  <c r="K1696" i="1"/>
  <c r="K1698" i="1"/>
  <c r="K1700" i="1"/>
  <c r="K1785" i="1"/>
  <c r="AE1836" i="1"/>
  <c r="AE1889" i="1"/>
  <c r="K1946" i="1"/>
  <c r="AE1972" i="1"/>
  <c r="AE1985" i="1"/>
  <c r="AE1092" i="1"/>
  <c r="AE1110" i="1"/>
  <c r="AE1146" i="1"/>
  <c r="AE1201" i="1"/>
  <c r="AE1320" i="1"/>
  <c r="AE1359" i="1"/>
  <c r="AE1369" i="1"/>
  <c r="AE1454" i="1"/>
  <c r="AE1546" i="1"/>
  <c r="AE1633" i="1"/>
  <c r="E30" i="2"/>
  <c r="AE1638" i="1"/>
  <c r="AE1762" i="1"/>
  <c r="AE1879" i="1"/>
  <c r="AE1231" i="1"/>
  <c r="AE1339" i="1"/>
  <c r="AE1341" i="1"/>
  <c r="AE1486" i="1"/>
  <c r="AE1497" i="1"/>
  <c r="AE1501" i="1"/>
  <c r="AE1511" i="1"/>
  <c r="AE1657" i="1"/>
  <c r="AE1797" i="1"/>
  <c r="AE1805" i="1"/>
  <c r="AE1868" i="1"/>
  <c r="AE1237" i="1"/>
  <c r="AE1287" i="1"/>
  <c r="AE1406" i="1"/>
  <c r="AE1540" i="1"/>
  <c r="AE1695" i="1"/>
  <c r="AE1780" i="1"/>
  <c r="AE1782" i="1"/>
  <c r="AE1892" i="1"/>
  <c r="AE1964" i="1"/>
  <c r="AE185" i="1"/>
  <c r="AE286" i="1"/>
  <c r="AE578" i="1"/>
  <c r="AE730" i="1"/>
  <c r="K171" i="1"/>
  <c r="K188" i="1"/>
  <c r="K279" i="1"/>
  <c r="K349" i="1"/>
  <c r="AE395" i="1"/>
  <c r="K395" i="1"/>
  <c r="K433" i="1"/>
  <c r="AE437" i="1"/>
  <c r="K437" i="1"/>
  <c r="K468" i="1"/>
  <c r="K496" i="1"/>
  <c r="K534" i="1"/>
  <c r="AE534" i="1"/>
  <c r="AE573" i="1"/>
  <c r="K573" i="1"/>
  <c r="K973" i="1"/>
  <c r="AE973" i="1"/>
  <c r="K513" i="1"/>
  <c r="AE513" i="1"/>
  <c r="K1141" i="1"/>
  <c r="AE1141" i="1"/>
  <c r="AE284" i="1"/>
  <c r="K3" i="1"/>
  <c r="K10" i="1"/>
  <c r="K17" i="1"/>
  <c r="K24" i="1"/>
  <c r="K31" i="1"/>
  <c r="K38" i="1"/>
  <c r="K45" i="1"/>
  <c r="K52" i="1"/>
  <c r="K59" i="1"/>
  <c r="K66" i="1"/>
  <c r="K73" i="1"/>
  <c r="K80" i="1"/>
  <c r="K87" i="1"/>
  <c r="K94" i="1"/>
  <c r="K101" i="1"/>
  <c r="K108" i="1"/>
  <c r="K115" i="1"/>
  <c r="K122" i="1"/>
  <c r="K129" i="1"/>
  <c r="K136" i="1"/>
  <c r="K143" i="1"/>
  <c r="K150" i="1"/>
  <c r="K157" i="1"/>
  <c r="K164" i="1"/>
  <c r="K173" i="1"/>
  <c r="AE186" i="1"/>
  <c r="K223" i="1"/>
  <c r="AE244" i="1"/>
  <c r="AE265" i="1"/>
  <c r="K419" i="1"/>
  <c r="K482" i="1"/>
  <c r="AE221" i="1"/>
  <c r="AE256" i="1"/>
  <c r="AE452" i="1"/>
  <c r="AE480" i="1"/>
  <c r="K1493" i="1"/>
  <c r="AE1493" i="1"/>
  <c r="AE1664" i="1"/>
  <c r="K1664" i="1"/>
  <c r="AE361" i="1"/>
  <c r="AE367" i="1"/>
  <c r="K367" i="1"/>
  <c r="AE580" i="1"/>
  <c r="K580" i="1"/>
  <c r="AE592" i="1"/>
  <c r="K592" i="1"/>
  <c r="K821" i="1"/>
  <c r="AE821" i="1"/>
  <c r="K877" i="1"/>
  <c r="AE877" i="1"/>
  <c r="AE1109" i="1"/>
  <c r="AE1560" i="1"/>
  <c r="K1560" i="1"/>
  <c r="AE1969" i="1"/>
  <c r="K1969" i="1"/>
  <c r="AE409" i="1"/>
  <c r="K409" i="1"/>
  <c r="AE500" i="1"/>
  <c r="K500" i="1"/>
  <c r="AE200" i="1"/>
  <c r="AE347" i="1"/>
  <c r="AE353" i="1"/>
  <c r="AE375" i="1"/>
  <c r="AE381" i="1"/>
  <c r="K381" i="1"/>
  <c r="AE486" i="1"/>
  <c r="K486" i="1"/>
  <c r="AE494" i="1"/>
  <c r="K555" i="1"/>
  <c r="AE555" i="1"/>
  <c r="AE664" i="1"/>
  <c r="K664" i="1"/>
  <c r="AE1873" i="1"/>
  <c r="K1873" i="1"/>
  <c r="AE1971" i="1"/>
  <c r="K1971" i="1"/>
  <c r="AE311" i="1"/>
  <c r="AE179" i="1"/>
  <c r="AE227" i="1"/>
  <c r="AE235" i="1"/>
  <c r="AE241" i="1"/>
  <c r="K251" i="1"/>
  <c r="AE262" i="1"/>
  <c r="K321" i="1"/>
  <c r="AE340" i="1"/>
  <c r="K440" i="1"/>
  <c r="AE541" i="1"/>
  <c r="K601" i="1"/>
  <c r="K624" i="1"/>
  <c r="AE676" i="1"/>
  <c r="K676" i="1"/>
  <c r="AE746" i="1"/>
  <c r="K746" i="1"/>
  <c r="AE788" i="1"/>
  <c r="AE799" i="1"/>
  <c r="AE813" i="1"/>
  <c r="K813" i="1"/>
  <c r="K1449" i="1"/>
  <c r="AE1449" i="1"/>
  <c r="K639" i="1"/>
  <c r="AE639" i="1"/>
  <c r="K1134" i="1"/>
  <c r="AE1134" i="1"/>
  <c r="K1183" i="1"/>
  <c r="AE1183" i="1"/>
  <c r="AE192" i="1"/>
  <c r="AE332" i="1"/>
  <c r="AE423" i="1"/>
  <c r="K423" i="1"/>
  <c r="AE431" i="1"/>
  <c r="AE466" i="1"/>
  <c r="AE472" i="1"/>
  <c r="K472" i="1"/>
  <c r="AE520" i="1"/>
  <c r="AE643" i="1"/>
  <c r="K643" i="1"/>
  <c r="AE760" i="1"/>
  <c r="K760" i="1"/>
  <c r="AE879" i="1"/>
  <c r="K879" i="1"/>
  <c r="AE1179" i="1"/>
  <c r="K1179" i="1"/>
  <c r="K1321" i="1"/>
  <c r="AE1321" i="1"/>
  <c r="K2" i="1"/>
  <c r="K9" i="1"/>
  <c r="K44" i="1"/>
  <c r="K72" i="1"/>
  <c r="K100" i="1"/>
  <c r="K107" i="1"/>
  <c r="K114" i="1"/>
  <c r="K142" i="1"/>
  <c r="K163" i="1"/>
  <c r="K216" i="1"/>
  <c r="K272" i="1"/>
  <c r="K384" i="1"/>
  <c r="AE402" i="1"/>
  <c r="K402" i="1"/>
  <c r="K426" i="1"/>
  <c r="AE444" i="1"/>
  <c r="K444" i="1"/>
  <c r="K489" i="1"/>
  <c r="K590" i="1"/>
  <c r="AE590" i="1"/>
  <c r="K603" i="1"/>
  <c r="K652" i="1"/>
  <c r="K718" i="1"/>
  <c r="AE809" i="1"/>
  <c r="K809" i="1"/>
  <c r="K1156" i="1"/>
  <c r="AE1156" i="1"/>
  <c r="AE416" i="1"/>
  <c r="K416" i="1"/>
  <c r="AE948" i="1"/>
  <c r="K948" i="1"/>
  <c r="AE172" i="1"/>
  <c r="K230" i="1"/>
  <c r="K314" i="1"/>
  <c r="AE333" i="1"/>
  <c r="AE346" i="1"/>
  <c r="AE354" i="1"/>
  <c r="AE382" i="1"/>
  <c r="AE424" i="1"/>
  <c r="AE430" i="1"/>
  <c r="K430" i="1"/>
  <c r="AE473" i="1"/>
  <c r="AE487" i="1"/>
  <c r="AE493" i="1"/>
  <c r="K493" i="1"/>
  <c r="AE531" i="1"/>
  <c r="K531" i="1"/>
  <c r="AE597" i="1"/>
  <c r="K632" i="1"/>
  <c r="AE632" i="1"/>
  <c r="AE646" i="1"/>
  <c r="K695" i="1"/>
  <c r="AE695" i="1"/>
  <c r="AE778" i="1"/>
  <c r="K778" i="1"/>
  <c r="AE855" i="1"/>
  <c r="K855" i="1"/>
  <c r="K897" i="1"/>
  <c r="AE897" i="1"/>
  <c r="AE932" i="1"/>
  <c r="AE1195" i="1"/>
  <c r="K1257" i="1"/>
  <c r="AE1257" i="1"/>
  <c r="AE650" i="1"/>
  <c r="K650" i="1"/>
  <c r="AE193" i="1"/>
  <c r="AE214" i="1"/>
  <c r="AE276" i="1"/>
  <c r="AE325" i="1"/>
  <c r="AE533" i="1"/>
  <c r="AE648" i="1"/>
  <c r="AE479" i="1"/>
  <c r="K479" i="1"/>
  <c r="AE851" i="1"/>
  <c r="K851" i="1"/>
  <c r="AE697" i="1"/>
  <c r="K697" i="1"/>
  <c r="AE1902" i="1"/>
  <c r="K1902" i="1"/>
  <c r="AE270" i="1"/>
  <c r="AE388" i="1"/>
  <c r="K388" i="1"/>
  <c r="AE618" i="1"/>
  <c r="AE207" i="1"/>
  <c r="AE360" i="1"/>
  <c r="K360" i="1"/>
  <c r="AE368" i="1"/>
  <c r="AE459" i="1"/>
  <c r="AE681" i="1"/>
  <c r="AE706" i="1"/>
  <c r="K706" i="1"/>
  <c r="AE828" i="1"/>
  <c r="AE834" i="1"/>
  <c r="K834" i="1"/>
  <c r="K910" i="1"/>
  <c r="AE910" i="1"/>
  <c r="AE997" i="1"/>
  <c r="K997" i="1"/>
  <c r="AE410" i="1"/>
  <c r="AE501" i="1"/>
  <c r="AE228" i="1"/>
  <c r="AE242" i="1"/>
  <c r="AE263" i="1"/>
  <c r="AE339" i="1"/>
  <c r="AE615" i="1"/>
  <c r="AE704" i="1"/>
  <c r="AE891" i="1"/>
  <c r="K906" i="1"/>
  <c r="AE906" i="1"/>
  <c r="AE545" i="1"/>
  <c r="AE757" i="1"/>
  <c r="K757" i="1"/>
  <c r="AE771" i="1"/>
  <c r="K771" i="1"/>
  <c r="AE688" i="1"/>
  <c r="AE737" i="1"/>
  <c r="AE739" i="1"/>
  <c r="AE792" i="1"/>
  <c r="K792" i="1"/>
  <c r="AE862" i="1"/>
  <c r="K862" i="1"/>
  <c r="AE954" i="1"/>
  <c r="K954" i="1"/>
  <c r="K1100" i="1"/>
  <c r="AE1100" i="1"/>
  <c r="AE1162" i="1"/>
  <c r="AE764" i="1"/>
  <c r="K918" i="1"/>
  <c r="AE918" i="1"/>
  <c r="K1120" i="1"/>
  <c r="AE1120" i="1"/>
  <c r="AE1267" i="1"/>
  <c r="K1267" i="1"/>
  <c r="K1377" i="1"/>
  <c r="AE1377" i="1"/>
  <c r="K575" i="1"/>
  <c r="K613" i="1"/>
  <c r="K617" i="1"/>
  <c r="K699" i="1"/>
  <c r="AE750" i="1"/>
  <c r="K750" i="1"/>
  <c r="K795" i="1"/>
  <c r="K837" i="1"/>
  <c r="K865" i="1"/>
  <c r="AE1243" i="1"/>
  <c r="AE1430" i="1"/>
  <c r="K1430" i="1"/>
  <c r="AE841" i="1"/>
  <c r="K841" i="1"/>
  <c r="AE869" i="1"/>
  <c r="K869" i="1"/>
  <c r="K1030" i="1"/>
  <c r="AE1030" i="1"/>
  <c r="K350" i="1"/>
  <c r="K357" i="1"/>
  <c r="K364" i="1"/>
  <c r="K371" i="1"/>
  <c r="K385" i="1"/>
  <c r="AE587" i="1"/>
  <c r="AE611" i="1"/>
  <c r="AE629" i="1"/>
  <c r="AE785" i="1"/>
  <c r="K785" i="1"/>
  <c r="AE835" i="1"/>
  <c r="K1036" i="1"/>
  <c r="AE1036" i="1"/>
  <c r="AE1074" i="1"/>
  <c r="K1074" i="1"/>
  <c r="AE1099" i="1"/>
  <c r="K1148" i="1"/>
  <c r="AE1148" i="1"/>
  <c r="K1416" i="1"/>
  <c r="AE1416" i="1"/>
  <c r="K552" i="1"/>
  <c r="AE709" i="1"/>
  <c r="AE779" i="1"/>
  <c r="AE806" i="1"/>
  <c r="AE848" i="1"/>
  <c r="AE1165" i="1"/>
  <c r="AE1169" i="1"/>
  <c r="AE653" i="1"/>
  <c r="AE694" i="1"/>
  <c r="K743" i="1"/>
  <c r="AE903" i="1"/>
  <c r="AE1215" i="1"/>
  <c r="AE1304" i="1"/>
  <c r="AE1314" i="1"/>
  <c r="AE562" i="1"/>
  <c r="AE604" i="1"/>
  <c r="K608" i="1"/>
  <c r="AE622" i="1"/>
  <c r="K692" i="1"/>
  <c r="AE820" i="1"/>
  <c r="AE876" i="1"/>
  <c r="AE1302" i="1"/>
  <c r="AE898" i="1"/>
  <c r="AE924" i="1"/>
  <c r="AE939" i="1"/>
  <c r="AE1029" i="1"/>
  <c r="AE1079" i="1"/>
  <c r="AE1081" i="1"/>
  <c r="AE1123" i="1"/>
  <c r="AE1127" i="1"/>
  <c r="AE1206" i="1"/>
  <c r="AE1306" i="1"/>
  <c r="AE1726" i="1"/>
  <c r="K1726" i="1"/>
  <c r="AE1362" i="1"/>
  <c r="K1362" i="1"/>
  <c r="AE1476" i="1"/>
  <c r="AE1653" i="1"/>
  <c r="K1653" i="1"/>
  <c r="K1424" i="1"/>
  <c r="AE1424" i="1"/>
  <c r="AE1543" i="1"/>
  <c r="K1543" i="1"/>
  <c r="AE1808" i="1"/>
  <c r="K1808" i="1"/>
  <c r="K1871" i="1"/>
  <c r="AE1871" i="1"/>
  <c r="K905" i="1"/>
  <c r="AE925" i="1"/>
  <c r="AE938" i="1"/>
  <c r="AE960" i="1"/>
  <c r="AE987" i="1"/>
  <c r="K1088" i="1"/>
  <c r="K1102" i="1"/>
  <c r="AE1114" i="1"/>
  <c r="AE1128" i="1"/>
  <c r="K1144" i="1"/>
  <c r="K1158" i="1"/>
  <c r="K1172" i="1"/>
  <c r="AE1213" i="1"/>
  <c r="AE1234" i="1"/>
  <c r="K1272" i="1"/>
  <c r="AE1299" i="1"/>
  <c r="AE1441" i="1"/>
  <c r="K1441" i="1"/>
  <c r="AE1759" i="1"/>
  <c r="K1759" i="1"/>
  <c r="K1869" i="1"/>
  <c r="AE1869" i="1"/>
  <c r="K782" i="1"/>
  <c r="K796" i="1"/>
  <c r="K803" i="1"/>
  <c r="K810" i="1"/>
  <c r="K838" i="1"/>
  <c r="K852" i="1"/>
  <c r="AE931" i="1"/>
  <c r="AE966" i="1"/>
  <c r="AE1001" i="1"/>
  <c r="K1025" i="1"/>
  <c r="AE1086" i="1"/>
  <c r="AE1142" i="1"/>
  <c r="AE1170" i="1"/>
  <c r="K1186" i="1"/>
  <c r="AE1228" i="1"/>
  <c r="AE1256" i="1"/>
  <c r="AE1270" i="1"/>
  <c r="AE1337" i="1"/>
  <c r="K1435" i="1"/>
  <c r="AE1435" i="1"/>
  <c r="K1529" i="1"/>
  <c r="AE1529" i="1"/>
  <c r="K1563" i="1"/>
  <c r="AE1563" i="1"/>
  <c r="AE911" i="1"/>
  <c r="AE980" i="1"/>
  <c r="AE1009" i="1"/>
  <c r="AE1044" i="1"/>
  <c r="AE1058" i="1"/>
  <c r="AE1176" i="1"/>
  <c r="K1208" i="1"/>
  <c r="AE1278" i="1"/>
  <c r="AE1297" i="1"/>
  <c r="K1431" i="1"/>
  <c r="AE1431" i="1"/>
  <c r="AE1239" i="1"/>
  <c r="AE1376" i="1"/>
  <c r="K1376" i="1"/>
  <c r="K1484" i="1"/>
  <c r="AE1676" i="1"/>
  <c r="K1676" i="1"/>
  <c r="AE1841" i="1"/>
  <c r="K947" i="1"/>
  <c r="AE1023" i="1"/>
  <c r="AE1121" i="1"/>
  <c r="AE1184" i="1"/>
  <c r="AE1190" i="1"/>
  <c r="K1214" i="1"/>
  <c r="AE1214" i="1"/>
  <c r="AE1225" i="1"/>
  <c r="AE1370" i="1"/>
  <c r="AE1621" i="1"/>
  <c r="K1621" i="1"/>
  <c r="K1407" i="1"/>
  <c r="AE1407" i="1"/>
  <c r="AE1413" i="1"/>
  <c r="K1413" i="1"/>
  <c r="AE1606" i="1"/>
  <c r="K1606" i="1"/>
  <c r="AE1877" i="1"/>
  <c r="K1877" i="1"/>
  <c r="K1988" i="1"/>
  <c r="AE1988" i="1"/>
  <c r="AE1875" i="1"/>
  <c r="K1875" i="1"/>
  <c r="AE1823" i="1"/>
  <c r="K1823" i="1"/>
  <c r="AE1933" i="1"/>
  <c r="K1933" i="1"/>
  <c r="AE1390" i="1"/>
  <c r="K1390" i="1"/>
  <c r="AE1404" i="1"/>
  <c r="K1600" i="1"/>
  <c r="AE1600" i="1"/>
  <c r="AE1867" i="1"/>
  <c r="K1867" i="1"/>
  <c r="AE1513" i="1"/>
  <c r="K1513" i="1"/>
  <c r="AE1639" i="1"/>
  <c r="K1639" i="1"/>
  <c r="AE1857" i="1"/>
  <c r="K1857" i="1"/>
  <c r="K1967" i="1"/>
  <c r="AE1967" i="1"/>
  <c r="AE1656" i="1"/>
  <c r="K1656" i="1"/>
  <c r="AE1900" i="1"/>
  <c r="K1900" i="1"/>
  <c r="AE1917" i="1"/>
  <c r="K1917" i="1"/>
  <c r="AE1249" i="1"/>
  <c r="AE1284" i="1"/>
  <c r="AE1458" i="1"/>
  <c r="AE1489" i="1"/>
  <c r="K1489" i="1"/>
  <c r="AE1491" i="1"/>
  <c r="AE1555" i="1"/>
  <c r="K1555" i="1"/>
  <c r="AE1722" i="1"/>
  <c r="AE1724" i="1"/>
  <c r="K1837" i="1"/>
  <c r="AE1837" i="1"/>
  <c r="AE1397" i="1"/>
  <c r="K1409" i="1"/>
  <c r="AE1448" i="1"/>
  <c r="K1448" i="1"/>
  <c r="AE1553" i="1"/>
  <c r="K1553" i="1"/>
  <c r="AE1574" i="1"/>
  <c r="K1574" i="1"/>
  <c r="AE1610" i="1"/>
  <c r="K1610" i="1"/>
  <c r="K1694" i="1"/>
  <c r="AE1710" i="1"/>
  <c r="K1710" i="1"/>
  <c r="AE1720" i="1"/>
  <c r="K1720" i="1"/>
  <c r="AE1885" i="1"/>
  <c r="K1885" i="1"/>
  <c r="AE1348" i="1"/>
  <c r="AE1391" i="1"/>
  <c r="AE1415" i="1"/>
  <c r="K1415" i="1"/>
  <c r="K1581" i="1"/>
  <c r="K1589" i="1"/>
  <c r="AE1589" i="1"/>
  <c r="K1617" i="1"/>
  <c r="AE1791" i="1"/>
  <c r="K1791" i="1"/>
  <c r="AE1812" i="1"/>
  <c r="K1812" i="1"/>
  <c r="K1990" i="1"/>
  <c r="AE1990" i="1"/>
  <c r="AE1418" i="1"/>
  <c r="AE1495" i="1"/>
  <c r="AE1524" i="1"/>
  <c r="K1524" i="1"/>
  <c r="AE1566" i="1"/>
  <c r="AE1614" i="1"/>
  <c r="K1614" i="1"/>
  <c r="AE1622" i="1"/>
  <c r="K1622" i="1"/>
  <c r="AE1661" i="1"/>
  <c r="K1661" i="1"/>
  <c r="AE1671" i="1"/>
  <c r="K1671" i="1"/>
  <c r="AE1673" i="1"/>
  <c r="AE1675" i="1"/>
  <c r="AE1771" i="1"/>
  <c r="AE1773" i="1"/>
  <c r="AE1849" i="1"/>
  <c r="AE1938" i="1"/>
  <c r="K1938" i="1"/>
  <c r="AE1965" i="1"/>
  <c r="AE1420" i="1"/>
  <c r="AE1439" i="1"/>
  <c r="AE1444" i="1"/>
  <c r="AE1590" i="1"/>
  <c r="K1590" i="1"/>
  <c r="AE1769" i="1"/>
  <c r="K1769" i="1"/>
  <c r="AE1920" i="1"/>
  <c r="K1920" i="1"/>
  <c r="AE1936" i="1"/>
  <c r="K1936" i="1"/>
  <c r="AE1963" i="1"/>
  <c r="K1994" i="1"/>
  <c r="AE1482" i="1"/>
  <c r="AE1627" i="1"/>
  <c r="K1627" i="1"/>
  <c r="AE1688" i="1"/>
  <c r="K1688" i="1"/>
  <c r="AE1813" i="1"/>
  <c r="AE1835" i="1"/>
  <c r="K1835" i="1"/>
  <c r="AE1961" i="1"/>
  <c r="K1961" i="1"/>
  <c r="AE1774" i="1"/>
  <c r="K1774" i="1"/>
  <c r="K1557" i="1"/>
  <c r="K1593" i="1"/>
  <c r="AE1658" i="1"/>
  <c r="K1658" i="1"/>
  <c r="AE1739" i="1"/>
  <c r="K1764" i="1"/>
  <c r="K1795" i="1"/>
  <c r="K1811" i="1"/>
  <c r="K1878" i="1"/>
  <c r="AE1890" i="1"/>
  <c r="K1919" i="1"/>
  <c r="AE1611" i="1"/>
  <c r="K1611" i="1"/>
  <c r="AE1725" i="1"/>
  <c r="K1725" i="1"/>
  <c r="AE1789" i="1"/>
  <c r="K1789" i="1"/>
  <c r="AE1915" i="1"/>
  <c r="K1915" i="1"/>
  <c r="AE1968" i="1"/>
  <c r="K1968" i="1"/>
  <c r="AE1995" i="1"/>
  <c r="K1995" i="1"/>
  <c r="AE1492" i="1"/>
  <c r="K1492" i="1"/>
  <c r="AE1603" i="1"/>
  <c r="K1603" i="1"/>
  <c r="AE1756" i="1"/>
  <c r="K1756" i="1"/>
  <c r="AE1803" i="1"/>
  <c r="K1803" i="1"/>
  <c r="AE1840" i="1"/>
  <c r="K1840" i="1"/>
  <c r="AE1872" i="1"/>
  <c r="K1872" i="1"/>
  <c r="C30" i="2"/>
  <c r="AE1446" i="1"/>
  <c r="AE1475" i="1"/>
  <c r="AE1494" i="1"/>
  <c r="AE1693" i="1"/>
  <c r="K1693" i="1"/>
  <c r="AE1734" i="1"/>
  <c r="AE1854" i="1"/>
  <c r="K1854" i="1"/>
  <c r="AE1897" i="1"/>
  <c r="K1897" i="1"/>
  <c r="AE1975" i="1"/>
  <c r="AE1983" i="1"/>
  <c r="AE1991" i="1"/>
  <c r="K1991" i="1"/>
  <c r="C8" i="2"/>
  <c r="K1425" i="1"/>
  <c r="AE1461" i="1"/>
  <c r="K1461" i="1"/>
  <c r="K1473" i="1"/>
  <c r="AE1544" i="1"/>
  <c r="AE1576" i="1"/>
  <c r="AE1580" i="1"/>
  <c r="AE1691" i="1"/>
  <c r="K1691" i="1"/>
  <c r="AE1705" i="1"/>
  <c r="K1705" i="1"/>
  <c r="AE1800" i="1"/>
  <c r="AE1904" i="1"/>
  <c r="AE1910" i="1"/>
  <c r="AE1998" i="1"/>
  <c r="K1427" i="1"/>
  <c r="AE1442" i="1"/>
  <c r="AE1467" i="1"/>
  <c r="K1477" i="1"/>
  <c r="K1483" i="1"/>
  <c r="AE1518" i="1"/>
  <c r="K1518" i="1"/>
  <c r="K1536" i="1"/>
  <c r="AE1570" i="1"/>
  <c r="K1582" i="1"/>
  <c r="AE1608" i="1"/>
  <c r="AE1624" i="1"/>
  <c r="AE1626" i="1"/>
  <c r="K1663" i="1"/>
  <c r="K1665" i="1"/>
  <c r="K1730" i="1"/>
  <c r="AE1740" i="1"/>
  <c r="K1740" i="1"/>
  <c r="AE1893" i="1"/>
  <c r="K1893" i="1"/>
  <c r="AE1908" i="1"/>
  <c r="K1942" i="1"/>
  <c r="K1973" i="1"/>
  <c r="K2000" i="1"/>
  <c r="F26" i="2"/>
  <c r="AE1504" i="1"/>
  <c r="AE1541" i="1"/>
  <c r="AE1552" i="1"/>
  <c r="AE1643" i="1"/>
  <c r="AE1660" i="1"/>
  <c r="AE1790" i="1"/>
  <c r="AE1807" i="1"/>
  <c r="B30" i="2"/>
  <c r="AE1567" i="1"/>
  <c r="AE1604" i="1"/>
  <c r="AE1728" i="1"/>
  <c r="AE1775" i="1"/>
  <c r="AE1777" i="1"/>
  <c r="AE1824" i="1"/>
  <c r="AE1898" i="1"/>
  <c r="AE1921" i="1"/>
  <c r="AE1923" i="1"/>
  <c r="AE1996" i="1"/>
  <c r="AE1503" i="1"/>
  <c r="K1525" i="1"/>
  <c r="K1562" i="1"/>
  <c r="K1573" i="1"/>
  <c r="AE1601" i="1"/>
  <c r="K1623" i="1"/>
  <c r="AE1642" i="1"/>
  <c r="AE1644" i="1"/>
  <c r="K1719" i="1"/>
  <c r="AE1742" i="1"/>
  <c r="K1768" i="1"/>
  <c r="K1770" i="1"/>
  <c r="AE1838" i="1"/>
  <c r="AE1895" i="1"/>
  <c r="AE1943" i="1"/>
  <c r="AE1945" i="1"/>
  <c r="AE1993" i="1"/>
  <c r="AE1520" i="1"/>
  <c r="AE1618" i="1"/>
  <c r="AE1712" i="1"/>
  <c r="AE1761" i="1"/>
  <c r="AE1763" i="1"/>
  <c r="AE1810" i="1"/>
  <c r="AE1901" i="1"/>
  <c r="AE1903" i="1"/>
  <c r="AE1949" i="1"/>
  <c r="AE1951" i="1"/>
  <c r="AE1999" i="1"/>
  <c r="AE2001" i="1"/>
  <c r="F27" i="2"/>
  <c r="D34" i="2"/>
  <c r="K1616" i="1"/>
  <c r="K1629" i="1"/>
  <c r="K1646" i="1"/>
  <c r="K1678" i="1"/>
  <c r="K1727" i="1"/>
  <c r="K1744" i="1"/>
  <c r="K1793" i="1"/>
  <c r="K1825" i="1"/>
  <c r="K1842" i="1"/>
  <c r="K1874" i="1"/>
  <c r="K1922" i="1"/>
  <c r="K1924" i="1"/>
  <c r="K1947" i="1"/>
  <c r="AE1737" i="1"/>
  <c r="AE1786" i="1"/>
  <c r="AE1818" i="1"/>
  <c r="AE1886" i="1"/>
  <c r="AE1888" i="1"/>
  <c r="AE1984" i="1"/>
  <c r="AE1986" i="1"/>
  <c r="F25" i="2"/>
  <c r="E19" i="2" l="1"/>
  <c r="F30" i="2"/>
  <c r="E12" i="2"/>
  <c r="E18" i="2"/>
  <c r="E14" i="2"/>
  <c r="E7" i="2"/>
  <c r="E20" i="2"/>
  <c r="E21" i="2"/>
  <c r="E6" i="2"/>
  <c r="E13" i="2"/>
  <c r="E8" i="2" l="1"/>
</calcChain>
</file>

<file path=xl/sharedStrings.xml><?xml version="1.0" encoding="utf-8"?>
<sst xmlns="http://schemas.openxmlformats.org/spreadsheetml/2006/main" count="44351" uniqueCount="8108">
  <si>
    <t>Customer ID</t>
  </si>
  <si>
    <t>Customer name</t>
  </si>
  <si>
    <t>Mobile no.</t>
  </si>
  <si>
    <t>POS (₹)</t>
  </si>
  <si>
    <t>Loan type</t>
  </si>
  <si>
    <t>Payment scheme</t>
  </si>
  <si>
    <t>Bullet: months of interest due</t>
  </si>
  <si>
    <t>Bullet: months bot should try to collect</t>
  </si>
  <si>
    <t>Monthly: months of interest unpaid</t>
  </si>
  <si>
    <t>Monthly: months to NPA</t>
  </si>
  <si>
    <t>Due amount (₹)</t>
  </si>
  <si>
    <t>Due since</t>
  </si>
  <si>
    <t>Risk tier</t>
  </si>
  <si>
    <t>Suggested channel</t>
  </si>
  <si>
    <t>Channel rationale</t>
  </si>
  <si>
    <t>Fallback channel</t>
  </si>
  <si>
    <t>Treatment segment</t>
  </si>
  <si>
    <t>Suggested bot play</t>
  </si>
  <si>
    <t>Preferred language</t>
  </si>
  <si>
    <t>WhatsApp opt-in (Y/N)</t>
  </si>
  <si>
    <t>Preferred call window</t>
  </si>
  <si>
    <t>State</t>
  </si>
  <si>
    <t>City</t>
  </si>
  <si>
    <t>Branch</t>
  </si>
  <si>
    <t>Loan account no.</t>
  </si>
  <si>
    <t>Loan start date</t>
  </si>
  <si>
    <t>Tenure (months)</t>
  </si>
  <si>
    <t>Maturity date</t>
  </si>
  <si>
    <t>Interest rate (% p.a.)</t>
  </si>
  <si>
    <t>Monthly interest (₹)</t>
  </si>
  <si>
    <t>Bot ask amount (₹)</t>
  </si>
  <si>
    <t>Days past due</t>
  </si>
  <si>
    <t>Last interest payment date</t>
  </si>
  <si>
    <t>Days since last payment</t>
  </si>
  <si>
    <t>eNACH registered</t>
  </si>
  <si>
    <t>Missed interest payments, last 6M</t>
  </si>
  <si>
    <t>Broken promises-to-pay, last 3M</t>
  </si>
  <si>
    <t>Bureau score</t>
  </si>
  <si>
    <t>Off-us active loans (#)</t>
  </si>
  <si>
    <t>Off-us delinquency (Y/N)</t>
  </si>
  <si>
    <t>LTV (%)</t>
  </si>
  <si>
    <t>Risk score (0-100)</t>
  </si>
  <si>
    <t>Last contact date</t>
  </si>
  <si>
    <t>Last contact channel</t>
  </si>
  <si>
    <t>Last contact outcome</t>
  </si>
  <si>
    <t>MFLC1000001</t>
  </si>
  <si>
    <t>Shalini Joseph</t>
  </si>
  <si>
    <t>9797186021</t>
  </si>
  <si>
    <t>Gold loan</t>
  </si>
  <si>
    <t>Monthly interest</t>
  </si>
  <si>
    <t>Low</t>
  </si>
  <si>
    <t>WhatsApp reminder</t>
  </si>
  <si>
    <t>Slipped regular payer: gentle digital nudge</t>
  </si>
  <si>
    <t>Voice bot</t>
  </si>
  <si>
    <t>A - Regular monthly payer</t>
  </si>
  <si>
    <t>Gentle reminder + eNACH nudge</t>
  </si>
  <si>
    <t>Malayalam</t>
  </si>
  <si>
    <t>Y</t>
  </si>
  <si>
    <t>Afternoon (12-4pm)</t>
  </si>
  <si>
    <t>Kerala</t>
  </si>
  <si>
    <t>Kochi</t>
  </si>
  <si>
    <t>Kochi - Town Hall</t>
  </si>
  <si>
    <t>GL9792667156</t>
  </si>
  <si>
    <t>N</t>
  </si>
  <si>
    <t>Promised to pay</t>
  </si>
  <si>
    <t>MFLC1000002</t>
  </si>
  <si>
    <t>Vasanthi Subramanian</t>
  </si>
  <si>
    <t>7754456117</t>
  </si>
  <si>
    <t>Bullet</t>
  </si>
  <si>
    <t>Medium</t>
  </si>
  <si>
    <t>Call center</t>
  </si>
  <si>
    <t>Early-stage delinquency: matched to risk and ticket size</t>
  </si>
  <si>
    <t>Field visit</t>
  </si>
  <si>
    <t>E - Other early delinquent</t>
  </si>
  <si>
    <t>Reminder + payment link</t>
  </si>
  <si>
    <t>Tamil</t>
  </si>
  <si>
    <t>Tamil Nadu</t>
  </si>
  <si>
    <t>Tiruchirappalli</t>
  </si>
  <si>
    <t>Tiruchirappalli - MG Road</t>
  </si>
  <si>
    <t>GL9546033474</t>
  </si>
  <si>
    <t>NA</t>
  </si>
  <si>
    <t>No response</t>
  </si>
  <si>
    <t>MFLC1000003</t>
  </si>
  <si>
    <t>Seema Verma</t>
  </si>
  <si>
    <t>6902921604</t>
  </si>
  <si>
    <t>Hindi</t>
  </si>
  <si>
    <t>Evening (4-8pm)</t>
  </si>
  <si>
    <t>Rajasthan</t>
  </si>
  <si>
    <t>Kota</t>
  </si>
  <si>
    <t>Kota - Industrial Estate</t>
  </si>
  <si>
    <t>GL0030869456</t>
  </si>
  <si>
    <t>Not reachable</t>
  </si>
  <si>
    <t>MFLC1000004</t>
  </si>
  <si>
    <t>Pankaj Saxena</t>
  </si>
  <si>
    <t>9381423040</t>
  </si>
  <si>
    <t>No WhatsApp opt-in: routed to voice bot</t>
  </si>
  <si>
    <t>Uttar Pradesh</t>
  </si>
  <si>
    <t>Lucknow</t>
  </si>
  <si>
    <t>Lucknow - MG Road</t>
  </si>
  <si>
    <t>GL9542959698</t>
  </si>
  <si>
    <t>MFLC1000005</t>
  </si>
  <si>
    <t>Anitha Krishnan</t>
  </si>
  <si>
    <t>7720933052</t>
  </si>
  <si>
    <t>Escalated: no response on whatsapp reminder</t>
  </si>
  <si>
    <t>Morning (9am-12pm)</t>
  </si>
  <si>
    <t>Madurai</t>
  </si>
  <si>
    <t>Madurai - Industrial Estate</t>
  </si>
  <si>
    <t>GL2661127241</t>
  </si>
  <si>
    <t>MFLC1000006</t>
  </si>
  <si>
    <t>Mani Raman</t>
  </si>
  <si>
    <t>8986476026</t>
  </si>
  <si>
    <t>Madurai - Gandhi Nagar</t>
  </si>
  <si>
    <t>GL4351950475</t>
  </si>
  <si>
    <t>MFLC1000007</t>
  </si>
  <si>
    <t>Manoj Philip</t>
  </si>
  <si>
    <t>7146416958</t>
  </si>
  <si>
    <t>High</t>
  </si>
  <si>
    <t>Bot + call center</t>
  </si>
  <si>
    <t>Bouncing EII, high risk and high POS: bot first, call center for non-responders</t>
  </si>
  <si>
    <t>D - Bouncing EII</t>
  </si>
  <si>
    <t>Reminder + part-payment negotiation, call center follow-up</t>
  </si>
  <si>
    <t>Kochi - Station Road</t>
  </si>
  <si>
    <t>GL4435519153</t>
  </si>
  <si>
    <t>MFLC1000008</t>
  </si>
  <si>
    <t>Biju Warrier</t>
  </si>
  <si>
    <t>8709494509</t>
  </si>
  <si>
    <t>Kottayam</t>
  </si>
  <si>
    <t>Kottayam - Station Road</t>
  </si>
  <si>
    <t>GL8524472682</t>
  </si>
  <si>
    <t>MFLC1000009</t>
  </si>
  <si>
    <t>Sunita Verma</t>
  </si>
  <si>
    <t>7255797438</t>
  </si>
  <si>
    <t>Escalated: not reachable on whatsapp reminder</t>
  </si>
  <si>
    <t>Madhya Pradesh</t>
  </si>
  <si>
    <t>Bhopal</t>
  </si>
  <si>
    <t>Bhopal - Gandhi Nagar</t>
  </si>
  <si>
    <t>GL0754123055</t>
  </si>
  <si>
    <t>MFLC1000010</t>
  </si>
  <si>
    <t>Dinesh Rajan</t>
  </si>
  <si>
    <t>8788948999</t>
  </si>
  <si>
    <t>Erode</t>
  </si>
  <si>
    <t>Erode - Temple Street</t>
  </si>
  <si>
    <t>GL3949811627</t>
  </si>
  <si>
    <t>MFLC1000011</t>
  </si>
  <si>
    <t>Vignesh Pandian</t>
  </si>
  <si>
    <t>8309834299</t>
  </si>
  <si>
    <t>Salem</t>
  </si>
  <si>
    <t>Salem - Civil Lines</t>
  </si>
  <si>
    <t>GL1282382861</t>
  </si>
  <si>
    <t>MFLC1000012</t>
  </si>
  <si>
    <t>Binu Kumar</t>
  </si>
  <si>
    <t>9082381936</t>
  </si>
  <si>
    <t>Small ticket: bot-only, human cost not justified</t>
  </si>
  <si>
    <t>None - bot retry cadence</t>
  </si>
  <si>
    <t>B - Small-ticket</t>
  </si>
  <si>
    <t>Standard reminder (no human follow-up)</t>
  </si>
  <si>
    <t>Kannur</t>
  </si>
  <si>
    <t>Kannur - MG Road</t>
  </si>
  <si>
    <t>GL4330979590</t>
  </si>
  <si>
    <t>No prior contact</t>
  </si>
  <si>
    <t>MFLC1000013</t>
  </si>
  <si>
    <t>Revathi Chandran</t>
  </si>
  <si>
    <t>8872810772</t>
  </si>
  <si>
    <t>Madurai - Bus Stand</t>
  </si>
  <si>
    <t>GL9606392082</t>
  </si>
  <si>
    <t>MFLC1000014</t>
  </si>
  <si>
    <t>Amit Yadav</t>
  </si>
  <si>
    <t>8119480099</t>
  </si>
  <si>
    <t>Accrued bullet: bot negotiates minimum amount due</t>
  </si>
  <si>
    <t>C - Accrued bullet</t>
  </si>
  <si>
    <t>Negotiate minimum amount due</t>
  </si>
  <si>
    <t>Noida</t>
  </si>
  <si>
    <t>Noida - Civil Lines</t>
  </si>
  <si>
    <t>GL0246801055</t>
  </si>
  <si>
    <t>MFLC1000015</t>
  </si>
  <si>
    <t>Manoj Yadav</t>
  </si>
  <si>
    <t>9796435955</t>
  </si>
  <si>
    <t>Delhi</t>
  </si>
  <si>
    <t>New Delhi</t>
  </si>
  <si>
    <t>New Delhi - MG Road</t>
  </si>
  <si>
    <t>GL1478969052</t>
  </si>
  <si>
    <t>Part payment made</t>
  </si>
  <si>
    <t>MFLC1000016</t>
  </si>
  <si>
    <t>Bhavani Raju</t>
  </si>
  <si>
    <t>9080104980</t>
  </si>
  <si>
    <t>Telugu</t>
  </si>
  <si>
    <t>Telangana</t>
  </si>
  <si>
    <t>Hyderabad</t>
  </si>
  <si>
    <t>Hyderabad - Nehru Nagar</t>
  </si>
  <si>
    <t>GL6982532854</t>
  </si>
  <si>
    <t>Needs more time</t>
  </si>
  <si>
    <t>MFLC1000017</t>
  </si>
  <si>
    <t>Divya Nair</t>
  </si>
  <si>
    <t>7558224304</t>
  </si>
  <si>
    <t>Kollam</t>
  </si>
  <si>
    <t>Kollam - Civil Lines</t>
  </si>
  <si>
    <t>GL9539029181</t>
  </si>
  <si>
    <t>MFLC1000018</t>
  </si>
  <si>
    <t>Sravani Yadav</t>
  </si>
  <si>
    <t>9068783467</t>
  </si>
  <si>
    <t>Andhra Pradesh</t>
  </si>
  <si>
    <t>Tirupati</t>
  </si>
  <si>
    <t>Tirupati - Market Road</t>
  </si>
  <si>
    <t>GL3712670973</t>
  </si>
  <si>
    <t>MFLC1000019</t>
  </si>
  <si>
    <t>Amit Tiwari</t>
  </si>
  <si>
    <t>8559229999</t>
  </si>
  <si>
    <t>High risk: bot first, call center follows up</t>
  </si>
  <si>
    <t>Rohini</t>
  </si>
  <si>
    <t>Rohini - Gandhi Nagar</t>
  </si>
  <si>
    <t>GL0918654665</t>
  </si>
  <si>
    <t>MFLC1000020</t>
  </si>
  <si>
    <t>Manjula Kumar</t>
  </si>
  <si>
    <t>9046649004</t>
  </si>
  <si>
    <t>Kannada</t>
  </si>
  <si>
    <t>Karnataka</t>
  </si>
  <si>
    <t>Davanagere</t>
  </si>
  <si>
    <t>Davanagere - Temple Street</t>
  </si>
  <si>
    <t>GL6476427482</t>
  </si>
  <si>
    <t>MFLC1000021</t>
  </si>
  <si>
    <t>Geeta Kumar</t>
  </si>
  <si>
    <t>9193917782</t>
  </si>
  <si>
    <t>New Delhi - Town Hall</t>
  </si>
  <si>
    <t>GL9470625750</t>
  </si>
  <si>
    <t>MFLC1000022</t>
  </si>
  <si>
    <t>Sreejith Joseph</t>
  </si>
  <si>
    <t>9719256659</t>
  </si>
  <si>
    <t>Kollam - Temple Street</t>
  </si>
  <si>
    <t>GL6502495025</t>
  </si>
  <si>
    <t>MFLC1000023</t>
  </si>
  <si>
    <t>Basavaraj Gowda</t>
  </si>
  <si>
    <t>9332822706</t>
  </si>
  <si>
    <t>Belagavi</t>
  </si>
  <si>
    <t>Belagavi - Nehru Nagar</t>
  </si>
  <si>
    <t>GL4783217487</t>
  </si>
  <si>
    <t>MFLC1000024</t>
  </si>
  <si>
    <t>8993723080</t>
  </si>
  <si>
    <t>Erode - Nehru Nagar</t>
  </si>
  <si>
    <t>GL8810965675</t>
  </si>
  <si>
    <t>MFLC1000025</t>
  </si>
  <si>
    <t>Kiran Reddy</t>
  </si>
  <si>
    <t>7951786467</t>
  </si>
  <si>
    <t>Mysuru</t>
  </si>
  <si>
    <t>Mysuru - Church Road</t>
  </si>
  <si>
    <t>GL0058500675</t>
  </si>
  <si>
    <t>MFLC1000026</t>
  </si>
  <si>
    <t>Mathew Ibrahim</t>
  </si>
  <si>
    <t>9341626753</t>
  </si>
  <si>
    <t>Kollam - Market Road</t>
  </si>
  <si>
    <t>GL6462712855</t>
  </si>
  <si>
    <t>MFLC1000027</t>
  </si>
  <si>
    <t>Sunita Yadav</t>
  </si>
  <si>
    <t>8719932145</t>
  </si>
  <si>
    <t>English</t>
  </si>
  <si>
    <t>Jaipur</t>
  </si>
  <si>
    <t>Jaipur - Church Road</t>
  </si>
  <si>
    <t>GL1936564806</t>
  </si>
  <si>
    <t>MFLC1000028</t>
  </si>
  <si>
    <t>Kumar Subramanian</t>
  </si>
  <si>
    <t>9681029771</t>
  </si>
  <si>
    <t>Tiruchirappalli - Industrial Estate</t>
  </si>
  <si>
    <t>GL9939265329</t>
  </si>
  <si>
    <t>MFLC1000029</t>
  </si>
  <si>
    <t>Deepak Saxena</t>
  </si>
  <si>
    <t>9089541812</t>
  </si>
  <si>
    <t>Agra</t>
  </si>
  <si>
    <t>Agra - Bus Stand</t>
  </si>
  <si>
    <t>GL4552223620</t>
  </si>
  <si>
    <t>MFLC1000030</t>
  </si>
  <si>
    <t>Rajesh Singh</t>
  </si>
  <si>
    <t>8553565681</t>
  </si>
  <si>
    <t>Escalated: customer refused/disputed, needs a human</t>
  </si>
  <si>
    <t>Agra - Nehru Nagar</t>
  </si>
  <si>
    <t>GL1478481668</t>
  </si>
  <si>
    <t>Refused / disputed</t>
  </si>
  <si>
    <t>MFLC1000031</t>
  </si>
  <si>
    <t>Manjunath Swamy</t>
  </si>
  <si>
    <t>8361072923</t>
  </si>
  <si>
    <t>Mangaluru</t>
  </si>
  <si>
    <t>Mangaluru - Market Road</t>
  </si>
  <si>
    <t>GL7322714338</t>
  </si>
  <si>
    <t>MFLC1000032</t>
  </si>
  <si>
    <t>Vidya Kumar</t>
  </si>
  <si>
    <t>7982704459</t>
  </si>
  <si>
    <t>Bengaluru</t>
  </si>
  <si>
    <t>Bengaluru - Civil Lines</t>
  </si>
  <si>
    <t>GL6684780985</t>
  </si>
  <si>
    <t>MFLC1000033</t>
  </si>
  <si>
    <t>Venkatesh Setty</t>
  </si>
  <si>
    <t>8053611000</t>
  </si>
  <si>
    <t>Hyderabad - Church Road</t>
  </si>
  <si>
    <t>GL3169938950</t>
  </si>
  <si>
    <t>MFLC1000034</t>
  </si>
  <si>
    <t>Fathima Varghese</t>
  </si>
  <si>
    <t>7809424699</t>
  </si>
  <si>
    <t>Escalated: not reachable on voice bot</t>
  </si>
  <si>
    <t>GL6920690877</t>
  </si>
  <si>
    <t>MFLC1000035</t>
  </si>
  <si>
    <t>Faisal Panicker</t>
  </si>
  <si>
    <t>7276352551</t>
  </si>
  <si>
    <t>Kozhikode</t>
  </si>
  <si>
    <t>Kozhikode - Temple Street</t>
  </si>
  <si>
    <t>GL1841547189</t>
  </si>
  <si>
    <t>MFLC1000036</t>
  </si>
  <si>
    <t>Saranya Sundaram</t>
  </si>
  <si>
    <t>8183376000</t>
  </si>
  <si>
    <t>Coimbatore</t>
  </si>
  <si>
    <t>Coimbatore - Gandhi Nagar</t>
  </si>
  <si>
    <t>GL1443957122</t>
  </si>
  <si>
    <t>MFLC1000037</t>
  </si>
  <si>
    <t>Rakesh Rathore</t>
  </si>
  <si>
    <t>9996999531</t>
  </si>
  <si>
    <t>Rohini - Town Hall</t>
  </si>
  <si>
    <t>GL1696318091</t>
  </si>
  <si>
    <t>MFLC1000038</t>
  </si>
  <si>
    <t>Ramesh Yadav</t>
  </si>
  <si>
    <t>9755530823</t>
  </si>
  <si>
    <t>Indore</t>
  </si>
  <si>
    <t>Indore - Temple Street</t>
  </si>
  <si>
    <t>GL2604364267</t>
  </si>
  <si>
    <t>MFLC1000039</t>
  </si>
  <si>
    <t>Remya Warrier</t>
  </si>
  <si>
    <t>9992563338</t>
  </si>
  <si>
    <t>Alappuzha</t>
  </si>
  <si>
    <t>Alappuzha - Temple Street</t>
  </si>
  <si>
    <t>GL0657724044</t>
  </si>
  <si>
    <t>MFLC1000040</t>
  </si>
  <si>
    <t>Naresh Kumar</t>
  </si>
  <si>
    <t>9209450820</t>
  </si>
  <si>
    <t>Nizamabad</t>
  </si>
  <si>
    <t>Nizamabad - Nehru Nagar</t>
  </si>
  <si>
    <t>GL2146312185</t>
  </si>
  <si>
    <t>MFLC1000041</t>
  </si>
  <si>
    <t>Rani Mathew</t>
  </si>
  <si>
    <t>7304140490</t>
  </si>
  <si>
    <t>Kochi - Market Road</t>
  </si>
  <si>
    <t>GL6561975192</t>
  </si>
  <si>
    <t>MFLC1000042</t>
  </si>
  <si>
    <t>Thomas Joseph</t>
  </si>
  <si>
    <t>7416524098</t>
  </si>
  <si>
    <t>Alappuzha - Industrial Estate</t>
  </si>
  <si>
    <t>GL8382014509</t>
  </si>
  <si>
    <t>MFLC1000043</t>
  </si>
  <si>
    <t>Sunita Jain</t>
  </si>
  <si>
    <t>7660992824</t>
  </si>
  <si>
    <t>Dwarka</t>
  </si>
  <si>
    <t>Dwarka - Gandhi Nagar</t>
  </si>
  <si>
    <t>GL1272222340</t>
  </si>
  <si>
    <t>MFLC1000044</t>
  </si>
  <si>
    <t>Geetha Swamy</t>
  </si>
  <si>
    <t>7307426548</t>
  </si>
  <si>
    <t>Davanagere - Gandhi Nagar</t>
  </si>
  <si>
    <t>GL8931424293</t>
  </si>
  <si>
    <t>MFLC1000045</t>
  </si>
  <si>
    <t>Vikas Jain</t>
  </si>
  <si>
    <t>9320437296</t>
  </si>
  <si>
    <t>Bhopal - Industrial Estate</t>
  </si>
  <si>
    <t>GL7696987901</t>
  </si>
  <si>
    <t>MFLC1000046</t>
  </si>
  <si>
    <t>Ajay Kumar</t>
  </si>
  <si>
    <t>9628749563</t>
  </si>
  <si>
    <t>Jodhpur</t>
  </si>
  <si>
    <t>Jodhpur - Church Road</t>
  </si>
  <si>
    <t>GL3994023691</t>
  </si>
  <si>
    <t>MFLC1000047</t>
  </si>
  <si>
    <t>Harish Shankar</t>
  </si>
  <si>
    <t>9651421119</t>
  </si>
  <si>
    <t>GL8222256885</t>
  </si>
  <si>
    <t>MFLC1000048</t>
  </si>
  <si>
    <t>Mani Ravi</t>
  </si>
  <si>
    <t>7611344919</t>
  </si>
  <si>
    <t>Coimbatore - Bus Stand</t>
  </si>
  <si>
    <t>GL1878369358</t>
  </si>
  <si>
    <t>MFLC1000049</t>
  </si>
  <si>
    <t>Radha Varma</t>
  </si>
  <si>
    <t>9500833661</t>
  </si>
  <si>
    <t>Warangal</t>
  </si>
  <si>
    <t>Warangal - Gandhi Nagar</t>
  </si>
  <si>
    <t>GL5242673346</t>
  </si>
  <si>
    <t>MFLC1000050</t>
  </si>
  <si>
    <t>Ganesh Subramanian</t>
  </si>
  <si>
    <t>8285000513</t>
  </si>
  <si>
    <t>Tirunelveli</t>
  </si>
  <si>
    <t>Tirunelveli - Bus Stand</t>
  </si>
  <si>
    <t>GL9243172716</t>
  </si>
  <si>
    <t>MFLC1000051</t>
  </si>
  <si>
    <t>Kavita Kumar</t>
  </si>
  <si>
    <t>9712959036</t>
  </si>
  <si>
    <t>Dwarka - Civil Lines</t>
  </si>
  <si>
    <t>GL4847582713</t>
  </si>
  <si>
    <t>MFLC1000052</t>
  </si>
  <si>
    <t>Karthik Rajan</t>
  </si>
  <si>
    <t>7012444841</t>
  </si>
  <si>
    <t>Erode - Main Road</t>
  </si>
  <si>
    <t>GL5930363560</t>
  </si>
  <si>
    <t>MFLC1000053</t>
  </si>
  <si>
    <t>Harish Kumar</t>
  </si>
  <si>
    <t>8132759271</t>
  </si>
  <si>
    <t>Bengaluru - Main Road</t>
  </si>
  <si>
    <t>GL0688440029</t>
  </si>
  <si>
    <t>MFLC1000054</t>
  </si>
  <si>
    <t>Anil Rathore</t>
  </si>
  <si>
    <t>9861961563</t>
  </si>
  <si>
    <t>Lucknow - Market Road</t>
  </si>
  <si>
    <t>GL7834564504</t>
  </si>
  <si>
    <t>MFLC1000055</t>
  </si>
  <si>
    <t>Mary Joseph</t>
  </si>
  <si>
    <t>9950344032</t>
  </si>
  <si>
    <t>Kochi - Nehru Nagar</t>
  </si>
  <si>
    <t>GL4376664313</t>
  </si>
  <si>
    <t>MFLC1000056</t>
  </si>
  <si>
    <t>Kumar Raman</t>
  </si>
  <si>
    <t>9661871999</t>
  </si>
  <si>
    <t>Coimbatore - Civil Lines</t>
  </si>
  <si>
    <t>GL3958870179</t>
  </si>
  <si>
    <t>MFLC1000057</t>
  </si>
  <si>
    <t>Suresh Mathew</t>
  </si>
  <si>
    <t>9641832176</t>
  </si>
  <si>
    <t>Thiruvananthapuram</t>
  </si>
  <si>
    <t>Thiruvananthapuram - Industrial Estate</t>
  </si>
  <si>
    <t>GL1726451224</t>
  </si>
  <si>
    <t>MFLC1000058</t>
  </si>
  <si>
    <t>6550546958</t>
  </si>
  <si>
    <t>Kottayam - Town Hall</t>
  </si>
  <si>
    <t>GL8181115066</t>
  </si>
  <si>
    <t>MFLC1000059</t>
  </si>
  <si>
    <t>Suresh Chowdary</t>
  </si>
  <si>
    <t>8311017075</t>
  </si>
  <si>
    <t>Tirupati - Civil Lines</t>
  </si>
  <si>
    <t>GL9595876155</t>
  </si>
  <si>
    <t>MFLC1000060</t>
  </si>
  <si>
    <t>Anjaneyulu Murthy</t>
  </si>
  <si>
    <t>6383237912</t>
  </si>
  <si>
    <t>Visakhapatnam</t>
  </si>
  <si>
    <t>Visakhapatnam - Town Hall</t>
  </si>
  <si>
    <t>GL2328889478</t>
  </si>
  <si>
    <t>MFLC1000061</t>
  </si>
  <si>
    <t>Amit Chauhan</t>
  </si>
  <si>
    <t>9360321305</t>
  </si>
  <si>
    <t>Agra - Market Road</t>
  </si>
  <si>
    <t>GL8079199308</t>
  </si>
  <si>
    <t>MFLC1000062</t>
  </si>
  <si>
    <t>Murugan Chandran</t>
  </si>
  <si>
    <t>9323706394</t>
  </si>
  <si>
    <t>Vellore</t>
  </si>
  <si>
    <t>Vellore - Market Road</t>
  </si>
  <si>
    <t>GL9942428903</t>
  </si>
  <si>
    <t>MFLC1000063</t>
  </si>
  <si>
    <t>Smitha Pillai</t>
  </si>
  <si>
    <t>6000923612</t>
  </si>
  <si>
    <t>High risk (small ticket): bot first, call center follows up</t>
  </si>
  <si>
    <t>Kannur - Temple Street</t>
  </si>
  <si>
    <t>GL9992453020</t>
  </si>
  <si>
    <t>MFLC1000064</t>
  </si>
  <si>
    <t>Pankaj Pandey</t>
  </si>
  <si>
    <t>7349154224</t>
  </si>
  <si>
    <t>Dwarka - Town Hall</t>
  </si>
  <si>
    <t>GL0517117782</t>
  </si>
  <si>
    <t>MFLC1000065</t>
  </si>
  <si>
    <t>Lakshmi Babu</t>
  </si>
  <si>
    <t>9442396523</t>
  </si>
  <si>
    <t>High-risk accrued bullet: bot negotiates, call center follows up</t>
  </si>
  <si>
    <t>Hyderabad - Temple Street</t>
  </si>
  <si>
    <t>GL3734827283</t>
  </si>
  <si>
    <t>MFLC1000066</t>
  </si>
  <si>
    <t>Suresh Menon</t>
  </si>
  <si>
    <t>9501127166</t>
  </si>
  <si>
    <t>Thrissur</t>
  </si>
  <si>
    <t>Thrissur - Main Road</t>
  </si>
  <si>
    <t>GL8691946355</t>
  </si>
  <si>
    <t>MFLC1000067</t>
  </si>
  <si>
    <t>Pooja Chauhan</t>
  </si>
  <si>
    <t>9033150301</t>
  </si>
  <si>
    <t>GL2848821367</t>
  </si>
  <si>
    <t>MFLC1000068</t>
  </si>
  <si>
    <t>Geetha Acharya</t>
  </si>
  <si>
    <t>9876530849</t>
  </si>
  <si>
    <t>GL9384479582</t>
  </si>
  <si>
    <t>MFLC1000069</t>
  </si>
  <si>
    <t>Kavitha Varma</t>
  </si>
  <si>
    <t>8121471764</t>
  </si>
  <si>
    <t>Hyderabad - Main Road</t>
  </si>
  <si>
    <t>GL8204061195</t>
  </si>
  <si>
    <t>MFLC1000070</t>
  </si>
  <si>
    <t>Ganesh Ravi</t>
  </si>
  <si>
    <t>9319874356</t>
  </si>
  <si>
    <t>GL2773852144</t>
  </si>
  <si>
    <t>MFLC1000071</t>
  </si>
  <si>
    <t>Lakshmi Bhat</t>
  </si>
  <si>
    <t>7298795114</t>
  </si>
  <si>
    <t>Mangaluru - Church Road</t>
  </si>
  <si>
    <t>GL4412934766</t>
  </si>
  <si>
    <t>MFLC1000072</t>
  </si>
  <si>
    <t>Madhavi Setty</t>
  </si>
  <si>
    <t>7615454252</t>
  </si>
  <si>
    <t>Warangal - MG Road</t>
  </si>
  <si>
    <t>GL0740703937</t>
  </si>
  <si>
    <t>MFLC1000073</t>
  </si>
  <si>
    <t>Anjaneyulu Reddy</t>
  </si>
  <si>
    <t>8713012914</t>
  </si>
  <si>
    <t>Nellore</t>
  </si>
  <si>
    <t>Nellore - Civil Lines</t>
  </si>
  <si>
    <t>GL6180226851</t>
  </si>
  <si>
    <t>MFLC1000074</t>
  </si>
  <si>
    <t>Remya Thomas</t>
  </si>
  <si>
    <t>9313610414</t>
  </si>
  <si>
    <t>Kannur - Bus Stand</t>
  </si>
  <si>
    <t>GL7522943381</t>
  </si>
  <si>
    <t>MFLC1000075</t>
  </si>
  <si>
    <t>Santhosh Kumar</t>
  </si>
  <si>
    <t>7362424264</t>
  </si>
  <si>
    <t>Kozhikode - MG Road</t>
  </si>
  <si>
    <t>GL4563975560</t>
  </si>
  <si>
    <t>MFLC1000076</t>
  </si>
  <si>
    <t>Venkatesh Hegde</t>
  </si>
  <si>
    <t>8660537058</t>
  </si>
  <si>
    <t>Mangaluru - Station Road</t>
  </si>
  <si>
    <t>GL9786950624</t>
  </si>
  <si>
    <t>MFLC1000077</t>
  </si>
  <si>
    <t>Anil Kumar</t>
  </si>
  <si>
    <t>9580843756</t>
  </si>
  <si>
    <t>Kollam - Nehru Nagar</t>
  </si>
  <si>
    <t>GL5332843181</t>
  </si>
  <si>
    <t>MFLC1000078</t>
  </si>
  <si>
    <t>Latha Menon</t>
  </si>
  <si>
    <t>7340848261</t>
  </si>
  <si>
    <t>Kollam - MG Road</t>
  </si>
  <si>
    <t>GL0244932708</t>
  </si>
  <si>
    <t>MFLC1000079</t>
  </si>
  <si>
    <t>Savitha Reddy</t>
  </si>
  <si>
    <t>9750837848</t>
  </si>
  <si>
    <t>Escalated: no response on voice bot</t>
  </si>
  <si>
    <t>Belagavi - Temple Street</t>
  </si>
  <si>
    <t>GL3318373315</t>
  </si>
  <si>
    <t>MFLC1000080</t>
  </si>
  <si>
    <t>Swathi Sastry</t>
  </si>
  <si>
    <t>7437915161</t>
  </si>
  <si>
    <t>Nizamabad - Gandhi Nagar</t>
  </si>
  <si>
    <t>GL3962243991</t>
  </si>
  <si>
    <t>MFLC1000081</t>
  </si>
  <si>
    <t>Manjula Reddy</t>
  </si>
  <si>
    <t>6780234303</t>
  </si>
  <si>
    <t>Belagavi - Town Hall</t>
  </si>
  <si>
    <t>GL8436727313</t>
  </si>
  <si>
    <t>MFLC1000082</t>
  </si>
  <si>
    <t>Prakash Murugan</t>
  </si>
  <si>
    <t>9403000076</t>
  </si>
  <si>
    <t>Chennai</t>
  </si>
  <si>
    <t>Chennai - Industrial Estate</t>
  </si>
  <si>
    <t>GL3718766907</t>
  </si>
  <si>
    <t>MFLC1000083</t>
  </si>
  <si>
    <t>Rekha Jain</t>
  </si>
  <si>
    <t>9789604342</t>
  </si>
  <si>
    <t>Haryana</t>
  </si>
  <si>
    <t>Gurugram</t>
  </si>
  <si>
    <t>Gurugram - Civil Lines</t>
  </si>
  <si>
    <t>GL3625376998</t>
  </si>
  <si>
    <t>MFLC1000084</t>
  </si>
  <si>
    <t>Ramesh Naidu</t>
  </si>
  <si>
    <t>9872126721</t>
  </si>
  <si>
    <t>Nellore - Town Hall</t>
  </si>
  <si>
    <t>GL5648174324</t>
  </si>
  <si>
    <t>MFLC1000085</t>
  </si>
  <si>
    <t>Lakshmi Venkatesh</t>
  </si>
  <si>
    <t>8256872534</t>
  </si>
  <si>
    <t>Madurai - Nehru Nagar</t>
  </si>
  <si>
    <t>GL7442493108</t>
  </si>
  <si>
    <t>MFLC1000086</t>
  </si>
  <si>
    <t>Mahesh Naidu</t>
  </si>
  <si>
    <t>9455031227</t>
  </si>
  <si>
    <t>Nellore - Church Road</t>
  </si>
  <si>
    <t>GL1129485527</t>
  </si>
  <si>
    <t>MFLC1000087</t>
  </si>
  <si>
    <t>Kumar Venkatesh</t>
  </si>
  <si>
    <t>7268855332</t>
  </si>
  <si>
    <t>Tirunelveli - Nehru Nagar</t>
  </si>
  <si>
    <t>GL0653553439</t>
  </si>
  <si>
    <t>MFLC1000088</t>
  </si>
  <si>
    <t>Rani Joseph</t>
  </si>
  <si>
    <t>9663078277</t>
  </si>
  <si>
    <t>Kollam - Bus Stand</t>
  </si>
  <si>
    <t>GL6433909360</t>
  </si>
  <si>
    <t>MFLC1000089</t>
  </si>
  <si>
    <t>Devi Kannan</t>
  </si>
  <si>
    <t>9231850642</t>
  </si>
  <si>
    <t>Madurai - Town Hall</t>
  </si>
  <si>
    <t>GL9256440389</t>
  </si>
  <si>
    <t>MFLC1000090</t>
  </si>
  <si>
    <t>Sajeev George</t>
  </si>
  <si>
    <t>8718920131</t>
  </si>
  <si>
    <t>GL0106397512</t>
  </si>
  <si>
    <t>MFLC1000091</t>
  </si>
  <si>
    <t>Seema Kumar</t>
  </si>
  <si>
    <t>9893008300</t>
  </si>
  <si>
    <t>Gwalior</t>
  </si>
  <si>
    <t>Gwalior - Bus Stand</t>
  </si>
  <si>
    <t>GL7420967672</t>
  </si>
  <si>
    <t>MFLC1000092</t>
  </si>
  <si>
    <t>Venkatesh Shetty</t>
  </si>
  <si>
    <t>6001263611</t>
  </si>
  <si>
    <t>Hubballi</t>
  </si>
  <si>
    <t>Hubballi - Civil Lines</t>
  </si>
  <si>
    <t>GL6095694164</t>
  </si>
  <si>
    <t>MFLC1000093</t>
  </si>
  <si>
    <t>Anitha Varghese</t>
  </si>
  <si>
    <t>8419019238</t>
  </si>
  <si>
    <t>Kottayam - MG Road</t>
  </si>
  <si>
    <t>GL7412188851</t>
  </si>
  <si>
    <t>MFLC1000094</t>
  </si>
  <si>
    <t>Fathima Mohammed</t>
  </si>
  <si>
    <t>9654509322</t>
  </si>
  <si>
    <t>Alappuzha - Gandhi Nagar</t>
  </si>
  <si>
    <t>GL8545337980</t>
  </si>
  <si>
    <t>MFLC1000095</t>
  </si>
  <si>
    <t>Savitha Rao</t>
  </si>
  <si>
    <t>7529280327</t>
  </si>
  <si>
    <t>Mangaluru - Bus Stand</t>
  </si>
  <si>
    <t>GL2331405540</t>
  </si>
  <si>
    <t>MFLC1000096</t>
  </si>
  <si>
    <t>Kavitha Venkatesh</t>
  </si>
  <si>
    <t>8749064919</t>
  </si>
  <si>
    <t>Coimbatore - Church Road</t>
  </si>
  <si>
    <t>GL7642466325</t>
  </si>
  <si>
    <t>MFLC1000097</t>
  </si>
  <si>
    <t>Ravi Setty</t>
  </si>
  <si>
    <t>9429085620</t>
  </si>
  <si>
    <t>Nizamabad - Temple Street</t>
  </si>
  <si>
    <t>GL0416306917</t>
  </si>
  <si>
    <t>MFLC1000098</t>
  </si>
  <si>
    <t>Dinesh Raman</t>
  </si>
  <si>
    <t>9598690858</t>
  </si>
  <si>
    <t>Vellore - Church Road</t>
  </si>
  <si>
    <t>GL4096544248</t>
  </si>
  <si>
    <t>MFLC1000099</t>
  </si>
  <si>
    <t>Sanjay Mishra</t>
  </si>
  <si>
    <t>9091578108</t>
  </si>
  <si>
    <t>Noida - Bus Stand</t>
  </si>
  <si>
    <t>GL6068540322</t>
  </si>
  <si>
    <t>MFLC1000100</t>
  </si>
  <si>
    <t>Senthil Rajan</t>
  </si>
  <si>
    <t>8537341486</t>
  </si>
  <si>
    <t>Tirunelveli - Civil Lines</t>
  </si>
  <si>
    <t>GL9759901952</t>
  </si>
  <si>
    <t>MFLC1000101</t>
  </si>
  <si>
    <t>Ajay Sharma</t>
  </si>
  <si>
    <t>8265740485</t>
  </si>
  <si>
    <t>Jodhpur - Town Hall</t>
  </si>
  <si>
    <t>GL7122259609</t>
  </si>
  <si>
    <t>MFLC1000102</t>
  </si>
  <si>
    <t>Rajeev Ibrahim</t>
  </si>
  <si>
    <t>7791749046</t>
  </si>
  <si>
    <t>Alappuzha - Bus Stand</t>
  </si>
  <si>
    <t>GL3894307919</t>
  </si>
  <si>
    <t>MFLC1000103</t>
  </si>
  <si>
    <t>Sajeev Nair</t>
  </si>
  <si>
    <t>6867810513</t>
  </si>
  <si>
    <t>Thrissur - MG Road</t>
  </si>
  <si>
    <t>GL0835274789</t>
  </si>
  <si>
    <t>MFLC1000104</t>
  </si>
  <si>
    <t>Devi Murugan</t>
  </si>
  <si>
    <t>9511667815</t>
  </si>
  <si>
    <t>Vellore - Temple Street</t>
  </si>
  <si>
    <t>GL4403754797</t>
  </si>
  <si>
    <t>MFLC1000105</t>
  </si>
  <si>
    <t>9202897934</t>
  </si>
  <si>
    <t>Dwarka - Nehru Nagar</t>
  </si>
  <si>
    <t>GL3206586648</t>
  </si>
  <si>
    <t>MFLC1000106</t>
  </si>
  <si>
    <t>Fathima Menon</t>
  </si>
  <si>
    <t>9838234841</t>
  </si>
  <si>
    <t>Kannur - Industrial Estate</t>
  </si>
  <si>
    <t>GL6049201912</t>
  </si>
  <si>
    <t>MFLC1000107</t>
  </si>
  <si>
    <t>Anitha Nair</t>
  </si>
  <si>
    <t>8045407155</t>
  </si>
  <si>
    <t>Thrissur - Industrial Estate</t>
  </si>
  <si>
    <t>GL1517736527</t>
  </si>
  <si>
    <t>MFLC1000108</t>
  </si>
  <si>
    <t>Ramesh Babu</t>
  </si>
  <si>
    <t>8386757958</t>
  </si>
  <si>
    <t>GL4894659178</t>
  </si>
  <si>
    <t>MFLC1000109</t>
  </si>
  <si>
    <t>Rakesh Chauhan</t>
  </si>
  <si>
    <t>9551662797</t>
  </si>
  <si>
    <t>Dwarka - Industrial Estate</t>
  </si>
  <si>
    <t>GL9929915535</t>
  </si>
  <si>
    <t>MFLC1000110</t>
  </si>
  <si>
    <t>Venkatesh Reddy</t>
  </si>
  <si>
    <t>7190302434</t>
  </si>
  <si>
    <t>Bengaluru - Town Hall</t>
  </si>
  <si>
    <t>GL0279996681</t>
  </si>
  <si>
    <t>MFLC1000111</t>
  </si>
  <si>
    <t>Suresh Varma</t>
  </si>
  <si>
    <t>8501870182</t>
  </si>
  <si>
    <t>Karimnagar</t>
  </si>
  <si>
    <t>Karimnagar - Nehru Nagar</t>
  </si>
  <si>
    <t>GL8666499046</t>
  </si>
  <si>
    <t>MFLC1000112</t>
  </si>
  <si>
    <t>Devi Chandran</t>
  </si>
  <si>
    <t>7966085636</t>
  </si>
  <si>
    <t>Coimbatore - Market Road</t>
  </si>
  <si>
    <t>GL0285379607</t>
  </si>
  <si>
    <t>MFLC1000113</t>
  </si>
  <si>
    <t>Rajeev Joseph</t>
  </si>
  <si>
    <t>7570305705</t>
  </si>
  <si>
    <t>Kannur - Main Road</t>
  </si>
  <si>
    <t>GL6215819613</t>
  </si>
  <si>
    <t>MFLC1000114</t>
  </si>
  <si>
    <t>Girish Acharya</t>
  </si>
  <si>
    <t>9817246912</t>
  </si>
  <si>
    <t>Davanagere - Bus Stand</t>
  </si>
  <si>
    <t>GL9599611294</t>
  </si>
  <si>
    <t>MFLC1000115</t>
  </si>
  <si>
    <t>Anusha Raju</t>
  </si>
  <si>
    <t>9186663275</t>
  </si>
  <si>
    <t>Karimnagar - Temple Street</t>
  </si>
  <si>
    <t>GL7918224681</t>
  </si>
  <si>
    <t>MFLC1000116</t>
  </si>
  <si>
    <t>Shalini George</t>
  </si>
  <si>
    <t>9730307788</t>
  </si>
  <si>
    <t>GL5515847266</t>
  </si>
  <si>
    <t>MFLC1000117</t>
  </si>
  <si>
    <t>Manoj Jain</t>
  </si>
  <si>
    <t>8783883818</t>
  </si>
  <si>
    <t>Gwalior - Church Road</t>
  </si>
  <si>
    <t>GL0013311229</t>
  </si>
  <si>
    <t>MFLC1000118</t>
  </si>
  <si>
    <t>Pankaj Singh</t>
  </si>
  <si>
    <t>9549094145</t>
  </si>
  <si>
    <t>Indore - Main Road</t>
  </si>
  <si>
    <t>GL5364306108</t>
  </si>
  <si>
    <t>MFLC1000119</t>
  </si>
  <si>
    <t>Ramesh Setty</t>
  </si>
  <si>
    <t>8896185644</t>
  </si>
  <si>
    <t>Hyderabad - Industrial Estate</t>
  </si>
  <si>
    <t>GL4302971112</t>
  </si>
  <si>
    <t>MFLC1000120</t>
  </si>
  <si>
    <t>Harish Patil</t>
  </si>
  <si>
    <t>8036844181</t>
  </si>
  <si>
    <t>GL4690352321</t>
  </si>
  <si>
    <t>MFLC1000121</t>
  </si>
  <si>
    <t>Suresh Warrier</t>
  </si>
  <si>
    <t>8391586451</t>
  </si>
  <si>
    <t>Thiruvananthapuram - Main Road</t>
  </si>
  <si>
    <t>GL4677858861</t>
  </si>
  <si>
    <t>MFLC1000122</t>
  </si>
  <si>
    <t>Saranya Selvam</t>
  </si>
  <si>
    <t>9226969101</t>
  </si>
  <si>
    <t>Chennai - Town Hall</t>
  </si>
  <si>
    <t>GL8817397837</t>
  </si>
  <si>
    <t>MFLC1000123</t>
  </si>
  <si>
    <t>Mathew Pillai</t>
  </si>
  <si>
    <t>8570243644</t>
  </si>
  <si>
    <t>GL4613996489</t>
  </si>
  <si>
    <t>MFLC1000124</t>
  </si>
  <si>
    <t>Anil Jain</t>
  </si>
  <si>
    <t>8885729287</t>
  </si>
  <si>
    <t>Indore - Church Road</t>
  </si>
  <si>
    <t>GL3196500571</t>
  </si>
  <si>
    <t>MFLC1000125</t>
  </si>
  <si>
    <t>Murugan Iyer</t>
  </si>
  <si>
    <t>8756043289</t>
  </si>
  <si>
    <t>Madurai - Market Road</t>
  </si>
  <si>
    <t>GL4476209381</t>
  </si>
  <si>
    <t>MFLC1000126</t>
  </si>
  <si>
    <t>Jyothi Murthy</t>
  </si>
  <si>
    <t>9404893026</t>
  </si>
  <si>
    <t>Vijayawada</t>
  </si>
  <si>
    <t>Vijayawada - Bus Stand</t>
  </si>
  <si>
    <t>GL7877126261</t>
  </si>
  <si>
    <t>MFLC1000127</t>
  </si>
  <si>
    <t>Lakshmi Goud</t>
  </si>
  <si>
    <t>9568881396</t>
  </si>
  <si>
    <t>Karimnagar - Market Road</t>
  </si>
  <si>
    <t>GL4638941802</t>
  </si>
  <si>
    <t>MFLC1000128</t>
  </si>
  <si>
    <t>Mary Varghese</t>
  </si>
  <si>
    <t>7864710983</t>
  </si>
  <si>
    <t>GL1950057288</t>
  </si>
  <si>
    <t>MFLC1000129</t>
  </si>
  <si>
    <t>Naveen Saxena</t>
  </si>
  <si>
    <t>9831828668</t>
  </si>
  <si>
    <t>Bhopal - Station Road</t>
  </si>
  <si>
    <t>GL4524810256</t>
  </si>
  <si>
    <t>MFLC1000130</t>
  </si>
  <si>
    <t>Karthik Raman</t>
  </si>
  <si>
    <t>7383968626</t>
  </si>
  <si>
    <t>Vellore - Nehru Nagar</t>
  </si>
  <si>
    <t>GL1283170858</t>
  </si>
  <si>
    <t>MFLC1000131</t>
  </si>
  <si>
    <t>Revathi Raman</t>
  </si>
  <si>
    <t>7692396601</t>
  </si>
  <si>
    <t>Erode - Market Road</t>
  </si>
  <si>
    <t>GL1553571028</t>
  </si>
  <si>
    <t>MFLC1000132</t>
  </si>
  <si>
    <t>Asha Acharya</t>
  </si>
  <si>
    <t>9210087227</t>
  </si>
  <si>
    <t>Mysuru - Gandhi Nagar</t>
  </si>
  <si>
    <t>GL1485601637</t>
  </si>
  <si>
    <t>MFLC1000133</t>
  </si>
  <si>
    <t>Geeta Tiwari</t>
  </si>
  <si>
    <t>9784255276</t>
  </si>
  <si>
    <t>Dwarka - Main Road</t>
  </si>
  <si>
    <t>GL5870156918</t>
  </si>
  <si>
    <t>MFLC1000134</t>
  </si>
  <si>
    <t>Anitha Joseph</t>
  </si>
  <si>
    <t>7838955148</t>
  </si>
  <si>
    <t>GL9140291427</t>
  </si>
  <si>
    <t>MFLC1000135</t>
  </si>
  <si>
    <t>Mahesh Swamy</t>
  </si>
  <si>
    <t>9227203159</t>
  </si>
  <si>
    <t>GL4078058974</t>
  </si>
  <si>
    <t>MFLC1000136</t>
  </si>
  <si>
    <t>Priya Verma</t>
  </si>
  <si>
    <t>9570352637</t>
  </si>
  <si>
    <t>Bhopal - Nehru Nagar</t>
  </si>
  <si>
    <t>GL5254148723</t>
  </si>
  <si>
    <t>MFLC1000137</t>
  </si>
  <si>
    <t>9013050137</t>
  </si>
  <si>
    <t>Kanpur</t>
  </si>
  <si>
    <t>Kanpur - Town Hall</t>
  </si>
  <si>
    <t>GL1435383990</t>
  </si>
  <si>
    <t>MFLC1000138</t>
  </si>
  <si>
    <t>Ganesh Chandran</t>
  </si>
  <si>
    <t>7844829762</t>
  </si>
  <si>
    <t>GL3214586093</t>
  </si>
  <si>
    <t>MFLC1000139</t>
  </si>
  <si>
    <t>Arun Ravi</t>
  </si>
  <si>
    <t>9624469505</t>
  </si>
  <si>
    <t>Erode - Gandhi Nagar</t>
  </si>
  <si>
    <t>GL7250928421</t>
  </si>
  <si>
    <t>MFLC1000140</t>
  </si>
  <si>
    <t>Bhavani Sastry</t>
  </si>
  <si>
    <t>7040976688</t>
  </si>
  <si>
    <t>GL8274127441</t>
  </si>
  <si>
    <t>MFLC1000141</t>
  </si>
  <si>
    <t>Deepak Mishra</t>
  </si>
  <si>
    <t>9773401085</t>
  </si>
  <si>
    <t>Lucknow - Station Road</t>
  </si>
  <si>
    <t>GL1832889379</t>
  </si>
  <si>
    <t>MFLC1000142</t>
  </si>
  <si>
    <t>Sirisha Rao</t>
  </si>
  <si>
    <t>9359356933</t>
  </si>
  <si>
    <t>Karimnagar - Church Road</t>
  </si>
  <si>
    <t>GL5632100030</t>
  </si>
  <si>
    <t>MFLC1000143</t>
  </si>
  <si>
    <t>Pooja Yadav</t>
  </si>
  <si>
    <t>9010116729</t>
  </si>
  <si>
    <t>Jaipur - Gandhi Nagar</t>
  </si>
  <si>
    <t>GL5788750442</t>
  </si>
  <si>
    <t>MFLC1000144</t>
  </si>
  <si>
    <t>Pushpa Swamy</t>
  </si>
  <si>
    <t>7040539356</t>
  </si>
  <si>
    <t>GL6281326407</t>
  </si>
  <si>
    <t>MFLC1000145</t>
  </si>
  <si>
    <t>Shivakumar Bhat</t>
  </si>
  <si>
    <t>8595785688</t>
  </si>
  <si>
    <t>Mangaluru - Town Hall</t>
  </si>
  <si>
    <t>GL1496150614</t>
  </si>
  <si>
    <t>MFLC1000146</t>
  </si>
  <si>
    <t>Savitha Shankar</t>
  </si>
  <si>
    <t>8955962756</t>
  </si>
  <si>
    <t>Davanagere - Industrial Estate</t>
  </si>
  <si>
    <t>GL5359674041</t>
  </si>
  <si>
    <t>MFLC1000147</t>
  </si>
  <si>
    <t>Vijaya Setty</t>
  </si>
  <si>
    <t>8730444542</t>
  </si>
  <si>
    <t>Hyderabad - Gandhi Nagar</t>
  </si>
  <si>
    <t>GL7941590272</t>
  </si>
  <si>
    <t>MFLC1000148</t>
  </si>
  <si>
    <t>Savitha Kumar</t>
  </si>
  <si>
    <t>9755757729</t>
  </si>
  <si>
    <t>Bengaluru - Gandhi Nagar</t>
  </si>
  <si>
    <t>GL1875393673</t>
  </si>
  <si>
    <t>MFLC1000149</t>
  </si>
  <si>
    <t>Balaji Chandran</t>
  </si>
  <si>
    <t>9675474842</t>
  </si>
  <si>
    <t>Vellore - Gandhi Nagar</t>
  </si>
  <si>
    <t>GL1981173539</t>
  </si>
  <si>
    <t>MFLC1000150</t>
  </si>
  <si>
    <t>Krishna Setty</t>
  </si>
  <si>
    <t>8187971183</t>
  </si>
  <si>
    <t>Vijayawada - Market Road</t>
  </si>
  <si>
    <t>GL7599570924</t>
  </si>
  <si>
    <t>MFLC1000151</t>
  </si>
  <si>
    <t>Srikanth Goud</t>
  </si>
  <si>
    <t>7385498912</t>
  </si>
  <si>
    <t>GL0235186782</t>
  </si>
  <si>
    <t>MFLC1000152</t>
  </si>
  <si>
    <t>Ritu Saxena</t>
  </si>
  <si>
    <t>9025559476</t>
  </si>
  <si>
    <t>Indore - Station Road</t>
  </si>
  <si>
    <t>GL2614008010</t>
  </si>
  <si>
    <t>MFLC1000153</t>
  </si>
  <si>
    <t>Balaji Subramanian</t>
  </si>
  <si>
    <t>9621639129</t>
  </si>
  <si>
    <t>GL1680734007</t>
  </si>
  <si>
    <t>MFLC1000154</t>
  </si>
  <si>
    <t>Priya Jain</t>
  </si>
  <si>
    <t>9477306801</t>
  </si>
  <si>
    <t>GL4738917692</t>
  </si>
  <si>
    <t>MFLC1000155</t>
  </si>
  <si>
    <t>Ramesh Mishra</t>
  </si>
  <si>
    <t>9513925713</t>
  </si>
  <si>
    <t>Rohini - Bus Stand</t>
  </si>
  <si>
    <t>GL6599242302</t>
  </si>
  <si>
    <t>MFLC1000156</t>
  </si>
  <si>
    <t>Meena Agarwal</t>
  </si>
  <si>
    <t>9741421078</t>
  </si>
  <si>
    <t>Rohini - Industrial Estate</t>
  </si>
  <si>
    <t>GL1068705647</t>
  </si>
  <si>
    <t>MFLC1000157</t>
  </si>
  <si>
    <t>Ganesh Murugan</t>
  </si>
  <si>
    <t>8045569408</t>
  </si>
  <si>
    <t>Madurai - Civil Lines</t>
  </si>
  <si>
    <t>GL6599713077</t>
  </si>
  <si>
    <t>MFLC1000158</t>
  </si>
  <si>
    <t>Sindhu Nair</t>
  </si>
  <si>
    <t>8449297024</t>
  </si>
  <si>
    <t>Thiruvananthapuram - Bus Stand</t>
  </si>
  <si>
    <t>GL8103235561</t>
  </si>
  <si>
    <t>MFLC1000159</t>
  </si>
  <si>
    <t>Priya Pandey</t>
  </si>
  <si>
    <t>9992408727</t>
  </si>
  <si>
    <t>Lucknow - Temple Street</t>
  </si>
  <si>
    <t>GL9424367089</t>
  </si>
  <si>
    <t>MFLC1000160</t>
  </si>
  <si>
    <t>Anjaneyulu Prasad</t>
  </si>
  <si>
    <t>8857951521</t>
  </si>
  <si>
    <t>GL9571680175</t>
  </si>
  <si>
    <t>MFLC1000161</t>
  </si>
  <si>
    <t>Remya Joseph</t>
  </si>
  <si>
    <t>8316531565</t>
  </si>
  <si>
    <t>Kochi - Main Road</t>
  </si>
  <si>
    <t>GL5331619298</t>
  </si>
  <si>
    <t>MFLC1000162</t>
  </si>
  <si>
    <t>Binu Mohammed</t>
  </si>
  <si>
    <t>9845416610</t>
  </si>
  <si>
    <t>Kochi - Church Road</t>
  </si>
  <si>
    <t>GL1310196732</t>
  </si>
  <si>
    <t>MFLC1000163</t>
  </si>
  <si>
    <t>Senthil Sundaram</t>
  </si>
  <si>
    <t>9175616455</t>
  </si>
  <si>
    <t>GL1221152803</t>
  </si>
  <si>
    <t>MFLC1000164</t>
  </si>
  <si>
    <t>Smitha George</t>
  </si>
  <si>
    <t>9998567266</t>
  </si>
  <si>
    <t>Kannur - Civil Lines</t>
  </si>
  <si>
    <t>GL3472747319</t>
  </si>
  <si>
    <t>MFLC1000165</t>
  </si>
  <si>
    <t>Naresh Babu</t>
  </si>
  <si>
    <t>8391278975</t>
  </si>
  <si>
    <t>GL9082666519</t>
  </si>
  <si>
    <t>MFLC1000166</t>
  </si>
  <si>
    <t>Latha Pillai</t>
  </si>
  <si>
    <t>8097625245</t>
  </si>
  <si>
    <t>Kollam - Main Road</t>
  </si>
  <si>
    <t>GL7766973788</t>
  </si>
  <si>
    <t>MFLC1000167</t>
  </si>
  <si>
    <t>Vignesh Iyer</t>
  </si>
  <si>
    <t>8981765365</t>
  </si>
  <si>
    <t>GL5497918067</t>
  </si>
  <si>
    <t>MFLC1000168</t>
  </si>
  <si>
    <t>Satish Sastry</t>
  </si>
  <si>
    <t>6463608863</t>
  </si>
  <si>
    <t>Nellore - Temple Street</t>
  </si>
  <si>
    <t>GL5459577070</t>
  </si>
  <si>
    <t>MFLC1000169</t>
  </si>
  <si>
    <t>Faisal Pillai</t>
  </si>
  <si>
    <t>9907893920</t>
  </si>
  <si>
    <t>Kozhikode - Bus Stand</t>
  </si>
  <si>
    <t>GL7776285237</t>
  </si>
  <si>
    <t>MFLC1000170</t>
  </si>
  <si>
    <t>Anil Chauhan</t>
  </si>
  <si>
    <t>8929234721</t>
  </si>
  <si>
    <t>GL2404425750</t>
  </si>
  <si>
    <t>MFLC1000171</t>
  </si>
  <si>
    <t>8007326099</t>
  </si>
  <si>
    <t>Visakhapatnam - Gandhi Nagar</t>
  </si>
  <si>
    <t>GL8089975608</t>
  </si>
  <si>
    <t>MFLC1000172</t>
  </si>
  <si>
    <t>Selvam Natarajan</t>
  </si>
  <si>
    <t>7757288691</t>
  </si>
  <si>
    <t>GL5560152087</t>
  </si>
  <si>
    <t>MFLC1000173</t>
  </si>
  <si>
    <t>Anita Chauhan</t>
  </si>
  <si>
    <t>9604551029</t>
  </si>
  <si>
    <t>Gurugram - Market Road</t>
  </si>
  <si>
    <t>GL0039346706</t>
  </si>
  <si>
    <t>MFLC1000174</t>
  </si>
  <si>
    <t>Amit Singh</t>
  </si>
  <si>
    <t>8832408694</t>
  </si>
  <si>
    <t>Gurugram - Main Road</t>
  </si>
  <si>
    <t>GL6824357493</t>
  </si>
  <si>
    <t>MFLC1000175</t>
  </si>
  <si>
    <t>Sirisha Sastry</t>
  </si>
  <si>
    <t>9403213305</t>
  </si>
  <si>
    <t>Vijayawada - Town Hall</t>
  </si>
  <si>
    <t>GL6155514151</t>
  </si>
  <si>
    <t>MFLC1000176</t>
  </si>
  <si>
    <t>Lakshmi Swamy</t>
  </si>
  <si>
    <t>7245284311</t>
  </si>
  <si>
    <t>GL7110733313</t>
  </si>
  <si>
    <t>MFLC1000177</t>
  </si>
  <si>
    <t>Latha Mohammed</t>
  </si>
  <si>
    <t>7058716586</t>
  </si>
  <si>
    <t>GL0049813985</t>
  </si>
  <si>
    <t>MFLC1000178</t>
  </si>
  <si>
    <t>Nagarjuna Reddy</t>
  </si>
  <si>
    <t>7534802635</t>
  </si>
  <si>
    <t>Warangal - Market Road</t>
  </si>
  <si>
    <t>GL6687896584</t>
  </si>
  <si>
    <t>MFLC1000179</t>
  </si>
  <si>
    <t>Rajeev Panicker</t>
  </si>
  <si>
    <t>7040037276</t>
  </si>
  <si>
    <t>Thiruvananthapuram - Station Road</t>
  </si>
  <si>
    <t>GL8423128224</t>
  </si>
  <si>
    <t>MFLC1000180</t>
  </si>
  <si>
    <t>Thomas Menon</t>
  </si>
  <si>
    <t>9209872778</t>
  </si>
  <si>
    <t>GL7682324884</t>
  </si>
  <si>
    <t>MFLC1000181</t>
  </si>
  <si>
    <t>Rakesh Joshi</t>
  </si>
  <si>
    <t>9089203502</t>
  </si>
  <si>
    <t>Indore - Nehru Nagar</t>
  </si>
  <si>
    <t>GL8473526315</t>
  </si>
  <si>
    <t>MFLC1000182</t>
  </si>
  <si>
    <t>Ritu Jain</t>
  </si>
  <si>
    <t>7560968102</t>
  </si>
  <si>
    <t>Faridabad</t>
  </si>
  <si>
    <t>Faridabad - Station Road</t>
  </si>
  <si>
    <t>GL0980676295</t>
  </si>
  <si>
    <t>MFLC1000183</t>
  </si>
  <si>
    <t>Rani Pillai</t>
  </si>
  <si>
    <t>8006824668</t>
  </si>
  <si>
    <t>GL2377346139</t>
  </si>
  <si>
    <t>MFLC1000184</t>
  </si>
  <si>
    <t>Latha Kurup</t>
  </si>
  <si>
    <t>9883346740</t>
  </si>
  <si>
    <t>GL2295011801</t>
  </si>
  <si>
    <t>MFLC1000185</t>
  </si>
  <si>
    <t>Arun Selvam</t>
  </si>
  <si>
    <t>7474513511</t>
  </si>
  <si>
    <t>GL3830259372</t>
  </si>
  <si>
    <t>MFLC1000186</t>
  </si>
  <si>
    <t>Shalini Nair</t>
  </si>
  <si>
    <t>7957839311</t>
  </si>
  <si>
    <t>Thrissur - Market Road</t>
  </si>
  <si>
    <t>GL5378038590</t>
  </si>
  <si>
    <t>MFLC1000187</t>
  </si>
  <si>
    <t>Roopa Gowda</t>
  </si>
  <si>
    <t>9767795722</t>
  </si>
  <si>
    <t>Bengaluru - Bus Stand</t>
  </si>
  <si>
    <t>GL1966775849</t>
  </si>
  <si>
    <t>MFLC1000188</t>
  </si>
  <si>
    <t>Pushpa Bhat</t>
  </si>
  <si>
    <t>9061415623</t>
  </si>
  <si>
    <t>Shivamogga</t>
  </si>
  <si>
    <t>Shivamogga - Main Road</t>
  </si>
  <si>
    <t>GL4292479176</t>
  </si>
  <si>
    <t>MFLC1000189</t>
  </si>
  <si>
    <t>Kavita Yadav</t>
  </si>
  <si>
    <t>7945514028</t>
  </si>
  <si>
    <t>New Delhi - Station Road</t>
  </si>
  <si>
    <t>GL6626495741</t>
  </si>
  <si>
    <t>MFLC1000190</t>
  </si>
  <si>
    <t>Geeta Sharma</t>
  </si>
  <si>
    <t>8103718543</t>
  </si>
  <si>
    <t>Dwarka - Church Road</t>
  </si>
  <si>
    <t>GL4738176001</t>
  </si>
  <si>
    <t>MFLC1000191</t>
  </si>
  <si>
    <t>9510606688</t>
  </si>
  <si>
    <t>Mangaluru - Industrial Estate</t>
  </si>
  <si>
    <t>GL4399427283</t>
  </si>
  <si>
    <t>MFLC1000192</t>
  </si>
  <si>
    <t>9792290909</t>
  </si>
  <si>
    <t>Kochi - MG Road</t>
  </si>
  <si>
    <t>GL7833192823</t>
  </si>
  <si>
    <t>MFLC1000193</t>
  </si>
  <si>
    <t>Manoj Varghese</t>
  </si>
  <si>
    <t>7824821985</t>
  </si>
  <si>
    <t>GL3148957877</t>
  </si>
  <si>
    <t>MFLC1000194</t>
  </si>
  <si>
    <t>Rohit Tiwari</t>
  </si>
  <si>
    <t>9996710747</t>
  </si>
  <si>
    <t>GL9033015105</t>
  </si>
  <si>
    <t>MFLC1000195</t>
  </si>
  <si>
    <t>Jincy Pillai</t>
  </si>
  <si>
    <t>8687263936</t>
  </si>
  <si>
    <t>Thiruvananthapuram - Church Road</t>
  </si>
  <si>
    <t>GL4645937184</t>
  </si>
  <si>
    <t>MFLC1000196</t>
  </si>
  <si>
    <t>Vignesh Venkatesh</t>
  </si>
  <si>
    <t>8314118117</t>
  </si>
  <si>
    <t>Coimbatore - Temple Street</t>
  </si>
  <si>
    <t>GL0800973418</t>
  </si>
  <si>
    <t>MFLC1000197</t>
  </si>
  <si>
    <t>Satish Babu</t>
  </si>
  <si>
    <t>6319128323</t>
  </si>
  <si>
    <t>Karimnagar - Industrial Estate</t>
  </si>
  <si>
    <t>GL4024312119</t>
  </si>
  <si>
    <t>MFLC1000198</t>
  </si>
  <si>
    <t>Vijay Venkatesh</t>
  </si>
  <si>
    <t>7767185509</t>
  </si>
  <si>
    <t>GL3354410043</t>
  </si>
  <si>
    <t>MFLC1000199</t>
  </si>
  <si>
    <t>Ramesh Sharma</t>
  </si>
  <si>
    <t>9755751986</t>
  </si>
  <si>
    <t>GL8941191608</t>
  </si>
  <si>
    <t>MFLC1000200</t>
  </si>
  <si>
    <t>8489603358</t>
  </si>
  <si>
    <t>Thrissur - Town Hall</t>
  </si>
  <si>
    <t>GL9715378939</t>
  </si>
  <si>
    <t>MFLC1000201</t>
  </si>
  <si>
    <t>Pankaj Chauhan</t>
  </si>
  <si>
    <t>6531391961</t>
  </si>
  <si>
    <t>Agra - Town Hall</t>
  </si>
  <si>
    <t>GL6862396358</t>
  </si>
  <si>
    <t>MFLC1000202</t>
  </si>
  <si>
    <t>Mathew Mohammed</t>
  </si>
  <si>
    <t>9871584639</t>
  </si>
  <si>
    <t>Kollam - Church Road</t>
  </si>
  <si>
    <t>GL5088420139</t>
  </si>
  <si>
    <t>MFLC1000203</t>
  </si>
  <si>
    <t>Ravi Yadav</t>
  </si>
  <si>
    <t>7956277010</t>
  </si>
  <si>
    <t>Vijayawada - Gandhi Nagar</t>
  </si>
  <si>
    <t>GL4358597220</t>
  </si>
  <si>
    <t>MFLC1000204</t>
  </si>
  <si>
    <t>Sravani Rao</t>
  </si>
  <si>
    <t>7468120683</t>
  </si>
  <si>
    <t>Nellore - Industrial Estate</t>
  </si>
  <si>
    <t>GL3632978529</t>
  </si>
  <si>
    <t>MFLC1000205</t>
  </si>
  <si>
    <t>Jose Pillai</t>
  </si>
  <si>
    <t>9759305393</t>
  </si>
  <si>
    <t>Kochi - Gandhi Nagar</t>
  </si>
  <si>
    <t>GL6150142958</t>
  </si>
  <si>
    <t>MFLC1000206</t>
  </si>
  <si>
    <t>Anil Warrier</t>
  </si>
  <si>
    <t>8743129530</t>
  </si>
  <si>
    <t>GL2812785124</t>
  </si>
  <si>
    <t>MFLC1000207</t>
  </si>
  <si>
    <t>Anjaneyulu Babu</t>
  </si>
  <si>
    <t>8052885599</t>
  </si>
  <si>
    <t>Hyderabad - Market Road</t>
  </si>
  <si>
    <t>GL0275494976</t>
  </si>
  <si>
    <t>MFLC1000208</t>
  </si>
  <si>
    <t>9200927051</t>
  </si>
  <si>
    <t>GL0808712253</t>
  </si>
  <si>
    <t>MFLC1000209</t>
  </si>
  <si>
    <t>Manoj Mishra</t>
  </si>
  <si>
    <t>8322027848</t>
  </si>
  <si>
    <t>GL1393057744</t>
  </si>
  <si>
    <t>MFLC1000210</t>
  </si>
  <si>
    <t>Vikas Verma</t>
  </si>
  <si>
    <t>8549000346</t>
  </si>
  <si>
    <t>GL0279829052</t>
  </si>
  <si>
    <t>MFLC1000211</t>
  </si>
  <si>
    <t>Bhavani Naidu</t>
  </si>
  <si>
    <t>9735038426</t>
  </si>
  <si>
    <t>Hyderabad - Station Road</t>
  </si>
  <si>
    <t>GL4931892141</t>
  </si>
  <si>
    <t>MFLC1000212</t>
  </si>
  <si>
    <t>Roopa Kumar</t>
  </si>
  <si>
    <t>9074648693</t>
  </si>
  <si>
    <t>Hubballi - Industrial Estate</t>
  </si>
  <si>
    <t>GL9473872083</t>
  </si>
  <si>
    <t>MFLC1000213</t>
  </si>
  <si>
    <t>Vidya Shetty</t>
  </si>
  <si>
    <t>9442122513</t>
  </si>
  <si>
    <t>GL0954374002</t>
  </si>
  <si>
    <t>MFLC1000214</t>
  </si>
  <si>
    <t>Suresh Yadav</t>
  </si>
  <si>
    <t>8242135196</t>
  </si>
  <si>
    <t>Jodhpur - MG Road</t>
  </si>
  <si>
    <t>GL9927825545</t>
  </si>
  <si>
    <t>MFLC1000215</t>
  </si>
  <si>
    <t>Mahesh Bhat</t>
  </si>
  <si>
    <t>9179008802</t>
  </si>
  <si>
    <t>GL0803981420</t>
  </si>
  <si>
    <t>MFLC1000216</t>
  </si>
  <si>
    <t>Mary Menon</t>
  </si>
  <si>
    <t>8143392792</t>
  </si>
  <si>
    <t>Thiruvananthapuram - Temple Street</t>
  </si>
  <si>
    <t>GL1208711016</t>
  </si>
  <si>
    <t>MFLC1000217</t>
  </si>
  <si>
    <t>Sunita Tiwari</t>
  </si>
  <si>
    <t>8938051467</t>
  </si>
  <si>
    <t>GL0158532427</t>
  </si>
  <si>
    <t>MFLC1000218</t>
  </si>
  <si>
    <t>Jincy Menon</t>
  </si>
  <si>
    <t>8050294407</t>
  </si>
  <si>
    <t>Kozhikode - Gandhi Nagar</t>
  </si>
  <si>
    <t>GL8404264570</t>
  </si>
  <si>
    <t>MFLC1000219</t>
  </si>
  <si>
    <t>Vasanthi Rajan</t>
  </si>
  <si>
    <t>8130561631</t>
  </si>
  <si>
    <t>GL2556665696</t>
  </si>
  <si>
    <t>MFLC1000220</t>
  </si>
  <si>
    <t>Pankaj Tiwari</t>
  </si>
  <si>
    <t>9747649684</t>
  </si>
  <si>
    <t>GL5456711817</t>
  </si>
  <si>
    <t>MFLC1000221</t>
  </si>
  <si>
    <t>Basavaraj Hegde</t>
  </si>
  <si>
    <t>9514103818</t>
  </si>
  <si>
    <t>Hubballi - Town Hall</t>
  </si>
  <si>
    <t>GL8157907138</t>
  </si>
  <si>
    <t>MFLC1000222</t>
  </si>
  <si>
    <t>Shobha Rao</t>
  </si>
  <si>
    <t>8024071693</t>
  </si>
  <si>
    <t>GL1731365341</t>
  </si>
  <si>
    <t>MFLC1000223</t>
  </si>
  <si>
    <t>Asha Rao</t>
  </si>
  <si>
    <t>8324301721</t>
  </si>
  <si>
    <t>Mysuru - Temple Street</t>
  </si>
  <si>
    <t>GL7351066796</t>
  </si>
  <si>
    <t>MFLC1000224</t>
  </si>
  <si>
    <t>Saravanan Chandran</t>
  </si>
  <si>
    <t>9832229871</t>
  </si>
  <si>
    <t>GL3328384238</t>
  </si>
  <si>
    <t>MFLC1000225</t>
  </si>
  <si>
    <t>Suresh Joseph</t>
  </si>
  <si>
    <t>8394945737</t>
  </si>
  <si>
    <t>GL3289195619</t>
  </si>
  <si>
    <t>MFLC1000226</t>
  </si>
  <si>
    <t>Lakshmi Murugan</t>
  </si>
  <si>
    <t>9164317678</t>
  </si>
  <si>
    <t>Vellore - Main Road</t>
  </si>
  <si>
    <t>GL1263153171</t>
  </si>
  <si>
    <t>MFLC1000227</t>
  </si>
  <si>
    <t>8170814981</t>
  </si>
  <si>
    <t>GL5054389498</t>
  </si>
  <si>
    <t>MFLC1000228</t>
  </si>
  <si>
    <t>9850959010</t>
  </si>
  <si>
    <t>Nellore - Nehru Nagar</t>
  </si>
  <si>
    <t>GL8074735291</t>
  </si>
  <si>
    <t>MFLC1000229</t>
  </si>
  <si>
    <t>Suresh Sharma</t>
  </si>
  <si>
    <t>9797816057</t>
  </si>
  <si>
    <t>GL2424272540</t>
  </si>
  <si>
    <t>MFLC1000230</t>
  </si>
  <si>
    <t>9605925348</t>
  </si>
  <si>
    <t>Agra - Temple Street</t>
  </si>
  <si>
    <t>GL8271621769</t>
  </si>
  <si>
    <t>MFLC1000231</t>
  </si>
  <si>
    <t>Rakesh Kumar</t>
  </si>
  <si>
    <t>7416334411</t>
  </si>
  <si>
    <t>Noida - MG Road</t>
  </si>
  <si>
    <t>GL0708892612</t>
  </si>
  <si>
    <t>MFLC1000232</t>
  </si>
  <si>
    <t>Prasad Yadav</t>
  </si>
  <si>
    <t>9091068354</t>
  </si>
  <si>
    <t>Nizamabad - Market Road</t>
  </si>
  <si>
    <t>GL8006158677</t>
  </si>
  <si>
    <t>MFLC1000233</t>
  </si>
  <si>
    <t>Remya Nair</t>
  </si>
  <si>
    <t>9642557313</t>
  </si>
  <si>
    <t>GL9824589623</t>
  </si>
  <si>
    <t>MFLC1000234</t>
  </si>
  <si>
    <t>9540520341</t>
  </si>
  <si>
    <t>New Delhi - Temple Street</t>
  </si>
  <si>
    <t>GL1850260257</t>
  </si>
  <si>
    <t>MFLC1000235</t>
  </si>
  <si>
    <t>Ramesh Natarajan</t>
  </si>
  <si>
    <t>8753542675</t>
  </si>
  <si>
    <t>GL7356588913</t>
  </si>
  <si>
    <t>MFLC1000236</t>
  </si>
  <si>
    <t>Madhavi Raju</t>
  </si>
  <si>
    <t>8336278697</t>
  </si>
  <si>
    <t>Warangal - Civil Lines</t>
  </si>
  <si>
    <t>GL4848381550</t>
  </si>
  <si>
    <t>MFLC1000237</t>
  </si>
  <si>
    <t>Amit Gupta</t>
  </si>
  <si>
    <t>9391194454</t>
  </si>
  <si>
    <t>Faridabad - Main Road</t>
  </si>
  <si>
    <t>GL8266080994</t>
  </si>
  <si>
    <t>MFLC1000238</t>
  </si>
  <si>
    <t>Vasanthi Iyer</t>
  </si>
  <si>
    <t>7066335478</t>
  </si>
  <si>
    <t>GL3797925753</t>
  </si>
  <si>
    <t>MFLC1000239</t>
  </si>
  <si>
    <t>Pushpa Rao</t>
  </si>
  <si>
    <t>8734421006</t>
  </si>
  <si>
    <t>Mangaluru - Civil Lines</t>
  </si>
  <si>
    <t>GL6340496212</t>
  </si>
  <si>
    <t>MFLC1000240</t>
  </si>
  <si>
    <t>Suresh Patil</t>
  </si>
  <si>
    <t>8186560864</t>
  </si>
  <si>
    <t>GL2530138608</t>
  </si>
  <si>
    <t>MFLC1000241</t>
  </si>
  <si>
    <t>8863076435</t>
  </si>
  <si>
    <t>Shivamogga - Industrial Estate</t>
  </si>
  <si>
    <t>GL0485335739</t>
  </si>
  <si>
    <t>MFLC1000242</t>
  </si>
  <si>
    <t>Bindu Kumar</t>
  </si>
  <si>
    <t>7059622963</t>
  </si>
  <si>
    <t>GL7502794990</t>
  </si>
  <si>
    <t>MFLC1000243</t>
  </si>
  <si>
    <t>Savitha Gowda</t>
  </si>
  <si>
    <t>8282227505</t>
  </si>
  <si>
    <t>GL5165683066</t>
  </si>
  <si>
    <t>MFLC1000244</t>
  </si>
  <si>
    <t>Venkatesh Sastry</t>
  </si>
  <si>
    <t>8969758928</t>
  </si>
  <si>
    <t>GL5945192378</t>
  </si>
  <si>
    <t>MFLC1000245</t>
  </si>
  <si>
    <t>Fathima Ibrahim</t>
  </si>
  <si>
    <t>9790010378</t>
  </si>
  <si>
    <t>Alappuzha - Station Road</t>
  </si>
  <si>
    <t>GL1519475825</t>
  </si>
  <si>
    <t>MFLC1000246</t>
  </si>
  <si>
    <t>Sunil Mishra</t>
  </si>
  <si>
    <t>9288046374</t>
  </si>
  <si>
    <t>Rohini - Civil Lines</t>
  </si>
  <si>
    <t>GL9811056757</t>
  </si>
  <si>
    <t>MFLC1000247</t>
  </si>
  <si>
    <t>8508129932</t>
  </si>
  <si>
    <t>Tirunelveli - Town Hall</t>
  </si>
  <si>
    <t>GL5383757834</t>
  </si>
  <si>
    <t>MFLC1000248</t>
  </si>
  <si>
    <t>Asha Swamy</t>
  </si>
  <si>
    <t>7570269880</t>
  </si>
  <si>
    <t>Hubballi - Temple Street</t>
  </si>
  <si>
    <t>GL7801317716</t>
  </si>
  <si>
    <t>MFLC1000249</t>
  </si>
  <si>
    <t>Shibu Kurup</t>
  </si>
  <si>
    <t>9222532113</t>
  </si>
  <si>
    <t>GL2737785194</t>
  </si>
  <si>
    <t>MFLC1000250</t>
  </si>
  <si>
    <t>Lakshmi Raju</t>
  </si>
  <si>
    <t>7118327828</t>
  </si>
  <si>
    <t>Guntur</t>
  </si>
  <si>
    <t>Guntur - Main Road</t>
  </si>
  <si>
    <t>GL6374150215</t>
  </si>
  <si>
    <t>MFLC1000251</t>
  </si>
  <si>
    <t>Raju Goud</t>
  </si>
  <si>
    <t>9499933282</t>
  </si>
  <si>
    <t>GL8771077399</t>
  </si>
  <si>
    <t>MFLC1000252</t>
  </si>
  <si>
    <t>Radha Setty</t>
  </si>
  <si>
    <t>9519673436</t>
  </si>
  <si>
    <t>Karimnagar - Civil Lines</t>
  </si>
  <si>
    <t>GL2721733749</t>
  </si>
  <si>
    <t>MFLC1000253</t>
  </si>
  <si>
    <t>Radha Prasad</t>
  </si>
  <si>
    <t>7960424136</t>
  </si>
  <si>
    <t>Visakhapatnam - MG Road</t>
  </si>
  <si>
    <t>GL2815381601</t>
  </si>
  <si>
    <t>MFLC1000254</t>
  </si>
  <si>
    <t>Anusha Varma</t>
  </si>
  <si>
    <t>9076643364</t>
  </si>
  <si>
    <t>GL7971775657</t>
  </si>
  <si>
    <t>MFLC1000255</t>
  </si>
  <si>
    <t>Pooja Kumar</t>
  </si>
  <si>
    <t>8804854295</t>
  </si>
  <si>
    <t>Gurugram - Bus Stand</t>
  </si>
  <si>
    <t>GL1741245896</t>
  </si>
  <si>
    <t>MFLC1000256</t>
  </si>
  <si>
    <t>Latha Shetty</t>
  </si>
  <si>
    <t>9148006257</t>
  </si>
  <si>
    <t>Mysuru - Civil Lines</t>
  </si>
  <si>
    <t>GL5851796912</t>
  </si>
  <si>
    <t>MFLC1000257</t>
  </si>
  <si>
    <t>Anjaneyulu Setty</t>
  </si>
  <si>
    <t>7874455624</t>
  </si>
  <si>
    <t>Vijayawada - MG Road</t>
  </si>
  <si>
    <t>GL1239339275</t>
  </si>
  <si>
    <t>MFLC1000258</t>
  </si>
  <si>
    <t>Suresh Kumar</t>
  </si>
  <si>
    <t>9349688348</t>
  </si>
  <si>
    <t>Kota - Station Road</t>
  </si>
  <si>
    <t>GL8384391979</t>
  </si>
  <si>
    <t>MFLC1000259</t>
  </si>
  <si>
    <t>Ramesh Verma</t>
  </si>
  <si>
    <t>9896696971</t>
  </si>
  <si>
    <t>Gurugram - Church Road</t>
  </si>
  <si>
    <t>GL7789915141</t>
  </si>
  <si>
    <t>MFLC1000260</t>
  </si>
  <si>
    <t>Vignesh Subramanian</t>
  </si>
  <si>
    <t>9302597700</t>
  </si>
  <si>
    <t>Tirunelveli - Church Road</t>
  </si>
  <si>
    <t>GL3457804925</t>
  </si>
  <si>
    <t>MFLC1000261</t>
  </si>
  <si>
    <t>Raghu Kumar</t>
  </si>
  <si>
    <t>9865945337</t>
  </si>
  <si>
    <t>GL0427598204</t>
  </si>
  <si>
    <t>MFLC1000262</t>
  </si>
  <si>
    <t>9791277712</t>
  </si>
  <si>
    <t>Kanpur - Church Road</t>
  </si>
  <si>
    <t>GL0027690531</t>
  </si>
  <si>
    <t>MFLC1000263</t>
  </si>
  <si>
    <t>Sreeja Mathew</t>
  </si>
  <si>
    <t>7084177757</t>
  </si>
  <si>
    <t>Thiruvananthapuram - Town Hall</t>
  </si>
  <si>
    <t>GL7547136852</t>
  </si>
  <si>
    <t>MFLC1000264</t>
  </si>
  <si>
    <t>Ajay Joshi</t>
  </si>
  <si>
    <t>9183277037</t>
  </si>
  <si>
    <t>GL8819536288</t>
  </si>
  <si>
    <t>MFLC1000265</t>
  </si>
  <si>
    <t>Prakash Venkatesh</t>
  </si>
  <si>
    <t>8207225036</t>
  </si>
  <si>
    <t>Vellore - Town Hall</t>
  </si>
  <si>
    <t>GL5263182157</t>
  </si>
  <si>
    <t>MFLC1000266</t>
  </si>
  <si>
    <t>Madhavi Babu</t>
  </si>
  <si>
    <t>9464694824</t>
  </si>
  <si>
    <t>Tirupati - Bus Stand</t>
  </si>
  <si>
    <t>GL7511060997</t>
  </si>
  <si>
    <t>MFLC1000267</t>
  </si>
  <si>
    <t>Naveen Tiwari</t>
  </si>
  <si>
    <t>9543338296</t>
  </si>
  <si>
    <t>GL4074383254</t>
  </si>
  <si>
    <t>MFLC1000268</t>
  </si>
  <si>
    <t>9783539011</t>
  </si>
  <si>
    <t>Hubballi - Bus Stand</t>
  </si>
  <si>
    <t>GL2024652539</t>
  </si>
  <si>
    <t>MFLC1000269</t>
  </si>
  <si>
    <t>9832287474</t>
  </si>
  <si>
    <t>GL2892349951</t>
  </si>
  <si>
    <t>MFLC1000270</t>
  </si>
  <si>
    <t>Fathima Joseph</t>
  </si>
  <si>
    <t>9859569893</t>
  </si>
  <si>
    <t>Kottayam - Church Road</t>
  </si>
  <si>
    <t>GL3163160436</t>
  </si>
  <si>
    <t>MFLC1000271</t>
  </si>
  <si>
    <t>8632066489</t>
  </si>
  <si>
    <t>Chennai - Gandhi Nagar</t>
  </si>
  <si>
    <t>GL9080453463</t>
  </si>
  <si>
    <t>MFLC1000272</t>
  </si>
  <si>
    <t>Meena Chauhan</t>
  </si>
  <si>
    <t>8103778802</t>
  </si>
  <si>
    <t>GL8810717371</t>
  </si>
  <si>
    <t>MFLC1000273</t>
  </si>
  <si>
    <t>Latha Philip</t>
  </si>
  <si>
    <t>7094809977</t>
  </si>
  <si>
    <t>Kollam - Gandhi Nagar</t>
  </si>
  <si>
    <t>GL8097987107</t>
  </si>
  <si>
    <t>MFLC1000274</t>
  </si>
  <si>
    <t>Krishna Varma</t>
  </si>
  <si>
    <t>9223709658</t>
  </si>
  <si>
    <t>GL2990292157</t>
  </si>
  <si>
    <t>MFLC1000275</t>
  </si>
  <si>
    <t>Bhavani Yadav</t>
  </si>
  <si>
    <t>9659204295</t>
  </si>
  <si>
    <t>GL9179834545</t>
  </si>
  <si>
    <t>MFLC1000276</t>
  </si>
  <si>
    <t>Ritu Yadav</t>
  </si>
  <si>
    <t>8365796442</t>
  </si>
  <si>
    <t>GL6207104847</t>
  </si>
  <si>
    <t>MFLC1000277</t>
  </si>
  <si>
    <t>Sirisha Kumar</t>
  </si>
  <si>
    <t>8243485367</t>
  </si>
  <si>
    <t>Nizamabad - Church Road</t>
  </si>
  <si>
    <t>GL4649553679</t>
  </si>
  <si>
    <t>MFLC1000278</t>
  </si>
  <si>
    <t>Suresh Jain</t>
  </si>
  <si>
    <t>9206722590</t>
  </si>
  <si>
    <t>Kanpur - Main Road</t>
  </si>
  <si>
    <t>GL4925946518</t>
  </si>
  <si>
    <t>MFLC1000279</t>
  </si>
  <si>
    <t>Saranya Ravi</t>
  </si>
  <si>
    <t>9128856721</t>
  </si>
  <si>
    <t>GL6857415439</t>
  </si>
  <si>
    <t>MFLC1000280</t>
  </si>
  <si>
    <t>Mani Krishnan</t>
  </si>
  <si>
    <t>8484406449</t>
  </si>
  <si>
    <t>GL6695961381</t>
  </si>
  <si>
    <t>MFLC1000281</t>
  </si>
  <si>
    <t>Faisal Kurup</t>
  </si>
  <si>
    <t>9809977527</t>
  </si>
  <si>
    <t>GL1346339946</t>
  </si>
  <si>
    <t>MFLC1000282</t>
  </si>
  <si>
    <t>Seema Rathore</t>
  </si>
  <si>
    <t>9484274586</t>
  </si>
  <si>
    <t>GL8643232751</t>
  </si>
  <si>
    <t>MFLC1000283</t>
  </si>
  <si>
    <t>Priya Singh</t>
  </si>
  <si>
    <t>9337245160</t>
  </si>
  <si>
    <t>Gwalior - Main Road</t>
  </si>
  <si>
    <t>GL2111516610</t>
  </si>
  <si>
    <t>MFLC1000284</t>
  </si>
  <si>
    <t>Mary Pillai</t>
  </si>
  <si>
    <t>8747210046</t>
  </si>
  <si>
    <t>Alappuzha - Main Road</t>
  </si>
  <si>
    <t>GL8378663786</t>
  </si>
  <si>
    <t>MFLC1000285</t>
  </si>
  <si>
    <t>Smitha Mohammed</t>
  </si>
  <si>
    <t>7627197606</t>
  </si>
  <si>
    <t>Kannur - Gandhi Nagar</t>
  </si>
  <si>
    <t>GL7537485739</t>
  </si>
  <si>
    <t>MFLC1000286</t>
  </si>
  <si>
    <t>Srinivas Reddy</t>
  </si>
  <si>
    <t>9153595652</t>
  </si>
  <si>
    <t>Nellore - Gandhi Nagar</t>
  </si>
  <si>
    <t>GL5998505034</t>
  </si>
  <si>
    <t>MFLC1000287</t>
  </si>
  <si>
    <t>Sreeja Mohammed</t>
  </si>
  <si>
    <t>9732779883</t>
  </si>
  <si>
    <t>Kannur - Station Road</t>
  </si>
  <si>
    <t>GL9085733910</t>
  </si>
  <si>
    <t>MFLC1000288</t>
  </si>
  <si>
    <t>Lakshmi Shankar</t>
  </si>
  <si>
    <t>9584458147</t>
  </si>
  <si>
    <t>Davanagere - Station Road</t>
  </si>
  <si>
    <t>GL9286746703</t>
  </si>
  <si>
    <t>MFLC1000289</t>
  </si>
  <si>
    <t>Rekha Singh</t>
  </si>
  <si>
    <t>8730670642</t>
  </si>
  <si>
    <t>Gurugram - Industrial Estate</t>
  </si>
  <si>
    <t>GL5054278503</t>
  </si>
  <si>
    <t>MFLC1000290</t>
  </si>
  <si>
    <t>Latha Ibrahim</t>
  </si>
  <si>
    <t>9435721322</t>
  </si>
  <si>
    <t>GL6613969823</t>
  </si>
  <si>
    <t>MFLC1000291</t>
  </si>
  <si>
    <t>Jayanthi Iyer</t>
  </si>
  <si>
    <t>8382735750</t>
  </si>
  <si>
    <t>Chennai - Church Road</t>
  </si>
  <si>
    <t>GL0828795099</t>
  </si>
  <si>
    <t>MFLC1000292</t>
  </si>
  <si>
    <t>Bindu Varghese</t>
  </si>
  <si>
    <t>9566134966</t>
  </si>
  <si>
    <t>GL7334555185</t>
  </si>
  <si>
    <t>MFLC1000293</t>
  </si>
  <si>
    <t>Rekha Agarwal</t>
  </si>
  <si>
    <t>9290222450</t>
  </si>
  <si>
    <t>New Delhi - Bus Stand</t>
  </si>
  <si>
    <t>GL5716599075</t>
  </si>
  <si>
    <t>MFLC1000294</t>
  </si>
  <si>
    <t>Selvi Subramanian</t>
  </si>
  <si>
    <t>8964088451</t>
  </si>
  <si>
    <t>GL1176445830</t>
  </si>
  <si>
    <t>MFLC1000295</t>
  </si>
  <si>
    <t>Srinivas Babu</t>
  </si>
  <si>
    <t>8063299103</t>
  </si>
  <si>
    <t>GL1602029997</t>
  </si>
  <si>
    <t>MFLC1000296</t>
  </si>
  <si>
    <t>Anusha Babu</t>
  </si>
  <si>
    <t>9923926178</t>
  </si>
  <si>
    <t>Tirupati - Industrial Estate</t>
  </si>
  <si>
    <t>GL0132159748</t>
  </si>
  <si>
    <t>MFLC1000297</t>
  </si>
  <si>
    <t>Vasanthi Natarajan</t>
  </si>
  <si>
    <t>7904387507</t>
  </si>
  <si>
    <t>Salem - Gandhi Nagar</t>
  </si>
  <si>
    <t>GL1039905792</t>
  </si>
  <si>
    <t>MFLC1000298</t>
  </si>
  <si>
    <t>Rohit Chauhan</t>
  </si>
  <si>
    <t>9975520237</t>
  </si>
  <si>
    <t>Bhopal - Main Road</t>
  </si>
  <si>
    <t>GL0595873259</t>
  </si>
  <si>
    <t>MFLC1000299</t>
  </si>
  <si>
    <t>Prakash Kumar</t>
  </si>
  <si>
    <t>6900635851</t>
  </si>
  <si>
    <t>GL2397564384</t>
  </si>
  <si>
    <t>MFLC1000300</t>
  </si>
  <si>
    <t>Neha Chauhan</t>
  </si>
  <si>
    <t>7487044322</t>
  </si>
  <si>
    <t>Jaipur - Market Road</t>
  </si>
  <si>
    <t>GL2455181970</t>
  </si>
  <si>
    <t>MFLC1000301</t>
  </si>
  <si>
    <t>Arun Raman</t>
  </si>
  <si>
    <t>8262797895</t>
  </si>
  <si>
    <t>Tiruchirappalli - Main Road</t>
  </si>
  <si>
    <t>GL9211987520</t>
  </si>
  <si>
    <t>MFLC1000302</t>
  </si>
  <si>
    <t>Kavitha Reddy</t>
  </si>
  <si>
    <t>7905131669</t>
  </si>
  <si>
    <t>GL1829507338</t>
  </si>
  <si>
    <t>MFLC1000303</t>
  </si>
  <si>
    <t>Kiran Murthy</t>
  </si>
  <si>
    <t>9003157554</t>
  </si>
  <si>
    <t>GL6649886840</t>
  </si>
  <si>
    <t>MFLC1000304</t>
  </si>
  <si>
    <t>Latha Shankar</t>
  </si>
  <si>
    <t>8787825586</t>
  </si>
  <si>
    <t>Davanagere - Main Road</t>
  </si>
  <si>
    <t>GL6193134794</t>
  </si>
  <si>
    <t>MFLC1000305</t>
  </si>
  <si>
    <t>Lakshmi Nair</t>
  </si>
  <si>
    <t>7901025585</t>
  </si>
  <si>
    <t>Kottayam - Gandhi Nagar</t>
  </si>
  <si>
    <t>GL9018462036</t>
  </si>
  <si>
    <t>MFLC1000306</t>
  </si>
  <si>
    <t>Vijay Murugan</t>
  </si>
  <si>
    <t>7576628338</t>
  </si>
  <si>
    <t>Madurai - Church Road</t>
  </si>
  <si>
    <t>GL6756318277</t>
  </si>
  <si>
    <t>MFLC1000307</t>
  </si>
  <si>
    <t>9108597245</t>
  </si>
  <si>
    <t>GL5041275660</t>
  </si>
  <si>
    <t>MFLC1000308</t>
  </si>
  <si>
    <t>8300813775</t>
  </si>
  <si>
    <t>Kochi - Temple Street</t>
  </si>
  <si>
    <t>GL7155522309</t>
  </si>
  <si>
    <t>MFLC1000309</t>
  </si>
  <si>
    <t>Priya Ravi</t>
  </si>
  <si>
    <t>8575608360</t>
  </si>
  <si>
    <t>GL6522074424</t>
  </si>
  <si>
    <t>MFLC1000310</t>
  </si>
  <si>
    <t>Srinivas Naidu</t>
  </si>
  <si>
    <t>8905722722</t>
  </si>
  <si>
    <t>Nizamabad - Station Road</t>
  </si>
  <si>
    <t>GL6699003762</t>
  </si>
  <si>
    <t>MFLC1000311</t>
  </si>
  <si>
    <t>Rohit Mishra</t>
  </si>
  <si>
    <t>9930170845</t>
  </si>
  <si>
    <t>GL4753637964</t>
  </si>
  <si>
    <t>MFLC1000312</t>
  </si>
  <si>
    <t>Saranya Raman</t>
  </si>
  <si>
    <t>7311504827</t>
  </si>
  <si>
    <t>Tiruchirappalli - Civil Lines</t>
  </si>
  <si>
    <t>GL6463756551</t>
  </si>
  <si>
    <t>MFLC1000313</t>
  </si>
  <si>
    <t>Krishna Yadav</t>
  </si>
  <si>
    <t>6297895266</t>
  </si>
  <si>
    <t>Guntur - Civil Lines</t>
  </si>
  <si>
    <t>GL4304482637</t>
  </si>
  <si>
    <t>MFLC1000314</t>
  </si>
  <si>
    <t>Latha Patil</t>
  </si>
  <si>
    <t>7591401376</t>
  </si>
  <si>
    <t>GL9485237435</t>
  </si>
  <si>
    <t>MFLC1000315</t>
  </si>
  <si>
    <t>Girish Kulkarni</t>
  </si>
  <si>
    <t>9095260258</t>
  </si>
  <si>
    <t>Mysuru - Station Road</t>
  </si>
  <si>
    <t>GL0062331306</t>
  </si>
  <si>
    <t>MFLC1000316</t>
  </si>
  <si>
    <t>Swathi Yadav</t>
  </si>
  <si>
    <t>9629982853</t>
  </si>
  <si>
    <t>Karimnagar - Gandhi Nagar</t>
  </si>
  <si>
    <t>GL6189735775</t>
  </si>
  <si>
    <t>MFLC1000317</t>
  </si>
  <si>
    <t>Anil Verma</t>
  </si>
  <si>
    <t>7542440374</t>
  </si>
  <si>
    <t>GL1456297643</t>
  </si>
  <si>
    <t>MFLC1000318</t>
  </si>
  <si>
    <t>Geeta Agarwal</t>
  </si>
  <si>
    <t>9365293109</t>
  </si>
  <si>
    <t>Agra - MG Road</t>
  </si>
  <si>
    <t>GL9773795999</t>
  </si>
  <si>
    <t>MFLC1000319</t>
  </si>
  <si>
    <t>Anitha Kurup</t>
  </si>
  <si>
    <t>6575901249</t>
  </si>
  <si>
    <t>Kozhikode - Main Road</t>
  </si>
  <si>
    <t>GL8867838483</t>
  </si>
  <si>
    <t>MFLC1000320</t>
  </si>
  <si>
    <t>Roopa Reddy</t>
  </si>
  <si>
    <t>8149269574</t>
  </si>
  <si>
    <t>Shivamogga - Station Road</t>
  </si>
  <si>
    <t>GL6811906859</t>
  </si>
  <si>
    <t>MFLC1000321</t>
  </si>
  <si>
    <t>Sindhu Mohammed</t>
  </si>
  <si>
    <t>8780043562</t>
  </si>
  <si>
    <t>GL4401467242</t>
  </si>
  <si>
    <t>MFLC1000322</t>
  </si>
  <si>
    <t>Divya Mathew</t>
  </si>
  <si>
    <t>6770242166</t>
  </si>
  <si>
    <t>Kochi - Civil Lines</t>
  </si>
  <si>
    <t>GL2328426585</t>
  </si>
  <si>
    <t>MFLC1000323</t>
  </si>
  <si>
    <t>Priya Saxena</t>
  </si>
  <si>
    <t>9680669667</t>
  </si>
  <si>
    <t>Rohini - Main Road</t>
  </si>
  <si>
    <t>GL9817974135</t>
  </si>
  <si>
    <t>MFLC1000324</t>
  </si>
  <si>
    <t>Jyothi Babu</t>
  </si>
  <si>
    <t>9371426845</t>
  </si>
  <si>
    <t>Vijayawada - Main Road</t>
  </si>
  <si>
    <t>GL0205701351</t>
  </si>
  <si>
    <t>MFLC1000325</t>
  </si>
  <si>
    <t>Rajesh Jain</t>
  </si>
  <si>
    <t>9930285850</t>
  </si>
  <si>
    <t>GL9757409111</t>
  </si>
  <si>
    <t>MFLC1000326</t>
  </si>
  <si>
    <t>Sapna Saxena</t>
  </si>
  <si>
    <t>8507982387</t>
  </si>
  <si>
    <t>GL0714010712</t>
  </si>
  <si>
    <t>MFLC1000327</t>
  </si>
  <si>
    <t>Anita Tiwari</t>
  </si>
  <si>
    <t>8638094253</t>
  </si>
  <si>
    <t>Agra - Industrial Estate</t>
  </si>
  <si>
    <t>GL2227234884</t>
  </si>
  <si>
    <t>MFLC1000328</t>
  </si>
  <si>
    <t>Pushpa Hegde</t>
  </si>
  <si>
    <t>9654706853</t>
  </si>
  <si>
    <t>Mangaluru - MG Road</t>
  </si>
  <si>
    <t>GL1125036469</t>
  </si>
  <si>
    <t>MFLC1000329</t>
  </si>
  <si>
    <t>Rekha Verma</t>
  </si>
  <si>
    <t>9333264701</t>
  </si>
  <si>
    <t>Gurugram - Nehru Nagar</t>
  </si>
  <si>
    <t>GL3661054160</t>
  </si>
  <si>
    <t>MFLC1000330</t>
  </si>
  <si>
    <t>Vignesh Sundaram</t>
  </si>
  <si>
    <t>9239649498</t>
  </si>
  <si>
    <t>GL5379415479</t>
  </si>
  <si>
    <t>MFLC1000331</t>
  </si>
  <si>
    <t>Manjula Patil</t>
  </si>
  <si>
    <t>6842621675</t>
  </si>
  <si>
    <t>GL0172755569</t>
  </si>
  <si>
    <t>MFLC1000332</t>
  </si>
  <si>
    <t>Jayanthi Raman</t>
  </si>
  <si>
    <t>8779072772</t>
  </si>
  <si>
    <t>Tiruchirappalli - Station Road</t>
  </si>
  <si>
    <t>GL6371861547</t>
  </si>
  <si>
    <t>MFLC1000333</t>
  </si>
  <si>
    <t>Rani Warrier</t>
  </si>
  <si>
    <t>9901492224</t>
  </si>
  <si>
    <t>GL6770097809</t>
  </si>
  <si>
    <t>MFLC1000334</t>
  </si>
  <si>
    <t>Rekha Gupta</t>
  </si>
  <si>
    <t>8570047738</t>
  </si>
  <si>
    <t>GL1390698611</t>
  </si>
  <si>
    <t>MFLC1000335</t>
  </si>
  <si>
    <t>Senthil Venkatesh</t>
  </si>
  <si>
    <t>9381561927</t>
  </si>
  <si>
    <t>GL4955894626</t>
  </si>
  <si>
    <t>MFLC1000336</t>
  </si>
  <si>
    <t>Prakash Rajan</t>
  </si>
  <si>
    <t>7700714648</t>
  </si>
  <si>
    <t>Salem - Industrial Estate</t>
  </si>
  <si>
    <t>GL7609770304</t>
  </si>
  <si>
    <t>MFLC1000337</t>
  </si>
  <si>
    <t>Anoop Warrier</t>
  </si>
  <si>
    <t>9588789137</t>
  </si>
  <si>
    <t>GL4909177145</t>
  </si>
  <si>
    <t>MFLC1000338</t>
  </si>
  <si>
    <t>7554630341</t>
  </si>
  <si>
    <t>Bengaluru - Temple Street</t>
  </si>
  <si>
    <t>GL7315651321</t>
  </si>
  <si>
    <t>MFLC1000339</t>
  </si>
  <si>
    <t>Ramesh Chauhan</t>
  </si>
  <si>
    <t>8259345874</t>
  </si>
  <si>
    <t>Rohini - MG Road</t>
  </si>
  <si>
    <t>GL4126345696</t>
  </si>
  <si>
    <t>MFLC1000340</t>
  </si>
  <si>
    <t>9546054718</t>
  </si>
  <si>
    <t>Thrissur - Nehru Nagar</t>
  </si>
  <si>
    <t>GL1827934164</t>
  </si>
  <si>
    <t>MFLC1000341</t>
  </si>
  <si>
    <t>7195252016</t>
  </si>
  <si>
    <t>GL5507940145</t>
  </si>
  <si>
    <t>MFLC1000342</t>
  </si>
  <si>
    <t>6230546568</t>
  </si>
  <si>
    <t>Kozhikode - Town Hall</t>
  </si>
  <si>
    <t>GL6867876619</t>
  </si>
  <si>
    <t>MFLC1000343</t>
  </si>
  <si>
    <t>Revathi Selvam</t>
  </si>
  <si>
    <t>9070571711</t>
  </si>
  <si>
    <t>Vellore - MG Road</t>
  </si>
  <si>
    <t>GL0507302994</t>
  </si>
  <si>
    <t>MFLC1000344</t>
  </si>
  <si>
    <t>Padma Rao</t>
  </si>
  <si>
    <t>9247305537</t>
  </si>
  <si>
    <t>GL1672027624</t>
  </si>
  <si>
    <t>MFLC1000345</t>
  </si>
  <si>
    <t>9779471770</t>
  </si>
  <si>
    <t>Noida - Gandhi Nagar</t>
  </si>
  <si>
    <t>GL3207994971</t>
  </si>
  <si>
    <t>MFLC1000346</t>
  </si>
  <si>
    <t>Saravanan Iyer</t>
  </si>
  <si>
    <t>8975805028</t>
  </si>
  <si>
    <t>GL7897350540</t>
  </si>
  <si>
    <t>MFLC1000347</t>
  </si>
  <si>
    <t>Bhaskar Raju</t>
  </si>
  <si>
    <t>7679599630</t>
  </si>
  <si>
    <t>Nellore - Bus Stand</t>
  </si>
  <si>
    <t>GL1647216091</t>
  </si>
  <si>
    <t>MFLC1000348</t>
  </si>
  <si>
    <t>7713030694</t>
  </si>
  <si>
    <t>Agra - Main Road</t>
  </si>
  <si>
    <t>GL3041856039</t>
  </si>
  <si>
    <t>MFLC1000349</t>
  </si>
  <si>
    <t>Savitha Acharya</t>
  </si>
  <si>
    <t>9329888181</t>
  </si>
  <si>
    <t>Bengaluru - Nehru Nagar</t>
  </si>
  <si>
    <t>GL2496034865</t>
  </si>
  <si>
    <t>MFLC1000350</t>
  </si>
  <si>
    <t>Manjunath Bhat</t>
  </si>
  <si>
    <t>7581539221</t>
  </si>
  <si>
    <t>Mangaluru - Nehru Nagar</t>
  </si>
  <si>
    <t>GL8155720503</t>
  </si>
  <si>
    <t>MFLC1000351</t>
  </si>
  <si>
    <t>Kavitha Goud</t>
  </si>
  <si>
    <t>6893980042</t>
  </si>
  <si>
    <t>GL6231017278</t>
  </si>
  <si>
    <t>MFLC1000352</t>
  </si>
  <si>
    <t>Jyothi Yadav</t>
  </si>
  <si>
    <t>6728620054</t>
  </si>
  <si>
    <t>Hyderabad - Bus Stand</t>
  </si>
  <si>
    <t>GL0494880028</t>
  </si>
  <si>
    <t>MFLC1000353</t>
  </si>
  <si>
    <t>Pushpa Patil</t>
  </si>
  <si>
    <t>7444508578</t>
  </si>
  <si>
    <t>Davanagere - Market Road</t>
  </si>
  <si>
    <t>GL2322947560</t>
  </si>
  <si>
    <t>MFLC1000354</t>
  </si>
  <si>
    <t>7346622006</t>
  </si>
  <si>
    <t>GL3214032888</t>
  </si>
  <si>
    <t>MFLC1000355</t>
  </si>
  <si>
    <t>Rajeev Kurup</t>
  </si>
  <si>
    <t>6448699459</t>
  </si>
  <si>
    <t>GL5371131651</t>
  </si>
  <si>
    <t>MFLC1000356</t>
  </si>
  <si>
    <t>Devi Sundaram</t>
  </si>
  <si>
    <t>9790013701</t>
  </si>
  <si>
    <t>Salem - Church Road</t>
  </si>
  <si>
    <t>GL7351461848</t>
  </si>
  <si>
    <t>MFLC1000357</t>
  </si>
  <si>
    <t>8434496149</t>
  </si>
  <si>
    <t>GL6600421582</t>
  </si>
  <si>
    <t>MFLC1000358</t>
  </si>
  <si>
    <t>Manoj Singh</t>
  </si>
  <si>
    <t>8861217162</t>
  </si>
  <si>
    <t>Rohini - Temple Street</t>
  </si>
  <si>
    <t>GL0298655213</t>
  </si>
  <si>
    <t>MFLC1000359</t>
  </si>
  <si>
    <t>Srinivas Kumar</t>
  </si>
  <si>
    <t>9835436307</t>
  </si>
  <si>
    <t>Guntur - Industrial Estate</t>
  </si>
  <si>
    <t>GL7510531731</t>
  </si>
  <si>
    <t>MFLC1000360</t>
  </si>
  <si>
    <t>Vikas Yadav</t>
  </si>
  <si>
    <t>9394226770</t>
  </si>
  <si>
    <t>Gurugram - Town Hall</t>
  </si>
  <si>
    <t>GL2387653506</t>
  </si>
  <si>
    <t>MFLC1000361</t>
  </si>
  <si>
    <t>9423537920</t>
  </si>
  <si>
    <t>GL5836458506</t>
  </si>
  <si>
    <t>MFLC1000362</t>
  </si>
  <si>
    <t>Kumar Ravi</t>
  </si>
  <si>
    <t>9788178825</t>
  </si>
  <si>
    <t>GL3407326141</t>
  </si>
  <si>
    <t>MFLC1000363</t>
  </si>
  <si>
    <t>Mani Selvam</t>
  </si>
  <si>
    <t>9434475415</t>
  </si>
  <si>
    <t>GL1081534101</t>
  </si>
  <si>
    <t>MFLC1000364</t>
  </si>
  <si>
    <t>7717713870</t>
  </si>
  <si>
    <t>Faridabad - Bus Stand</t>
  </si>
  <si>
    <t>GL1306594498</t>
  </si>
  <si>
    <t>MFLC1000365</t>
  </si>
  <si>
    <t>8001808895</t>
  </si>
  <si>
    <t>GL4270273656</t>
  </si>
  <si>
    <t>MFLC1000366</t>
  </si>
  <si>
    <t>Selvi Iyer</t>
  </si>
  <si>
    <t>8342472106</t>
  </si>
  <si>
    <t>GL5090501493</t>
  </si>
  <si>
    <t>MFLC1000367</t>
  </si>
  <si>
    <t>Seema Joshi</t>
  </si>
  <si>
    <t>9211399914</t>
  </si>
  <si>
    <t>Bhopal - Market Road</t>
  </si>
  <si>
    <t>GL5936809236</t>
  </si>
  <si>
    <t>MFLC1000368</t>
  </si>
  <si>
    <t>Abdul Panicker</t>
  </si>
  <si>
    <t>7525536976</t>
  </si>
  <si>
    <t>GL9241371523</t>
  </si>
  <si>
    <t>MFLC1000369</t>
  </si>
  <si>
    <t>Anjaneyulu Goud</t>
  </si>
  <si>
    <t>9570831376</t>
  </si>
  <si>
    <t>GL1301371904</t>
  </si>
  <si>
    <t>MFLC1000370</t>
  </si>
  <si>
    <t>Vidya Bhat</t>
  </si>
  <si>
    <t>9321519432</t>
  </si>
  <si>
    <t>Hubballi - Church Road</t>
  </si>
  <si>
    <t>GL3248597180</t>
  </si>
  <si>
    <t>MFLC1000371</t>
  </si>
  <si>
    <t>7567990082</t>
  </si>
  <si>
    <t>GL9302573752</t>
  </si>
  <si>
    <t>MFLC1000372</t>
  </si>
  <si>
    <t>Anil George</t>
  </si>
  <si>
    <t>9774426987</t>
  </si>
  <si>
    <t>GL7371542741</t>
  </si>
  <si>
    <t>MFLC1000373</t>
  </si>
  <si>
    <t>Balaji Krishnan</t>
  </si>
  <si>
    <t>9226299403</t>
  </si>
  <si>
    <t>Tiruchirappalli - Church Road</t>
  </si>
  <si>
    <t>GL0530115396</t>
  </si>
  <si>
    <t>MFLC1000374</t>
  </si>
  <si>
    <t>Meena Kannan</t>
  </si>
  <si>
    <t>9093606102</t>
  </si>
  <si>
    <t>Madurai - Main Road</t>
  </si>
  <si>
    <t>GL2854740432</t>
  </si>
  <si>
    <t>MFLC1000375</t>
  </si>
  <si>
    <t>7628357243</t>
  </si>
  <si>
    <t>GL2879059987</t>
  </si>
  <si>
    <t>MFLC1000376</t>
  </si>
  <si>
    <t>Shalini Mathew</t>
  </si>
  <si>
    <t>7555501261</t>
  </si>
  <si>
    <t>GL1096581709</t>
  </si>
  <si>
    <t>MFLC1000377</t>
  </si>
  <si>
    <t>Thomas Philip</t>
  </si>
  <si>
    <t>9600423030</t>
  </si>
  <si>
    <t>GL8484008957</t>
  </si>
  <si>
    <t>MFLC1000378</t>
  </si>
  <si>
    <t>Radha Yadav</t>
  </si>
  <si>
    <t>9465439491</t>
  </si>
  <si>
    <t>GL6216762763</t>
  </si>
  <si>
    <t>MFLC1000379</t>
  </si>
  <si>
    <t>Satish Kumar</t>
  </si>
  <si>
    <t>9611080423</t>
  </si>
  <si>
    <t>GL6426269211</t>
  </si>
  <si>
    <t>MFLC1000380</t>
  </si>
  <si>
    <t>Shalini Pillai</t>
  </si>
  <si>
    <t>9466038154</t>
  </si>
  <si>
    <t>GL5821268689</t>
  </si>
  <si>
    <t>MFLC1000381</t>
  </si>
  <si>
    <t>Naresh Varma</t>
  </si>
  <si>
    <t>9616599649</t>
  </si>
  <si>
    <t>GL2098585265</t>
  </si>
  <si>
    <t>MFLC1000382</t>
  </si>
  <si>
    <t>Jayanthi Chandran</t>
  </si>
  <si>
    <t>9887786242</t>
  </si>
  <si>
    <t>GL3793022431</t>
  </si>
  <si>
    <t>MFLC1000383</t>
  </si>
  <si>
    <t>8200639514</t>
  </si>
  <si>
    <t>GL3778169737</t>
  </si>
  <si>
    <t>MFLC1000384</t>
  </si>
  <si>
    <t>Rani Kurup</t>
  </si>
  <si>
    <t>9811789017</t>
  </si>
  <si>
    <t>Alappuzha - Market Road</t>
  </si>
  <si>
    <t>GL3088327369</t>
  </si>
  <si>
    <t>MFLC1000385</t>
  </si>
  <si>
    <t>9866193593</t>
  </si>
  <si>
    <t>Belagavi - Market Road</t>
  </si>
  <si>
    <t>GL5923017635</t>
  </si>
  <si>
    <t>MFLC1000386</t>
  </si>
  <si>
    <t>Ritu Gupta</t>
  </si>
  <si>
    <t>9883922131</t>
  </si>
  <si>
    <t>GL0781349828</t>
  </si>
  <si>
    <t>MFLC1000387</t>
  </si>
  <si>
    <t>8899383903</t>
  </si>
  <si>
    <t>GL5045597448</t>
  </si>
  <si>
    <t>MFLC1000388</t>
  </si>
  <si>
    <t>Ramesh Tiwari</t>
  </si>
  <si>
    <t>7185518316</t>
  </si>
  <si>
    <t>Kanpur - MG Road</t>
  </si>
  <si>
    <t>GL9562836198</t>
  </si>
  <si>
    <t>MFLC1000389</t>
  </si>
  <si>
    <t>Manoj Chauhan</t>
  </si>
  <si>
    <t>9682943217</t>
  </si>
  <si>
    <t>GL8238100667</t>
  </si>
  <si>
    <t>MFLC1000390</t>
  </si>
  <si>
    <t>Suresh Hegde</t>
  </si>
  <si>
    <t>9559935976</t>
  </si>
  <si>
    <t>GL2784472394</t>
  </si>
  <si>
    <t>MFLC1000391</t>
  </si>
  <si>
    <t>Manjula Bhat</t>
  </si>
  <si>
    <t>9593928327</t>
  </si>
  <si>
    <t>Mangaluru - Main Road</t>
  </si>
  <si>
    <t>GL0063834300</t>
  </si>
  <si>
    <t>MFLC1000392</t>
  </si>
  <si>
    <t>Vidya Acharya</t>
  </si>
  <si>
    <t>9885556504</t>
  </si>
  <si>
    <t>Mysuru - Main Road</t>
  </si>
  <si>
    <t>GL2700120529</t>
  </si>
  <si>
    <t>MFLC1000393</t>
  </si>
  <si>
    <t>9589147687</t>
  </si>
  <si>
    <t>Visakhapatnam - Station Road</t>
  </si>
  <si>
    <t>GL8101741963</t>
  </si>
  <si>
    <t>MFLC1000394</t>
  </si>
  <si>
    <t>Anusha Chowdary</t>
  </si>
  <si>
    <t>9469740764</t>
  </si>
  <si>
    <t>GL7104021200</t>
  </si>
  <si>
    <t>MFLC1000395</t>
  </si>
  <si>
    <t>9055055890</t>
  </si>
  <si>
    <t>Dwarka - Station Road</t>
  </si>
  <si>
    <t>GL0002393204</t>
  </si>
  <si>
    <t>MFLC1000396</t>
  </si>
  <si>
    <t>Suresh Rao</t>
  </si>
  <si>
    <t>8272240306</t>
  </si>
  <si>
    <t>GL4452385132</t>
  </si>
  <si>
    <t>MFLC1000397</t>
  </si>
  <si>
    <t>Mahesh Reddy</t>
  </si>
  <si>
    <t>9764163210</t>
  </si>
  <si>
    <t>Warangal - Industrial Estate</t>
  </si>
  <si>
    <t>GL4849230693</t>
  </si>
  <si>
    <t>MFLC1000398</t>
  </si>
  <si>
    <t>Jayanthi Ravi</t>
  </si>
  <si>
    <t>8552372724</t>
  </si>
  <si>
    <t>Coimbatore - Nehru Nagar</t>
  </si>
  <si>
    <t>GL5252722223</t>
  </si>
  <si>
    <t>MFLC1000399</t>
  </si>
  <si>
    <t>Fathima Thomas</t>
  </si>
  <si>
    <t>6817700432</t>
  </si>
  <si>
    <t>Thiruvananthapuram - Market Road</t>
  </si>
  <si>
    <t>GL6064345877</t>
  </si>
  <si>
    <t>MFLC1000400</t>
  </si>
  <si>
    <t>Sapna Jain</t>
  </si>
  <si>
    <t>8502241372</t>
  </si>
  <si>
    <t>GL5121456598</t>
  </si>
  <si>
    <t>MFLC1000401</t>
  </si>
  <si>
    <t>Malathi Annamalai</t>
  </si>
  <si>
    <t>9887841571</t>
  </si>
  <si>
    <t>GL7748117922</t>
  </si>
  <si>
    <t>MFLC1000402</t>
  </si>
  <si>
    <t>Selvam Annamalai</t>
  </si>
  <si>
    <t>8643870254</t>
  </si>
  <si>
    <t>GL4313003272</t>
  </si>
  <si>
    <t>MFLC1000403</t>
  </si>
  <si>
    <t>Karthik Pandian</t>
  </si>
  <si>
    <t>6486314637</t>
  </si>
  <si>
    <t>Tiruchirappalli - Bus Stand</t>
  </si>
  <si>
    <t>GL0235649534</t>
  </si>
  <si>
    <t>MFLC1000404</t>
  </si>
  <si>
    <t>Rakesh Mishra</t>
  </si>
  <si>
    <t>9703736531</t>
  </si>
  <si>
    <t>Kanpur - Market Road</t>
  </si>
  <si>
    <t>GL6693400201</t>
  </si>
  <si>
    <t>MFLC1000405</t>
  </si>
  <si>
    <t>Priya Pandian</t>
  </si>
  <si>
    <t>8928594273</t>
  </si>
  <si>
    <t>GL1111751496</t>
  </si>
  <si>
    <t>MFLC1000406</t>
  </si>
  <si>
    <t>Sreejith Pillai</t>
  </si>
  <si>
    <t>9609616984</t>
  </si>
  <si>
    <t>GL4788875569</t>
  </si>
  <si>
    <t>MFLC1000407</t>
  </si>
  <si>
    <t>Deepak Agarwal</t>
  </si>
  <si>
    <t>9841381548</t>
  </si>
  <si>
    <t>GL1818294290</t>
  </si>
  <si>
    <t>MFLC1000408</t>
  </si>
  <si>
    <t>Bhavani Reddy</t>
  </si>
  <si>
    <t>8488421716</t>
  </si>
  <si>
    <t>GL7800153312</t>
  </si>
  <si>
    <t>MFLC1000409</t>
  </si>
  <si>
    <t>Rohit Verma</t>
  </si>
  <si>
    <t>8907372294</t>
  </si>
  <si>
    <t>Jodhpur - Market Road</t>
  </si>
  <si>
    <t>GL1480798646</t>
  </si>
  <si>
    <t>MFLC1000410</t>
  </si>
  <si>
    <t>Anitha Pandian</t>
  </si>
  <si>
    <t>8667325256</t>
  </si>
  <si>
    <t>Erode - Station Road</t>
  </si>
  <si>
    <t>GL4929789420</t>
  </si>
  <si>
    <t>MFLC1000411</t>
  </si>
  <si>
    <t>7988845927</t>
  </si>
  <si>
    <t>GL1933523563</t>
  </si>
  <si>
    <t>MFLC1000412</t>
  </si>
  <si>
    <t>9663596676</t>
  </si>
  <si>
    <t>GL3298192411</t>
  </si>
  <si>
    <t>MFLC1000413</t>
  </si>
  <si>
    <t>Sunita Agarwal</t>
  </si>
  <si>
    <t>9879343296</t>
  </si>
  <si>
    <t>Gwalior - MG Road</t>
  </si>
  <si>
    <t>GL0737910379</t>
  </si>
  <si>
    <t>MFLC1000414</t>
  </si>
  <si>
    <t>Divya Kumar</t>
  </si>
  <si>
    <t>9475815528</t>
  </si>
  <si>
    <t>Thiruvananthapuram - MG Road</t>
  </si>
  <si>
    <t>GL7174395869</t>
  </si>
  <si>
    <t>MFLC1000415</t>
  </si>
  <si>
    <t>Prasad Rao</t>
  </si>
  <si>
    <t>9642101067</t>
  </si>
  <si>
    <t>Karimnagar - MG Road</t>
  </si>
  <si>
    <t>GL5141174134</t>
  </si>
  <si>
    <t>MFLC1000416</t>
  </si>
  <si>
    <t>Vijaya Varma</t>
  </si>
  <si>
    <t>9561085238</t>
  </si>
  <si>
    <t>GL9095556822</t>
  </si>
  <si>
    <t>MFLC1000417</t>
  </si>
  <si>
    <t>Karthik Venkatesh</t>
  </si>
  <si>
    <t>7686613332</t>
  </si>
  <si>
    <t>GL5466426787</t>
  </si>
  <si>
    <t>MFLC1000418</t>
  </si>
  <si>
    <t>9029572669</t>
  </si>
  <si>
    <t>GL7163035316</t>
  </si>
  <si>
    <t>MFLC1000419</t>
  </si>
  <si>
    <t>9318856886</t>
  </si>
  <si>
    <t>GL9304350950</t>
  </si>
  <si>
    <t>MFLC1000420</t>
  </si>
  <si>
    <t>Priya Tiwari</t>
  </si>
  <si>
    <t>8097735482</t>
  </si>
  <si>
    <t>Kanpur - Civil Lines</t>
  </si>
  <si>
    <t>GL0596733661</t>
  </si>
  <si>
    <t>MFLC1000421</t>
  </si>
  <si>
    <t>Jayanthi Annamalai</t>
  </si>
  <si>
    <t>9234841306</t>
  </si>
  <si>
    <t>GL8333933882</t>
  </si>
  <si>
    <t>MFLC1000422</t>
  </si>
  <si>
    <t>Geetha Reddy</t>
  </si>
  <si>
    <t>7688636195</t>
  </si>
  <si>
    <t>GL0417291302</t>
  </si>
  <si>
    <t>MFLC1000423</t>
  </si>
  <si>
    <t>Madhavi Yadav</t>
  </si>
  <si>
    <t>7850661002</t>
  </si>
  <si>
    <t>GL5747172569</t>
  </si>
  <si>
    <t>MFLC1000424</t>
  </si>
  <si>
    <t>9386074124</t>
  </si>
  <si>
    <t>GL1321355069</t>
  </si>
  <si>
    <t>MFLC1000425</t>
  </si>
  <si>
    <t>9430532323</t>
  </si>
  <si>
    <t>GL0198195203</t>
  </si>
  <si>
    <t>MFLC1000426</t>
  </si>
  <si>
    <t>Rohit Agarwal</t>
  </si>
  <si>
    <t>9266003439</t>
  </si>
  <si>
    <t>Lucknow - Gandhi Nagar</t>
  </si>
  <si>
    <t>GL1516034133</t>
  </si>
  <si>
    <t>MFLC1000427</t>
  </si>
  <si>
    <t>Shalini Philip</t>
  </si>
  <si>
    <t>9488705742</t>
  </si>
  <si>
    <t>GL7435825831</t>
  </si>
  <si>
    <t>MFLC1000428</t>
  </si>
  <si>
    <t>Rekha Rathore</t>
  </si>
  <si>
    <t>8939121640</t>
  </si>
  <si>
    <t>Faridabad - Industrial Estate</t>
  </si>
  <si>
    <t>GL9666401044</t>
  </si>
  <si>
    <t>MFLC1000429</t>
  </si>
  <si>
    <t>Deepak Joshi</t>
  </si>
  <si>
    <t>9311659227</t>
  </si>
  <si>
    <t>GL7021872721</t>
  </si>
  <si>
    <t>MFLC1000430</t>
  </si>
  <si>
    <t>Sumithra Shetty</t>
  </si>
  <si>
    <t>9809612424</t>
  </si>
  <si>
    <t>GL5965788992</t>
  </si>
  <si>
    <t>MFLC1000431</t>
  </si>
  <si>
    <t>Selvi Pandian</t>
  </si>
  <si>
    <t>6415271774</t>
  </si>
  <si>
    <t>Salem - Main Road</t>
  </si>
  <si>
    <t>GL3176918546</t>
  </si>
  <si>
    <t>MFLC1000432</t>
  </si>
  <si>
    <t>9162450897</t>
  </si>
  <si>
    <t>Chennai - Bus Stand</t>
  </si>
  <si>
    <t>GL2589496093</t>
  </si>
  <si>
    <t>MFLC1000433</t>
  </si>
  <si>
    <t>Malathi Kannan</t>
  </si>
  <si>
    <t>9706320566</t>
  </si>
  <si>
    <t>Chennai - Station Road</t>
  </si>
  <si>
    <t>GL3854203506</t>
  </si>
  <si>
    <t>MFLC1000434</t>
  </si>
  <si>
    <t>Nagaraj Naik</t>
  </si>
  <si>
    <t>8811757306</t>
  </si>
  <si>
    <t>Mysuru - Industrial Estate</t>
  </si>
  <si>
    <t>GL1491640472</t>
  </si>
  <si>
    <t>MFLC1000435</t>
  </si>
  <si>
    <t>8153555615</t>
  </si>
  <si>
    <t>GL2145307661</t>
  </si>
  <si>
    <t>MFLC1000436</t>
  </si>
  <si>
    <t>Divya Varghese</t>
  </si>
  <si>
    <t>9679776332</t>
  </si>
  <si>
    <t>GL0476935304</t>
  </si>
  <si>
    <t>MFLC1000437</t>
  </si>
  <si>
    <t>9520019056</t>
  </si>
  <si>
    <t>Thrissur - Church Road</t>
  </si>
  <si>
    <t>GL6717945784</t>
  </si>
  <si>
    <t>MFLC1000438</t>
  </si>
  <si>
    <t>Sapna Mishra</t>
  </si>
  <si>
    <t>9555725692</t>
  </si>
  <si>
    <t>Dwarka - Temple Street</t>
  </si>
  <si>
    <t>GL3359674563</t>
  </si>
  <si>
    <t>MFLC1000439</t>
  </si>
  <si>
    <t>Latha Reddy</t>
  </si>
  <si>
    <t>7134877372</t>
  </si>
  <si>
    <t>Hubballi - Nehru Nagar</t>
  </si>
  <si>
    <t>GL4895372409</t>
  </si>
  <si>
    <t>MFLC1000440</t>
  </si>
  <si>
    <t>Thomas Thomas</t>
  </si>
  <si>
    <t>9946166220</t>
  </si>
  <si>
    <t>Kottayam - Nehru Nagar</t>
  </si>
  <si>
    <t>GL7316032270</t>
  </si>
  <si>
    <t>MFLC1000441</t>
  </si>
  <si>
    <t>Lakshmi Kannan</t>
  </si>
  <si>
    <t>8917768053</t>
  </si>
  <si>
    <t>GL5794164843</t>
  </si>
  <si>
    <t>MFLC1000442</t>
  </si>
  <si>
    <t>Anitha Kumar</t>
  </si>
  <si>
    <t>9667641892</t>
  </si>
  <si>
    <t>Thiruvananthapuram - Civil Lines</t>
  </si>
  <si>
    <t>GL9952356970</t>
  </si>
  <si>
    <t>MFLC1000443</t>
  </si>
  <si>
    <t>8109058835</t>
  </si>
  <si>
    <t>Noida - Temple Street</t>
  </si>
  <si>
    <t>GL9846735287</t>
  </si>
  <si>
    <t>MFLC1000444</t>
  </si>
  <si>
    <t>Girish Patil</t>
  </si>
  <si>
    <t>8253504844</t>
  </si>
  <si>
    <t>Davanagere - Church Road</t>
  </si>
  <si>
    <t>GL6285552575</t>
  </si>
  <si>
    <t>MFLC1000445</t>
  </si>
  <si>
    <t>Vijay Kannan</t>
  </si>
  <si>
    <t>9061334335</t>
  </si>
  <si>
    <t>GL8558794382</t>
  </si>
  <si>
    <t>MFLC1000446</t>
  </si>
  <si>
    <t>Meena Iyer</t>
  </si>
  <si>
    <t>7103611542</t>
  </si>
  <si>
    <t>GL8108739664</t>
  </si>
  <si>
    <t>MFLC1000447</t>
  </si>
  <si>
    <t>8352888036</t>
  </si>
  <si>
    <t>Salem - Station Road</t>
  </si>
  <si>
    <t>GL9903552158</t>
  </si>
  <si>
    <t>MFLC1000448</t>
  </si>
  <si>
    <t>Sanjay Joshi</t>
  </si>
  <si>
    <t>7499295751</t>
  </si>
  <si>
    <t>GL6923764093</t>
  </si>
  <si>
    <t>MFLC1000449</t>
  </si>
  <si>
    <t>Karthik Kannan</t>
  </si>
  <si>
    <t>8783065770</t>
  </si>
  <si>
    <t>Tiruchirappalli - Gandhi Nagar</t>
  </si>
  <si>
    <t>GL3245757260</t>
  </si>
  <si>
    <t>MFLC1000450</t>
  </si>
  <si>
    <t>Kumar Pandian</t>
  </si>
  <si>
    <t>9394473609</t>
  </si>
  <si>
    <t>GL0776270644</t>
  </si>
  <si>
    <t>MFLC1000451</t>
  </si>
  <si>
    <t>Selvi Natarajan</t>
  </si>
  <si>
    <t>8234204591</t>
  </si>
  <si>
    <t>GL0469807844</t>
  </si>
  <si>
    <t>MFLC1000452</t>
  </si>
  <si>
    <t>Kumar Iyer</t>
  </si>
  <si>
    <t>9326737796</t>
  </si>
  <si>
    <t>GL6889000092</t>
  </si>
  <si>
    <t>MFLC1000453</t>
  </si>
  <si>
    <t>Faisal Philip</t>
  </si>
  <si>
    <t>6533942994</t>
  </si>
  <si>
    <t>GL0539949006</t>
  </si>
  <si>
    <t>MFLC1000454</t>
  </si>
  <si>
    <t>Arun Subramanian</t>
  </si>
  <si>
    <t>6278943237</t>
  </si>
  <si>
    <t>GL9147805557</t>
  </si>
  <si>
    <t>MFLC1000455</t>
  </si>
  <si>
    <t>Girish Reddy</t>
  </si>
  <si>
    <t>7001191873</t>
  </si>
  <si>
    <t>GL6953663523</t>
  </si>
  <si>
    <t>MFLC1000456</t>
  </si>
  <si>
    <t>9220599237</t>
  </si>
  <si>
    <t>Vijayawada - Church Road</t>
  </si>
  <si>
    <t>GL7646762753</t>
  </si>
  <si>
    <t>MFLC1000457</t>
  </si>
  <si>
    <t>7858117503</t>
  </si>
  <si>
    <t>Nizamabad - Bus Stand</t>
  </si>
  <si>
    <t>GL4930856134</t>
  </si>
  <si>
    <t>MFLC1000458</t>
  </si>
  <si>
    <t>Lakshmi Sundaram</t>
  </si>
  <si>
    <t>9157574303</t>
  </si>
  <si>
    <t>Tirunelveli - Main Road</t>
  </si>
  <si>
    <t>GL8867654501</t>
  </si>
  <si>
    <t>MFLC1000459</t>
  </si>
  <si>
    <t>Rakesh Gupta</t>
  </si>
  <si>
    <t>7285770613</t>
  </si>
  <si>
    <t>GL5477965284</t>
  </si>
  <si>
    <t>MFLC1000460</t>
  </si>
  <si>
    <t>Manjula Shetty</t>
  </si>
  <si>
    <t>9438242272</t>
  </si>
  <si>
    <t>Shivamogga - Market Road</t>
  </si>
  <si>
    <t>GL9807890108</t>
  </si>
  <si>
    <t>MFLC1000461</t>
  </si>
  <si>
    <t>9759529595</t>
  </si>
  <si>
    <t>GL1264555010</t>
  </si>
  <si>
    <t>MFLC1000462</t>
  </si>
  <si>
    <t>Pushpa Shetty</t>
  </si>
  <si>
    <t>9206444132</t>
  </si>
  <si>
    <t>GL3763496478</t>
  </si>
  <si>
    <t>MFLC1000463</t>
  </si>
  <si>
    <t>Sumithra Shankar</t>
  </si>
  <si>
    <t>8275252530</t>
  </si>
  <si>
    <t>GL9451225693</t>
  </si>
  <si>
    <t>MFLC1000464</t>
  </si>
  <si>
    <t>8048287766</t>
  </si>
  <si>
    <t>GL7565229724</t>
  </si>
  <si>
    <t>MFLC1000465</t>
  </si>
  <si>
    <t>Pooja Singh</t>
  </si>
  <si>
    <t>9835057321</t>
  </si>
  <si>
    <t>Gwalior - Industrial Estate</t>
  </si>
  <si>
    <t>GL3163297936</t>
  </si>
  <si>
    <t>MFLC1000466</t>
  </si>
  <si>
    <t>Vasanthi Murugan</t>
  </si>
  <si>
    <t>9142114359</t>
  </si>
  <si>
    <t>GL0760614663</t>
  </si>
  <si>
    <t>MFLC1000467</t>
  </si>
  <si>
    <t>9419824762</t>
  </si>
  <si>
    <t>GL7128031137</t>
  </si>
  <si>
    <t>MFLC1000468</t>
  </si>
  <si>
    <t>9876053402</t>
  </si>
  <si>
    <t>Tirunelveli - Industrial Estate</t>
  </si>
  <si>
    <t>GL2793835252</t>
  </si>
  <si>
    <t>MFLC1000469</t>
  </si>
  <si>
    <t>9934486167</t>
  </si>
  <si>
    <t>Kanpur - Temple Street</t>
  </si>
  <si>
    <t>GL3419762925</t>
  </si>
  <si>
    <t>MFLC1000470</t>
  </si>
  <si>
    <t>Ravi Acharya</t>
  </si>
  <si>
    <t>8128574066</t>
  </si>
  <si>
    <t>GL0242642419</t>
  </si>
  <si>
    <t>MFLC1000471</t>
  </si>
  <si>
    <t>Ravi Chowdary</t>
  </si>
  <si>
    <t>9613117302</t>
  </si>
  <si>
    <t>Tirupati - Gandhi Nagar</t>
  </si>
  <si>
    <t>GL4298142305</t>
  </si>
  <si>
    <t>MFLC1000472</t>
  </si>
  <si>
    <t>Sirisha Naidu</t>
  </si>
  <si>
    <t>9444889836</t>
  </si>
  <si>
    <t>GL2479817991</t>
  </si>
  <si>
    <t>MFLC1000473</t>
  </si>
  <si>
    <t>8267784579</t>
  </si>
  <si>
    <t>GL6595377667</t>
  </si>
  <si>
    <t>MFLC1000474</t>
  </si>
  <si>
    <t>Sreeja Thomas</t>
  </si>
  <si>
    <t>9035109818</t>
  </si>
  <si>
    <t>GL5317874547</t>
  </si>
  <si>
    <t>MFLC1000475</t>
  </si>
  <si>
    <t>Lakshmi Rao</t>
  </si>
  <si>
    <t>9152429729</t>
  </si>
  <si>
    <t>Mangaluru - Temple Street</t>
  </si>
  <si>
    <t>GL2162205421</t>
  </si>
  <si>
    <t>MFLC1000476</t>
  </si>
  <si>
    <t>Faisal Joseph</t>
  </si>
  <si>
    <t>8200657266</t>
  </si>
  <si>
    <t>Kozhikode - Civil Lines</t>
  </si>
  <si>
    <t>GL9327944120</t>
  </si>
  <si>
    <t>MFLC1000477</t>
  </si>
  <si>
    <t>Neha Pandey</t>
  </si>
  <si>
    <t>8341711579</t>
  </si>
  <si>
    <t>GL2726433505</t>
  </si>
  <si>
    <t>MFLC1000478</t>
  </si>
  <si>
    <t>Selvam Kannan</t>
  </si>
  <si>
    <t>8244911110</t>
  </si>
  <si>
    <t>GL8318800935</t>
  </si>
  <si>
    <t>MFLC1000479</t>
  </si>
  <si>
    <t>Biju George</t>
  </si>
  <si>
    <t>9723910094</t>
  </si>
  <si>
    <t>Thiruvananthapuram - Gandhi Nagar</t>
  </si>
  <si>
    <t>GL3921357585</t>
  </si>
  <si>
    <t>MFLC1000480</t>
  </si>
  <si>
    <t>9024443121</t>
  </si>
  <si>
    <t>Hubballi - Main Road</t>
  </si>
  <si>
    <t>GL2171021857</t>
  </si>
  <si>
    <t>MFLC1000481</t>
  </si>
  <si>
    <t>7573810897</t>
  </si>
  <si>
    <t>GL9370139047</t>
  </si>
  <si>
    <t>MFLC1000482</t>
  </si>
  <si>
    <t>Basavaraj Shankar</t>
  </si>
  <si>
    <t>9708929143</t>
  </si>
  <si>
    <t>Bengaluru - Church Road</t>
  </si>
  <si>
    <t>GL1677091141</t>
  </si>
  <si>
    <t>MFLC1000483</t>
  </si>
  <si>
    <t>Dinesh Pandian</t>
  </si>
  <si>
    <t>8142041774</t>
  </si>
  <si>
    <t>GL8220634085</t>
  </si>
  <si>
    <t>MFLC1000484</t>
  </si>
  <si>
    <t>9805322062</t>
  </si>
  <si>
    <t>Nizamabad - Industrial Estate</t>
  </si>
  <si>
    <t>GL3539654434</t>
  </si>
  <si>
    <t>MFLC1000485</t>
  </si>
  <si>
    <t>Padma Reddy</t>
  </si>
  <si>
    <t>9806266318</t>
  </si>
  <si>
    <t>Guntur - Station Road</t>
  </si>
  <si>
    <t>GL2763492143</t>
  </si>
  <si>
    <t>MFLC1000486</t>
  </si>
  <si>
    <t>Ravi Naik</t>
  </si>
  <si>
    <t>6983810695</t>
  </si>
  <si>
    <t>GL6018049863</t>
  </si>
  <si>
    <t>MFLC1000487</t>
  </si>
  <si>
    <t>Naveen Joshi</t>
  </si>
  <si>
    <t>8253603519</t>
  </si>
  <si>
    <t>Lucknow - Town Hall</t>
  </si>
  <si>
    <t>GL7543261229</t>
  </si>
  <si>
    <t>MFLC1000488</t>
  </si>
  <si>
    <t>Abdul Joseph</t>
  </si>
  <si>
    <t>8854033218</t>
  </si>
  <si>
    <t>GL9165293025</t>
  </si>
  <si>
    <t>MFLC1000489</t>
  </si>
  <si>
    <t>Prakash Pandian</t>
  </si>
  <si>
    <t>9159608188</t>
  </si>
  <si>
    <t>GL3777424919</t>
  </si>
  <si>
    <t>MFLC1000490</t>
  </si>
  <si>
    <t>Sapna Yadav</t>
  </si>
  <si>
    <t>8076358818</t>
  </si>
  <si>
    <t>Jodhpur - Main Road</t>
  </si>
  <si>
    <t>GL3712522209</t>
  </si>
  <si>
    <t>MFLC1000491</t>
  </si>
  <si>
    <t>Kavita Gupta</t>
  </si>
  <si>
    <t>9760107041</t>
  </si>
  <si>
    <t>GL8285517509</t>
  </si>
  <si>
    <t>MFLC1000492</t>
  </si>
  <si>
    <t>Selvam Subramanian</t>
  </si>
  <si>
    <t>9484490761</t>
  </si>
  <si>
    <t>GL7271478711</t>
  </si>
  <si>
    <t>MFLC1000493</t>
  </si>
  <si>
    <t>Rajeev Warrier</t>
  </si>
  <si>
    <t>8783074202</t>
  </si>
  <si>
    <t>Kottayam - Main Road</t>
  </si>
  <si>
    <t>GL3966993100</t>
  </si>
  <si>
    <t>MFLC1000494</t>
  </si>
  <si>
    <t>Sirisha Babu</t>
  </si>
  <si>
    <t>9597771024</t>
  </si>
  <si>
    <t>GL4498384093</t>
  </si>
  <si>
    <t>MFLC1000495</t>
  </si>
  <si>
    <t>Manjunath Shetty</t>
  </si>
  <si>
    <t>8607834374</t>
  </si>
  <si>
    <t>GL9860122581</t>
  </si>
  <si>
    <t>MFLC1000496</t>
  </si>
  <si>
    <t>9325571089</t>
  </si>
  <si>
    <t>Jaipur - Town Hall</t>
  </si>
  <si>
    <t>GL9963854480</t>
  </si>
  <si>
    <t>MFLC1000497</t>
  </si>
  <si>
    <t>Raghu Naik</t>
  </si>
  <si>
    <t>9760220072</t>
  </si>
  <si>
    <t>Mysuru - MG Road</t>
  </si>
  <si>
    <t>GL5008865131</t>
  </si>
  <si>
    <t>MFLC1000498</t>
  </si>
  <si>
    <t>Ravi Prasad</t>
  </si>
  <si>
    <t>9222359872</t>
  </si>
  <si>
    <t>GL4103001570</t>
  </si>
  <si>
    <t>MFLC1000499</t>
  </si>
  <si>
    <t>Arun Krishnan</t>
  </si>
  <si>
    <t>9900683051</t>
  </si>
  <si>
    <t>Chennai - MG Road</t>
  </si>
  <si>
    <t>GL0374437388</t>
  </si>
  <si>
    <t>MFLC1000500</t>
  </si>
  <si>
    <t>Rekha Tiwari</t>
  </si>
  <si>
    <t>8054502113</t>
  </si>
  <si>
    <t>Rohini - Church Road</t>
  </si>
  <si>
    <t>GL1986615355</t>
  </si>
  <si>
    <t>MFLC1000501</t>
  </si>
  <si>
    <t>Shalini Kurup</t>
  </si>
  <si>
    <t>9356291683</t>
  </si>
  <si>
    <t>GL9523947615</t>
  </si>
  <si>
    <t>MFLC1000502</t>
  </si>
  <si>
    <t>Malathi Pandian</t>
  </si>
  <si>
    <t>9586400344</t>
  </si>
  <si>
    <t>GL8662742613</t>
  </si>
  <si>
    <t>MFLC1000503</t>
  </si>
  <si>
    <t>Roopa Patil</t>
  </si>
  <si>
    <t>9896157756</t>
  </si>
  <si>
    <t>Shivamogga - Temple Street</t>
  </si>
  <si>
    <t>GL1402712023</t>
  </si>
  <si>
    <t>MFLC1000504</t>
  </si>
  <si>
    <t>Nagarjuna Setty</t>
  </si>
  <si>
    <t>8752757578</t>
  </si>
  <si>
    <t>Karimnagar - Main Road</t>
  </si>
  <si>
    <t>GL6641572680</t>
  </si>
  <si>
    <t>MFLC1000505</t>
  </si>
  <si>
    <t>Swathi Reddy</t>
  </si>
  <si>
    <t>7259220333</t>
  </si>
  <si>
    <t>GL6889165750</t>
  </si>
  <si>
    <t>MFLC1000506</t>
  </si>
  <si>
    <t>9873137323</t>
  </si>
  <si>
    <t>GL2433084077</t>
  </si>
  <si>
    <t>MFLC1000507</t>
  </si>
  <si>
    <t>Neha Rathore</t>
  </si>
  <si>
    <t>9406144536</t>
  </si>
  <si>
    <t>GL4692110062</t>
  </si>
  <si>
    <t>MFLC1000508</t>
  </si>
  <si>
    <t>9876021949</t>
  </si>
  <si>
    <t>GL2651225016</t>
  </si>
  <si>
    <t>MFLC1000509</t>
  </si>
  <si>
    <t>Geeta Jain</t>
  </si>
  <si>
    <t>9297998722</t>
  </si>
  <si>
    <t>GL8005772469</t>
  </si>
  <si>
    <t>MFLC1000510</t>
  </si>
  <si>
    <t>9392335546</t>
  </si>
  <si>
    <t>Tirunelveli - Station Road</t>
  </si>
  <si>
    <t>GL4583159524</t>
  </si>
  <si>
    <t>MFLC1000511</t>
  </si>
  <si>
    <t>6974952034</t>
  </si>
  <si>
    <t>GL0034963467</t>
  </si>
  <si>
    <t>MFLC1000512</t>
  </si>
  <si>
    <t>Senthil Ravi</t>
  </si>
  <si>
    <t>8181169137</t>
  </si>
  <si>
    <t>GL5096617864</t>
  </si>
  <si>
    <t>MFLC1000513</t>
  </si>
  <si>
    <t>Venkatesh Kumar</t>
  </si>
  <si>
    <t>8059915404</t>
  </si>
  <si>
    <t>Nizamabad - Civil Lines</t>
  </si>
  <si>
    <t>GL4667633540</t>
  </si>
  <si>
    <t>MFLC1000514</t>
  </si>
  <si>
    <t>Remya George</t>
  </si>
  <si>
    <t>9169745748</t>
  </si>
  <si>
    <t>Alappuzha - Civil Lines</t>
  </si>
  <si>
    <t>GL9403169138</t>
  </si>
  <si>
    <t>MFLC1000515</t>
  </si>
  <si>
    <t>Rajeev George</t>
  </si>
  <si>
    <t>8761743480</t>
  </si>
  <si>
    <t>GL6285010352</t>
  </si>
  <si>
    <t>MFLC1000516</t>
  </si>
  <si>
    <t>Bindu Mohammed</t>
  </si>
  <si>
    <t>8280754872</t>
  </si>
  <si>
    <t>GL9480668754</t>
  </si>
  <si>
    <t>MFLC1000517</t>
  </si>
  <si>
    <t>7449472469</t>
  </si>
  <si>
    <t>Thiruvananthapuram - Nehru Nagar</t>
  </si>
  <si>
    <t>GL9421349729</t>
  </si>
  <si>
    <t>MFLC1000518</t>
  </si>
  <si>
    <t>Balaji Murugan</t>
  </si>
  <si>
    <t>9352216197</t>
  </si>
  <si>
    <t>GL6775554527</t>
  </si>
  <si>
    <t>MFLC1000519</t>
  </si>
  <si>
    <t>Ajay Saxena</t>
  </si>
  <si>
    <t>7301395985</t>
  </si>
  <si>
    <t>Bhopal - MG Road</t>
  </si>
  <si>
    <t>GL4823053789</t>
  </si>
  <si>
    <t>MFLC1000520</t>
  </si>
  <si>
    <t>Rani Ibrahim</t>
  </si>
  <si>
    <t>9520288417</t>
  </si>
  <si>
    <t>GL5653835280</t>
  </si>
  <si>
    <t>MFLC1000521</t>
  </si>
  <si>
    <t>Selvi Murugan</t>
  </si>
  <si>
    <t>9084531857</t>
  </si>
  <si>
    <t>Salem - Temple Street</t>
  </si>
  <si>
    <t>GL3824270924</t>
  </si>
  <si>
    <t>MFLC1000522</t>
  </si>
  <si>
    <t>Naresh Naidu</t>
  </si>
  <si>
    <t>7495296913</t>
  </si>
  <si>
    <t>GL1583082602</t>
  </si>
  <si>
    <t>MFLC1000523</t>
  </si>
  <si>
    <t>Prasad Raju</t>
  </si>
  <si>
    <t>9231152392</t>
  </si>
  <si>
    <t>Warangal - Temple Street</t>
  </si>
  <si>
    <t>GL7979299575</t>
  </si>
  <si>
    <t>MFLC1000524</t>
  </si>
  <si>
    <t>Vinod Thomas</t>
  </si>
  <si>
    <t>8071525820</t>
  </si>
  <si>
    <t>GL4543349478</t>
  </si>
  <si>
    <t>MFLC1000525</t>
  </si>
  <si>
    <t>8741010593</t>
  </si>
  <si>
    <t>Hyderabad - MG Road</t>
  </si>
  <si>
    <t>GL9662752877</t>
  </si>
  <si>
    <t>MFLC1000526</t>
  </si>
  <si>
    <t>Prakash Chandran</t>
  </si>
  <si>
    <t>8165028379</t>
  </si>
  <si>
    <t>GL7598199408</t>
  </si>
  <si>
    <t>MFLC1000527</t>
  </si>
  <si>
    <t>9029970108</t>
  </si>
  <si>
    <t>Kottayam - Market Road</t>
  </si>
  <si>
    <t>GL0910225068</t>
  </si>
  <si>
    <t>MFLC1000528</t>
  </si>
  <si>
    <t>8777263549</t>
  </si>
  <si>
    <t>Bhopal - Temple Street</t>
  </si>
  <si>
    <t>GL5048752880</t>
  </si>
  <si>
    <t>MFLC1000529</t>
  </si>
  <si>
    <t>Meena Joshi</t>
  </si>
  <si>
    <t>8584459657</t>
  </si>
  <si>
    <t>Dwarka - Bus Stand</t>
  </si>
  <si>
    <t>GL0906156869</t>
  </si>
  <si>
    <t>MFLC1000530</t>
  </si>
  <si>
    <t>Geetha Shetty</t>
  </si>
  <si>
    <t>8284102933</t>
  </si>
  <si>
    <t>Davanagere - Town Hall</t>
  </si>
  <si>
    <t>GL0232990296</t>
  </si>
  <si>
    <t>MFLC1000531</t>
  </si>
  <si>
    <t>Roopa Naik</t>
  </si>
  <si>
    <t>7316609737</t>
  </si>
  <si>
    <t>Shivamogga - Town Hall</t>
  </si>
  <si>
    <t>GL8509065313</t>
  </si>
  <si>
    <t>MFLC1000532</t>
  </si>
  <si>
    <t>Jincy George</t>
  </si>
  <si>
    <t>7840967120</t>
  </si>
  <si>
    <t>GL6510070733</t>
  </si>
  <si>
    <t>MFLC1000533</t>
  </si>
  <si>
    <t>8903751836</t>
  </si>
  <si>
    <t>GL8513460384</t>
  </si>
  <si>
    <t>MFLC1000534</t>
  </si>
  <si>
    <t>9771063278</t>
  </si>
  <si>
    <t>Thrissur - Bus Stand</t>
  </si>
  <si>
    <t>GL0632835745</t>
  </si>
  <si>
    <t>MFLC1000535</t>
  </si>
  <si>
    <t>Sravani Murthy</t>
  </si>
  <si>
    <t>9008577863</t>
  </si>
  <si>
    <t>GL6486683246</t>
  </si>
  <si>
    <t>MFLC1000536</t>
  </si>
  <si>
    <t>Sreejith Menon</t>
  </si>
  <si>
    <t>9754414771</t>
  </si>
  <si>
    <t>GL0668283449</t>
  </si>
  <si>
    <t>MFLC1000537</t>
  </si>
  <si>
    <t>Lakshmi Yadav</t>
  </si>
  <si>
    <t>9668128544</t>
  </si>
  <si>
    <t>GL0431764058</t>
  </si>
  <si>
    <t>MFLC1000538</t>
  </si>
  <si>
    <t>8251370549</t>
  </si>
  <si>
    <t>GL0140563063</t>
  </si>
  <si>
    <t>MFLC1000539</t>
  </si>
  <si>
    <t>Ajith Kumar</t>
  </si>
  <si>
    <t>8180969125</t>
  </si>
  <si>
    <t>GL8418599120</t>
  </si>
  <si>
    <t>MFLC1000540</t>
  </si>
  <si>
    <t>7184707827</t>
  </si>
  <si>
    <t>GL9402014313</t>
  </si>
  <si>
    <t>MFLC1000541</t>
  </si>
  <si>
    <t>9955009410</t>
  </si>
  <si>
    <t>GL2890720944</t>
  </si>
  <si>
    <t>MFLC1000542</t>
  </si>
  <si>
    <t>Nagarjuna Goud</t>
  </si>
  <si>
    <t>8730251543</t>
  </si>
  <si>
    <t>Nellore - Main Road</t>
  </si>
  <si>
    <t>GL5160383397</t>
  </si>
  <si>
    <t>MFLC1000543</t>
  </si>
  <si>
    <t>9983213516</t>
  </si>
  <si>
    <t>Kanpur - Nehru Nagar</t>
  </si>
  <si>
    <t>GL0119176482</t>
  </si>
  <si>
    <t>MFLC1000544</t>
  </si>
  <si>
    <t>Mary Warrier</t>
  </si>
  <si>
    <t>7974879019</t>
  </si>
  <si>
    <t>GL1336861004</t>
  </si>
  <si>
    <t>MFLC1000545</t>
  </si>
  <si>
    <t>Ajay Agarwal</t>
  </si>
  <si>
    <t>9734190044</t>
  </si>
  <si>
    <t>Faridabad - Gandhi Nagar</t>
  </si>
  <si>
    <t>GL0780583622</t>
  </si>
  <si>
    <t>MFLC1000546</t>
  </si>
  <si>
    <t>Neha Singh</t>
  </si>
  <si>
    <t>8843744651</t>
  </si>
  <si>
    <t>Noida - Industrial Estate</t>
  </si>
  <si>
    <t>GL4005932704</t>
  </si>
  <si>
    <t>MFLC1000547</t>
  </si>
  <si>
    <t>Satish Setty</t>
  </si>
  <si>
    <t>7557164664</t>
  </si>
  <si>
    <t>GL6075315695</t>
  </si>
  <si>
    <t>MFLC1000548</t>
  </si>
  <si>
    <t>Madhavi Chowdary</t>
  </si>
  <si>
    <t>9331804331</t>
  </si>
  <si>
    <t>Hyderabad - Civil Lines</t>
  </si>
  <si>
    <t>GL7636153401</t>
  </si>
  <si>
    <t>MFLC1000549</t>
  </si>
  <si>
    <t>Sapna Chauhan</t>
  </si>
  <si>
    <t>9094857992</t>
  </si>
  <si>
    <t>GL0444031334</t>
  </si>
  <si>
    <t>MFLC1000550</t>
  </si>
  <si>
    <t>Ganesh Pandian</t>
  </si>
  <si>
    <t>7013350238</t>
  </si>
  <si>
    <t>GL7596600773</t>
  </si>
  <si>
    <t>MFLC1000551</t>
  </si>
  <si>
    <t>Jincy Mohammed</t>
  </si>
  <si>
    <t>9402103045</t>
  </si>
  <si>
    <t>GL9706097993</t>
  </si>
  <si>
    <t>MFLC1000552</t>
  </si>
  <si>
    <t>Manjula Rao</t>
  </si>
  <si>
    <t>9503525094</t>
  </si>
  <si>
    <t>GL7947901574</t>
  </si>
  <si>
    <t>MFLC1000553</t>
  </si>
  <si>
    <t>Meena Ravi</t>
  </si>
  <si>
    <t>8706792248</t>
  </si>
  <si>
    <t>GL3600124320</t>
  </si>
  <si>
    <t>MFLC1000554</t>
  </si>
  <si>
    <t>7411893318</t>
  </si>
  <si>
    <t>GL4005504427</t>
  </si>
  <si>
    <t>MFLC1000555</t>
  </si>
  <si>
    <t>8139183666</t>
  </si>
  <si>
    <t>GL0650069741</t>
  </si>
  <si>
    <t>MFLC1000556</t>
  </si>
  <si>
    <t>9169142128</t>
  </si>
  <si>
    <t>GL2160242157</t>
  </si>
  <si>
    <t>MFLC1000557</t>
  </si>
  <si>
    <t>6130211553</t>
  </si>
  <si>
    <t>GL7331628181</t>
  </si>
  <si>
    <t>MFLC1000558</t>
  </si>
  <si>
    <t>Revathi Iyer</t>
  </si>
  <si>
    <t>8645151980</t>
  </si>
  <si>
    <t>GL7005875828</t>
  </si>
  <si>
    <t>MFLC1000559</t>
  </si>
  <si>
    <t>9745159189</t>
  </si>
  <si>
    <t>Kozhikode - Market Road</t>
  </si>
  <si>
    <t>GL9326799365</t>
  </si>
  <si>
    <t>MFLC1000560</t>
  </si>
  <si>
    <t>Sapna Singh</t>
  </si>
  <si>
    <t>9606705276</t>
  </si>
  <si>
    <t>GL4125718085</t>
  </si>
  <si>
    <t>MFLC1000561</t>
  </si>
  <si>
    <t>6272240453</t>
  </si>
  <si>
    <t>GL0677265501</t>
  </si>
  <si>
    <t>MFLC1000562</t>
  </si>
  <si>
    <t>Madhavi Naidu</t>
  </si>
  <si>
    <t>7834048525</t>
  </si>
  <si>
    <t>GL4804234646</t>
  </si>
  <si>
    <t>MFLC1000563</t>
  </si>
  <si>
    <t>8178760662</t>
  </si>
  <si>
    <t>Visakhapatnam - Nehru Nagar</t>
  </si>
  <si>
    <t>GL2130471224</t>
  </si>
  <si>
    <t>MFLC1000564</t>
  </si>
  <si>
    <t>Ravi Varma</t>
  </si>
  <si>
    <t>9471556385</t>
  </si>
  <si>
    <t>Warangal - Town Hall</t>
  </si>
  <si>
    <t>GL9061256232</t>
  </si>
  <si>
    <t>MFLC1000565</t>
  </si>
  <si>
    <t>Sanjay Agarwal</t>
  </si>
  <si>
    <t>7524374925</t>
  </si>
  <si>
    <t>Bhopal - Civil Lines</t>
  </si>
  <si>
    <t>GL1893759326</t>
  </si>
  <si>
    <t>MFLC1000566</t>
  </si>
  <si>
    <t>Pushpa Reddy</t>
  </si>
  <si>
    <t>9458027548</t>
  </si>
  <si>
    <t>GL1858844597</t>
  </si>
  <si>
    <t>MFLC1000567</t>
  </si>
  <si>
    <t>Remya Kumar</t>
  </si>
  <si>
    <t>9773549962</t>
  </si>
  <si>
    <t>GL4455910451</t>
  </si>
  <si>
    <t>MFLC1000568</t>
  </si>
  <si>
    <t>Ramesh Sundaram</t>
  </si>
  <si>
    <t>9301333255</t>
  </si>
  <si>
    <t>Tirunelveli - MG Road</t>
  </si>
  <si>
    <t>GL0377700787</t>
  </si>
  <si>
    <t>MFLC1000569</t>
  </si>
  <si>
    <t>7235642730</t>
  </si>
  <si>
    <t>GL0242394103</t>
  </si>
  <si>
    <t>MFLC1000570</t>
  </si>
  <si>
    <t>Raghu Rao</t>
  </si>
  <si>
    <t>9540711353</t>
  </si>
  <si>
    <t>Mysuru - Nehru Nagar</t>
  </si>
  <si>
    <t>GL8676360580</t>
  </si>
  <si>
    <t>MFLC1000571</t>
  </si>
  <si>
    <t>Sindhu George</t>
  </si>
  <si>
    <t>7364219879</t>
  </si>
  <si>
    <t>GL0066313264</t>
  </si>
  <si>
    <t>MFLC1000572</t>
  </si>
  <si>
    <t>Raju Raju</t>
  </si>
  <si>
    <t>9331042950</t>
  </si>
  <si>
    <t>GL1395024361</t>
  </si>
  <si>
    <t>MFLC1000573</t>
  </si>
  <si>
    <t>Saravanan Ravi</t>
  </si>
  <si>
    <t>9106490397</t>
  </si>
  <si>
    <t>GL1260213022</t>
  </si>
  <si>
    <t>MFLC1000574</t>
  </si>
  <si>
    <t>Amit Agarwal</t>
  </si>
  <si>
    <t>7306431184</t>
  </si>
  <si>
    <t>GL3775313620</t>
  </si>
  <si>
    <t>MFLC1000575</t>
  </si>
  <si>
    <t>Satish Yadav</t>
  </si>
  <si>
    <t>9540370864</t>
  </si>
  <si>
    <t>GL0383277955</t>
  </si>
  <si>
    <t>MFLC1000576</t>
  </si>
  <si>
    <t>Radha Sastry</t>
  </si>
  <si>
    <t>7662227621</t>
  </si>
  <si>
    <t>Warangal - Bus Stand</t>
  </si>
  <si>
    <t>GL7038337725</t>
  </si>
  <si>
    <t>MFLC1000577</t>
  </si>
  <si>
    <t>8215948852</t>
  </si>
  <si>
    <t>Tirupati - Nehru Nagar</t>
  </si>
  <si>
    <t>GL2412335975</t>
  </si>
  <si>
    <t>MFLC1000578</t>
  </si>
  <si>
    <t>8975227065</t>
  </si>
  <si>
    <t>Tiruchirappalli - Town Hall</t>
  </si>
  <si>
    <t>GL2871118857</t>
  </si>
  <si>
    <t>MFLC1000579</t>
  </si>
  <si>
    <t>9931009702</t>
  </si>
  <si>
    <t>GL7231792784</t>
  </si>
  <si>
    <t>MFLC1000580</t>
  </si>
  <si>
    <t>8451356573</t>
  </si>
  <si>
    <t>GL2991896901</t>
  </si>
  <si>
    <t>MFLC1000581</t>
  </si>
  <si>
    <t>Sunil Chauhan</t>
  </si>
  <si>
    <t>9664663669</t>
  </si>
  <si>
    <t>GL3170257701</t>
  </si>
  <si>
    <t>MFLC1000582</t>
  </si>
  <si>
    <t>Kavitha Sastry</t>
  </si>
  <si>
    <t>8897764083</t>
  </si>
  <si>
    <t>Warangal - Main Road</t>
  </si>
  <si>
    <t>GL9707602452</t>
  </si>
  <si>
    <t>MFLC1000583</t>
  </si>
  <si>
    <t>9221512384</t>
  </si>
  <si>
    <t>GL5457402105</t>
  </si>
  <si>
    <t>MFLC1000584</t>
  </si>
  <si>
    <t>8546547356</t>
  </si>
  <si>
    <t>GL4046437165</t>
  </si>
  <si>
    <t>MFLC1000585</t>
  </si>
  <si>
    <t>9514724185</t>
  </si>
  <si>
    <t>GL2643771046</t>
  </si>
  <si>
    <t>MFLC1000586</t>
  </si>
  <si>
    <t>Rajeev Pillai</t>
  </si>
  <si>
    <t>8476687029</t>
  </si>
  <si>
    <t>Kannur - Nehru Nagar</t>
  </si>
  <si>
    <t>GL7000222090</t>
  </si>
  <si>
    <t>MFLC1000587</t>
  </si>
  <si>
    <t>7407551151</t>
  </si>
  <si>
    <t>Bhopal - Town Hall</t>
  </si>
  <si>
    <t>GL5290003005</t>
  </si>
  <si>
    <t>MFLC1000588</t>
  </si>
  <si>
    <t>6985909866</t>
  </si>
  <si>
    <t>Visakhapatnam - Temple Street</t>
  </si>
  <si>
    <t>GL5055486250</t>
  </si>
  <si>
    <t>MFLC1000589</t>
  </si>
  <si>
    <t>6524142289</t>
  </si>
  <si>
    <t>GL9259370144</t>
  </si>
  <si>
    <t>MFLC1000590</t>
  </si>
  <si>
    <t>9721762486</t>
  </si>
  <si>
    <t>Visakhapatnam - Church Road</t>
  </si>
  <si>
    <t>GL0979133143</t>
  </si>
  <si>
    <t>MFLC1000591</t>
  </si>
  <si>
    <t>Jose Ibrahim</t>
  </si>
  <si>
    <t>7833988374</t>
  </si>
  <si>
    <t>Kannur - Church Road</t>
  </si>
  <si>
    <t>GL9729330803</t>
  </si>
  <si>
    <t>MFLC1000592</t>
  </si>
  <si>
    <t>Savitha Swamy</t>
  </si>
  <si>
    <t>9066926266</t>
  </si>
  <si>
    <t>GL4560328123</t>
  </si>
  <si>
    <t>MFLC1000593</t>
  </si>
  <si>
    <t>9761103551</t>
  </si>
  <si>
    <t>GL8002380876</t>
  </si>
  <si>
    <t>MFLC1000594</t>
  </si>
  <si>
    <t>Amit Kumar</t>
  </si>
  <si>
    <t>9641086247</t>
  </si>
  <si>
    <t>GL6247031377</t>
  </si>
  <si>
    <t>MFLC1000595</t>
  </si>
  <si>
    <t>Pankaj Joshi</t>
  </si>
  <si>
    <t>6313262854</t>
  </si>
  <si>
    <t>Kanpur - Gandhi Nagar</t>
  </si>
  <si>
    <t>GL5120639364</t>
  </si>
  <si>
    <t>MFLC1000596</t>
  </si>
  <si>
    <t>Roopa Murthy</t>
  </si>
  <si>
    <t>7836545033</t>
  </si>
  <si>
    <t>GL6493074151</t>
  </si>
  <si>
    <t>MFLC1000597</t>
  </si>
  <si>
    <t>8237305879</t>
  </si>
  <si>
    <t>GL3002385854</t>
  </si>
  <si>
    <t>MFLC1000598</t>
  </si>
  <si>
    <t>Shibu Philip</t>
  </si>
  <si>
    <t>8630108881</t>
  </si>
  <si>
    <t>Kannur - Town Hall</t>
  </si>
  <si>
    <t>GL0054265604</t>
  </si>
  <si>
    <t>MFLC1000599</t>
  </si>
  <si>
    <t>Prakash Swamy</t>
  </si>
  <si>
    <t>8230902737</t>
  </si>
  <si>
    <t>GL9673405685</t>
  </si>
  <si>
    <t>MFLC1000600</t>
  </si>
  <si>
    <t>7308112854</t>
  </si>
  <si>
    <t>GL4987105361</t>
  </si>
  <si>
    <t>MFLC1000601</t>
  </si>
  <si>
    <t>Anoop Philip</t>
  </si>
  <si>
    <t>9992959866</t>
  </si>
  <si>
    <t>Kottayam - Bus Stand</t>
  </si>
  <si>
    <t>GL1692890087</t>
  </si>
  <si>
    <t>MFLC1000602</t>
  </si>
  <si>
    <t>Jayanthi Kannan</t>
  </si>
  <si>
    <t>9801403423</t>
  </si>
  <si>
    <t>GL3046767339</t>
  </si>
  <si>
    <t>MFLC1000603</t>
  </si>
  <si>
    <t>Remya Philip</t>
  </si>
  <si>
    <t>9816857686</t>
  </si>
  <si>
    <t>GL8563697327</t>
  </si>
  <si>
    <t>MFLC1000604</t>
  </si>
  <si>
    <t>Raghu Murthy</t>
  </si>
  <si>
    <t>9884741303</t>
  </si>
  <si>
    <t>Mysuru - Town Hall</t>
  </si>
  <si>
    <t>GL6415400399</t>
  </si>
  <si>
    <t>MFLC1000605</t>
  </si>
  <si>
    <t>9893314449</t>
  </si>
  <si>
    <t>Agra - Church Road</t>
  </si>
  <si>
    <t>GL7523649103</t>
  </si>
  <si>
    <t>MFLC1000606</t>
  </si>
  <si>
    <t>Lakshmi Kumar</t>
  </si>
  <si>
    <t>8490138519</t>
  </si>
  <si>
    <t>GL8271322471</t>
  </si>
  <si>
    <t>MFLC1000607</t>
  </si>
  <si>
    <t>Deepak Verma</t>
  </si>
  <si>
    <t>9097907727</t>
  </si>
  <si>
    <t>Agra - Gandhi Nagar</t>
  </si>
  <si>
    <t>GL7883702987</t>
  </si>
  <si>
    <t>MFLC1000608</t>
  </si>
  <si>
    <t>Anitha Ravi</t>
  </si>
  <si>
    <t>9906301321</t>
  </si>
  <si>
    <t>GL3649373616</t>
  </si>
  <si>
    <t>MFLC1000609</t>
  </si>
  <si>
    <t>9685264646</t>
  </si>
  <si>
    <t>GL4037187530</t>
  </si>
  <si>
    <t>MFLC1000610</t>
  </si>
  <si>
    <t>Sreejith Nair</t>
  </si>
  <si>
    <t>9379928592</t>
  </si>
  <si>
    <t>GL6605805699</t>
  </si>
  <si>
    <t>MFLC1000611</t>
  </si>
  <si>
    <t>Vidya Swamy</t>
  </si>
  <si>
    <t>8089978372</t>
  </si>
  <si>
    <t>GL3792893776</t>
  </si>
  <si>
    <t>MFLC1000612</t>
  </si>
  <si>
    <t>Rajeev Menon</t>
  </si>
  <si>
    <t>7334056062</t>
  </si>
  <si>
    <t>Kochi - Industrial Estate</t>
  </si>
  <si>
    <t>GL1718520114</t>
  </si>
  <si>
    <t>MFLC1000613</t>
  </si>
  <si>
    <t>Suresh Varghese</t>
  </si>
  <si>
    <t>7509800567</t>
  </si>
  <si>
    <t>GL2812150908</t>
  </si>
  <si>
    <t>MFLC1000614</t>
  </si>
  <si>
    <t>8924194186</t>
  </si>
  <si>
    <t>GL9151994143</t>
  </si>
  <si>
    <t>MFLC1000615</t>
  </si>
  <si>
    <t>Anitha Philip</t>
  </si>
  <si>
    <t>7624412281</t>
  </si>
  <si>
    <t>Kollam - Town Hall</t>
  </si>
  <si>
    <t>GL3716846449</t>
  </si>
  <si>
    <t>MFLC1000616</t>
  </si>
  <si>
    <t>9693892982</t>
  </si>
  <si>
    <t>GL4751975233</t>
  </si>
  <si>
    <t>MFLC1000617</t>
  </si>
  <si>
    <t>Sravani Reddy</t>
  </si>
  <si>
    <t>9474420672</t>
  </si>
  <si>
    <t>GL2865120327</t>
  </si>
  <si>
    <t>MFLC1000618</t>
  </si>
  <si>
    <t>Revathi Sundaram</t>
  </si>
  <si>
    <t>9530362003</t>
  </si>
  <si>
    <t>GL4175905772</t>
  </si>
  <si>
    <t>MFLC1000619</t>
  </si>
  <si>
    <t>Saravanan Raman</t>
  </si>
  <si>
    <t>8669987386</t>
  </si>
  <si>
    <t>GL1814280043</t>
  </si>
  <si>
    <t>MFLC1000620</t>
  </si>
  <si>
    <t>Vasanthi Venkatesh</t>
  </si>
  <si>
    <t>8906647856</t>
  </si>
  <si>
    <t>Tiruchirappalli - Temple Street</t>
  </si>
  <si>
    <t>GL2487857183</t>
  </si>
  <si>
    <t>MFLC1000621</t>
  </si>
  <si>
    <t>8005154189</t>
  </si>
  <si>
    <t>GL6400956221</t>
  </si>
  <si>
    <t>MFLC1000622</t>
  </si>
  <si>
    <t>Divya Kurup</t>
  </si>
  <si>
    <t>9183077447</t>
  </si>
  <si>
    <t>GL6981979634</t>
  </si>
  <si>
    <t>MFLC1000623</t>
  </si>
  <si>
    <t>7155568648</t>
  </si>
  <si>
    <t>GL3921576081</t>
  </si>
  <si>
    <t>MFLC1000624</t>
  </si>
  <si>
    <t>Sumithra Patil</t>
  </si>
  <si>
    <t>9734368633</t>
  </si>
  <si>
    <t>Hubballi - Station Road</t>
  </si>
  <si>
    <t>GL5056876222</t>
  </si>
  <si>
    <t>MFLC1000625</t>
  </si>
  <si>
    <t>Ramesh Prasad</t>
  </si>
  <si>
    <t>9641454757</t>
  </si>
  <si>
    <t>Nizamabad - Town Hall</t>
  </si>
  <si>
    <t>GL2247789963</t>
  </si>
  <si>
    <t>MFLC1000626</t>
  </si>
  <si>
    <t>Naresh Chowdary</t>
  </si>
  <si>
    <t>8730733931</t>
  </si>
  <si>
    <t>Vijayawada - Temple Street</t>
  </si>
  <si>
    <t>GL1190073626</t>
  </si>
  <si>
    <t>MFLC1000627</t>
  </si>
  <si>
    <t>Sumithra Bhat</t>
  </si>
  <si>
    <t>6365766381</t>
  </si>
  <si>
    <t>GL1448411818</t>
  </si>
  <si>
    <t>MFLC1000628</t>
  </si>
  <si>
    <t>9411821960</t>
  </si>
  <si>
    <t>GL3864000025</t>
  </si>
  <si>
    <t>MFLC1000629</t>
  </si>
  <si>
    <t>Vijaya Reddy</t>
  </si>
  <si>
    <t>9859369784</t>
  </si>
  <si>
    <t>GL9762880117</t>
  </si>
  <si>
    <t>MFLC1000630</t>
  </si>
  <si>
    <t>Seema Sharma</t>
  </si>
  <si>
    <t>8246056218</t>
  </si>
  <si>
    <t>GL9077297872</t>
  </si>
  <si>
    <t>MFLC1000631</t>
  </si>
  <si>
    <t>Kavita Tiwari</t>
  </si>
  <si>
    <t>8450470621</t>
  </si>
  <si>
    <t>Indore - Industrial Estate</t>
  </si>
  <si>
    <t>GL5906362599</t>
  </si>
  <si>
    <t>MFLC1000632</t>
  </si>
  <si>
    <t>Smitha Nair</t>
  </si>
  <si>
    <t>9408124419</t>
  </si>
  <si>
    <t>GL8160697403</t>
  </si>
  <si>
    <t>MFLC1000633</t>
  </si>
  <si>
    <t>Mary Panicker</t>
  </si>
  <si>
    <t>9427719186</t>
  </si>
  <si>
    <t>GL0571591262</t>
  </si>
  <si>
    <t>MFLC1000634</t>
  </si>
  <si>
    <t>8124050494</t>
  </si>
  <si>
    <t>GL9163891925</t>
  </si>
  <si>
    <t>MFLC1000635</t>
  </si>
  <si>
    <t>Mary George</t>
  </si>
  <si>
    <t>9437202469</t>
  </si>
  <si>
    <t>GL3631532752</t>
  </si>
  <si>
    <t>MFLC1000636</t>
  </si>
  <si>
    <t>9616699832</t>
  </si>
  <si>
    <t>Hyderabad - Town Hall</t>
  </si>
  <si>
    <t>GL2666284544</t>
  </si>
  <si>
    <t>MFLC1000637</t>
  </si>
  <si>
    <t>9708069966</t>
  </si>
  <si>
    <t>Vellore - Bus Stand</t>
  </si>
  <si>
    <t>GL0263793247</t>
  </si>
  <si>
    <t>MFLC1000638</t>
  </si>
  <si>
    <t>Kavitha Rajan</t>
  </si>
  <si>
    <t>9158489074</t>
  </si>
  <si>
    <t>GL0399154845</t>
  </si>
  <si>
    <t>MFLC1000639</t>
  </si>
  <si>
    <t>Meena Annamalai</t>
  </si>
  <si>
    <t>7604574507</t>
  </si>
  <si>
    <t>Madurai - MG Road</t>
  </si>
  <si>
    <t>GL8800142395</t>
  </si>
  <si>
    <t>MFLC1000640</t>
  </si>
  <si>
    <t>Rohit Jain</t>
  </si>
  <si>
    <t>7753107560</t>
  </si>
  <si>
    <t>GL6782275394</t>
  </si>
  <si>
    <t>MFLC1000641</t>
  </si>
  <si>
    <t>Suresh Pillai</t>
  </si>
  <si>
    <t>9361050659</t>
  </si>
  <si>
    <t>GL6717147831</t>
  </si>
  <si>
    <t>MFLC1000642</t>
  </si>
  <si>
    <t>Manoj Ibrahim</t>
  </si>
  <si>
    <t>9634050578</t>
  </si>
  <si>
    <t>GL2159481868</t>
  </si>
  <si>
    <t>MFLC1000643</t>
  </si>
  <si>
    <t>Nagaraj Rao</t>
  </si>
  <si>
    <t>6311004136</t>
  </si>
  <si>
    <t>GL5091045944</t>
  </si>
  <si>
    <t>MFLC1000644</t>
  </si>
  <si>
    <t>Lakshmi Pillai</t>
  </si>
  <si>
    <t>9402959332</t>
  </si>
  <si>
    <t>GL3453397689</t>
  </si>
  <si>
    <t>MFLC1000645</t>
  </si>
  <si>
    <t>Sapna Verma</t>
  </si>
  <si>
    <t>8135565491</t>
  </si>
  <si>
    <t>Kanpur - Bus Stand</t>
  </si>
  <si>
    <t>GL1946783317</t>
  </si>
  <si>
    <t>MFLC1000646</t>
  </si>
  <si>
    <t>Seema Tiwari</t>
  </si>
  <si>
    <t>9126853027</t>
  </si>
  <si>
    <t>Rohini - Market Road</t>
  </si>
  <si>
    <t>GL3290663045</t>
  </si>
  <si>
    <t>MFLC1000647</t>
  </si>
  <si>
    <t>Harish Hegde</t>
  </si>
  <si>
    <t>9673435073</t>
  </si>
  <si>
    <t>GL8311807036</t>
  </si>
  <si>
    <t>MFLC1000648</t>
  </si>
  <si>
    <t>9135129000</t>
  </si>
  <si>
    <t>GL1771373074</t>
  </si>
  <si>
    <t>MFLC1000649</t>
  </si>
  <si>
    <t>Malathi Murugan</t>
  </si>
  <si>
    <t>6335771233</t>
  </si>
  <si>
    <t>GL7097806431</t>
  </si>
  <si>
    <t>MFLC1000650</t>
  </si>
  <si>
    <t>Mahesh Sastry</t>
  </si>
  <si>
    <t>7270870149</t>
  </si>
  <si>
    <t>GL2855708002</t>
  </si>
  <si>
    <t>MFLC1000651</t>
  </si>
  <si>
    <t>Harish Kulkarni</t>
  </si>
  <si>
    <t>9220532207</t>
  </si>
  <si>
    <t>GL2037374739</t>
  </si>
  <si>
    <t>MFLC1000652</t>
  </si>
  <si>
    <t>Prakash Sundaram</t>
  </si>
  <si>
    <t>9078125885</t>
  </si>
  <si>
    <t>GL9937504725</t>
  </si>
  <si>
    <t>MFLC1000653</t>
  </si>
  <si>
    <t>9815383819</t>
  </si>
  <si>
    <t>Indore - Market Road</t>
  </si>
  <si>
    <t>GL8528678582</t>
  </si>
  <si>
    <t>MFLC1000654</t>
  </si>
  <si>
    <t>Vidya Gowda</t>
  </si>
  <si>
    <t>8455385999</t>
  </si>
  <si>
    <t>GL6682112209</t>
  </si>
  <si>
    <t>MFLC1000655</t>
  </si>
  <si>
    <t>Lakshmi George</t>
  </si>
  <si>
    <t>9182634089</t>
  </si>
  <si>
    <t>GL3910167902</t>
  </si>
  <si>
    <t>MFLC1000656</t>
  </si>
  <si>
    <t>Pooja Agarwal</t>
  </si>
  <si>
    <t>8400494521</t>
  </si>
  <si>
    <t>GL4382140081</t>
  </si>
  <si>
    <t>MFLC1000657</t>
  </si>
  <si>
    <t>Sreeja Menon</t>
  </si>
  <si>
    <t>7683716851</t>
  </si>
  <si>
    <t>GL5502924989</t>
  </si>
  <si>
    <t>MFLC1000658</t>
  </si>
  <si>
    <t>Jayanthi Subramanian</t>
  </si>
  <si>
    <t>9229333840</t>
  </si>
  <si>
    <t>GL5595396179</t>
  </si>
  <si>
    <t>MFLC1000659</t>
  </si>
  <si>
    <t>Naveen Jain</t>
  </si>
  <si>
    <t>9264919312</t>
  </si>
  <si>
    <t>GL8443549101</t>
  </si>
  <si>
    <t>MFLC1000660</t>
  </si>
  <si>
    <t>Pushpa Gowda</t>
  </si>
  <si>
    <t>9720714217</t>
  </si>
  <si>
    <t>GL6466115075</t>
  </si>
  <si>
    <t>MFLC1000661</t>
  </si>
  <si>
    <t>Satish Raju</t>
  </si>
  <si>
    <t>8179913565</t>
  </si>
  <si>
    <t>Guntur - Gandhi Nagar</t>
  </si>
  <si>
    <t>GL4760706654</t>
  </si>
  <si>
    <t>MFLC1000662</t>
  </si>
  <si>
    <t>9249172731</t>
  </si>
  <si>
    <t>GL9493421990</t>
  </si>
  <si>
    <t>MFLC1000663</t>
  </si>
  <si>
    <t>9179179883</t>
  </si>
  <si>
    <t>GL1805270725</t>
  </si>
  <si>
    <t>MFLC1000664</t>
  </si>
  <si>
    <t>7758769218</t>
  </si>
  <si>
    <t>GL5072107521</t>
  </si>
  <si>
    <t>MFLC1000665</t>
  </si>
  <si>
    <t>Amit Saxena</t>
  </si>
  <si>
    <t>9598894011</t>
  </si>
  <si>
    <t>Faridabad - Town Hall</t>
  </si>
  <si>
    <t>GL7767623768</t>
  </si>
  <si>
    <t>MFLC1000666</t>
  </si>
  <si>
    <t>Senthil Iyer</t>
  </si>
  <si>
    <t>7015479789</t>
  </si>
  <si>
    <t>GL7740204900</t>
  </si>
  <si>
    <t>MFLC1000667</t>
  </si>
  <si>
    <t>Bindu Thomas</t>
  </si>
  <si>
    <t>8414203345</t>
  </si>
  <si>
    <t>GL1112981911</t>
  </si>
  <si>
    <t>MFLC1000668</t>
  </si>
  <si>
    <t>Jyothi Naidu</t>
  </si>
  <si>
    <t>8738906840</t>
  </si>
  <si>
    <t>GL2277739006</t>
  </si>
  <si>
    <t>MFLC1000669</t>
  </si>
  <si>
    <t>Geeta Gupta</t>
  </si>
  <si>
    <t>9714622837</t>
  </si>
  <si>
    <t>GL7861134353</t>
  </si>
  <si>
    <t>MFLC1000670</t>
  </si>
  <si>
    <t>9597869038</t>
  </si>
  <si>
    <t>GL2501434575</t>
  </si>
  <si>
    <t>MFLC1000671</t>
  </si>
  <si>
    <t>Rajesh Saxena</t>
  </si>
  <si>
    <t>7556121023</t>
  </si>
  <si>
    <t>GL6576898061</t>
  </si>
  <si>
    <t>MFLC1000672</t>
  </si>
  <si>
    <t>Meena Gupta</t>
  </si>
  <si>
    <t>9780139088</t>
  </si>
  <si>
    <t>Rohini - Nehru Nagar</t>
  </si>
  <si>
    <t>GL3695255189</t>
  </si>
  <si>
    <t>MFLC1000673</t>
  </si>
  <si>
    <t>Sunita Chauhan</t>
  </si>
  <si>
    <t>8264021883</t>
  </si>
  <si>
    <t>Faridabad - MG Road</t>
  </si>
  <si>
    <t>GL6912397844</t>
  </si>
  <si>
    <t>MFLC1000674</t>
  </si>
  <si>
    <t>Vikas Tiwari</t>
  </si>
  <si>
    <t>7483122245</t>
  </si>
  <si>
    <t>Lucknow - Nehru Nagar</t>
  </si>
  <si>
    <t>GL1254387134</t>
  </si>
  <si>
    <t>MFLC1000675</t>
  </si>
  <si>
    <t>Seema Singh</t>
  </si>
  <si>
    <t>9580242730</t>
  </si>
  <si>
    <t>GL9567400105</t>
  </si>
  <si>
    <t>MFLC1000676</t>
  </si>
  <si>
    <t>8242566091</t>
  </si>
  <si>
    <t>Shivamogga - MG Road</t>
  </si>
  <si>
    <t>GL2494294118</t>
  </si>
  <si>
    <t>MFLC1000677</t>
  </si>
  <si>
    <t>Bhavani Setty</t>
  </si>
  <si>
    <t>7935275300</t>
  </si>
  <si>
    <t>GL6101024779</t>
  </si>
  <si>
    <t>MFLC1000678</t>
  </si>
  <si>
    <t>Sirisha Murthy</t>
  </si>
  <si>
    <t>9240527413</t>
  </si>
  <si>
    <t>Warangal - Church Road</t>
  </si>
  <si>
    <t>GL7413494399</t>
  </si>
  <si>
    <t>MFLC1000679</t>
  </si>
  <si>
    <t>Prakash Hegde</t>
  </si>
  <si>
    <t>9659172325</t>
  </si>
  <si>
    <t>GL4523597150</t>
  </si>
  <si>
    <t>MFLC1000680</t>
  </si>
  <si>
    <t>9073069463</t>
  </si>
  <si>
    <t>GL3929047071</t>
  </si>
  <si>
    <t>MFLC1000681</t>
  </si>
  <si>
    <t>Prakash Annamalai</t>
  </si>
  <si>
    <t>9862036694</t>
  </si>
  <si>
    <t>GL6329274479</t>
  </si>
  <si>
    <t>MFLC1000682</t>
  </si>
  <si>
    <t>Bhaskar Goud</t>
  </si>
  <si>
    <t>9737482874</t>
  </si>
  <si>
    <t>Guntur - Market Road</t>
  </si>
  <si>
    <t>GL1570370357</t>
  </si>
  <si>
    <t>MFLC1000683</t>
  </si>
  <si>
    <t>Bhavani Murthy</t>
  </si>
  <si>
    <t>8971854028</t>
  </si>
  <si>
    <t>Guntur - Temple Street</t>
  </si>
  <si>
    <t>GL0357604467</t>
  </si>
  <si>
    <t>MFLC1000684</t>
  </si>
  <si>
    <t>Murugan Subramanian</t>
  </si>
  <si>
    <t>9731888965</t>
  </si>
  <si>
    <t>GL7633856631</t>
  </si>
  <si>
    <t>MFLC1000685</t>
  </si>
  <si>
    <t>Selvam Ravi</t>
  </si>
  <si>
    <t>7371626056</t>
  </si>
  <si>
    <t>Madurai - Temple Street</t>
  </si>
  <si>
    <t>GL5623215981</t>
  </si>
  <si>
    <t>MFLC1000686</t>
  </si>
  <si>
    <t>Krishna Chowdary</t>
  </si>
  <si>
    <t>7226845239</t>
  </si>
  <si>
    <t>GL4018417088</t>
  </si>
  <si>
    <t>MFLC1000687</t>
  </si>
  <si>
    <t>8003899135</t>
  </si>
  <si>
    <t>GL9003533031</t>
  </si>
  <si>
    <t>MFLC1000688</t>
  </si>
  <si>
    <t>7019104798</t>
  </si>
  <si>
    <t>GL5636823938</t>
  </si>
  <si>
    <t>MFLC1000689</t>
  </si>
  <si>
    <t>Kavita Joshi</t>
  </si>
  <si>
    <t>9265206188</t>
  </si>
  <si>
    <t>GL4997347168</t>
  </si>
  <si>
    <t>MFLC1000690</t>
  </si>
  <si>
    <t>Pankaj Agarwal</t>
  </si>
  <si>
    <t>9295227210</t>
  </si>
  <si>
    <t>GL4554483990</t>
  </si>
  <si>
    <t>MFLC1000691</t>
  </si>
  <si>
    <t>Ravi Patil</t>
  </si>
  <si>
    <t>7542480835</t>
  </si>
  <si>
    <t>GL3009034978</t>
  </si>
  <si>
    <t>MFLC1000692</t>
  </si>
  <si>
    <t>7154869154</t>
  </si>
  <si>
    <t>GL2375744949</t>
  </si>
  <si>
    <t>MFLC1000693</t>
  </si>
  <si>
    <t>9532006502</t>
  </si>
  <si>
    <t>Jaipur - Main Road</t>
  </si>
  <si>
    <t>GL1272080223</t>
  </si>
  <si>
    <t>MFLC1000694</t>
  </si>
  <si>
    <t>8781143191</t>
  </si>
  <si>
    <t>Erode - Civil Lines</t>
  </si>
  <si>
    <t>GL9183258352</t>
  </si>
  <si>
    <t>MFLC1000695</t>
  </si>
  <si>
    <t>Malathi Rajan</t>
  </si>
  <si>
    <t>8168207232</t>
  </si>
  <si>
    <t>GL7124768574</t>
  </si>
  <si>
    <t>MFLC1000696</t>
  </si>
  <si>
    <t>Ramesh Ravi</t>
  </si>
  <si>
    <t>8094627132</t>
  </si>
  <si>
    <t>GL3697534395</t>
  </si>
  <si>
    <t>MFLC1000697</t>
  </si>
  <si>
    <t>9714981622</t>
  </si>
  <si>
    <t>GL9428513559</t>
  </si>
  <si>
    <t>MFLC1000698</t>
  </si>
  <si>
    <t>Selvi Ravi</t>
  </si>
  <si>
    <t>7845302096</t>
  </si>
  <si>
    <t>GL1480011391</t>
  </si>
  <si>
    <t>MFLC1000699</t>
  </si>
  <si>
    <t>Saranya Iyer</t>
  </si>
  <si>
    <t>9089627071</t>
  </si>
  <si>
    <t>GL2434556136</t>
  </si>
  <si>
    <t>MFLC1000700</t>
  </si>
  <si>
    <t>7407171196</t>
  </si>
  <si>
    <t>Tirupati - MG Road</t>
  </si>
  <si>
    <t>GL5789731887</t>
  </si>
  <si>
    <t>MFLC1000701</t>
  </si>
  <si>
    <t>Revathi Rajan</t>
  </si>
  <si>
    <t>7593911517</t>
  </si>
  <si>
    <t>Chennai - Civil Lines</t>
  </si>
  <si>
    <t>GL5201223930</t>
  </si>
  <si>
    <t>MFLC1000702</t>
  </si>
  <si>
    <t>8093225544</t>
  </si>
  <si>
    <t>GL4799762853</t>
  </si>
  <si>
    <t>MFLC1000703</t>
  </si>
  <si>
    <t>Santhosh Varghese</t>
  </si>
  <si>
    <t>9698899498</t>
  </si>
  <si>
    <t>GL2346295703</t>
  </si>
  <si>
    <t>MFLC1000704</t>
  </si>
  <si>
    <t>Remya Mathew</t>
  </si>
  <si>
    <t>9328682233</t>
  </si>
  <si>
    <t>Thrissur - Gandhi Nagar</t>
  </si>
  <si>
    <t>GL8955641940</t>
  </si>
  <si>
    <t>MFLC1000705</t>
  </si>
  <si>
    <t>6998095709</t>
  </si>
  <si>
    <t>Belagavi - Industrial Estate</t>
  </si>
  <si>
    <t>GL8455594087</t>
  </si>
  <si>
    <t>MFLC1000706</t>
  </si>
  <si>
    <t>8662242703</t>
  </si>
  <si>
    <t>Visakhapatnam - Civil Lines</t>
  </si>
  <si>
    <t>GL1863900648</t>
  </si>
  <si>
    <t>MFLC1000707</t>
  </si>
  <si>
    <t>8957379322</t>
  </si>
  <si>
    <t>GL2225809938</t>
  </si>
  <si>
    <t>MFLC1000708</t>
  </si>
  <si>
    <t>7846254539</t>
  </si>
  <si>
    <t>GL4078466874</t>
  </si>
  <si>
    <t>MFLC1000709</t>
  </si>
  <si>
    <t>7647464613</t>
  </si>
  <si>
    <t>GL6085201363</t>
  </si>
  <si>
    <t>MFLC1000710</t>
  </si>
  <si>
    <t>Mani Iyer</t>
  </si>
  <si>
    <t>9593425415</t>
  </si>
  <si>
    <t>GL3809012082</t>
  </si>
  <si>
    <t>MFLC1000711</t>
  </si>
  <si>
    <t>Vasanthi Ravi</t>
  </si>
  <si>
    <t>9459358684</t>
  </si>
  <si>
    <t>GL2278523216</t>
  </si>
  <si>
    <t>MFLC1000712</t>
  </si>
  <si>
    <t>Mahesh Varma</t>
  </si>
  <si>
    <t>9195021265</t>
  </si>
  <si>
    <t>GL9993984472</t>
  </si>
  <si>
    <t>MFLC1000713</t>
  </si>
  <si>
    <t>Rohit Sharma</t>
  </si>
  <si>
    <t>9265371517</t>
  </si>
  <si>
    <t>Indore - Bus Stand</t>
  </si>
  <si>
    <t>GL7859078607</t>
  </si>
  <si>
    <t>MFLC1000714</t>
  </si>
  <si>
    <t>Vignesh Annamalai</t>
  </si>
  <si>
    <t>9474611099</t>
  </si>
  <si>
    <t>GL2565780085</t>
  </si>
  <si>
    <t>MFLC1000715</t>
  </si>
  <si>
    <t>Revathi Venkatesh</t>
  </si>
  <si>
    <t>7538415752</t>
  </si>
  <si>
    <t>GL0220088330</t>
  </si>
  <si>
    <t>MFLC1000716</t>
  </si>
  <si>
    <t>Revathi Ravi</t>
  </si>
  <si>
    <t>9155904050</t>
  </si>
  <si>
    <t>Salem - Market Road</t>
  </si>
  <si>
    <t>GL2161390127</t>
  </si>
  <si>
    <t>MFLC1000717</t>
  </si>
  <si>
    <t>Kavitha Raju</t>
  </si>
  <si>
    <t>7021427085</t>
  </si>
  <si>
    <t>GL0280143549</t>
  </si>
  <si>
    <t>MFLC1000718</t>
  </si>
  <si>
    <t>Devi Subramanian</t>
  </si>
  <si>
    <t>8060899551</t>
  </si>
  <si>
    <t>GL4326109511</t>
  </si>
  <si>
    <t>MFLC1000719</t>
  </si>
  <si>
    <t>Dinesh Chandran</t>
  </si>
  <si>
    <t>7259686879</t>
  </si>
  <si>
    <t>GL7575542524</t>
  </si>
  <si>
    <t>MFLC1000720</t>
  </si>
  <si>
    <t>Mathew George</t>
  </si>
  <si>
    <t>8859419071</t>
  </si>
  <si>
    <t>GL3718280687</t>
  </si>
  <si>
    <t>MFLC1000721</t>
  </si>
  <si>
    <t>9255140140</t>
  </si>
  <si>
    <t>GL1110033551</t>
  </si>
  <si>
    <t>MFLC1000722</t>
  </si>
  <si>
    <t>8707619350</t>
  </si>
  <si>
    <t>Alappuzha - Nehru Nagar</t>
  </si>
  <si>
    <t>GL7645255795</t>
  </si>
  <si>
    <t>MFLC1000723</t>
  </si>
  <si>
    <t>Jyothi Prasad</t>
  </si>
  <si>
    <t>7304483999</t>
  </si>
  <si>
    <t>Nizamabad - MG Road</t>
  </si>
  <si>
    <t>GL9836426412</t>
  </si>
  <si>
    <t>MFLC1000724</t>
  </si>
  <si>
    <t>Rani Thomas</t>
  </si>
  <si>
    <t>9315058698</t>
  </si>
  <si>
    <t>GL4306612768</t>
  </si>
  <si>
    <t>MFLC1000725</t>
  </si>
  <si>
    <t>Kavitha Raman</t>
  </si>
  <si>
    <t>9009521169</t>
  </si>
  <si>
    <t>GL7995562407</t>
  </si>
  <si>
    <t>MFLC1000726</t>
  </si>
  <si>
    <t>Anil Yadav</t>
  </si>
  <si>
    <t>8335034358</t>
  </si>
  <si>
    <t>Kota - Main Road</t>
  </si>
  <si>
    <t>GL9708192180</t>
  </si>
  <si>
    <t>MFLC1000727</t>
  </si>
  <si>
    <t>Manjunath Hegde</t>
  </si>
  <si>
    <t>7887489323</t>
  </si>
  <si>
    <t>Bengaluru - Industrial Estate</t>
  </si>
  <si>
    <t>GL3239273124</t>
  </si>
  <si>
    <t>MFLC1000728</t>
  </si>
  <si>
    <t>Neha Kumar</t>
  </si>
  <si>
    <t>8007512903</t>
  </si>
  <si>
    <t>GL4881169515</t>
  </si>
  <si>
    <t>MFLC1000729</t>
  </si>
  <si>
    <t>Devi Venkatesh</t>
  </si>
  <si>
    <t>7081207963</t>
  </si>
  <si>
    <t>GL4214623192</t>
  </si>
  <si>
    <t>MFLC1000730</t>
  </si>
  <si>
    <t>Naresh Murthy</t>
  </si>
  <si>
    <t>9980915785</t>
  </si>
  <si>
    <t>GL0534575142</t>
  </si>
  <si>
    <t>MFLC1000731</t>
  </si>
  <si>
    <t>Naveen Rathore</t>
  </si>
  <si>
    <t>8827304175</t>
  </si>
  <si>
    <t>Noida - Church Road</t>
  </si>
  <si>
    <t>GL2192986859</t>
  </si>
  <si>
    <t>MFLC1000732</t>
  </si>
  <si>
    <t>Anoop George</t>
  </si>
  <si>
    <t>9028332785</t>
  </si>
  <si>
    <t>GL8772275206</t>
  </si>
  <si>
    <t>MFLC1000733</t>
  </si>
  <si>
    <t>9822078603</t>
  </si>
  <si>
    <t>GL7036581092</t>
  </si>
  <si>
    <t>MFLC1000734</t>
  </si>
  <si>
    <t>Ritu Agarwal</t>
  </si>
  <si>
    <t>9380387924</t>
  </si>
  <si>
    <t>GL8511643689</t>
  </si>
  <si>
    <t>MFLC1000735</t>
  </si>
  <si>
    <t>Kumar Sundaram</t>
  </si>
  <si>
    <t>9620408482</t>
  </si>
  <si>
    <t>GL1091115513</t>
  </si>
  <si>
    <t>MFLC1000736</t>
  </si>
  <si>
    <t>9021801279</t>
  </si>
  <si>
    <t>GL7027209685</t>
  </si>
  <si>
    <t>MFLC1000737</t>
  </si>
  <si>
    <t>9780230719</t>
  </si>
  <si>
    <t>GL9860365655</t>
  </si>
  <si>
    <t>MFLC1000738</t>
  </si>
  <si>
    <t>6776260182</t>
  </si>
  <si>
    <t>GL1137803713</t>
  </si>
  <si>
    <t>MFLC1000739</t>
  </si>
  <si>
    <t>Sreeja Philip</t>
  </si>
  <si>
    <t>6202997815</t>
  </si>
  <si>
    <t>GL3575973015</t>
  </si>
  <si>
    <t>MFLC1000740</t>
  </si>
  <si>
    <t>Manoj Kurup</t>
  </si>
  <si>
    <t>7584474371</t>
  </si>
  <si>
    <t>GL8859779294</t>
  </si>
  <si>
    <t>MFLC1000741</t>
  </si>
  <si>
    <t>Fathima Warrier</t>
  </si>
  <si>
    <t>9260603153</t>
  </si>
  <si>
    <t>GL7117056321</t>
  </si>
  <si>
    <t>MFLC1000742</t>
  </si>
  <si>
    <t>8106906901</t>
  </si>
  <si>
    <t>GL0631037246</t>
  </si>
  <si>
    <t>MFLC1000743</t>
  </si>
  <si>
    <t>9901151492</t>
  </si>
  <si>
    <t>Erode - MG Road</t>
  </si>
  <si>
    <t>GL1901997762</t>
  </si>
  <si>
    <t>MFLC1000744</t>
  </si>
  <si>
    <t>7844777125</t>
  </si>
  <si>
    <t>GL7954863540</t>
  </si>
  <si>
    <t>MFLC1000745</t>
  </si>
  <si>
    <t>9736188355</t>
  </si>
  <si>
    <t>GL0881558392</t>
  </si>
  <si>
    <t>MFLC1000746</t>
  </si>
  <si>
    <t>9762379797</t>
  </si>
  <si>
    <t>Tirupati - Station Road</t>
  </si>
  <si>
    <t>GL4004152657</t>
  </si>
  <si>
    <t>MFLC1000747</t>
  </si>
  <si>
    <t>Vidya Kulkarni</t>
  </si>
  <si>
    <t>9352656212</t>
  </si>
  <si>
    <t>Belagavi - Bus Stand</t>
  </si>
  <si>
    <t>GL8059835320</t>
  </si>
  <si>
    <t>MFLC1000748</t>
  </si>
  <si>
    <t>Suresh Naidu</t>
  </si>
  <si>
    <t>9123439439</t>
  </si>
  <si>
    <t>GL4004207262</t>
  </si>
  <si>
    <t>MFLC1000749</t>
  </si>
  <si>
    <t>Anil Thomas</t>
  </si>
  <si>
    <t>9937854151</t>
  </si>
  <si>
    <t>GL4842139065</t>
  </si>
  <si>
    <t>MFLC1000750</t>
  </si>
  <si>
    <t>Saranya Natarajan</t>
  </si>
  <si>
    <t>9819909401</t>
  </si>
  <si>
    <t>Chennai - Market Road</t>
  </si>
  <si>
    <t>GL9489350489</t>
  </si>
  <si>
    <t>MFLC1000751</t>
  </si>
  <si>
    <t>Priya Subramanian</t>
  </si>
  <si>
    <t>9965123172</t>
  </si>
  <si>
    <t>GL9783710424</t>
  </si>
  <si>
    <t>MFLC1000752</t>
  </si>
  <si>
    <t>8339196704</t>
  </si>
  <si>
    <t>GL3830249672</t>
  </si>
  <si>
    <t>MFLC1000753</t>
  </si>
  <si>
    <t>Remya Panicker</t>
  </si>
  <si>
    <t>8434037957</t>
  </si>
  <si>
    <t>Thrissur - Station Road</t>
  </si>
  <si>
    <t>GL7441849303</t>
  </si>
  <si>
    <t>MFLC1000754</t>
  </si>
  <si>
    <t>Geeta Saxena</t>
  </si>
  <si>
    <t>7452262809</t>
  </si>
  <si>
    <t>Indore - Town Hall</t>
  </si>
  <si>
    <t>GL0600884727</t>
  </si>
  <si>
    <t>MFLC1000755</t>
  </si>
  <si>
    <t>Suresh Thomas</t>
  </si>
  <si>
    <t>9631021475</t>
  </si>
  <si>
    <t>GL4283428380</t>
  </si>
  <si>
    <t>MFLC1000756</t>
  </si>
  <si>
    <t>9290000268</t>
  </si>
  <si>
    <t>GL1489963293</t>
  </si>
  <si>
    <t>MFLC1000757</t>
  </si>
  <si>
    <t>Sunita Sharma</t>
  </si>
  <si>
    <t>9413558888</t>
  </si>
  <si>
    <t>Noida - Market Road</t>
  </si>
  <si>
    <t>GL8195629775</t>
  </si>
  <si>
    <t>MFLC1000758</t>
  </si>
  <si>
    <t>8031774355</t>
  </si>
  <si>
    <t>GL2614176167</t>
  </si>
  <si>
    <t>MFLC1000759</t>
  </si>
  <si>
    <t>8245755080</t>
  </si>
  <si>
    <t>GL6622031491</t>
  </si>
  <si>
    <t>MFLC1000760</t>
  </si>
  <si>
    <t>Satish Varma</t>
  </si>
  <si>
    <t>9661506051</t>
  </si>
  <si>
    <t>Vijayawada - Station Road</t>
  </si>
  <si>
    <t>GL1211355880</t>
  </si>
  <si>
    <t>MFLC1000761</t>
  </si>
  <si>
    <t>Mahesh Kumar</t>
  </si>
  <si>
    <t>9909912017</t>
  </si>
  <si>
    <t>GL0151187425</t>
  </si>
  <si>
    <t>MFLC1000762</t>
  </si>
  <si>
    <t>Venkatesh Prasad</t>
  </si>
  <si>
    <t>9101727901</t>
  </si>
  <si>
    <t>GL6574289932</t>
  </si>
  <si>
    <t>MFLC1000763</t>
  </si>
  <si>
    <t>Ritu Joshi</t>
  </si>
  <si>
    <t>9337102896</t>
  </si>
  <si>
    <t>GL2921240773</t>
  </si>
  <si>
    <t>MFLC1000764</t>
  </si>
  <si>
    <t>Madhavi Sastry</t>
  </si>
  <si>
    <t>8682238234</t>
  </si>
  <si>
    <t>GL2021483962</t>
  </si>
  <si>
    <t>MFLC1000765</t>
  </si>
  <si>
    <t>Sajeev Warrier</t>
  </si>
  <si>
    <t>7888284118</t>
  </si>
  <si>
    <t>GL7692916235</t>
  </si>
  <si>
    <t>MFLC1000766</t>
  </si>
  <si>
    <t>Seema Pandey</t>
  </si>
  <si>
    <t>9892836080</t>
  </si>
  <si>
    <t>GL8129845583</t>
  </si>
  <si>
    <t>MFLC1000767</t>
  </si>
  <si>
    <t>Basavaraj Bhat</t>
  </si>
  <si>
    <t>9920225771</t>
  </si>
  <si>
    <t>GL3807885302</t>
  </si>
  <si>
    <t>MFLC1000768</t>
  </si>
  <si>
    <t>Ravi Hegde</t>
  </si>
  <si>
    <t>9282576618</t>
  </si>
  <si>
    <t>GL6096376869</t>
  </si>
  <si>
    <t>MFLC1000769</t>
  </si>
  <si>
    <t>9544129895</t>
  </si>
  <si>
    <t>GL7276836825</t>
  </si>
  <si>
    <t>MFLC1000770</t>
  </si>
  <si>
    <t>7086559615</t>
  </si>
  <si>
    <t>Belagavi - Church Road</t>
  </si>
  <si>
    <t>GL8281312845</t>
  </si>
  <si>
    <t>MFLC1000771</t>
  </si>
  <si>
    <t>Shivakumar Shetty</t>
  </si>
  <si>
    <t>9267455866</t>
  </si>
  <si>
    <t>Belagavi - Civil Lines</t>
  </si>
  <si>
    <t>GL3697393347</t>
  </si>
  <si>
    <t>MFLC1000772</t>
  </si>
  <si>
    <t>Padma Raju</t>
  </si>
  <si>
    <t>9067468463</t>
  </si>
  <si>
    <t>GL1848970934</t>
  </si>
  <si>
    <t>MFLC1000773</t>
  </si>
  <si>
    <t>Ramesh Varma</t>
  </si>
  <si>
    <t>7722901949</t>
  </si>
  <si>
    <t>GL5026873718</t>
  </si>
  <si>
    <t>MFLC1000774</t>
  </si>
  <si>
    <t>Srikanth Murthy</t>
  </si>
  <si>
    <t>9594337293</t>
  </si>
  <si>
    <t>GL6201677497</t>
  </si>
  <si>
    <t>MFLC1000775</t>
  </si>
  <si>
    <t>Revathi Murugan</t>
  </si>
  <si>
    <t>8915792676</t>
  </si>
  <si>
    <t>GL4249087828</t>
  </si>
  <si>
    <t>MFLC1000776</t>
  </si>
  <si>
    <t>Harish Rao</t>
  </si>
  <si>
    <t>9815546717</t>
  </si>
  <si>
    <t>GL4798990194</t>
  </si>
  <si>
    <t>MFLC1000777</t>
  </si>
  <si>
    <t>9447651230</t>
  </si>
  <si>
    <t>GL8121479289</t>
  </si>
  <si>
    <t>MFLC1000778</t>
  </si>
  <si>
    <t>8377299984</t>
  </si>
  <si>
    <t>GL5882899449</t>
  </si>
  <si>
    <t>MFLC1000779</t>
  </si>
  <si>
    <t>Seema Mishra</t>
  </si>
  <si>
    <t>7336235798</t>
  </si>
  <si>
    <t>Gurugram - Gandhi Nagar</t>
  </si>
  <si>
    <t>GL2487689643</t>
  </si>
  <si>
    <t>MFLC1000780</t>
  </si>
  <si>
    <t>8297377514</t>
  </si>
  <si>
    <t>GL4538668897</t>
  </si>
  <si>
    <t>MFLC1000781</t>
  </si>
  <si>
    <t>8747858417</t>
  </si>
  <si>
    <t>GL2412835707</t>
  </si>
  <si>
    <t>MFLC1000782</t>
  </si>
  <si>
    <t>Suresh Acharya</t>
  </si>
  <si>
    <t>8800990397</t>
  </si>
  <si>
    <t>GL7851557932</t>
  </si>
  <si>
    <t>MFLC1000783</t>
  </si>
  <si>
    <t>9062036365</t>
  </si>
  <si>
    <t>GL1965704352</t>
  </si>
  <si>
    <t>MFLC1000784</t>
  </si>
  <si>
    <t>9877425642</t>
  </si>
  <si>
    <t>GL4137666163</t>
  </si>
  <si>
    <t>MFLC1000785</t>
  </si>
  <si>
    <t>Sirisha Prasad</t>
  </si>
  <si>
    <t>7089741359</t>
  </si>
  <si>
    <t>GL8008670903</t>
  </si>
  <si>
    <t>MFLC1000786</t>
  </si>
  <si>
    <t>Ajith Mathew</t>
  </si>
  <si>
    <t>8916844710</t>
  </si>
  <si>
    <t>GL3981307912</t>
  </si>
  <si>
    <t>MFLC1000787</t>
  </si>
  <si>
    <t>8474427687</t>
  </si>
  <si>
    <t>GL6967977900</t>
  </si>
  <si>
    <t>MFLC1000788</t>
  </si>
  <si>
    <t>8806403941</t>
  </si>
  <si>
    <t>Mangaluru - Gandhi Nagar</t>
  </si>
  <si>
    <t>GL3335459747</t>
  </si>
  <si>
    <t>MFLC1000789</t>
  </si>
  <si>
    <t>Santhosh Ibrahim</t>
  </si>
  <si>
    <t>8679467387</t>
  </si>
  <si>
    <t>GL8345823711</t>
  </si>
  <si>
    <t>MFLC1000790</t>
  </si>
  <si>
    <t>8603318512</t>
  </si>
  <si>
    <t>Belagavi - Station Road</t>
  </si>
  <si>
    <t>GL2089598585</t>
  </si>
  <si>
    <t>MFLC1000791</t>
  </si>
  <si>
    <t>7683166265</t>
  </si>
  <si>
    <t>Vijayawada - Civil Lines</t>
  </si>
  <si>
    <t>GL9359128798</t>
  </si>
  <si>
    <t>MFLC1000792</t>
  </si>
  <si>
    <t>Savitha Kulkarni</t>
  </si>
  <si>
    <t>8973964214</t>
  </si>
  <si>
    <t>Hubballi - Gandhi Nagar</t>
  </si>
  <si>
    <t>GL4021540403</t>
  </si>
  <si>
    <t>MFLC1000793</t>
  </si>
  <si>
    <t>9381508244</t>
  </si>
  <si>
    <t>Erode - Town Hall</t>
  </si>
  <si>
    <t>GL8031235773</t>
  </si>
  <si>
    <t>MFLC1000794</t>
  </si>
  <si>
    <t>Kumar Natarajan</t>
  </si>
  <si>
    <t>7223706982</t>
  </si>
  <si>
    <t>Vellore - Station Road</t>
  </si>
  <si>
    <t>GL4270676230</t>
  </si>
  <si>
    <t>MFLC1000795</t>
  </si>
  <si>
    <t>Ajay Yadav</t>
  </si>
  <si>
    <t>9188054446</t>
  </si>
  <si>
    <t>GL9526320586</t>
  </si>
  <si>
    <t>MFLC1000796</t>
  </si>
  <si>
    <t>Vidya Rao</t>
  </si>
  <si>
    <t>9062568341</t>
  </si>
  <si>
    <t>GL3690322862</t>
  </si>
  <si>
    <t>MFLC1000797</t>
  </si>
  <si>
    <t>Ravi Murthy</t>
  </si>
  <si>
    <t>9992619284</t>
  </si>
  <si>
    <t>Shivamogga - Gandhi Nagar</t>
  </si>
  <si>
    <t>GL8630268394</t>
  </si>
  <si>
    <t>MFLC1000798</t>
  </si>
  <si>
    <t>Ritu Mishra</t>
  </si>
  <si>
    <t>8912282732</t>
  </si>
  <si>
    <t>Noida - Town Hall</t>
  </si>
  <si>
    <t>GL6393351896</t>
  </si>
  <si>
    <t>MFLC1000799</t>
  </si>
  <si>
    <t>9679485569</t>
  </si>
  <si>
    <t>GL5273693615</t>
  </si>
  <si>
    <t>MFLC1000800</t>
  </si>
  <si>
    <t>Vijaya Kumar</t>
  </si>
  <si>
    <t>6678155028</t>
  </si>
  <si>
    <t>GL7829154105</t>
  </si>
  <si>
    <t>MFLC1000801</t>
  </si>
  <si>
    <t>Pooja Joshi</t>
  </si>
  <si>
    <t>8266642780</t>
  </si>
  <si>
    <t>GL5638561747</t>
  </si>
  <si>
    <t>MFLC1000802</t>
  </si>
  <si>
    <t>9562642588</t>
  </si>
  <si>
    <t>Coimbatore - Town Hall</t>
  </si>
  <si>
    <t>GL5845286710</t>
  </si>
  <si>
    <t>MFLC1000803</t>
  </si>
  <si>
    <t>7235901068</t>
  </si>
  <si>
    <t>GL6813201400</t>
  </si>
  <si>
    <t>MFLC1000804</t>
  </si>
  <si>
    <t>8946306809</t>
  </si>
  <si>
    <t>Erode - Bus Stand</t>
  </si>
  <si>
    <t>GL7730014590</t>
  </si>
  <si>
    <t>MFLC1000805</t>
  </si>
  <si>
    <t>Anita Sharma</t>
  </si>
  <si>
    <t>9281416602</t>
  </si>
  <si>
    <t>GL9260524736</t>
  </si>
  <si>
    <t>MFLC1000806</t>
  </si>
  <si>
    <t>Sindhu Mathew</t>
  </si>
  <si>
    <t>8667592033</t>
  </si>
  <si>
    <t>GL1534975198</t>
  </si>
  <si>
    <t>MFLC1000807</t>
  </si>
  <si>
    <t>Anitha Subramanian</t>
  </si>
  <si>
    <t>9623490603</t>
  </si>
  <si>
    <t>GL4363386722</t>
  </si>
  <si>
    <t>MFLC1000808</t>
  </si>
  <si>
    <t>Meena Pandian</t>
  </si>
  <si>
    <t>7502603421</t>
  </si>
  <si>
    <t>GL4966393595</t>
  </si>
  <si>
    <t>MFLC1000809</t>
  </si>
  <si>
    <t>9375623896</t>
  </si>
  <si>
    <t>GL3718128529</t>
  </si>
  <si>
    <t>MFLC1000810</t>
  </si>
  <si>
    <t>9744932266</t>
  </si>
  <si>
    <t>GL9645779769</t>
  </si>
  <si>
    <t>MFLC1000811</t>
  </si>
  <si>
    <t>9876768625</t>
  </si>
  <si>
    <t>Noida - Nehru Nagar</t>
  </si>
  <si>
    <t>GL1351172218</t>
  </si>
  <si>
    <t>MFLC1000812</t>
  </si>
  <si>
    <t>9516319026</t>
  </si>
  <si>
    <t>Hubballi - Market Road</t>
  </si>
  <si>
    <t>GL7206692217</t>
  </si>
  <si>
    <t>MFLC1000813</t>
  </si>
  <si>
    <t>Shibu George</t>
  </si>
  <si>
    <t>7984620742</t>
  </si>
  <si>
    <t>GL4822763433</t>
  </si>
  <si>
    <t>MFLC1000814</t>
  </si>
  <si>
    <t>7411273670</t>
  </si>
  <si>
    <t>GL7139045070</t>
  </si>
  <si>
    <t>MFLC1000815</t>
  </si>
  <si>
    <t>Binu Ibrahim</t>
  </si>
  <si>
    <t>9516463379</t>
  </si>
  <si>
    <t>GL6720806329</t>
  </si>
  <si>
    <t>MFLC1000816</t>
  </si>
  <si>
    <t>Mary Kumar</t>
  </si>
  <si>
    <t>8797211808</t>
  </si>
  <si>
    <t>GL4047445849</t>
  </si>
  <si>
    <t>MFLC1000817</t>
  </si>
  <si>
    <t>Divya Menon</t>
  </si>
  <si>
    <t>8750004358</t>
  </si>
  <si>
    <t>GL9219602398</t>
  </si>
  <si>
    <t>MFLC1000818</t>
  </si>
  <si>
    <t>Krishna Raju</t>
  </si>
  <si>
    <t>9595941840</t>
  </si>
  <si>
    <t>GL7935110953</t>
  </si>
  <si>
    <t>MFLC1000819</t>
  </si>
  <si>
    <t>Anitha Sundaram</t>
  </si>
  <si>
    <t>9797114424</t>
  </si>
  <si>
    <t>Coimbatore - MG Road</t>
  </si>
  <si>
    <t>GL8636293511</t>
  </si>
  <si>
    <t>MFLC1000820</t>
  </si>
  <si>
    <t>7292985059</t>
  </si>
  <si>
    <t>GL3824132182</t>
  </si>
  <si>
    <t>MFLC1000821</t>
  </si>
  <si>
    <t>Geeta Singh</t>
  </si>
  <si>
    <t>9454555548</t>
  </si>
  <si>
    <t>GL6893683089</t>
  </si>
  <si>
    <t>MFLC1000822</t>
  </si>
  <si>
    <t>6058031520</t>
  </si>
  <si>
    <t>GL9305733675</t>
  </si>
  <si>
    <t>MFLC1000823</t>
  </si>
  <si>
    <t>Harish Bhat</t>
  </si>
  <si>
    <t>9225296938</t>
  </si>
  <si>
    <t>Mysuru - Bus Stand</t>
  </si>
  <si>
    <t>GL3713600503</t>
  </si>
  <si>
    <t>MFLC1000824</t>
  </si>
  <si>
    <t>Anil Ibrahim</t>
  </si>
  <si>
    <t>8877672743</t>
  </si>
  <si>
    <t>GL5274079302</t>
  </si>
  <si>
    <t>MFLC1000825</t>
  </si>
  <si>
    <t>Sumithra Swamy</t>
  </si>
  <si>
    <t>9003197158</t>
  </si>
  <si>
    <t>GL4739663768</t>
  </si>
  <si>
    <t>MFLC1000826</t>
  </si>
  <si>
    <t>8149731050</t>
  </si>
  <si>
    <t>GL0225324969</t>
  </si>
  <si>
    <t>MFLC1000827</t>
  </si>
  <si>
    <t>Sunita Singh</t>
  </si>
  <si>
    <t>7349012370</t>
  </si>
  <si>
    <t>GL0938245536</t>
  </si>
  <si>
    <t>MFLC1000828</t>
  </si>
  <si>
    <t>8200221470</t>
  </si>
  <si>
    <t>Gwalior - Nehru Nagar</t>
  </si>
  <si>
    <t>GL7401460346</t>
  </si>
  <si>
    <t>MFLC1000829</t>
  </si>
  <si>
    <t>9087807512</t>
  </si>
  <si>
    <t>Chennai - Temple Street</t>
  </si>
  <si>
    <t>GL1693096015</t>
  </si>
  <si>
    <t>MFLC1000830</t>
  </si>
  <si>
    <t>Ravi Rao</t>
  </si>
  <si>
    <t>9437605196</t>
  </si>
  <si>
    <t>GL8847487884</t>
  </si>
  <si>
    <t>MFLC1000831</t>
  </si>
  <si>
    <t>Swathi Chowdary</t>
  </si>
  <si>
    <t>8124247765</t>
  </si>
  <si>
    <t>GL7725867626</t>
  </si>
  <si>
    <t>MFLC1000832</t>
  </si>
  <si>
    <t>Shivakumar Kumar</t>
  </si>
  <si>
    <t>9461613051</t>
  </si>
  <si>
    <t>GL6032628274</t>
  </si>
  <si>
    <t>MFLC1000833</t>
  </si>
  <si>
    <t>Murugan Natarajan</t>
  </si>
  <si>
    <t>9469807811</t>
  </si>
  <si>
    <t>GL9456704001</t>
  </si>
  <si>
    <t>MFLC1000834</t>
  </si>
  <si>
    <t>Neha Agarwal</t>
  </si>
  <si>
    <t>7621013734</t>
  </si>
  <si>
    <t>GL3950333716</t>
  </si>
  <si>
    <t>MFLC1000835</t>
  </si>
  <si>
    <t>Abdul George</t>
  </si>
  <si>
    <t>7752262351</t>
  </si>
  <si>
    <t>GL4374403623</t>
  </si>
  <si>
    <t>MFLC1000836</t>
  </si>
  <si>
    <t>6646711006</t>
  </si>
  <si>
    <t>GL5849661634</t>
  </si>
  <si>
    <t>MFLC1000837</t>
  </si>
  <si>
    <t>7352220730</t>
  </si>
  <si>
    <t>New Delhi - Market Road</t>
  </si>
  <si>
    <t>GL2101029972</t>
  </si>
  <si>
    <t>MFLC1000838</t>
  </si>
  <si>
    <t>8233959482</t>
  </si>
  <si>
    <t>GL6456025443</t>
  </si>
  <si>
    <t>MFLC1000839</t>
  </si>
  <si>
    <t>9384348453</t>
  </si>
  <si>
    <t>GL6377658333</t>
  </si>
  <si>
    <t>MFLC1000840</t>
  </si>
  <si>
    <t>Lakshmi Sastry</t>
  </si>
  <si>
    <t>8741969091</t>
  </si>
  <si>
    <t>GL3828949563</t>
  </si>
  <si>
    <t>MFLC1000841</t>
  </si>
  <si>
    <t>Rani Kumar</t>
  </si>
  <si>
    <t>9515635979</t>
  </si>
  <si>
    <t>GL1262259026</t>
  </si>
  <si>
    <t>MFLC1000842</t>
  </si>
  <si>
    <t>8918715090</t>
  </si>
  <si>
    <t>GL0794242679</t>
  </si>
  <si>
    <t>MFLC1000843</t>
  </si>
  <si>
    <t>Manoj Agarwal</t>
  </si>
  <si>
    <t>9885929460</t>
  </si>
  <si>
    <t>Kanpur - Industrial Estate</t>
  </si>
  <si>
    <t>GL6509865889</t>
  </si>
  <si>
    <t>MFLC1000844</t>
  </si>
  <si>
    <t>7810198814</t>
  </si>
  <si>
    <t>Salem - Town Hall</t>
  </si>
  <si>
    <t>GL9952937938</t>
  </si>
  <si>
    <t>MFLC1000845</t>
  </si>
  <si>
    <t>7432966419</t>
  </si>
  <si>
    <t>GL0282648544</t>
  </si>
  <si>
    <t>MFLC1000846</t>
  </si>
  <si>
    <t>9182636339</t>
  </si>
  <si>
    <t>Karimnagar - Bus Stand</t>
  </si>
  <si>
    <t>GL7091907909</t>
  </si>
  <si>
    <t>MFLC1000847</t>
  </si>
  <si>
    <t>Manoj Mathew</t>
  </si>
  <si>
    <t>6648251241</t>
  </si>
  <si>
    <t>GL0305320574</t>
  </si>
  <si>
    <t>MFLC1000848</t>
  </si>
  <si>
    <t>8917058635</t>
  </si>
  <si>
    <t>GL4906663474</t>
  </si>
  <si>
    <t>MFLC1000849</t>
  </si>
  <si>
    <t>Sajeev Thomas</t>
  </si>
  <si>
    <t>8097039046</t>
  </si>
  <si>
    <t>GL0346696643</t>
  </si>
  <si>
    <t>MFLC1000850</t>
  </si>
  <si>
    <t>7066038863</t>
  </si>
  <si>
    <t>GL4757698244</t>
  </si>
  <si>
    <t>MFLC1000851</t>
  </si>
  <si>
    <t>Sunil Yadav</t>
  </si>
  <si>
    <t>9533085311</t>
  </si>
  <si>
    <t>GL2143508393</t>
  </si>
  <si>
    <t>MFLC1000852</t>
  </si>
  <si>
    <t>Smitha Menon</t>
  </si>
  <si>
    <t>9087126316</t>
  </si>
  <si>
    <t>GL9666603490</t>
  </si>
  <si>
    <t>MFLC1000853</t>
  </si>
  <si>
    <t>Murugan Venkatesh</t>
  </si>
  <si>
    <t>8002234162</t>
  </si>
  <si>
    <t>GL0788808985</t>
  </si>
  <si>
    <t>MFLC1000854</t>
  </si>
  <si>
    <t>9010819308</t>
  </si>
  <si>
    <t>Guntur - Church Road</t>
  </si>
  <si>
    <t>GL7575703865</t>
  </si>
  <si>
    <t>MFLC1000855</t>
  </si>
  <si>
    <t>Ajith Panicker</t>
  </si>
  <si>
    <t>8725104910</t>
  </si>
  <si>
    <t>GL0152032154</t>
  </si>
  <si>
    <t>MFLC1000856</t>
  </si>
  <si>
    <t>Roopa Shetty</t>
  </si>
  <si>
    <t>9617439426</t>
  </si>
  <si>
    <t>GL7292870089</t>
  </si>
  <si>
    <t>MFLC1000857</t>
  </si>
  <si>
    <t>Smitha Thomas</t>
  </si>
  <si>
    <t>7343145627</t>
  </si>
  <si>
    <t>Alappuzha - Town Hall</t>
  </si>
  <si>
    <t>GL7455191300</t>
  </si>
  <si>
    <t>MFLC1000858</t>
  </si>
  <si>
    <t>Anusha Murthy</t>
  </si>
  <si>
    <t>8697419785</t>
  </si>
  <si>
    <t>Warangal - Nehru Nagar</t>
  </si>
  <si>
    <t>GL0450511169</t>
  </si>
  <si>
    <t>MFLC1000859</t>
  </si>
  <si>
    <t>Padma Murthy</t>
  </si>
  <si>
    <t>9632322620</t>
  </si>
  <si>
    <t>GL7813493044</t>
  </si>
  <si>
    <t>MFLC1000860</t>
  </si>
  <si>
    <t>9780334132</t>
  </si>
  <si>
    <t>GL0691568722</t>
  </si>
  <si>
    <t>MFLC1000861</t>
  </si>
  <si>
    <t>Vinod Warrier</t>
  </si>
  <si>
    <t>9005216729</t>
  </si>
  <si>
    <t>GL3811659816</t>
  </si>
  <si>
    <t>MFLC1000862</t>
  </si>
  <si>
    <t>Anitha Murugan</t>
  </si>
  <si>
    <t>8453443849</t>
  </si>
  <si>
    <t>GL1724219092</t>
  </si>
  <si>
    <t>MFLC1000863</t>
  </si>
  <si>
    <t>9519281715</t>
  </si>
  <si>
    <t>GL8295935025</t>
  </si>
  <si>
    <t>MFLC1000864</t>
  </si>
  <si>
    <t>Radha Reddy</t>
  </si>
  <si>
    <t>7955977131</t>
  </si>
  <si>
    <t>GL0057873030</t>
  </si>
  <si>
    <t>MFLC1000865</t>
  </si>
  <si>
    <t>9939389436</t>
  </si>
  <si>
    <t>GL0184607688</t>
  </si>
  <si>
    <t>MFLC1000866</t>
  </si>
  <si>
    <t>Bhaskar Chowdary</t>
  </si>
  <si>
    <t>7040950477</t>
  </si>
  <si>
    <t>GL6472809949</t>
  </si>
  <si>
    <t>MFLC1000867</t>
  </si>
  <si>
    <t>Pankaj Verma</t>
  </si>
  <si>
    <t>9031077941</t>
  </si>
  <si>
    <t>Kanpur - Station Road</t>
  </si>
  <si>
    <t>GL2133356521</t>
  </si>
  <si>
    <t>MFLC1000868</t>
  </si>
  <si>
    <t>Lakshmi Ravi</t>
  </si>
  <si>
    <t>9374095560</t>
  </si>
  <si>
    <t>GL1828535188</t>
  </si>
  <si>
    <t>MFLC1000869</t>
  </si>
  <si>
    <t>Lakshmi Hegde</t>
  </si>
  <si>
    <t>9189289290</t>
  </si>
  <si>
    <t>GL3683908687</t>
  </si>
  <si>
    <t>MFLC1000870</t>
  </si>
  <si>
    <t>Kavita Agarwal</t>
  </si>
  <si>
    <t>6906321332</t>
  </si>
  <si>
    <t>GL7358045164</t>
  </si>
  <si>
    <t>MFLC1000871</t>
  </si>
  <si>
    <t>Geetha Naik</t>
  </si>
  <si>
    <t>9988712319</t>
  </si>
  <si>
    <t>GL7242068543</t>
  </si>
  <si>
    <t>MFLC1000872</t>
  </si>
  <si>
    <t>Amit Mishra</t>
  </si>
  <si>
    <t>8377846382</t>
  </si>
  <si>
    <t>GL3719474447</t>
  </si>
  <si>
    <t>MFLC1000873</t>
  </si>
  <si>
    <t>Lakshmi Prasad</t>
  </si>
  <si>
    <t>8874286661</t>
  </si>
  <si>
    <t>GL0229490558</t>
  </si>
  <si>
    <t>MFLC1000874</t>
  </si>
  <si>
    <t>Lakshmi Annamalai</t>
  </si>
  <si>
    <t>9355909617</t>
  </si>
  <si>
    <t>GL2186795157</t>
  </si>
  <si>
    <t>MFLC1000875</t>
  </si>
  <si>
    <t>Vignesh Raman</t>
  </si>
  <si>
    <t>9046558419</t>
  </si>
  <si>
    <t>GL6729008348</t>
  </si>
  <si>
    <t>MFLC1000876</t>
  </si>
  <si>
    <t>7462931477</t>
  </si>
  <si>
    <t>GL1641284098</t>
  </si>
  <si>
    <t>MFLC1000877</t>
  </si>
  <si>
    <t>9071527994</t>
  </si>
  <si>
    <t>GL4005679954</t>
  </si>
  <si>
    <t>MFLC1000878</t>
  </si>
  <si>
    <t>Sunil Pandey</t>
  </si>
  <si>
    <t>7909453264</t>
  </si>
  <si>
    <t>GL6226710447</t>
  </si>
  <si>
    <t>MFLC1000879</t>
  </si>
  <si>
    <t>8753898298</t>
  </si>
  <si>
    <t>GL5140222684</t>
  </si>
  <si>
    <t>MFLC1000880</t>
  </si>
  <si>
    <t>Priya Mishra</t>
  </si>
  <si>
    <t>8459425739</t>
  </si>
  <si>
    <t>GL8004601524</t>
  </si>
  <si>
    <t>MFLC1000881</t>
  </si>
  <si>
    <t>Srinivas Shetty</t>
  </si>
  <si>
    <t>7542041774</t>
  </si>
  <si>
    <t>GL9565499630</t>
  </si>
  <si>
    <t>MFLC1000882</t>
  </si>
  <si>
    <t>6563010750</t>
  </si>
  <si>
    <t>GL9962019244</t>
  </si>
  <si>
    <t>MFLC1000883</t>
  </si>
  <si>
    <t>6834694549</t>
  </si>
  <si>
    <t>GL9397988459</t>
  </si>
  <si>
    <t>MFLC1000884</t>
  </si>
  <si>
    <t>Sreejith Ibrahim</t>
  </si>
  <si>
    <t>7829615777</t>
  </si>
  <si>
    <t>GL7044888581</t>
  </si>
  <si>
    <t>MFLC1000885</t>
  </si>
  <si>
    <t>7168010971</t>
  </si>
  <si>
    <t>Kota - Church Road</t>
  </si>
  <si>
    <t>GL1311779278</t>
  </si>
  <si>
    <t>MFLC1000886</t>
  </si>
  <si>
    <t>Selvi Annamalai</t>
  </si>
  <si>
    <t>8139463477</t>
  </si>
  <si>
    <t>GL0381737308</t>
  </si>
  <si>
    <t>MFLC1000887</t>
  </si>
  <si>
    <t>Rani Mohammed</t>
  </si>
  <si>
    <t>9689136840</t>
  </si>
  <si>
    <t>GL0624644566</t>
  </si>
  <si>
    <t>MFLC1000888</t>
  </si>
  <si>
    <t>Srikanth Varma</t>
  </si>
  <si>
    <t>9865141616</t>
  </si>
  <si>
    <t>GL0827175284</t>
  </si>
  <si>
    <t>MFLC1000889</t>
  </si>
  <si>
    <t>Sindhu Panicker</t>
  </si>
  <si>
    <t>8614190899</t>
  </si>
  <si>
    <t>GL5875044386</t>
  </si>
  <si>
    <t>MFLC1000890</t>
  </si>
  <si>
    <t>Malathi Iyer</t>
  </si>
  <si>
    <t>8820655332</t>
  </si>
  <si>
    <t>Coimbatore - Industrial Estate</t>
  </si>
  <si>
    <t>GL1613140804</t>
  </si>
  <si>
    <t>MFLC1000891</t>
  </si>
  <si>
    <t>Vignesh Kannan</t>
  </si>
  <si>
    <t>9316216415</t>
  </si>
  <si>
    <t>GL7060290232</t>
  </si>
  <si>
    <t>MFLC1000892</t>
  </si>
  <si>
    <t>Lakshmi Selvam</t>
  </si>
  <si>
    <t>7800947304</t>
  </si>
  <si>
    <t>GL3552746898</t>
  </si>
  <si>
    <t>MFLC1000893</t>
  </si>
  <si>
    <t>Madhavi Varma</t>
  </si>
  <si>
    <t>9330755296</t>
  </si>
  <si>
    <t>GL7495215486</t>
  </si>
  <si>
    <t>MFLC1000894</t>
  </si>
  <si>
    <t>7953915719</t>
  </si>
  <si>
    <t>Coimbatore - Main Road</t>
  </si>
  <si>
    <t>GL8583750463</t>
  </si>
  <si>
    <t>MFLC1000895</t>
  </si>
  <si>
    <t>Sindhu Varghese</t>
  </si>
  <si>
    <t>7145336033</t>
  </si>
  <si>
    <t>GL2756321208</t>
  </si>
  <si>
    <t>MFLC1000896</t>
  </si>
  <si>
    <t>Suresh Verma</t>
  </si>
  <si>
    <t>7450076636</t>
  </si>
  <si>
    <t>GL6812924805</t>
  </si>
  <si>
    <t>MFLC1000897</t>
  </si>
  <si>
    <t>Sravani Babu</t>
  </si>
  <si>
    <t>7125188813</t>
  </si>
  <si>
    <t>GL9309021112</t>
  </si>
  <si>
    <t>MFLC1000898</t>
  </si>
  <si>
    <t>9075588245</t>
  </si>
  <si>
    <t>Lucknow - Church Road</t>
  </si>
  <si>
    <t>GL2320282896</t>
  </si>
  <si>
    <t>MFLC1000899</t>
  </si>
  <si>
    <t>Lakshmi Naik</t>
  </si>
  <si>
    <t>8529046646</t>
  </si>
  <si>
    <t>GL2280277900</t>
  </si>
  <si>
    <t>MFLC1000900</t>
  </si>
  <si>
    <t>Jincy Kurup</t>
  </si>
  <si>
    <t>7754723761</t>
  </si>
  <si>
    <t>GL5452831734</t>
  </si>
  <si>
    <t>MFLC1000901</t>
  </si>
  <si>
    <t>Priya Krishnan</t>
  </si>
  <si>
    <t>8152371180</t>
  </si>
  <si>
    <t>GL8406952976</t>
  </si>
  <si>
    <t>MFLC1000902</t>
  </si>
  <si>
    <t>Swathi Babu</t>
  </si>
  <si>
    <t>7178117403</t>
  </si>
  <si>
    <t>GL0861540079</t>
  </si>
  <si>
    <t>MFLC1000903</t>
  </si>
  <si>
    <t>9448006838</t>
  </si>
  <si>
    <t>GL5970700094</t>
  </si>
  <si>
    <t>MFLC1000904</t>
  </si>
  <si>
    <t>Sajeev Kurup</t>
  </si>
  <si>
    <t>9101675074</t>
  </si>
  <si>
    <t>GL3365154712</t>
  </si>
  <si>
    <t>MFLC1000905</t>
  </si>
  <si>
    <t>Ritu Sharma</t>
  </si>
  <si>
    <t>9271513271</t>
  </si>
  <si>
    <t>GL0325999645</t>
  </si>
  <si>
    <t>MFLC1000906</t>
  </si>
  <si>
    <t>Divya Ibrahim</t>
  </si>
  <si>
    <t>9556484744</t>
  </si>
  <si>
    <t>GL9799675851</t>
  </si>
  <si>
    <t>MFLC1000907</t>
  </si>
  <si>
    <t>Jincy Panicker</t>
  </si>
  <si>
    <t>9016338851</t>
  </si>
  <si>
    <t>GL2113418497</t>
  </si>
  <si>
    <t>MFLC1000908</t>
  </si>
  <si>
    <t>Asha Gowda</t>
  </si>
  <si>
    <t>9905505559</t>
  </si>
  <si>
    <t>GL2376945595</t>
  </si>
  <si>
    <t>MFLC1000909</t>
  </si>
  <si>
    <t>Faisal Thomas</t>
  </si>
  <si>
    <t>7362563289</t>
  </si>
  <si>
    <t>GL6030879956</t>
  </si>
  <si>
    <t>MFLC1000910</t>
  </si>
  <si>
    <t>9263310021</t>
  </si>
  <si>
    <t>GL1163501536</t>
  </si>
  <si>
    <t>MFLC1000911</t>
  </si>
  <si>
    <t>Rakesh Tiwari</t>
  </si>
  <si>
    <t>8626930287</t>
  </si>
  <si>
    <t>GL8968505009</t>
  </si>
  <si>
    <t>MFLC1000912</t>
  </si>
  <si>
    <t>Shalini Menon</t>
  </si>
  <si>
    <t>8717511589</t>
  </si>
  <si>
    <t>GL6898022808</t>
  </si>
  <si>
    <t>MFLC1000913</t>
  </si>
  <si>
    <t>Rajeev Mathew</t>
  </si>
  <si>
    <t>8239769905</t>
  </si>
  <si>
    <t>GL1533518630</t>
  </si>
  <si>
    <t>MFLC1000914</t>
  </si>
  <si>
    <t>Jyothi Rao</t>
  </si>
  <si>
    <t>7468516352</t>
  </si>
  <si>
    <t>GL8086952192</t>
  </si>
  <si>
    <t>MFLC1000915</t>
  </si>
  <si>
    <t>Anusha Sastry</t>
  </si>
  <si>
    <t>7402629229</t>
  </si>
  <si>
    <t>GL2029853624</t>
  </si>
  <si>
    <t>MFLC1000916</t>
  </si>
  <si>
    <t>9318867679</t>
  </si>
  <si>
    <t>GL9252569718</t>
  </si>
  <si>
    <t>MFLC1000917</t>
  </si>
  <si>
    <t>7198080966</t>
  </si>
  <si>
    <t>GL0499389939</t>
  </si>
  <si>
    <t>MFLC1000918</t>
  </si>
  <si>
    <t>Nagarjuna Chowdary</t>
  </si>
  <si>
    <t>9368720953</t>
  </si>
  <si>
    <t>Tirupati - Town Hall</t>
  </si>
  <si>
    <t>GL6100436038</t>
  </si>
  <si>
    <t>MFLC1000919</t>
  </si>
  <si>
    <t>Naresh Prasad</t>
  </si>
  <si>
    <t>9236988812</t>
  </si>
  <si>
    <t>GL9896443616</t>
  </si>
  <si>
    <t>MFLC1000920</t>
  </si>
  <si>
    <t>Priya Kannan</t>
  </si>
  <si>
    <t>9157038821</t>
  </si>
  <si>
    <t>GL8389860656</t>
  </si>
  <si>
    <t>MFLC1000921</t>
  </si>
  <si>
    <t>Dinesh Iyer</t>
  </si>
  <si>
    <t>9863630805</t>
  </si>
  <si>
    <t>Tiruchirappalli - Market Road</t>
  </si>
  <si>
    <t>GL2266185655</t>
  </si>
  <si>
    <t>MFLC1000922</t>
  </si>
  <si>
    <t>9658939030</t>
  </si>
  <si>
    <t>GL6016903441</t>
  </si>
  <si>
    <t>MFLC1000923</t>
  </si>
  <si>
    <t>Vikas Gupta</t>
  </si>
  <si>
    <t>7671191197</t>
  </si>
  <si>
    <t>Dwarka - Market Road</t>
  </si>
  <si>
    <t>GL2443968016</t>
  </si>
  <si>
    <t>MFLC1000924</t>
  </si>
  <si>
    <t>Lakshmi Reddy</t>
  </si>
  <si>
    <t>7080312723</t>
  </si>
  <si>
    <t>GL9580690741</t>
  </si>
  <si>
    <t>MFLC1000925</t>
  </si>
  <si>
    <t>9295401215</t>
  </si>
  <si>
    <t>GL7119890865</t>
  </si>
  <si>
    <t>MFLC1000926</t>
  </si>
  <si>
    <t>Sumithra Gowda</t>
  </si>
  <si>
    <t>9427785473</t>
  </si>
  <si>
    <t>Bengaluru - MG Road</t>
  </si>
  <si>
    <t>GL0988987542</t>
  </si>
  <si>
    <t>MFLC1000927</t>
  </si>
  <si>
    <t>9074049704</t>
  </si>
  <si>
    <t>Bengaluru - Market Road</t>
  </si>
  <si>
    <t>GL7810226796</t>
  </si>
  <si>
    <t>MFLC1000928</t>
  </si>
  <si>
    <t>Binu Thomas</t>
  </si>
  <si>
    <t>9349714275</t>
  </si>
  <si>
    <t>GL5201928611</t>
  </si>
  <si>
    <t>MFLC1000929</t>
  </si>
  <si>
    <t>9818105516</t>
  </si>
  <si>
    <t>GL1693962272</t>
  </si>
  <si>
    <t>MFLC1000930</t>
  </si>
  <si>
    <t>Lakshmi Joseph</t>
  </si>
  <si>
    <t>9394993515</t>
  </si>
  <si>
    <t>GL4244019571</t>
  </si>
  <si>
    <t>MFLC1000931</t>
  </si>
  <si>
    <t>Suresh Bhat</t>
  </si>
  <si>
    <t>9554534805</t>
  </si>
  <si>
    <t>GL0182233863</t>
  </si>
  <si>
    <t>MFLC1000932</t>
  </si>
  <si>
    <t>7646391092</t>
  </si>
  <si>
    <t>GL2714264451</t>
  </si>
  <si>
    <t>MFLC1000933</t>
  </si>
  <si>
    <t>9386525020</t>
  </si>
  <si>
    <t>GL5276697997</t>
  </si>
  <si>
    <t>MFLC1000934</t>
  </si>
  <si>
    <t>Selvi Venkatesh</t>
  </si>
  <si>
    <t>7204177699</t>
  </si>
  <si>
    <t>GL3327864459</t>
  </si>
  <si>
    <t>MFLC1000935</t>
  </si>
  <si>
    <t>Vasanthi Kannan</t>
  </si>
  <si>
    <t>7847851422</t>
  </si>
  <si>
    <t>GL0069722006</t>
  </si>
  <si>
    <t>MFLC1000936</t>
  </si>
  <si>
    <t>Priya Chauhan</t>
  </si>
  <si>
    <t>9647619769</t>
  </si>
  <si>
    <t>GL5483480641</t>
  </si>
  <si>
    <t>MFLC1000937</t>
  </si>
  <si>
    <t>8754537730</t>
  </si>
  <si>
    <t>Thrissur - Civil Lines</t>
  </si>
  <si>
    <t>GL3943384454</t>
  </si>
  <si>
    <t>MFLC1000938</t>
  </si>
  <si>
    <t>8155911322</t>
  </si>
  <si>
    <t>GL1560650272</t>
  </si>
  <si>
    <t>MFLC1000939</t>
  </si>
  <si>
    <t>Fathima Philip</t>
  </si>
  <si>
    <t>8518408012</t>
  </si>
  <si>
    <t>GL4873545715</t>
  </si>
  <si>
    <t>MFLC1000940</t>
  </si>
  <si>
    <t>Karthik Selvam</t>
  </si>
  <si>
    <t>9974862240</t>
  </si>
  <si>
    <t>GL2925759819</t>
  </si>
  <si>
    <t>MFLC1000941</t>
  </si>
  <si>
    <t>9569813926</t>
  </si>
  <si>
    <t>GL3955838780</t>
  </si>
  <si>
    <t>MFLC1000942</t>
  </si>
  <si>
    <t>9022071821</t>
  </si>
  <si>
    <t>GL0214176965</t>
  </si>
  <si>
    <t>MFLC1000943</t>
  </si>
  <si>
    <t>Vikas Joshi</t>
  </si>
  <si>
    <t>9828166570</t>
  </si>
  <si>
    <t>Lucknow - Industrial Estate</t>
  </si>
  <si>
    <t>GL1921080388</t>
  </si>
  <si>
    <t>MFLC1000944</t>
  </si>
  <si>
    <t>Anita Yadav</t>
  </si>
  <si>
    <t>9734895896</t>
  </si>
  <si>
    <t>GL4280461821</t>
  </si>
  <si>
    <t>MFLC1000945</t>
  </si>
  <si>
    <t>9285858066</t>
  </si>
  <si>
    <t>GL5685729119</t>
  </si>
  <si>
    <t>MFLC1000946</t>
  </si>
  <si>
    <t>Manoj Kumar</t>
  </si>
  <si>
    <t>8661453083</t>
  </si>
  <si>
    <t>GL8777148674</t>
  </si>
  <si>
    <t>MFLC1000947</t>
  </si>
  <si>
    <t>8134842317</t>
  </si>
  <si>
    <t>GL2145583241</t>
  </si>
  <si>
    <t>MFLC1000948</t>
  </si>
  <si>
    <t>Madhavi Goud</t>
  </si>
  <si>
    <t>9642079412</t>
  </si>
  <si>
    <t>GL5518694111</t>
  </si>
  <si>
    <t>MFLC1000949</t>
  </si>
  <si>
    <t>9261960214</t>
  </si>
  <si>
    <t>GL6857228718</t>
  </si>
  <si>
    <t>MFLC1000950</t>
  </si>
  <si>
    <t>Sajeev Kumar</t>
  </si>
  <si>
    <t>7017483469</t>
  </si>
  <si>
    <t>GL6081933766</t>
  </si>
  <si>
    <t>MFLC1000951</t>
  </si>
  <si>
    <t>9050491606</t>
  </si>
  <si>
    <t>GL3597578565</t>
  </si>
  <si>
    <t>MFLC1000952</t>
  </si>
  <si>
    <t>Anitha Panicker</t>
  </si>
  <si>
    <t>7770413197</t>
  </si>
  <si>
    <t>GL0805015051</t>
  </si>
  <si>
    <t>MFLC1000953</t>
  </si>
  <si>
    <t>6213408625</t>
  </si>
  <si>
    <t>Agra - Civil Lines</t>
  </si>
  <si>
    <t>GL6198971453</t>
  </si>
  <si>
    <t>MFLC1000954</t>
  </si>
  <si>
    <t>8810103725</t>
  </si>
  <si>
    <t>GL1603152928</t>
  </si>
  <si>
    <t>MFLC1000955</t>
  </si>
  <si>
    <t>Selvi Chandran</t>
  </si>
  <si>
    <t>7008369925</t>
  </si>
  <si>
    <t>GL4525144514</t>
  </si>
  <si>
    <t>MFLC1000956</t>
  </si>
  <si>
    <t>Manoj Pillai</t>
  </si>
  <si>
    <t>8635594046</t>
  </si>
  <si>
    <t>GL6797309114</t>
  </si>
  <si>
    <t>MFLC1000957</t>
  </si>
  <si>
    <t>9415840863</t>
  </si>
  <si>
    <t>GL0350129473</t>
  </si>
  <si>
    <t>MFLC1000958</t>
  </si>
  <si>
    <t>9494364825</t>
  </si>
  <si>
    <t>Vellore - Industrial Estate</t>
  </si>
  <si>
    <t>GL9627733206</t>
  </si>
  <si>
    <t>MFLC1000959</t>
  </si>
  <si>
    <t>Manjunath Kumar</t>
  </si>
  <si>
    <t>9094877483</t>
  </si>
  <si>
    <t>GL7543044204</t>
  </si>
  <si>
    <t>MFLC1000960</t>
  </si>
  <si>
    <t>Latha Kulkarni</t>
  </si>
  <si>
    <t>8189840519</t>
  </si>
  <si>
    <t>GL8623040886</t>
  </si>
  <si>
    <t>MFLC1000961</t>
  </si>
  <si>
    <t>8357711745</t>
  </si>
  <si>
    <t>GL8849764922</t>
  </si>
  <si>
    <t>MFLC1000962</t>
  </si>
  <si>
    <t>9506069702</t>
  </si>
  <si>
    <t>GL7486595121</t>
  </si>
  <si>
    <t>MFLC1000963</t>
  </si>
  <si>
    <t>Anitha Thomas</t>
  </si>
  <si>
    <t>6303799218</t>
  </si>
  <si>
    <t>GL6334356469</t>
  </si>
  <si>
    <t>MFLC1000964</t>
  </si>
  <si>
    <t>9546149475</t>
  </si>
  <si>
    <t>Karimnagar - Town Hall</t>
  </si>
  <si>
    <t>GL4921062202</t>
  </si>
  <si>
    <t>MFLC1000965</t>
  </si>
  <si>
    <t>Karthik Iyer</t>
  </si>
  <si>
    <t>9836816916</t>
  </si>
  <si>
    <t>GL3959196747</t>
  </si>
  <si>
    <t>MFLC1000966</t>
  </si>
  <si>
    <t>Srikanth Sastry</t>
  </si>
  <si>
    <t>9909110532</t>
  </si>
  <si>
    <t>GL0478176485</t>
  </si>
  <si>
    <t>MFLC1000967</t>
  </si>
  <si>
    <t>8815757798</t>
  </si>
  <si>
    <t>Gurugram - Station Road</t>
  </si>
  <si>
    <t>GL9146107295</t>
  </si>
  <si>
    <t>MFLC1000968</t>
  </si>
  <si>
    <t>9398385181</t>
  </si>
  <si>
    <t>GL7379159502</t>
  </si>
  <si>
    <t>MFLC1000969</t>
  </si>
  <si>
    <t>Anita Kumar</t>
  </si>
  <si>
    <t>8938637939</t>
  </si>
  <si>
    <t>Indore - Civil Lines</t>
  </si>
  <si>
    <t>GL9206042826</t>
  </si>
  <si>
    <t>MFLC1000970</t>
  </si>
  <si>
    <t>Anil Joshi</t>
  </si>
  <si>
    <t>8345918774</t>
  </si>
  <si>
    <t>GL7185506766</t>
  </si>
  <si>
    <t>MFLC1000971</t>
  </si>
  <si>
    <t>Rajesh Gupta</t>
  </si>
  <si>
    <t>8047175050</t>
  </si>
  <si>
    <t>GL4513769332</t>
  </si>
  <si>
    <t>MFLC1000972</t>
  </si>
  <si>
    <t>Basavaraj Naik</t>
  </si>
  <si>
    <t>9188407425</t>
  </si>
  <si>
    <t>GL7791470577</t>
  </si>
  <si>
    <t>MFLC1000973</t>
  </si>
  <si>
    <t>Vasanthi Krishnan</t>
  </si>
  <si>
    <t>7160056274</t>
  </si>
  <si>
    <t>GL1709705397</t>
  </si>
  <si>
    <t>MFLC1000974</t>
  </si>
  <si>
    <t>9990739326</t>
  </si>
  <si>
    <t>GL0006104633</t>
  </si>
  <si>
    <t>MFLC1000975</t>
  </si>
  <si>
    <t>Prakash Reddy</t>
  </si>
  <si>
    <t>7496068727</t>
  </si>
  <si>
    <t>GL1042715709</t>
  </si>
  <si>
    <t>MFLC1000976</t>
  </si>
  <si>
    <t>7475804262</t>
  </si>
  <si>
    <t>GL0476014511</t>
  </si>
  <si>
    <t>MFLC1000977</t>
  </si>
  <si>
    <t>9589969130</t>
  </si>
  <si>
    <t>GL0335020418</t>
  </si>
  <si>
    <t>MFLC1000978</t>
  </si>
  <si>
    <t>Revathi Pandian</t>
  </si>
  <si>
    <t>8174387776</t>
  </si>
  <si>
    <t>GL5432865179</t>
  </si>
  <si>
    <t>MFLC1000979</t>
  </si>
  <si>
    <t>Anitha Rajan</t>
  </si>
  <si>
    <t>8181095552</t>
  </si>
  <si>
    <t>GL9712120390</t>
  </si>
  <si>
    <t>MFLC1000980</t>
  </si>
  <si>
    <t>Lakshmi Gowda</t>
  </si>
  <si>
    <t>9033106413</t>
  </si>
  <si>
    <t>Shivamogga - Bus Stand</t>
  </si>
  <si>
    <t>GL9360784913</t>
  </si>
  <si>
    <t>MFLC1000981</t>
  </si>
  <si>
    <t>Rohit Rathore</t>
  </si>
  <si>
    <t>8711645207</t>
  </si>
  <si>
    <t>GL8946814007</t>
  </si>
  <si>
    <t>MFLC1000982</t>
  </si>
  <si>
    <t>Mary Nair</t>
  </si>
  <si>
    <t>9755793965</t>
  </si>
  <si>
    <t>GL7142583651</t>
  </si>
  <si>
    <t>MFLC1000983</t>
  </si>
  <si>
    <t>Anita Pandey</t>
  </si>
  <si>
    <t>9094250157</t>
  </si>
  <si>
    <t>GL0212578499</t>
  </si>
  <si>
    <t>MFLC1000984</t>
  </si>
  <si>
    <t>8587488483</t>
  </si>
  <si>
    <t>GL3292204008</t>
  </si>
  <si>
    <t>MFLC1000985</t>
  </si>
  <si>
    <t>Jayanthi Murugan</t>
  </si>
  <si>
    <t>7681401004</t>
  </si>
  <si>
    <t>GL3188892167</t>
  </si>
  <si>
    <t>MFLC1000986</t>
  </si>
  <si>
    <t>Selvi Kannan</t>
  </si>
  <si>
    <t>8619859658</t>
  </si>
  <si>
    <t>GL2490403233</t>
  </si>
  <si>
    <t>MFLC1000987</t>
  </si>
  <si>
    <t>6152095861</t>
  </si>
  <si>
    <t>GL8149058523</t>
  </si>
  <si>
    <t>MFLC1000988</t>
  </si>
  <si>
    <t>Selvi Selvam</t>
  </si>
  <si>
    <t>8254436940</t>
  </si>
  <si>
    <t>Tirunelveli - Gandhi Nagar</t>
  </si>
  <si>
    <t>GL3987135904</t>
  </si>
  <si>
    <t>MFLC1000989</t>
  </si>
  <si>
    <t>9279325133</t>
  </si>
  <si>
    <t>GL1524261168</t>
  </si>
  <si>
    <t>MFLC1000990</t>
  </si>
  <si>
    <t>9378711247</t>
  </si>
  <si>
    <t>Vellore - Civil Lines</t>
  </si>
  <si>
    <t>GL9973079749</t>
  </si>
  <si>
    <t>MFLC1000991</t>
  </si>
  <si>
    <t>7663658510</t>
  </si>
  <si>
    <t>GL0889783041</t>
  </si>
  <si>
    <t>MFLC1000992</t>
  </si>
  <si>
    <t>Rekha Kumar</t>
  </si>
  <si>
    <t>8546655973</t>
  </si>
  <si>
    <t>GL0143207362</t>
  </si>
  <si>
    <t>MFLC1000993</t>
  </si>
  <si>
    <t>8643003360</t>
  </si>
  <si>
    <t>GL4591482918</t>
  </si>
  <si>
    <t>MFLC1000994</t>
  </si>
  <si>
    <t>Bindu Warrier</t>
  </si>
  <si>
    <t>7823831288</t>
  </si>
  <si>
    <t>GL4972839491</t>
  </si>
  <si>
    <t>MFLC1000995</t>
  </si>
  <si>
    <t>Prasad Reddy</t>
  </si>
  <si>
    <t>9513588575</t>
  </si>
  <si>
    <t>GL4590706887</t>
  </si>
  <si>
    <t>MFLC1000996</t>
  </si>
  <si>
    <t>Raju Babu</t>
  </si>
  <si>
    <t>9969897559</t>
  </si>
  <si>
    <t>GL4357883089</t>
  </si>
  <si>
    <t>MFLC1000997</t>
  </si>
  <si>
    <t>Selvi Sundaram</t>
  </si>
  <si>
    <t>8472903289</t>
  </si>
  <si>
    <t>Erode - Church Road</t>
  </si>
  <si>
    <t>GL0525362934</t>
  </si>
  <si>
    <t>MFLC1000998</t>
  </si>
  <si>
    <t>8100199363</t>
  </si>
  <si>
    <t>GL7867277831</t>
  </si>
  <si>
    <t>MFLC1000999</t>
  </si>
  <si>
    <t>Seema Saxena</t>
  </si>
  <si>
    <t>9271737763</t>
  </si>
  <si>
    <t>GL9964116047</t>
  </si>
  <si>
    <t>MFLC1001000</t>
  </si>
  <si>
    <t>Bindu Pillai</t>
  </si>
  <si>
    <t>8272206404</t>
  </si>
  <si>
    <t>Kottayam - Temple Street</t>
  </si>
  <si>
    <t>GL6984748090</t>
  </si>
  <si>
    <t>MFLC1001001</t>
  </si>
  <si>
    <t>9102676966</t>
  </si>
  <si>
    <t>GL5927716246</t>
  </si>
  <si>
    <t>MFLC1001002</t>
  </si>
  <si>
    <t>8891274395</t>
  </si>
  <si>
    <t>GL5074530109</t>
  </si>
  <si>
    <t>MFLC1001003</t>
  </si>
  <si>
    <t>8174895199</t>
  </si>
  <si>
    <t>GL5074934740</t>
  </si>
  <si>
    <t>MFLC1001004</t>
  </si>
  <si>
    <t>Raju Reddy</t>
  </si>
  <si>
    <t>9775362221</t>
  </si>
  <si>
    <t>GL4707567300</t>
  </si>
  <si>
    <t>MFLC1001005</t>
  </si>
  <si>
    <t>9151059343</t>
  </si>
  <si>
    <t>GL8559565612</t>
  </si>
  <si>
    <t>MFLC1001006</t>
  </si>
  <si>
    <t>Mahesh Yadav</t>
  </si>
  <si>
    <t>9578281386</t>
  </si>
  <si>
    <t>GL1016502902</t>
  </si>
  <si>
    <t>MFLC1001007</t>
  </si>
  <si>
    <t>Vasanthi Sundaram</t>
  </si>
  <si>
    <t>8999450451</t>
  </si>
  <si>
    <t>Madurai - Station Road</t>
  </si>
  <si>
    <t>GL7968766377</t>
  </si>
  <si>
    <t>MFLC1001008</t>
  </si>
  <si>
    <t>Shobha Shetty</t>
  </si>
  <si>
    <t>9358257446</t>
  </si>
  <si>
    <t>GL8121383343</t>
  </si>
  <si>
    <t>MFLC1001009</t>
  </si>
  <si>
    <t>8661649887</t>
  </si>
  <si>
    <t>GL3061468554</t>
  </si>
  <si>
    <t>MFLC1001010</t>
  </si>
  <si>
    <t>Nagarjuna Murthy</t>
  </si>
  <si>
    <t>8054779048</t>
  </si>
  <si>
    <t>GL8894429848</t>
  </si>
  <si>
    <t>MFLC1001011</t>
  </si>
  <si>
    <t>Bhaskar Setty</t>
  </si>
  <si>
    <t>9632870671</t>
  </si>
  <si>
    <t>GL5294261764</t>
  </si>
  <si>
    <t>MFLC1001012</t>
  </si>
  <si>
    <t>Pooja Rathore</t>
  </si>
  <si>
    <t>6651815230</t>
  </si>
  <si>
    <t>GL7547953936</t>
  </si>
  <si>
    <t>MFLC1001013</t>
  </si>
  <si>
    <t>Pushpa Acharya</t>
  </si>
  <si>
    <t>6972564461</t>
  </si>
  <si>
    <t>GL9455316863</t>
  </si>
  <si>
    <t>MFLC1001014</t>
  </si>
  <si>
    <t>Shibu Joseph</t>
  </si>
  <si>
    <t>8834842694</t>
  </si>
  <si>
    <t>GL8521278345</t>
  </si>
  <si>
    <t>MFLC1001015</t>
  </si>
  <si>
    <t>Srikanth Chowdary</t>
  </si>
  <si>
    <t>7467964240</t>
  </si>
  <si>
    <t>GL9712858477</t>
  </si>
  <si>
    <t>MFLC1001016</t>
  </si>
  <si>
    <t>Jincy Varghese</t>
  </si>
  <si>
    <t>9309442613</t>
  </si>
  <si>
    <t>GL5530137575</t>
  </si>
  <si>
    <t>MFLC1001017</t>
  </si>
  <si>
    <t>Anitha Annamalai</t>
  </si>
  <si>
    <t>9114194412</t>
  </si>
  <si>
    <t>Tirunelveli - Temple Street</t>
  </si>
  <si>
    <t>GL6944463839</t>
  </si>
  <si>
    <t>MFLC1001018</t>
  </si>
  <si>
    <t>Swathi Murthy</t>
  </si>
  <si>
    <t>9902288128</t>
  </si>
  <si>
    <t>GL1731209395</t>
  </si>
  <si>
    <t>MFLC1001019</t>
  </si>
  <si>
    <t>Sreejith Mathew</t>
  </si>
  <si>
    <t>9948129008</t>
  </si>
  <si>
    <t>Alappuzha - MG Road</t>
  </si>
  <si>
    <t>GL9108690264</t>
  </si>
  <si>
    <t>MFLC1001020</t>
  </si>
  <si>
    <t>Ramesh Kannan</t>
  </si>
  <si>
    <t>9484493840</t>
  </si>
  <si>
    <t>GL6906198081</t>
  </si>
  <si>
    <t>MFLC1001021</t>
  </si>
  <si>
    <t>Kavitha Kannan</t>
  </si>
  <si>
    <t>9354048255</t>
  </si>
  <si>
    <t>GL4477242619</t>
  </si>
  <si>
    <t>MFLC1001022</t>
  </si>
  <si>
    <t>Sindhu Ibrahim</t>
  </si>
  <si>
    <t>8955128460</t>
  </si>
  <si>
    <t>GL2294990431</t>
  </si>
  <si>
    <t>MFLC1001023</t>
  </si>
  <si>
    <t>9283900676</t>
  </si>
  <si>
    <t>GL8983101289</t>
  </si>
  <si>
    <t>MFLC1001024</t>
  </si>
  <si>
    <t>Santhosh Nair</t>
  </si>
  <si>
    <t>9867590862</t>
  </si>
  <si>
    <t>GL4018889238</t>
  </si>
  <si>
    <t>MFLC1001025</t>
  </si>
  <si>
    <t>Santhosh Kurup</t>
  </si>
  <si>
    <t>8069083908</t>
  </si>
  <si>
    <t>GL1067760239</t>
  </si>
  <si>
    <t>MFLC1001026</t>
  </si>
  <si>
    <t>Shibu Nair</t>
  </si>
  <si>
    <t>9602753224</t>
  </si>
  <si>
    <t>Kozhikode - Nehru Nagar</t>
  </si>
  <si>
    <t>GL8370005015</t>
  </si>
  <si>
    <t>MFLC1001027</t>
  </si>
  <si>
    <t>7699978470</t>
  </si>
  <si>
    <t>GL1107146753</t>
  </si>
  <si>
    <t>MFLC1001028</t>
  </si>
  <si>
    <t>Ramesh Kumar</t>
  </si>
  <si>
    <t>8900838790</t>
  </si>
  <si>
    <t>GL5442525634</t>
  </si>
  <si>
    <t>MFLC1001029</t>
  </si>
  <si>
    <t>Naveen Sharma</t>
  </si>
  <si>
    <t>9845273477</t>
  </si>
  <si>
    <t>GL6624585572</t>
  </si>
  <si>
    <t>MFLC1001030</t>
  </si>
  <si>
    <t>9083937696</t>
  </si>
  <si>
    <t>GL7147461549</t>
  </si>
  <si>
    <t>MFLC1001031</t>
  </si>
  <si>
    <t>Ramesh Agarwal</t>
  </si>
  <si>
    <t>9535055443</t>
  </si>
  <si>
    <t>GL4067726184</t>
  </si>
  <si>
    <t>MFLC1001032</t>
  </si>
  <si>
    <t>Padma Goud</t>
  </si>
  <si>
    <t>7429069563</t>
  </si>
  <si>
    <t>GL4323481241</t>
  </si>
  <si>
    <t>MFLC1001033</t>
  </si>
  <si>
    <t>9023834351</t>
  </si>
  <si>
    <t>GL8812260339</t>
  </si>
  <si>
    <t>MFLC1001034</t>
  </si>
  <si>
    <t>9798096095</t>
  </si>
  <si>
    <t>GL6243337819</t>
  </si>
  <si>
    <t>MFLC1001035</t>
  </si>
  <si>
    <t>Kavita Verma</t>
  </si>
  <si>
    <t>8461812241</t>
  </si>
  <si>
    <t>GL5032861175</t>
  </si>
  <si>
    <t>MFLC1001036</t>
  </si>
  <si>
    <t>Manjunath Rao</t>
  </si>
  <si>
    <t>9232688141</t>
  </si>
  <si>
    <t>Shivamogga - Civil Lines</t>
  </si>
  <si>
    <t>GL7496461621</t>
  </si>
  <si>
    <t>MFLC1001037</t>
  </si>
  <si>
    <t>Sunita Joshi</t>
  </si>
  <si>
    <t>9980206505</t>
  </si>
  <si>
    <t>GL6505834447</t>
  </si>
  <si>
    <t>MFLC1001038</t>
  </si>
  <si>
    <t>Satish Murthy</t>
  </si>
  <si>
    <t>7835676104</t>
  </si>
  <si>
    <t>GL6099513092</t>
  </si>
  <si>
    <t>MFLC1001039</t>
  </si>
  <si>
    <t>9138544606</t>
  </si>
  <si>
    <t>GL0787630128</t>
  </si>
  <si>
    <t>MFLC1001040</t>
  </si>
  <si>
    <t>8149977839</t>
  </si>
  <si>
    <t>Guntur - Nehru Nagar</t>
  </si>
  <si>
    <t>GL1546132123</t>
  </si>
  <si>
    <t>MFLC1001041</t>
  </si>
  <si>
    <t>Thomas Warrier</t>
  </si>
  <si>
    <t>9700966828</t>
  </si>
  <si>
    <t>GL0118282037</t>
  </si>
  <si>
    <t>MFLC1001042</t>
  </si>
  <si>
    <t>6535190015</t>
  </si>
  <si>
    <t>Kozhikode - Station Road</t>
  </si>
  <si>
    <t>GL6646328915</t>
  </si>
  <si>
    <t>MFLC1001043</t>
  </si>
  <si>
    <t>Amit Rathore</t>
  </si>
  <si>
    <t>9993179404</t>
  </si>
  <si>
    <t>GL7105858241</t>
  </si>
  <si>
    <t>MFLC1001044</t>
  </si>
  <si>
    <t>8781954395</t>
  </si>
  <si>
    <t>GL2135937394</t>
  </si>
  <si>
    <t>MFLC1001045</t>
  </si>
  <si>
    <t>7225425427</t>
  </si>
  <si>
    <t>GL1834761784</t>
  </si>
  <si>
    <t>MFLC1001046</t>
  </si>
  <si>
    <t>Geetha Kumar</t>
  </si>
  <si>
    <t>7366393726</t>
  </si>
  <si>
    <t>GL4880252525</t>
  </si>
  <si>
    <t>MFLC1001047</t>
  </si>
  <si>
    <t>Jincy Kumar</t>
  </si>
  <si>
    <t>9431501968</t>
  </si>
  <si>
    <t>GL4637731155</t>
  </si>
  <si>
    <t>MFLC1001048</t>
  </si>
  <si>
    <t>9798295885</t>
  </si>
  <si>
    <t>GL1985870155</t>
  </si>
  <si>
    <t>MFLC1001049</t>
  </si>
  <si>
    <t>9583144434</t>
  </si>
  <si>
    <t>GL4671504315</t>
  </si>
  <si>
    <t>MFLC1001050</t>
  </si>
  <si>
    <t>6299810172</t>
  </si>
  <si>
    <t>GL3235361882</t>
  </si>
  <si>
    <t>MFLC1001051</t>
  </si>
  <si>
    <t>Ganesh Krishnan</t>
  </si>
  <si>
    <t>8604831813</t>
  </si>
  <si>
    <t>GL0326748533</t>
  </si>
  <si>
    <t>MFLC1001052</t>
  </si>
  <si>
    <t>Sumithra Hegde</t>
  </si>
  <si>
    <t>9842962672</t>
  </si>
  <si>
    <t>Davanagere - Nehru Nagar</t>
  </si>
  <si>
    <t>GL0067573874</t>
  </si>
  <si>
    <t>MFLC1001053</t>
  </si>
  <si>
    <t>9345896154</t>
  </si>
  <si>
    <t>Jaipur - Nehru Nagar</t>
  </si>
  <si>
    <t>GL6657871064</t>
  </si>
  <si>
    <t>MFLC1001054</t>
  </si>
  <si>
    <t>Pooja Jain</t>
  </si>
  <si>
    <t>9100395412</t>
  </si>
  <si>
    <t>GL5172666521</t>
  </si>
  <si>
    <t>MFLC1001055</t>
  </si>
  <si>
    <t>Rekha Chauhan</t>
  </si>
  <si>
    <t>7109504571</t>
  </si>
  <si>
    <t>Bhopal - Church Road</t>
  </si>
  <si>
    <t>GL9509688701</t>
  </si>
  <si>
    <t>MFLC1001056</t>
  </si>
  <si>
    <t>Abdul Thomas</t>
  </si>
  <si>
    <t>9486038987</t>
  </si>
  <si>
    <t>GL2169803837</t>
  </si>
  <si>
    <t>MFLC1001057</t>
  </si>
  <si>
    <t>Sreeja Nair</t>
  </si>
  <si>
    <t>9219242911</t>
  </si>
  <si>
    <t>GL9114408062</t>
  </si>
  <si>
    <t>MFLC1001058</t>
  </si>
  <si>
    <t>Lakshmi Thomas</t>
  </si>
  <si>
    <t>8533932461</t>
  </si>
  <si>
    <t>GL5860357638</t>
  </si>
  <si>
    <t>MFLC1001059</t>
  </si>
  <si>
    <t>Anusha Kumar</t>
  </si>
  <si>
    <t>9696408505</t>
  </si>
  <si>
    <t>GL5798965174</t>
  </si>
  <si>
    <t>MFLC1001060</t>
  </si>
  <si>
    <t>Anil Mishra</t>
  </si>
  <si>
    <t>9375918371</t>
  </si>
  <si>
    <t>GL5888857962</t>
  </si>
  <si>
    <t>MFLC1001061</t>
  </si>
  <si>
    <t>6231986051</t>
  </si>
  <si>
    <t>Gwalior - Temple Street</t>
  </si>
  <si>
    <t>GL5557530939</t>
  </si>
  <si>
    <t>MFLC1001062</t>
  </si>
  <si>
    <t>6577718756</t>
  </si>
  <si>
    <t>GL0471225017</t>
  </si>
  <si>
    <t>MFLC1001063</t>
  </si>
  <si>
    <t>Murugan Ravi</t>
  </si>
  <si>
    <t>7805481877</t>
  </si>
  <si>
    <t>Salem - Bus Stand</t>
  </si>
  <si>
    <t>GL6071187554</t>
  </si>
  <si>
    <t>MFLC1001064</t>
  </si>
  <si>
    <t>Anil Pillai</t>
  </si>
  <si>
    <t>8477386911</t>
  </si>
  <si>
    <t>GL7229319009</t>
  </si>
  <si>
    <t>MFLC1001065</t>
  </si>
  <si>
    <t>Rajesh Pandey</t>
  </si>
  <si>
    <t>9249719566</t>
  </si>
  <si>
    <t>Agra - Station Road</t>
  </si>
  <si>
    <t>GL4631616500</t>
  </si>
  <si>
    <t>MFLC1001066</t>
  </si>
  <si>
    <t>Nagaraj Kumar</t>
  </si>
  <si>
    <t>8544701543</t>
  </si>
  <si>
    <t>Mysuru - Market Road</t>
  </si>
  <si>
    <t>GL9489684446</t>
  </si>
  <si>
    <t>MFLC1001067</t>
  </si>
  <si>
    <t>Kavita Jain</t>
  </si>
  <si>
    <t>7229853863</t>
  </si>
  <si>
    <t>Jodhpur - Industrial Estate</t>
  </si>
  <si>
    <t>GL4638318647</t>
  </si>
  <si>
    <t>MFLC1001068</t>
  </si>
  <si>
    <t>7081313978</t>
  </si>
  <si>
    <t>GL0390516097</t>
  </si>
  <si>
    <t>MFLC1001069</t>
  </si>
  <si>
    <t>6404975878</t>
  </si>
  <si>
    <t>Gwalior - Gandhi Nagar</t>
  </si>
  <si>
    <t>GL8187987699</t>
  </si>
  <si>
    <t>MFLC1001070</t>
  </si>
  <si>
    <t>9974033866</t>
  </si>
  <si>
    <t>Belagavi - Main Road</t>
  </si>
  <si>
    <t>GL4188503845</t>
  </si>
  <si>
    <t>MFLC1001071</t>
  </si>
  <si>
    <t>9699672540</t>
  </si>
  <si>
    <t>GL3151463706</t>
  </si>
  <si>
    <t>MFLC1001072</t>
  </si>
  <si>
    <t>Nagarjuna Kumar</t>
  </si>
  <si>
    <t>9243839140</t>
  </si>
  <si>
    <t>Tirupati - Main Road</t>
  </si>
  <si>
    <t>GL3826122714</t>
  </si>
  <si>
    <t>MFLC1001073</t>
  </si>
  <si>
    <t>8880170159</t>
  </si>
  <si>
    <t>GL4894082866</t>
  </si>
  <si>
    <t>MFLC1001074</t>
  </si>
  <si>
    <t>9282811495</t>
  </si>
  <si>
    <t>GL4520283825</t>
  </si>
  <si>
    <t>MFLC1001075</t>
  </si>
  <si>
    <t>Anusha Setty</t>
  </si>
  <si>
    <t>9549095144</t>
  </si>
  <si>
    <t>Nellore - Station Road</t>
  </si>
  <si>
    <t>GL1160841090</t>
  </si>
  <si>
    <t>MFLC1001076</t>
  </si>
  <si>
    <t>9871335869</t>
  </si>
  <si>
    <t>GL2483214163</t>
  </si>
  <si>
    <t>MFLC1001077</t>
  </si>
  <si>
    <t>8813038966</t>
  </si>
  <si>
    <t>GL7684064927</t>
  </si>
  <si>
    <t>MFLC1001078</t>
  </si>
  <si>
    <t>Sapna Sharma</t>
  </si>
  <si>
    <t>8069430912</t>
  </si>
  <si>
    <t>Gwalior - Station Road</t>
  </si>
  <si>
    <t>GL3086734463</t>
  </si>
  <si>
    <t>MFLC1001079</t>
  </si>
  <si>
    <t>Murugan Rajan</t>
  </si>
  <si>
    <t>9338012917</t>
  </si>
  <si>
    <t>GL9216064057</t>
  </si>
  <si>
    <t>MFLC1001080</t>
  </si>
  <si>
    <t>7284388373</t>
  </si>
  <si>
    <t>GL0107345552</t>
  </si>
  <si>
    <t>MFLC1001081</t>
  </si>
  <si>
    <t>Pooja Saxena</t>
  </si>
  <si>
    <t>8357894875</t>
  </si>
  <si>
    <t>GL3575834174</t>
  </si>
  <si>
    <t>MFLC1001082</t>
  </si>
  <si>
    <t>9237196649</t>
  </si>
  <si>
    <t>GL9963623720</t>
  </si>
  <si>
    <t>MFLC1001083</t>
  </si>
  <si>
    <t>9983549335</t>
  </si>
  <si>
    <t>GL2959364474</t>
  </si>
  <si>
    <t>MFLC1001084</t>
  </si>
  <si>
    <t>9980224957</t>
  </si>
  <si>
    <t>GL4014560643</t>
  </si>
  <si>
    <t>MFLC1001085</t>
  </si>
  <si>
    <t>Manjunath Murthy</t>
  </si>
  <si>
    <t>8734836142</t>
  </si>
  <si>
    <t>GL9273438883</t>
  </si>
  <si>
    <t>MFLC1001086</t>
  </si>
  <si>
    <t>Vijaya Raju</t>
  </si>
  <si>
    <t>9607874191</t>
  </si>
  <si>
    <t>GL6711373696</t>
  </si>
  <si>
    <t>MFLC1001087</t>
  </si>
  <si>
    <t>Shobha Kulkarni</t>
  </si>
  <si>
    <t>9851381957</t>
  </si>
  <si>
    <t>GL4836743418</t>
  </si>
  <si>
    <t>MFLC1001088</t>
  </si>
  <si>
    <t>Meena Jain</t>
  </si>
  <si>
    <t>9874837205</t>
  </si>
  <si>
    <t>GL4614272393</t>
  </si>
  <si>
    <t>MFLC1001089</t>
  </si>
  <si>
    <t>Raju Prasad</t>
  </si>
  <si>
    <t>7835988697</t>
  </si>
  <si>
    <t>GL7648405972</t>
  </si>
  <si>
    <t>MFLC1001090</t>
  </si>
  <si>
    <t>7503460455</t>
  </si>
  <si>
    <t>GL4103281137</t>
  </si>
  <si>
    <t>MFLC1001091</t>
  </si>
  <si>
    <t>8918807561</t>
  </si>
  <si>
    <t>GL8621353213</t>
  </si>
  <si>
    <t>MFLC1001092</t>
  </si>
  <si>
    <t>9555283817</t>
  </si>
  <si>
    <t>Gwalior - Market Road</t>
  </si>
  <si>
    <t>GL5370662230</t>
  </si>
  <si>
    <t>MFLC1001093</t>
  </si>
  <si>
    <t>Balaji Selvam</t>
  </si>
  <si>
    <t>7864795107</t>
  </si>
  <si>
    <t>GL4188916001</t>
  </si>
  <si>
    <t>MFLC1001094</t>
  </si>
  <si>
    <t>6843846665</t>
  </si>
  <si>
    <t>GL1675158344</t>
  </si>
  <si>
    <t>MFLC1001095</t>
  </si>
  <si>
    <t>Mathew Varghese</t>
  </si>
  <si>
    <t>7710177182</t>
  </si>
  <si>
    <t>GL4786847952</t>
  </si>
  <si>
    <t>MFLC1001096</t>
  </si>
  <si>
    <t>Neha Gupta</t>
  </si>
  <si>
    <t>6301164020</t>
  </si>
  <si>
    <t>GL5083706563</t>
  </si>
  <si>
    <t>MFLC1001097</t>
  </si>
  <si>
    <t>9959168485</t>
  </si>
  <si>
    <t>GL3958958701</t>
  </si>
  <si>
    <t>MFLC1001098</t>
  </si>
  <si>
    <t>8329026672</t>
  </si>
  <si>
    <t>GL4627225693</t>
  </si>
  <si>
    <t>MFLC1001099</t>
  </si>
  <si>
    <t>Bhavani Varma</t>
  </si>
  <si>
    <t>9960967443</t>
  </si>
  <si>
    <t>GL6204264905</t>
  </si>
  <si>
    <t>MFLC1001100</t>
  </si>
  <si>
    <t>Raghu Patil</t>
  </si>
  <si>
    <t>9621614880</t>
  </si>
  <si>
    <t>GL9273746170</t>
  </si>
  <si>
    <t>MFLC1001101</t>
  </si>
  <si>
    <t>9995889211</t>
  </si>
  <si>
    <t>GL7563387763</t>
  </si>
  <si>
    <t>MFLC1001102</t>
  </si>
  <si>
    <t>Ritu Kumar</t>
  </si>
  <si>
    <t>8201246166</t>
  </si>
  <si>
    <t>GL6496198802</t>
  </si>
  <si>
    <t>MFLC1001103</t>
  </si>
  <si>
    <t>Venkatesh Raju</t>
  </si>
  <si>
    <t>7515590882</t>
  </si>
  <si>
    <t>GL1229293281</t>
  </si>
  <si>
    <t>MFLC1001104</t>
  </si>
  <si>
    <t>Sunita Saxena</t>
  </si>
  <si>
    <t>9278713725</t>
  </si>
  <si>
    <t>GL3711596994</t>
  </si>
  <si>
    <t>MFLC1001105</t>
  </si>
  <si>
    <t>Kavitha Murthy</t>
  </si>
  <si>
    <t>9743427272</t>
  </si>
  <si>
    <t>GL3888978030</t>
  </si>
  <si>
    <t>MFLC1001106</t>
  </si>
  <si>
    <t>9869564006</t>
  </si>
  <si>
    <t>Kota - Temple Street</t>
  </si>
  <si>
    <t>GL6210319764</t>
  </si>
  <si>
    <t>MFLC1001107</t>
  </si>
  <si>
    <t>9686785193</t>
  </si>
  <si>
    <t>GL2931223225</t>
  </si>
  <si>
    <t>MFLC1001108</t>
  </si>
  <si>
    <t>Bindu George</t>
  </si>
  <si>
    <t>9655474584</t>
  </si>
  <si>
    <t>GL8410879443</t>
  </si>
  <si>
    <t>MFLC1001109</t>
  </si>
  <si>
    <t>7179587285</t>
  </si>
  <si>
    <t>GL8664451336</t>
  </si>
  <si>
    <t>MFLC1001110</t>
  </si>
  <si>
    <t>Jayanthi Pandian</t>
  </si>
  <si>
    <t>8115614407</t>
  </si>
  <si>
    <t>GL3594099776</t>
  </si>
  <si>
    <t>MFLC1001111</t>
  </si>
  <si>
    <t>Saranya Kannan</t>
  </si>
  <si>
    <t>7112373151</t>
  </si>
  <si>
    <t>GL7148374039</t>
  </si>
  <si>
    <t>MFLC1001112</t>
  </si>
  <si>
    <t>Anitha Kannan</t>
  </si>
  <si>
    <t>7447796138</t>
  </si>
  <si>
    <t>GL3937049345</t>
  </si>
  <si>
    <t>MFLC1001113</t>
  </si>
  <si>
    <t>Ravi Babu</t>
  </si>
  <si>
    <t>7304219518</t>
  </si>
  <si>
    <t>GL5703932320</t>
  </si>
  <si>
    <t>MFLC1001114</t>
  </si>
  <si>
    <t>9606603163</t>
  </si>
  <si>
    <t>Visakhapatnam - Industrial Estate</t>
  </si>
  <si>
    <t>GL0760456008</t>
  </si>
  <si>
    <t>MFLC1001115</t>
  </si>
  <si>
    <t>Geetha Kulkarni</t>
  </si>
  <si>
    <t>8985008469</t>
  </si>
  <si>
    <t>GL9005001297</t>
  </si>
  <si>
    <t>MFLC1001116</t>
  </si>
  <si>
    <t>Kavitha Pandian</t>
  </si>
  <si>
    <t>9167774824</t>
  </si>
  <si>
    <t>GL4376452813</t>
  </si>
  <si>
    <t>MFLC1001117</t>
  </si>
  <si>
    <t>9618157017</t>
  </si>
  <si>
    <t>Kochi - Bus Stand</t>
  </si>
  <si>
    <t>GL9214768489</t>
  </si>
  <si>
    <t>MFLC1001118</t>
  </si>
  <si>
    <t>8461353068</t>
  </si>
  <si>
    <t>GL1333548723</t>
  </si>
  <si>
    <t>MFLC1001119</t>
  </si>
  <si>
    <t>Smitha Joseph</t>
  </si>
  <si>
    <t>8639506247</t>
  </si>
  <si>
    <t>Kottayam - Industrial Estate</t>
  </si>
  <si>
    <t>GL1766507065</t>
  </si>
  <si>
    <t>MFLC1001120</t>
  </si>
  <si>
    <t>Neha Jain</t>
  </si>
  <si>
    <t>9687189897</t>
  </si>
  <si>
    <t>GL0040054795</t>
  </si>
  <si>
    <t>MFLC1001121</t>
  </si>
  <si>
    <t>Smitha Warrier</t>
  </si>
  <si>
    <t>9509615214</t>
  </si>
  <si>
    <t>GL7683922914</t>
  </si>
  <si>
    <t>MFLC1001122</t>
  </si>
  <si>
    <t>Faisal Warrier</t>
  </si>
  <si>
    <t>6424406012</t>
  </si>
  <si>
    <t>GL6936838805</t>
  </si>
  <si>
    <t>MFLC1001123</t>
  </si>
  <si>
    <t>Roopa Shankar</t>
  </si>
  <si>
    <t>8843856617</t>
  </si>
  <si>
    <t>GL9660788507</t>
  </si>
  <si>
    <t>MFLC1001124</t>
  </si>
  <si>
    <t>9054961113</t>
  </si>
  <si>
    <t>GL0800314518</t>
  </si>
  <si>
    <t>MFLC1001125</t>
  </si>
  <si>
    <t>9105313576</t>
  </si>
  <si>
    <t>GL7312331931</t>
  </si>
  <si>
    <t>MFLC1001126</t>
  </si>
  <si>
    <t>Senthil Raman</t>
  </si>
  <si>
    <t>9646986173</t>
  </si>
  <si>
    <t>Chennai - Main Road</t>
  </si>
  <si>
    <t>GL8398213202</t>
  </si>
  <si>
    <t>MFLC1001127</t>
  </si>
  <si>
    <t>Kavitha Yadav</t>
  </si>
  <si>
    <t>6826513997</t>
  </si>
  <si>
    <t>GL7416350630</t>
  </si>
  <si>
    <t>MFLC1001128</t>
  </si>
  <si>
    <t>9544748133</t>
  </si>
  <si>
    <t>GL6284289880</t>
  </si>
  <si>
    <t>MFLC1001129</t>
  </si>
  <si>
    <t>Bindu Mathew</t>
  </si>
  <si>
    <t>9638524504</t>
  </si>
  <si>
    <t>GL8129228616</t>
  </si>
  <si>
    <t>MFLC1001130</t>
  </si>
  <si>
    <t>9281066063</t>
  </si>
  <si>
    <t>GL5465690134</t>
  </si>
  <si>
    <t>MFLC1001131</t>
  </si>
  <si>
    <t>8705306099</t>
  </si>
  <si>
    <t>GL2735422086</t>
  </si>
  <si>
    <t>MFLC1001132</t>
  </si>
  <si>
    <t>Senthil Selvam</t>
  </si>
  <si>
    <t>7458872614</t>
  </si>
  <si>
    <t>GL7051900290</t>
  </si>
  <si>
    <t>MFLC1001133</t>
  </si>
  <si>
    <t>9236919547</t>
  </si>
  <si>
    <t>GL7192760175</t>
  </si>
  <si>
    <t>MFLC1001134</t>
  </si>
  <si>
    <t>Mathew Kumar</t>
  </si>
  <si>
    <t>8046442755</t>
  </si>
  <si>
    <t>GL6988150743</t>
  </si>
  <si>
    <t>MFLC1001135</t>
  </si>
  <si>
    <t>Deepak Sharma</t>
  </si>
  <si>
    <t>9372534472</t>
  </si>
  <si>
    <t>GL6866909124</t>
  </si>
  <si>
    <t>MFLC1001136</t>
  </si>
  <si>
    <t>Lakshmi Pandian</t>
  </si>
  <si>
    <t>8936387557</t>
  </si>
  <si>
    <t>GL4588711180</t>
  </si>
  <si>
    <t>MFLC1001137</t>
  </si>
  <si>
    <t>Saravanan Venkatesh</t>
  </si>
  <si>
    <t>7030490243</t>
  </si>
  <si>
    <t>GL8704949547</t>
  </si>
  <si>
    <t>MFLC1001138</t>
  </si>
  <si>
    <t>Karthik Krishnan</t>
  </si>
  <si>
    <t>9019014566</t>
  </si>
  <si>
    <t>GL0448665626</t>
  </si>
  <si>
    <t>MFLC1001139</t>
  </si>
  <si>
    <t>9398221882</t>
  </si>
  <si>
    <t>GL1203518589</t>
  </si>
  <si>
    <t>MFLC1001140</t>
  </si>
  <si>
    <t>Meena Subramanian</t>
  </si>
  <si>
    <t>7738842578</t>
  </si>
  <si>
    <t>GL6988977449</t>
  </si>
  <si>
    <t>MFLC1001141</t>
  </si>
  <si>
    <t>9762561247</t>
  </si>
  <si>
    <t>GL8573965513</t>
  </si>
  <si>
    <t>MFLC1001142</t>
  </si>
  <si>
    <t>7679230692</t>
  </si>
  <si>
    <t>GL6108000664</t>
  </si>
  <si>
    <t>MFLC1001143</t>
  </si>
  <si>
    <t>8188044024</t>
  </si>
  <si>
    <t>GL5633400007</t>
  </si>
  <si>
    <t>MFLC1001144</t>
  </si>
  <si>
    <t>9739281955</t>
  </si>
  <si>
    <t>GL1292037276</t>
  </si>
  <si>
    <t>MFLC1001145</t>
  </si>
  <si>
    <t>Sanjay Rathore</t>
  </si>
  <si>
    <t>9617093727</t>
  </si>
  <si>
    <t>Gurugram - MG Road</t>
  </si>
  <si>
    <t>GL5558750209</t>
  </si>
  <si>
    <t>MFLC1001146</t>
  </si>
  <si>
    <t>6804553920</t>
  </si>
  <si>
    <t>GL4126739906</t>
  </si>
  <si>
    <t>MFLC1001147</t>
  </si>
  <si>
    <t>9603196987</t>
  </si>
  <si>
    <t>GL1283467385</t>
  </si>
  <si>
    <t>MFLC1001148</t>
  </si>
  <si>
    <t>9400895487</t>
  </si>
  <si>
    <t>GL1458288695</t>
  </si>
  <si>
    <t>MFLC1001149</t>
  </si>
  <si>
    <t>Lakshmi Chowdary</t>
  </si>
  <si>
    <t>9900858573</t>
  </si>
  <si>
    <t>GL7113208827</t>
  </si>
  <si>
    <t>MFLC1001150</t>
  </si>
  <si>
    <t>9380279306</t>
  </si>
  <si>
    <t>GL9539200734</t>
  </si>
  <si>
    <t>MFLC1001151</t>
  </si>
  <si>
    <t>Malathi Ravi</t>
  </si>
  <si>
    <t>7747905121</t>
  </si>
  <si>
    <t>GL6269345447</t>
  </si>
  <si>
    <t>MFLC1001152</t>
  </si>
  <si>
    <t>9466291029</t>
  </si>
  <si>
    <t>GL8379425690</t>
  </si>
  <si>
    <t>MFLC1001153</t>
  </si>
  <si>
    <t>Anita Saxena</t>
  </si>
  <si>
    <t>9276552544</t>
  </si>
  <si>
    <t>Faridabad - Market Road</t>
  </si>
  <si>
    <t>GL4901680576</t>
  </si>
  <si>
    <t>MFLC1001154</t>
  </si>
  <si>
    <t>Suresh Shankar</t>
  </si>
  <si>
    <t>9576073393</t>
  </si>
  <si>
    <t>Shivamogga - Church Road</t>
  </si>
  <si>
    <t>GL1613363111</t>
  </si>
  <si>
    <t>MFLC1001155</t>
  </si>
  <si>
    <t>7609245566</t>
  </si>
  <si>
    <t>GL5069409605</t>
  </si>
  <si>
    <t>MFLC1001156</t>
  </si>
  <si>
    <t>Binu Panicker</t>
  </si>
  <si>
    <t>9927024183</t>
  </si>
  <si>
    <t>GL1220480433</t>
  </si>
  <si>
    <t>MFLC1001157</t>
  </si>
  <si>
    <t>8117105421</t>
  </si>
  <si>
    <t>GL1273590108</t>
  </si>
  <si>
    <t>MFLC1001158</t>
  </si>
  <si>
    <t>Krishna Babu</t>
  </si>
  <si>
    <t>9803573884</t>
  </si>
  <si>
    <t>GL7615617159</t>
  </si>
  <si>
    <t>MFLC1001159</t>
  </si>
  <si>
    <t>7012400683</t>
  </si>
  <si>
    <t>GL2364363893</t>
  </si>
  <si>
    <t>MFLC1001160</t>
  </si>
  <si>
    <t>6850938884</t>
  </si>
  <si>
    <t>GL3246159073</t>
  </si>
  <si>
    <t>MFLC1001161</t>
  </si>
  <si>
    <t>Priya Venkatesh</t>
  </si>
  <si>
    <t>9650900348</t>
  </si>
  <si>
    <t>GL0717336334</t>
  </si>
  <si>
    <t>MFLC1001162</t>
  </si>
  <si>
    <t>Sanjay Gupta</t>
  </si>
  <si>
    <t>7829909263</t>
  </si>
  <si>
    <t>New Delhi - Industrial Estate</t>
  </si>
  <si>
    <t>GL9304803230</t>
  </si>
  <si>
    <t>MFLC1001163</t>
  </si>
  <si>
    <t>Selvi Krishnan</t>
  </si>
  <si>
    <t>9327341555</t>
  </si>
  <si>
    <t>GL5983915054</t>
  </si>
  <si>
    <t>MFLC1001164</t>
  </si>
  <si>
    <t>Rekha Sharma</t>
  </si>
  <si>
    <t>8388892643</t>
  </si>
  <si>
    <t>Kota - Town Hall</t>
  </si>
  <si>
    <t>GL3556184396</t>
  </si>
  <si>
    <t>MFLC1001165</t>
  </si>
  <si>
    <t>Anitha Ibrahim</t>
  </si>
  <si>
    <t>9573177716</t>
  </si>
  <si>
    <t>GL0632766240</t>
  </si>
  <si>
    <t>MFLC1001166</t>
  </si>
  <si>
    <t>Vijaya Naidu</t>
  </si>
  <si>
    <t>9644813082</t>
  </si>
  <si>
    <t>GL9120617767</t>
  </si>
  <si>
    <t>MFLC1001167</t>
  </si>
  <si>
    <t>Bhaskar Varma</t>
  </si>
  <si>
    <t>9309306918</t>
  </si>
  <si>
    <t>Guntur - MG Road</t>
  </si>
  <si>
    <t>GL8912453090</t>
  </si>
  <si>
    <t>MFLC1001168</t>
  </si>
  <si>
    <t>Priya Sharma</t>
  </si>
  <si>
    <t>8684372724</t>
  </si>
  <si>
    <t>Noida - Station Road</t>
  </si>
  <si>
    <t>GL0722318918</t>
  </si>
  <si>
    <t>MFLC1001169</t>
  </si>
  <si>
    <t>Girish Shetty</t>
  </si>
  <si>
    <t>8385531867</t>
  </si>
  <si>
    <t>GL6730513853</t>
  </si>
  <si>
    <t>MFLC1001170</t>
  </si>
  <si>
    <t>Satish Rao</t>
  </si>
  <si>
    <t>9241157888</t>
  </si>
  <si>
    <t>GL4478362786</t>
  </si>
  <si>
    <t>MFLC1001171</t>
  </si>
  <si>
    <t>Srikanth Yadav</t>
  </si>
  <si>
    <t>8951957002</t>
  </si>
  <si>
    <t>GL4079021912</t>
  </si>
  <si>
    <t>MFLC1001172</t>
  </si>
  <si>
    <t>Sapna Kumar</t>
  </si>
  <si>
    <t>9535275620</t>
  </si>
  <si>
    <t>Jodhpur - Temple Street</t>
  </si>
  <si>
    <t>GL3806074558</t>
  </si>
  <si>
    <t>MFLC1001173</t>
  </si>
  <si>
    <t>Savitha Naik</t>
  </si>
  <si>
    <t>9024015103</t>
  </si>
  <si>
    <t>GL0613769785</t>
  </si>
  <si>
    <t>MFLC1001174</t>
  </si>
  <si>
    <t>9028337377</t>
  </si>
  <si>
    <t>GL0711474731</t>
  </si>
  <si>
    <t>MFLC1001175</t>
  </si>
  <si>
    <t>Rohit Pandey</t>
  </si>
  <si>
    <t>9106678742</t>
  </si>
  <si>
    <t>GL1931761132</t>
  </si>
  <si>
    <t>MFLC1001176</t>
  </si>
  <si>
    <t>Pushpa Murthy</t>
  </si>
  <si>
    <t>9222549055</t>
  </si>
  <si>
    <t>GL6268961487</t>
  </si>
  <si>
    <t>MFLC1001177</t>
  </si>
  <si>
    <t>9920807726</t>
  </si>
  <si>
    <t>GL5029001274</t>
  </si>
  <si>
    <t>MFLC1001178</t>
  </si>
  <si>
    <t>9023607338</t>
  </si>
  <si>
    <t>GL1035364303</t>
  </si>
  <si>
    <t>MFLC1001179</t>
  </si>
  <si>
    <t>8379955165</t>
  </si>
  <si>
    <t>GL3380258359</t>
  </si>
  <si>
    <t>MFLC1001180</t>
  </si>
  <si>
    <t>Dinesh Annamalai</t>
  </si>
  <si>
    <t>9312874535</t>
  </si>
  <si>
    <t>GL2007250732</t>
  </si>
  <si>
    <t>MFLC1001181</t>
  </si>
  <si>
    <t>Pooja Mishra</t>
  </si>
  <si>
    <t>7039410269</t>
  </si>
  <si>
    <t>GL6403225067</t>
  </si>
  <si>
    <t>MFLC1001182</t>
  </si>
  <si>
    <t>9597880923</t>
  </si>
  <si>
    <t>GL6272147199</t>
  </si>
  <si>
    <t>MFLC1001183</t>
  </si>
  <si>
    <t>Nagarjuna Yadav</t>
  </si>
  <si>
    <t>7919892247</t>
  </si>
  <si>
    <t>GL5069586533</t>
  </si>
  <si>
    <t>MFLC1001184</t>
  </si>
  <si>
    <t>Priya Raman</t>
  </si>
  <si>
    <t>9720072206</t>
  </si>
  <si>
    <t>GL2993025582</t>
  </si>
  <si>
    <t>MFLC1001185</t>
  </si>
  <si>
    <t>Abdul Philip</t>
  </si>
  <si>
    <t>6356515079</t>
  </si>
  <si>
    <t>GL7281861665</t>
  </si>
  <si>
    <t>MFLC1001186</t>
  </si>
  <si>
    <t>Anitha Warrier</t>
  </si>
  <si>
    <t>8217661422</t>
  </si>
  <si>
    <t>GL0182609304</t>
  </si>
  <si>
    <t>MFLC1001187</t>
  </si>
  <si>
    <t>Rekha Pandey</t>
  </si>
  <si>
    <t>9773372622</t>
  </si>
  <si>
    <t>GL9591065814</t>
  </si>
  <si>
    <t>MFLC1001188</t>
  </si>
  <si>
    <t>Shalini Ibrahim</t>
  </si>
  <si>
    <t>7528539847</t>
  </si>
  <si>
    <t>GL8373151597</t>
  </si>
  <si>
    <t>MFLC1001189</t>
  </si>
  <si>
    <t>Satish Reddy</t>
  </si>
  <si>
    <t>8348356771</t>
  </si>
  <si>
    <t>GL5127234639</t>
  </si>
  <si>
    <t>MFLC1001190</t>
  </si>
  <si>
    <t>9835700308</t>
  </si>
  <si>
    <t>GL0050483273</t>
  </si>
  <si>
    <t>MFLC1001191</t>
  </si>
  <si>
    <t>Geetha Gowda</t>
  </si>
  <si>
    <t>9570021558</t>
  </si>
  <si>
    <t>GL2602152354</t>
  </si>
  <si>
    <t>MFLC1001192</t>
  </si>
  <si>
    <t>Rohit Gupta</t>
  </si>
  <si>
    <t>9127574607</t>
  </si>
  <si>
    <t>GL1701915319</t>
  </si>
  <si>
    <t>MFLC1001193</t>
  </si>
  <si>
    <t>Nagarjuna Naidu</t>
  </si>
  <si>
    <t>7245755471</t>
  </si>
  <si>
    <t>GL4321010505</t>
  </si>
  <si>
    <t>MFLC1001194</t>
  </si>
  <si>
    <t>Raghu Hegde</t>
  </si>
  <si>
    <t>6973192222</t>
  </si>
  <si>
    <t>GL2856061275</t>
  </si>
  <si>
    <t>MFLC1001195</t>
  </si>
  <si>
    <t>Priya Yadav</t>
  </si>
  <si>
    <t>6546350969</t>
  </si>
  <si>
    <t>GL8970616940</t>
  </si>
  <si>
    <t>MFLC1001196</t>
  </si>
  <si>
    <t>Shalini Kumar</t>
  </si>
  <si>
    <t>9318188430</t>
  </si>
  <si>
    <t>GL8290562506</t>
  </si>
  <si>
    <t>MFLC1001197</t>
  </si>
  <si>
    <t>Priya Murugan</t>
  </si>
  <si>
    <t>7725561044</t>
  </si>
  <si>
    <t>GL6335736258</t>
  </si>
  <si>
    <t>MFLC1001198</t>
  </si>
  <si>
    <t>Santhosh George</t>
  </si>
  <si>
    <t>6097863397</t>
  </si>
  <si>
    <t>Kollam - Industrial Estate</t>
  </si>
  <si>
    <t>GL3760304332</t>
  </si>
  <si>
    <t>MFLC1001199</t>
  </si>
  <si>
    <t>Meena Selvam</t>
  </si>
  <si>
    <t>9960950207</t>
  </si>
  <si>
    <t>GL0213800996</t>
  </si>
  <si>
    <t>MFLC1001200</t>
  </si>
  <si>
    <t>Lakshmi Mathew</t>
  </si>
  <si>
    <t>7257327537</t>
  </si>
  <si>
    <t>GL6912589021</t>
  </si>
  <si>
    <t>MFLC1001201</t>
  </si>
  <si>
    <t>Suresh Chauhan</t>
  </si>
  <si>
    <t>7614414542</t>
  </si>
  <si>
    <t>GL0699625154</t>
  </si>
  <si>
    <t>MFLC1001202</t>
  </si>
  <si>
    <t>Anitha Selvam</t>
  </si>
  <si>
    <t>7124166849</t>
  </si>
  <si>
    <t>GL4707615805</t>
  </si>
  <si>
    <t>MFLC1001203</t>
  </si>
  <si>
    <t>9624419611</t>
  </si>
  <si>
    <t>New Delhi - Gandhi Nagar</t>
  </si>
  <si>
    <t>GL3576036903</t>
  </si>
  <si>
    <t>MFLC1001204</t>
  </si>
  <si>
    <t>Pankaj Rathore</t>
  </si>
  <si>
    <t>7997901364</t>
  </si>
  <si>
    <t>GL7881411996</t>
  </si>
  <si>
    <t>MFLC1001205</t>
  </si>
  <si>
    <t>Suresh Saxena</t>
  </si>
  <si>
    <t>9996668664</t>
  </si>
  <si>
    <t>GL8589077340</t>
  </si>
  <si>
    <t>MFLC1001206</t>
  </si>
  <si>
    <t>9297147734</t>
  </si>
  <si>
    <t>GL2951755492</t>
  </si>
  <si>
    <t>MFLC1001207</t>
  </si>
  <si>
    <t>9630903642</t>
  </si>
  <si>
    <t>GL3091221553</t>
  </si>
  <si>
    <t>MFLC1001208</t>
  </si>
  <si>
    <t>9687918192</t>
  </si>
  <si>
    <t>GL8440479957</t>
  </si>
  <si>
    <t>MFLC1001209</t>
  </si>
  <si>
    <t>9518242610</t>
  </si>
  <si>
    <t>GL7701211154</t>
  </si>
  <si>
    <t>MFLC1001210</t>
  </si>
  <si>
    <t>8054923597</t>
  </si>
  <si>
    <t>GL4031308541</t>
  </si>
  <si>
    <t>MFLC1001211</t>
  </si>
  <si>
    <t>9080050569</t>
  </si>
  <si>
    <t>GL5139387753</t>
  </si>
  <si>
    <t>MFLC1001212</t>
  </si>
  <si>
    <t>Nagaraj Shankar</t>
  </si>
  <si>
    <t>9714515548</t>
  </si>
  <si>
    <t>Davanagere - MG Road</t>
  </si>
  <si>
    <t>GL6245714493</t>
  </si>
  <si>
    <t>MFLC1001213</t>
  </si>
  <si>
    <t>8322238085</t>
  </si>
  <si>
    <t>GL1680773810</t>
  </si>
  <si>
    <t>MFLC1001214</t>
  </si>
  <si>
    <t>9820839174</t>
  </si>
  <si>
    <t>GL5237668299</t>
  </si>
  <si>
    <t>MFLC1001215</t>
  </si>
  <si>
    <t>Shivakumar Swamy</t>
  </si>
  <si>
    <t>8531550545</t>
  </si>
  <si>
    <t>GL3620187306</t>
  </si>
  <si>
    <t>MFLC1001216</t>
  </si>
  <si>
    <t>8057768418</t>
  </si>
  <si>
    <t>GL7081510605</t>
  </si>
  <si>
    <t>MFLC1001217</t>
  </si>
  <si>
    <t>Faisal Menon</t>
  </si>
  <si>
    <t>9736635666</t>
  </si>
  <si>
    <t>GL1873761381</t>
  </si>
  <si>
    <t>MFLC1001218</t>
  </si>
  <si>
    <t>Naresh Sastry</t>
  </si>
  <si>
    <t>6949487354</t>
  </si>
  <si>
    <t>GL3593126153</t>
  </si>
  <si>
    <t>MFLC1001219</t>
  </si>
  <si>
    <t>Mahesh Chowdary</t>
  </si>
  <si>
    <t>9790365738</t>
  </si>
  <si>
    <t>GL8101079545</t>
  </si>
  <si>
    <t>MFLC1001220</t>
  </si>
  <si>
    <t>8415585897</t>
  </si>
  <si>
    <t>Kota - Nehru Nagar</t>
  </si>
  <si>
    <t>GL5843501268</t>
  </si>
  <si>
    <t>MFLC1001221</t>
  </si>
  <si>
    <t>8276736004</t>
  </si>
  <si>
    <t>GL0235499642</t>
  </si>
  <si>
    <t>MFLC1001222</t>
  </si>
  <si>
    <t>Ganesh Natarajan</t>
  </si>
  <si>
    <t>9416930492</t>
  </si>
  <si>
    <t>GL4050712663</t>
  </si>
  <si>
    <t>MFLC1001223</t>
  </si>
  <si>
    <t>8852209174</t>
  </si>
  <si>
    <t>GL6990490646</t>
  </si>
  <si>
    <t>MFLC1001224</t>
  </si>
  <si>
    <t>Sindhu Warrier</t>
  </si>
  <si>
    <t>9338420284</t>
  </si>
  <si>
    <t>GL6834242842</t>
  </si>
  <si>
    <t>MFLC1001225</t>
  </si>
  <si>
    <t>7013601929</t>
  </si>
  <si>
    <t>GL7873267246</t>
  </si>
  <si>
    <t>MFLC1001226</t>
  </si>
  <si>
    <t>Anita Gupta</t>
  </si>
  <si>
    <t>8560536613</t>
  </si>
  <si>
    <t>Noida - Main Road</t>
  </si>
  <si>
    <t>GL9343469334</t>
  </si>
  <si>
    <t>MFLC1001227</t>
  </si>
  <si>
    <t>Lakshmi Menon</t>
  </si>
  <si>
    <t>9092040263</t>
  </si>
  <si>
    <t>GL4055542763</t>
  </si>
  <si>
    <t>MFLC1001228</t>
  </si>
  <si>
    <t>6708125174</t>
  </si>
  <si>
    <t>GL1730646815</t>
  </si>
  <si>
    <t>MFLC1001229</t>
  </si>
  <si>
    <t>Lakshmi Philip</t>
  </si>
  <si>
    <t>7755467871</t>
  </si>
  <si>
    <t>Kannur - Market Road</t>
  </si>
  <si>
    <t>GL3347381837</t>
  </si>
  <si>
    <t>MFLC1001230</t>
  </si>
  <si>
    <t>Mary Kurup</t>
  </si>
  <si>
    <t>9765940027</t>
  </si>
  <si>
    <t>GL3921063155</t>
  </si>
  <si>
    <t>MFLC1001231</t>
  </si>
  <si>
    <t>6988846399</t>
  </si>
  <si>
    <t>GL1729025423</t>
  </si>
  <si>
    <t>MFLC1001232</t>
  </si>
  <si>
    <t>Vinod George</t>
  </si>
  <si>
    <t>9293326367</t>
  </si>
  <si>
    <t>GL6229489864</t>
  </si>
  <si>
    <t>MFLC1001233</t>
  </si>
  <si>
    <t>Suresh Goud</t>
  </si>
  <si>
    <t>8261151743</t>
  </si>
  <si>
    <t>GL2149671012</t>
  </si>
  <si>
    <t>MFLC1001234</t>
  </si>
  <si>
    <t>9694646141</t>
  </si>
  <si>
    <t>GL9448908058</t>
  </si>
  <si>
    <t>MFLC1001235</t>
  </si>
  <si>
    <t>Kiran Shetty</t>
  </si>
  <si>
    <t>6814816406</t>
  </si>
  <si>
    <t>GL1727184474</t>
  </si>
  <si>
    <t>MFLC1001236</t>
  </si>
  <si>
    <t>Rohit Kumar</t>
  </si>
  <si>
    <t>9036810608</t>
  </si>
  <si>
    <t>GL5076010614</t>
  </si>
  <si>
    <t>MFLC1001237</t>
  </si>
  <si>
    <t>7007285974</t>
  </si>
  <si>
    <t>GL4697878133</t>
  </si>
  <si>
    <t>MFLC1001238</t>
  </si>
  <si>
    <t>Anil Nair</t>
  </si>
  <si>
    <t>7128549580</t>
  </si>
  <si>
    <t>GL5605338663</t>
  </si>
  <si>
    <t>MFLC1001239</t>
  </si>
  <si>
    <t>9073763116</t>
  </si>
  <si>
    <t>GL6062065372</t>
  </si>
  <si>
    <t>MFLC1001240</t>
  </si>
  <si>
    <t>9578459035</t>
  </si>
  <si>
    <t>GL0067681709</t>
  </si>
  <si>
    <t>MFLC1001241</t>
  </si>
  <si>
    <t>8436076486</t>
  </si>
  <si>
    <t>GL7126601280</t>
  </si>
  <si>
    <t>MFLC1001242</t>
  </si>
  <si>
    <t>9583445814</t>
  </si>
  <si>
    <t>GL4052982626</t>
  </si>
  <si>
    <t>MFLC1001243</t>
  </si>
  <si>
    <t>Latha George</t>
  </si>
  <si>
    <t>9713888302</t>
  </si>
  <si>
    <t>GL0055078601</t>
  </si>
  <si>
    <t>MFLC1001244</t>
  </si>
  <si>
    <t>Shibu Warrier</t>
  </si>
  <si>
    <t>9253579271</t>
  </si>
  <si>
    <t>GL5700352130</t>
  </si>
  <si>
    <t>MFLC1001245</t>
  </si>
  <si>
    <t>9231934614</t>
  </si>
  <si>
    <t>Nizamabad - Main Road</t>
  </si>
  <si>
    <t>GL7568621944</t>
  </si>
  <si>
    <t>MFLC1001246</t>
  </si>
  <si>
    <t>9562940421</t>
  </si>
  <si>
    <t>GL0476949367</t>
  </si>
  <si>
    <t>MFLC1001247</t>
  </si>
  <si>
    <t>7823050178</t>
  </si>
  <si>
    <t>GL4656462522</t>
  </si>
  <si>
    <t>MFLC1001248</t>
  </si>
  <si>
    <t>Krishna Rao</t>
  </si>
  <si>
    <t>9690246536</t>
  </si>
  <si>
    <t>GL8276133100</t>
  </si>
  <si>
    <t>MFLC1001249</t>
  </si>
  <si>
    <t>Rani Philip</t>
  </si>
  <si>
    <t>7649577529</t>
  </si>
  <si>
    <t>GL7331311660</t>
  </si>
  <si>
    <t>MFLC1001250</t>
  </si>
  <si>
    <t>Kavitha Babu</t>
  </si>
  <si>
    <t>9291554506</t>
  </si>
  <si>
    <t>GL2312241105</t>
  </si>
  <si>
    <t>MFLC1001251</t>
  </si>
  <si>
    <t>Mani Annamalai</t>
  </si>
  <si>
    <t>7964655779</t>
  </si>
  <si>
    <t>GL9900773977</t>
  </si>
  <si>
    <t>MFLC1001252</t>
  </si>
  <si>
    <t>Saranya Pandian</t>
  </si>
  <si>
    <t>9501028564</t>
  </si>
  <si>
    <t>GL1237596045</t>
  </si>
  <si>
    <t>MFLC1001253</t>
  </si>
  <si>
    <t>Neha Mishra</t>
  </si>
  <si>
    <t>9921145282</t>
  </si>
  <si>
    <t>GL6256678295</t>
  </si>
  <si>
    <t>MFLC1001254</t>
  </si>
  <si>
    <t>Geeta Yadav</t>
  </si>
  <si>
    <t>8400413044</t>
  </si>
  <si>
    <t>GL8921066244</t>
  </si>
  <si>
    <t>MFLC1001255</t>
  </si>
  <si>
    <t>7934315605</t>
  </si>
  <si>
    <t>GL4946031609</t>
  </si>
  <si>
    <t>MFLC1001256</t>
  </si>
  <si>
    <t>8884104652</t>
  </si>
  <si>
    <t>GL5664154059</t>
  </si>
  <si>
    <t>MFLC1001257</t>
  </si>
  <si>
    <t>8232917127</t>
  </si>
  <si>
    <t>Davanagere - Civil Lines</t>
  </si>
  <si>
    <t>GL2679888419</t>
  </si>
  <si>
    <t>MFLC1001258</t>
  </si>
  <si>
    <t>8003070998</t>
  </si>
  <si>
    <t>GL1595074719</t>
  </si>
  <si>
    <t>MFLC1001259</t>
  </si>
  <si>
    <t>8079657056</t>
  </si>
  <si>
    <t>GL6896336160</t>
  </si>
  <si>
    <t>MFLC1001260</t>
  </si>
  <si>
    <t>Lakshmi Panicker</t>
  </si>
  <si>
    <t>9657831130</t>
  </si>
  <si>
    <t>GL4650812339</t>
  </si>
  <si>
    <t>MFLC1001261</t>
  </si>
  <si>
    <t>Venkatesh Goud</t>
  </si>
  <si>
    <t>7426148856</t>
  </si>
  <si>
    <t>GL2213203186</t>
  </si>
  <si>
    <t>MFLC1001262</t>
  </si>
  <si>
    <t>9249548873</t>
  </si>
  <si>
    <t>GL4921860797</t>
  </si>
  <si>
    <t>MFLC1001263</t>
  </si>
  <si>
    <t>9743044838</t>
  </si>
  <si>
    <t>GL4107972866</t>
  </si>
  <si>
    <t>MFLC1001264</t>
  </si>
  <si>
    <t>7666391800</t>
  </si>
  <si>
    <t>GL0302461075</t>
  </si>
  <si>
    <t>MFLC1001265</t>
  </si>
  <si>
    <t>7646359994</t>
  </si>
  <si>
    <t>GL7443392842</t>
  </si>
  <si>
    <t>MFLC1001266</t>
  </si>
  <si>
    <t>9419857234</t>
  </si>
  <si>
    <t>GL7832067587</t>
  </si>
  <si>
    <t>MFLC1001267</t>
  </si>
  <si>
    <t>Lakshmi Murthy</t>
  </si>
  <si>
    <t>8462457070</t>
  </si>
  <si>
    <t>GL8675218571</t>
  </si>
  <si>
    <t>MFLC1001268</t>
  </si>
  <si>
    <t>Thomas Pillai</t>
  </si>
  <si>
    <t>8859624648</t>
  </si>
  <si>
    <t>GL9871830750</t>
  </si>
  <si>
    <t>MFLC1001269</t>
  </si>
  <si>
    <t>Sravani Kumar</t>
  </si>
  <si>
    <t>9109163397</t>
  </si>
  <si>
    <t>Visakhapatnam - Bus Stand</t>
  </si>
  <si>
    <t>GL8797799072</t>
  </si>
  <si>
    <t>MFLC1001270</t>
  </si>
  <si>
    <t>7596420842</t>
  </si>
  <si>
    <t>GL4904098331</t>
  </si>
  <si>
    <t>MFLC1001271</t>
  </si>
  <si>
    <t>9754411721</t>
  </si>
  <si>
    <t>GL6027985689</t>
  </si>
  <si>
    <t>MFLC1001272</t>
  </si>
  <si>
    <t>9947648620</t>
  </si>
  <si>
    <t>GL4338126649</t>
  </si>
  <si>
    <t>MFLC1001273</t>
  </si>
  <si>
    <t>6451555237</t>
  </si>
  <si>
    <t>GL4387295552</t>
  </si>
  <si>
    <t>MFLC1001274</t>
  </si>
  <si>
    <t>Latha Bhat</t>
  </si>
  <si>
    <t>8348462040</t>
  </si>
  <si>
    <t>GL0316207405</t>
  </si>
  <si>
    <t>MFLC1001275</t>
  </si>
  <si>
    <t>7396041132</t>
  </si>
  <si>
    <t>GL8789561862</t>
  </si>
  <si>
    <t>MFLC1001276</t>
  </si>
  <si>
    <t>8055685857</t>
  </si>
  <si>
    <t>GL8844054875</t>
  </si>
  <si>
    <t>MFLC1001277</t>
  </si>
  <si>
    <t>9301321513</t>
  </si>
  <si>
    <t>GL7550372403</t>
  </si>
  <si>
    <t>MFLC1001278</t>
  </si>
  <si>
    <t>Lakshmi Kulkarni</t>
  </si>
  <si>
    <t>8248883404</t>
  </si>
  <si>
    <t>GL1664011231</t>
  </si>
  <si>
    <t>MFLC1001279</t>
  </si>
  <si>
    <t>9115202111</t>
  </si>
  <si>
    <t>GL6166774144</t>
  </si>
  <si>
    <t>MFLC1001280</t>
  </si>
  <si>
    <t>Rajeev Philip</t>
  </si>
  <si>
    <t>9241983309</t>
  </si>
  <si>
    <t>GL4172604032</t>
  </si>
  <si>
    <t>MFLC1001281</t>
  </si>
  <si>
    <t>Vidya Hegde</t>
  </si>
  <si>
    <t>9736603800</t>
  </si>
  <si>
    <t>GL8236286303</t>
  </si>
  <si>
    <t>MFLC1001282</t>
  </si>
  <si>
    <t>Malathi Krishnan</t>
  </si>
  <si>
    <t>9201030367</t>
  </si>
  <si>
    <t>GL7990538359</t>
  </si>
  <si>
    <t>MFLC1001283</t>
  </si>
  <si>
    <t>8839515205</t>
  </si>
  <si>
    <t>GL8046247949</t>
  </si>
  <si>
    <t>MFLC1001284</t>
  </si>
  <si>
    <t>8596287316</t>
  </si>
  <si>
    <t>GL1459269605</t>
  </si>
  <si>
    <t>MFLC1001285</t>
  </si>
  <si>
    <t>Roopa Hegde</t>
  </si>
  <si>
    <t>9667739229</t>
  </si>
  <si>
    <t>GL9823039427</t>
  </si>
  <si>
    <t>MFLC1001286</t>
  </si>
  <si>
    <t>9658696567</t>
  </si>
  <si>
    <t>GL5724407674</t>
  </si>
  <si>
    <t>MFLC1001287</t>
  </si>
  <si>
    <t>9907075131</t>
  </si>
  <si>
    <t>GL9243753172</t>
  </si>
  <si>
    <t>MFLC1001288</t>
  </si>
  <si>
    <t>8829497268</t>
  </si>
  <si>
    <t>GL5208791963</t>
  </si>
  <si>
    <t>MFLC1001289</t>
  </si>
  <si>
    <t>Pooja Sharma</t>
  </si>
  <si>
    <t>7272747562</t>
  </si>
  <si>
    <t>GL4374338052</t>
  </si>
  <si>
    <t>MFLC1001290</t>
  </si>
  <si>
    <t>Vijay Rajan</t>
  </si>
  <si>
    <t>7255951853</t>
  </si>
  <si>
    <t>GL3277625729</t>
  </si>
  <si>
    <t>MFLC1001291</t>
  </si>
  <si>
    <t>Shobha Murthy</t>
  </si>
  <si>
    <t>9114106788</t>
  </si>
  <si>
    <t>GL0556924497</t>
  </si>
  <si>
    <t>MFLC1001292</t>
  </si>
  <si>
    <t>Santhosh Mathew</t>
  </si>
  <si>
    <t>9735500078</t>
  </si>
  <si>
    <t>GL7542636900</t>
  </si>
  <si>
    <t>MFLC1001293</t>
  </si>
  <si>
    <t>7062308177</t>
  </si>
  <si>
    <t>GL7003949908</t>
  </si>
  <si>
    <t>MFLC1001294</t>
  </si>
  <si>
    <t>Latha Acharya</t>
  </si>
  <si>
    <t>8513205832</t>
  </si>
  <si>
    <t>GL3210715437</t>
  </si>
  <si>
    <t>MFLC1001295</t>
  </si>
  <si>
    <t>Divya Panicker</t>
  </si>
  <si>
    <t>9017558141</t>
  </si>
  <si>
    <t>GL4673054258</t>
  </si>
  <si>
    <t>MFLC1001296</t>
  </si>
  <si>
    <t>Ajay Verma</t>
  </si>
  <si>
    <t>8006424620</t>
  </si>
  <si>
    <t>GL2751486079</t>
  </si>
  <si>
    <t>MFLC1001297</t>
  </si>
  <si>
    <t>Mary Thomas</t>
  </si>
  <si>
    <t>6681718562</t>
  </si>
  <si>
    <t>GL9650003251</t>
  </si>
  <si>
    <t>MFLC1001298</t>
  </si>
  <si>
    <t>9197143016</t>
  </si>
  <si>
    <t>GL3762493123</t>
  </si>
  <si>
    <t>MFLC1001299</t>
  </si>
  <si>
    <t>Binu Warrier</t>
  </si>
  <si>
    <t>8306752547</t>
  </si>
  <si>
    <t>GL0800245310</t>
  </si>
  <si>
    <t>MFLC1001300</t>
  </si>
  <si>
    <t>9084500361</t>
  </si>
  <si>
    <t>GL6330687419</t>
  </si>
  <si>
    <t>MFLC1001301</t>
  </si>
  <si>
    <t>Meena Mishra</t>
  </si>
  <si>
    <t>7327304584</t>
  </si>
  <si>
    <t>GL1687983402</t>
  </si>
  <si>
    <t>MFLC1001302</t>
  </si>
  <si>
    <t>8712042934</t>
  </si>
  <si>
    <t>GL4690651134</t>
  </si>
  <si>
    <t>MFLC1001303</t>
  </si>
  <si>
    <t>Kavitha Rao</t>
  </si>
  <si>
    <t>8758798891</t>
  </si>
  <si>
    <t>GL4721737121</t>
  </si>
  <si>
    <t>MFLC1001304</t>
  </si>
  <si>
    <t>Anjaneyulu Yadav</t>
  </si>
  <si>
    <t>9265665847</t>
  </si>
  <si>
    <t>GL6857866506</t>
  </si>
  <si>
    <t>MFLC1001305</t>
  </si>
  <si>
    <t>Raju Murthy</t>
  </si>
  <si>
    <t>9023371000</t>
  </si>
  <si>
    <t>GL6553869653</t>
  </si>
  <si>
    <t>MFLC1001306</t>
  </si>
  <si>
    <t>7935588043</t>
  </si>
  <si>
    <t>GL3764675009</t>
  </si>
  <si>
    <t>MFLC1001307</t>
  </si>
  <si>
    <t>7934797150</t>
  </si>
  <si>
    <t>GL6720138307</t>
  </si>
  <si>
    <t>MFLC1001308</t>
  </si>
  <si>
    <t>9233602073</t>
  </si>
  <si>
    <t>GL5568757643</t>
  </si>
  <si>
    <t>MFLC1001309</t>
  </si>
  <si>
    <t>9330236810</t>
  </si>
  <si>
    <t>GL7166963456</t>
  </si>
  <si>
    <t>MFLC1001310</t>
  </si>
  <si>
    <t>Shalini Panicker</t>
  </si>
  <si>
    <t>9415605719</t>
  </si>
  <si>
    <t>GL7014234061</t>
  </si>
  <si>
    <t>MFLC1001311</t>
  </si>
  <si>
    <t>Meena Raman</t>
  </si>
  <si>
    <t>9605494367</t>
  </si>
  <si>
    <t>GL7179324133</t>
  </si>
  <si>
    <t>MFLC1001312</t>
  </si>
  <si>
    <t>9973508169</t>
  </si>
  <si>
    <t>GL9127996666</t>
  </si>
  <si>
    <t>MFLC1001313</t>
  </si>
  <si>
    <t>Savitha Patil</t>
  </si>
  <si>
    <t>8542488903</t>
  </si>
  <si>
    <t>GL9179849662</t>
  </si>
  <si>
    <t>MFLC1001314</t>
  </si>
  <si>
    <t>Shibu Ibrahim</t>
  </si>
  <si>
    <t>9151244271</t>
  </si>
  <si>
    <t>GL2055013842</t>
  </si>
  <si>
    <t>MFLC1001315</t>
  </si>
  <si>
    <t>Vijaya Prasad</t>
  </si>
  <si>
    <t>9919261472</t>
  </si>
  <si>
    <t>GL8337375919</t>
  </si>
  <si>
    <t>MFLC1001316</t>
  </si>
  <si>
    <t>8200257817</t>
  </si>
  <si>
    <t>GL8966351462</t>
  </si>
  <si>
    <t>MFLC1001317</t>
  </si>
  <si>
    <t>Arun Chandran</t>
  </si>
  <si>
    <t>8591896137</t>
  </si>
  <si>
    <t>GL0354983496</t>
  </si>
  <si>
    <t>MFLC1001318</t>
  </si>
  <si>
    <t>9553444177</t>
  </si>
  <si>
    <t>GL4308162956</t>
  </si>
  <si>
    <t>MFLC1001319</t>
  </si>
  <si>
    <t>Nagarjuna Sastry</t>
  </si>
  <si>
    <t>9000651590</t>
  </si>
  <si>
    <t>GL1679959386</t>
  </si>
  <si>
    <t>MFLC1001320</t>
  </si>
  <si>
    <t>8407024755</t>
  </si>
  <si>
    <t>GL7768726231</t>
  </si>
  <si>
    <t>MFLC1001321</t>
  </si>
  <si>
    <t>6319314136</t>
  </si>
  <si>
    <t>Faridabad - Temple Street</t>
  </si>
  <si>
    <t>GL6487719402</t>
  </si>
  <si>
    <t>MFLC1001322</t>
  </si>
  <si>
    <t>9698026660</t>
  </si>
  <si>
    <t>GL2869831942</t>
  </si>
  <si>
    <t>MFLC1001323</t>
  </si>
  <si>
    <t>7899151358</t>
  </si>
  <si>
    <t>Faridabad - Civil Lines</t>
  </si>
  <si>
    <t>GL1617531525</t>
  </si>
  <si>
    <t>MFLC1001324</t>
  </si>
  <si>
    <t>Lakshmi Patil</t>
  </si>
  <si>
    <t>9502732882</t>
  </si>
  <si>
    <t>GL4615944639</t>
  </si>
  <si>
    <t>MFLC1001325</t>
  </si>
  <si>
    <t>9518875582</t>
  </si>
  <si>
    <t>GL3381255781</t>
  </si>
  <si>
    <t>MFLC1001326</t>
  </si>
  <si>
    <t>Shalini Warrier</t>
  </si>
  <si>
    <t>9873925764</t>
  </si>
  <si>
    <t>GL0242998337</t>
  </si>
  <si>
    <t>MFLC1001327</t>
  </si>
  <si>
    <t>Meena Murugan</t>
  </si>
  <si>
    <t>9038618360</t>
  </si>
  <si>
    <t>GL7557681977</t>
  </si>
  <si>
    <t>MFLC1001328</t>
  </si>
  <si>
    <t>Latha Joseph</t>
  </si>
  <si>
    <t>7688866458</t>
  </si>
  <si>
    <t>GL7348188662</t>
  </si>
  <si>
    <t>MFLC1001329</t>
  </si>
  <si>
    <t>9209365840</t>
  </si>
  <si>
    <t>GL1316452325</t>
  </si>
  <si>
    <t>MFLC1001330</t>
  </si>
  <si>
    <t>9823905936</t>
  </si>
  <si>
    <t>GL4207702501</t>
  </si>
  <si>
    <t>MFLC1001331</t>
  </si>
  <si>
    <t>Raghu Bhat</t>
  </si>
  <si>
    <t>9606353862</t>
  </si>
  <si>
    <t>GL7243472142</t>
  </si>
  <si>
    <t>MFLC1001332</t>
  </si>
  <si>
    <t>7610247939</t>
  </si>
  <si>
    <t>GL3339191905</t>
  </si>
  <si>
    <t>MFLC1001333</t>
  </si>
  <si>
    <t>Seema Chauhan</t>
  </si>
  <si>
    <t>7316780574</t>
  </si>
  <si>
    <t>GL7672618497</t>
  </si>
  <si>
    <t>MFLC1001334</t>
  </si>
  <si>
    <t>9998111320</t>
  </si>
  <si>
    <t>GL6517865261</t>
  </si>
  <si>
    <t>MFLC1001335</t>
  </si>
  <si>
    <t>9175547201</t>
  </si>
  <si>
    <t>GL7471867597</t>
  </si>
  <si>
    <t>MFLC1001336</t>
  </si>
  <si>
    <t>Kumar Chandran</t>
  </si>
  <si>
    <t>9207802242</t>
  </si>
  <si>
    <t>GL1949732714</t>
  </si>
  <si>
    <t>MFLC1001337</t>
  </si>
  <si>
    <t>9912843576</t>
  </si>
  <si>
    <t>GL6406647028</t>
  </si>
  <si>
    <t>MFLC1001338</t>
  </si>
  <si>
    <t>Dinesh Subramanian</t>
  </si>
  <si>
    <t>9993108128</t>
  </si>
  <si>
    <t>GL2182073449</t>
  </si>
  <si>
    <t>MFLC1001339</t>
  </si>
  <si>
    <t>Selvam Sundaram</t>
  </si>
  <si>
    <t>8063822519</t>
  </si>
  <si>
    <t>GL9065263338</t>
  </si>
  <si>
    <t>MFLC1001340</t>
  </si>
  <si>
    <t>9843361145</t>
  </si>
  <si>
    <t>GL3979207577</t>
  </si>
  <si>
    <t>MFLC1001341</t>
  </si>
  <si>
    <t>9119533988</t>
  </si>
  <si>
    <t>GL4200844310</t>
  </si>
  <si>
    <t>MFLC1001342</t>
  </si>
  <si>
    <t>Abdul Mathew</t>
  </si>
  <si>
    <t>9749809543</t>
  </si>
  <si>
    <t>GL9064944831</t>
  </si>
  <si>
    <t>MFLC1001343</t>
  </si>
  <si>
    <t>Meena Rajan</t>
  </si>
  <si>
    <t>9867020094</t>
  </si>
  <si>
    <t>GL0890787504</t>
  </si>
  <si>
    <t>MFLC1001344</t>
  </si>
  <si>
    <t>Mary Philip</t>
  </si>
  <si>
    <t>9503449862</t>
  </si>
  <si>
    <t>GL5585356318</t>
  </si>
  <si>
    <t>MFLC1001345</t>
  </si>
  <si>
    <t>Venkatesh Murthy</t>
  </si>
  <si>
    <t>9666083000</t>
  </si>
  <si>
    <t>GL9151931053</t>
  </si>
  <si>
    <t>MFLC1001346</t>
  </si>
  <si>
    <t>Balaji Ravi</t>
  </si>
  <si>
    <t>9736316240</t>
  </si>
  <si>
    <t>GL0517200203</t>
  </si>
  <si>
    <t>MFLC1001347</t>
  </si>
  <si>
    <t>9090989290</t>
  </si>
  <si>
    <t>GL7611635197</t>
  </si>
  <si>
    <t>MFLC1001348</t>
  </si>
  <si>
    <t>Balaji Sundaram</t>
  </si>
  <si>
    <t>9422347621</t>
  </si>
  <si>
    <t>GL3570003124</t>
  </si>
  <si>
    <t>MFLC1001349</t>
  </si>
  <si>
    <t>Anitha Mathew</t>
  </si>
  <si>
    <t>7255247748</t>
  </si>
  <si>
    <t>GL3763626555</t>
  </si>
  <si>
    <t>MFLC1001350</t>
  </si>
  <si>
    <t>Devi Iyer</t>
  </si>
  <si>
    <t>9322707215</t>
  </si>
  <si>
    <t>GL3969720100</t>
  </si>
  <si>
    <t>MFLC1001351</t>
  </si>
  <si>
    <t>Kavitha Subramanian</t>
  </si>
  <si>
    <t>9222709308</t>
  </si>
  <si>
    <t>GL1046456645</t>
  </si>
  <si>
    <t>MFLC1001352</t>
  </si>
  <si>
    <t>Mahesh Kulkarni</t>
  </si>
  <si>
    <t>9243165361</t>
  </si>
  <si>
    <t>GL4268258738</t>
  </si>
  <si>
    <t>MFLC1001353</t>
  </si>
  <si>
    <t>8934191959</t>
  </si>
  <si>
    <t>Erode - Industrial Estate</t>
  </si>
  <si>
    <t>GL6864370557</t>
  </si>
  <si>
    <t>MFLC1001354</t>
  </si>
  <si>
    <t>Sanjay Saxena</t>
  </si>
  <si>
    <t>8525826227</t>
  </si>
  <si>
    <t>GL2271185190</t>
  </si>
  <si>
    <t>MFLC1001355</t>
  </si>
  <si>
    <t>8549929578</t>
  </si>
  <si>
    <t>GL9119595780</t>
  </si>
  <si>
    <t>MFLC1001356</t>
  </si>
  <si>
    <t>Selvi Raman</t>
  </si>
  <si>
    <t>9304562626</t>
  </si>
  <si>
    <t>GL2320913530</t>
  </si>
  <si>
    <t>MFLC1001357</t>
  </si>
  <si>
    <t>Vidya Patil</t>
  </si>
  <si>
    <t>7375341638</t>
  </si>
  <si>
    <t>GL8041087485</t>
  </si>
  <si>
    <t>MFLC1001358</t>
  </si>
  <si>
    <t>9124310638</t>
  </si>
  <si>
    <t>GL2512915579</t>
  </si>
  <si>
    <t>MFLC1001359</t>
  </si>
  <si>
    <t>8614575677</t>
  </si>
  <si>
    <t>GL1094212071</t>
  </si>
  <si>
    <t>MFLC1001360</t>
  </si>
  <si>
    <t>Raju Setty</t>
  </si>
  <si>
    <t>9291107393</t>
  </si>
  <si>
    <t>GL4678276169</t>
  </si>
  <si>
    <t>MFLC1001361</t>
  </si>
  <si>
    <t>Harish Naik</t>
  </si>
  <si>
    <t>9347637881</t>
  </si>
  <si>
    <t>GL9196029022</t>
  </si>
  <si>
    <t>MFLC1001362</t>
  </si>
  <si>
    <t>Vinod Kurup</t>
  </si>
  <si>
    <t>6634036402</t>
  </si>
  <si>
    <t>GL7979471939</t>
  </si>
  <si>
    <t>MFLC1001363</t>
  </si>
  <si>
    <t>Suresh Rathore</t>
  </si>
  <si>
    <t>9429351910</t>
  </si>
  <si>
    <t>GL2491241924</t>
  </si>
  <si>
    <t>MFLC1001364</t>
  </si>
  <si>
    <t>Vignesh Krishnan</t>
  </si>
  <si>
    <t>6637646128</t>
  </si>
  <si>
    <t>GL2972958756</t>
  </si>
  <si>
    <t>MFLC1001365</t>
  </si>
  <si>
    <t>8179993662</t>
  </si>
  <si>
    <t>New Delhi - Church Road</t>
  </si>
  <si>
    <t>GL6238187124</t>
  </si>
  <si>
    <t>MFLC1001366</t>
  </si>
  <si>
    <t>Sreejith Warrier</t>
  </si>
  <si>
    <t>9562110527</t>
  </si>
  <si>
    <t>GL9188169058</t>
  </si>
  <si>
    <t>MFLC1001367</t>
  </si>
  <si>
    <t>9071870425</t>
  </si>
  <si>
    <t>GL0047751011</t>
  </si>
  <si>
    <t>MFLC1001368</t>
  </si>
  <si>
    <t>8617223693</t>
  </si>
  <si>
    <t>GL6023530573</t>
  </si>
  <si>
    <t>MFLC1001369</t>
  </si>
  <si>
    <t>Thomas Kumar</t>
  </si>
  <si>
    <t>7008071736</t>
  </si>
  <si>
    <t>GL9975694358</t>
  </si>
  <si>
    <t>MFLC1001370</t>
  </si>
  <si>
    <t>7173878347</t>
  </si>
  <si>
    <t>GL9687251143</t>
  </si>
  <si>
    <t>MFLC1001371</t>
  </si>
  <si>
    <t>7820421374</t>
  </si>
  <si>
    <t>GL1251752482</t>
  </si>
  <si>
    <t>MFLC1001372</t>
  </si>
  <si>
    <t>9784495650</t>
  </si>
  <si>
    <t>GL6809565781</t>
  </si>
  <si>
    <t>MFLC1001373</t>
  </si>
  <si>
    <t>Radha Raju</t>
  </si>
  <si>
    <t>9783951365</t>
  </si>
  <si>
    <t>GL9072003960</t>
  </si>
  <si>
    <t>MFLC1001374</t>
  </si>
  <si>
    <t>Vijaya Murthy</t>
  </si>
  <si>
    <t>9433941073</t>
  </si>
  <si>
    <t>Visakhapatnam - Market Road</t>
  </si>
  <si>
    <t>GL4825745748</t>
  </si>
  <si>
    <t>MFLC1001375</t>
  </si>
  <si>
    <t>Anjaneyulu Chowdary</t>
  </si>
  <si>
    <t>9596275272</t>
  </si>
  <si>
    <t>GL3767715939</t>
  </si>
  <si>
    <t>MFLC1001376</t>
  </si>
  <si>
    <t>8765202190</t>
  </si>
  <si>
    <t>GL2720868099</t>
  </si>
  <si>
    <t>MFLC1001377</t>
  </si>
  <si>
    <t>Faisal Nair</t>
  </si>
  <si>
    <t>9576208245</t>
  </si>
  <si>
    <t>GL9249371168</t>
  </si>
  <si>
    <t>MFLC1001378</t>
  </si>
  <si>
    <t>9683491631</t>
  </si>
  <si>
    <t>GL3950616637</t>
  </si>
  <si>
    <t>MFLC1001379</t>
  </si>
  <si>
    <t>9684254504</t>
  </si>
  <si>
    <t>GL1574566983</t>
  </si>
  <si>
    <t>MFLC1001380</t>
  </si>
  <si>
    <t>6529431365</t>
  </si>
  <si>
    <t>GL1080825878</t>
  </si>
  <si>
    <t>MFLC1001381</t>
  </si>
  <si>
    <t>Naveen Kumar</t>
  </si>
  <si>
    <t>7795100545</t>
  </si>
  <si>
    <t>GL9237909321</t>
  </si>
  <si>
    <t>MFLC1001382</t>
  </si>
  <si>
    <t>9482571638</t>
  </si>
  <si>
    <t>New Delhi - Main Road</t>
  </si>
  <si>
    <t>GL2726457155</t>
  </si>
  <si>
    <t>MFLC1001383</t>
  </si>
  <si>
    <t>Ajith Joseph</t>
  </si>
  <si>
    <t>8482683395</t>
  </si>
  <si>
    <t>GL3877642512</t>
  </si>
  <si>
    <t>MFLC1001384</t>
  </si>
  <si>
    <t>Vasanthi Selvam</t>
  </si>
  <si>
    <t>9419460061</t>
  </si>
  <si>
    <t>GL1670458625</t>
  </si>
  <si>
    <t>MFLC1001385</t>
  </si>
  <si>
    <t>Geeta Chauhan</t>
  </si>
  <si>
    <t>7070122658</t>
  </si>
  <si>
    <t>GL3157547243</t>
  </si>
  <si>
    <t>MFLC1001386</t>
  </si>
  <si>
    <t>9790534602</t>
  </si>
  <si>
    <t>GL9497970806</t>
  </si>
  <si>
    <t>MFLC1001387</t>
  </si>
  <si>
    <t>Kavitha Setty</t>
  </si>
  <si>
    <t>8816065441</t>
  </si>
  <si>
    <t>GL4186634363</t>
  </si>
  <si>
    <t>MFLC1001388</t>
  </si>
  <si>
    <t>8670481266</t>
  </si>
  <si>
    <t>GL0626085202</t>
  </si>
  <si>
    <t>MFLC1001389</t>
  </si>
  <si>
    <t>Manjula Swamy</t>
  </si>
  <si>
    <t>9823550110</t>
  </si>
  <si>
    <t>GL4231381365</t>
  </si>
  <si>
    <t>MFLC1001390</t>
  </si>
  <si>
    <t>9365488198</t>
  </si>
  <si>
    <t>Jodhpur - Gandhi Nagar</t>
  </si>
  <si>
    <t>GL6057774004</t>
  </si>
  <si>
    <t>MFLC1001391</t>
  </si>
  <si>
    <t>7123234758</t>
  </si>
  <si>
    <t>GL9953048845</t>
  </si>
  <si>
    <t>MFLC1001392</t>
  </si>
  <si>
    <t>9283749112</t>
  </si>
  <si>
    <t>GL6162782491</t>
  </si>
  <si>
    <t>MFLC1001393</t>
  </si>
  <si>
    <t>Bhaskar Murthy</t>
  </si>
  <si>
    <t>8556940441</t>
  </si>
  <si>
    <t>GL4451051642</t>
  </si>
  <si>
    <t>MFLC1001394</t>
  </si>
  <si>
    <t>8733951508</t>
  </si>
  <si>
    <t>GL4983253119</t>
  </si>
  <si>
    <t>MFLC1001395</t>
  </si>
  <si>
    <t>Swathi Kumar</t>
  </si>
  <si>
    <t>6859335769</t>
  </si>
  <si>
    <t>GL0634285986</t>
  </si>
  <si>
    <t>MFLC1001396</t>
  </si>
  <si>
    <t>9331432262</t>
  </si>
  <si>
    <t>GL6154404788</t>
  </si>
  <si>
    <t>MFLC1001397</t>
  </si>
  <si>
    <t>8101279700</t>
  </si>
  <si>
    <t>GL0159372290</t>
  </si>
  <si>
    <t>MFLC1001398</t>
  </si>
  <si>
    <t>Bindu Panicker</t>
  </si>
  <si>
    <t>9065773282</t>
  </si>
  <si>
    <t>GL2846255324</t>
  </si>
  <si>
    <t>MFLC1001399</t>
  </si>
  <si>
    <t>Dinesh Natarajan</t>
  </si>
  <si>
    <t>7413071091</t>
  </si>
  <si>
    <t>GL8419449070</t>
  </si>
  <si>
    <t>MFLC1001400</t>
  </si>
  <si>
    <t>Kumar Rajan</t>
  </si>
  <si>
    <t>9601827399</t>
  </si>
  <si>
    <t>GL9887994875</t>
  </si>
  <si>
    <t>MFLC1001401</t>
  </si>
  <si>
    <t>Senthil Kannan</t>
  </si>
  <si>
    <t>7813240617</t>
  </si>
  <si>
    <t>GL5849977443</t>
  </si>
  <si>
    <t>MFLC1001402</t>
  </si>
  <si>
    <t>7473155535</t>
  </si>
  <si>
    <t>GL8278303523</t>
  </si>
  <si>
    <t>MFLC1001403</t>
  </si>
  <si>
    <t>8806922482</t>
  </si>
  <si>
    <t>GL8830753804</t>
  </si>
  <si>
    <t>MFLC1001404</t>
  </si>
  <si>
    <t>Sravani Raju</t>
  </si>
  <si>
    <t>7769604337</t>
  </si>
  <si>
    <t>GL0418264394</t>
  </si>
  <si>
    <t>MFLC1001405</t>
  </si>
  <si>
    <t>8468461345</t>
  </si>
  <si>
    <t>GL5575872995</t>
  </si>
  <si>
    <t>MFLC1001406</t>
  </si>
  <si>
    <t>Biju Nair</t>
  </si>
  <si>
    <t>9771156516</t>
  </si>
  <si>
    <t>GL7198136111</t>
  </si>
  <si>
    <t>MFLC1001407</t>
  </si>
  <si>
    <t>Rekha Saxena</t>
  </si>
  <si>
    <t>9496001605</t>
  </si>
  <si>
    <t>Indore - Gandhi Nagar</t>
  </si>
  <si>
    <t>GL9205489693</t>
  </si>
  <si>
    <t>MFLC1001408</t>
  </si>
  <si>
    <t>Anil Varghese</t>
  </si>
  <si>
    <t>9816906728</t>
  </si>
  <si>
    <t>GL0148603393</t>
  </si>
  <si>
    <t>MFLC1001409</t>
  </si>
  <si>
    <t>9197723557</t>
  </si>
  <si>
    <t>GL7981554834</t>
  </si>
  <si>
    <t>MFLC1001410</t>
  </si>
  <si>
    <t>Divya Thomas</t>
  </si>
  <si>
    <t>9472362593</t>
  </si>
  <si>
    <t>Alappuzha - Church Road</t>
  </si>
  <si>
    <t>GL9896841531</t>
  </si>
  <si>
    <t>MFLC1001411</t>
  </si>
  <si>
    <t>7102943150</t>
  </si>
  <si>
    <t>GL0202373710</t>
  </si>
  <si>
    <t>MFLC1001412</t>
  </si>
  <si>
    <t>Vinod Mohammed</t>
  </si>
  <si>
    <t>8753259766</t>
  </si>
  <si>
    <t>GL2484038055</t>
  </si>
  <si>
    <t>MFLC1001413</t>
  </si>
  <si>
    <t>9332920570</t>
  </si>
  <si>
    <t>GL6515114405</t>
  </si>
  <si>
    <t>MFLC1001414</t>
  </si>
  <si>
    <t>Sunita Rathore</t>
  </si>
  <si>
    <t>7416725571</t>
  </si>
  <si>
    <t>GL2736051638</t>
  </si>
  <si>
    <t>MFLC1001415</t>
  </si>
  <si>
    <t>9826788203</t>
  </si>
  <si>
    <t>GL0284310589</t>
  </si>
  <si>
    <t>MFLC1001416</t>
  </si>
  <si>
    <t>7339396657</t>
  </si>
  <si>
    <t>GL3705706161</t>
  </si>
  <si>
    <t>MFLC1001417</t>
  </si>
  <si>
    <t>9059174115</t>
  </si>
  <si>
    <t>GL0974751996</t>
  </si>
  <si>
    <t>MFLC1001418</t>
  </si>
  <si>
    <t>9761463719</t>
  </si>
  <si>
    <t>GL6519309271</t>
  </si>
  <si>
    <t>MFLC1001419</t>
  </si>
  <si>
    <t>Sindhu Philip</t>
  </si>
  <si>
    <t>9500434100</t>
  </si>
  <si>
    <t>GL8851909179</t>
  </si>
  <si>
    <t>MFLC1001420</t>
  </si>
  <si>
    <t>Deepak Jain</t>
  </si>
  <si>
    <t>8158256347</t>
  </si>
  <si>
    <t>GL4672691457</t>
  </si>
  <si>
    <t>MFLC1001421</t>
  </si>
  <si>
    <t>9192615058</t>
  </si>
  <si>
    <t>GL6884967177</t>
  </si>
  <si>
    <t>MFLC1001422</t>
  </si>
  <si>
    <t>7752423551</t>
  </si>
  <si>
    <t>GL0796210076</t>
  </si>
  <si>
    <t>MFLC1001423</t>
  </si>
  <si>
    <t>Deepak Yadav</t>
  </si>
  <si>
    <t>8821006019</t>
  </si>
  <si>
    <t>Bhopal - Bus Stand</t>
  </si>
  <si>
    <t>GL3094623136</t>
  </si>
  <si>
    <t>MFLC1001424</t>
  </si>
  <si>
    <t>Ramesh Murthy</t>
  </si>
  <si>
    <t>8145147774</t>
  </si>
  <si>
    <t>GL5893464296</t>
  </si>
  <si>
    <t>MFLC1001425</t>
  </si>
  <si>
    <t>6830190764</t>
  </si>
  <si>
    <t>GL6033787010</t>
  </si>
  <si>
    <t>MFLC1001426</t>
  </si>
  <si>
    <t>Anita Mishra</t>
  </si>
  <si>
    <t>9340066144</t>
  </si>
  <si>
    <t>GL2301808733</t>
  </si>
  <si>
    <t>MFLC1001427</t>
  </si>
  <si>
    <t>8487913673</t>
  </si>
  <si>
    <t>GL4701657368</t>
  </si>
  <si>
    <t>MFLC1001428</t>
  </si>
  <si>
    <t>7218508726</t>
  </si>
  <si>
    <t>GL7378720821</t>
  </si>
  <si>
    <t>MFLC1001429</t>
  </si>
  <si>
    <t>9756539419</t>
  </si>
  <si>
    <t>GL4722513532</t>
  </si>
  <si>
    <t>MFLC1001430</t>
  </si>
  <si>
    <t>Harish Acharya</t>
  </si>
  <si>
    <t>9629193365</t>
  </si>
  <si>
    <t>GL5414375816</t>
  </si>
  <si>
    <t>MFLC1001431</t>
  </si>
  <si>
    <t>Mahesh Setty</t>
  </si>
  <si>
    <t>9739171826</t>
  </si>
  <si>
    <t>Warangal - Station Road</t>
  </si>
  <si>
    <t>GL0311524743</t>
  </si>
  <si>
    <t>MFLC1001432</t>
  </si>
  <si>
    <t>9156963963</t>
  </si>
  <si>
    <t>GL4740457685</t>
  </si>
  <si>
    <t>MFLC1001433</t>
  </si>
  <si>
    <t>8546708580</t>
  </si>
  <si>
    <t>GL7963863057</t>
  </si>
  <si>
    <t>MFLC1001434</t>
  </si>
  <si>
    <t>7137978634</t>
  </si>
  <si>
    <t>GL2322509969</t>
  </si>
  <si>
    <t>MFLC1001435</t>
  </si>
  <si>
    <t>9223384198</t>
  </si>
  <si>
    <t>GL3269244926</t>
  </si>
  <si>
    <t>MFLC1001436</t>
  </si>
  <si>
    <t>Neha Tiwari</t>
  </si>
  <si>
    <t>9055196259</t>
  </si>
  <si>
    <t>Gurugram - Temple Street</t>
  </si>
  <si>
    <t>GL0688044185</t>
  </si>
  <si>
    <t>MFLC1001437</t>
  </si>
  <si>
    <t>7267577296</t>
  </si>
  <si>
    <t>GL0423629669</t>
  </si>
  <si>
    <t>MFLC1001438</t>
  </si>
  <si>
    <t>8787204209</t>
  </si>
  <si>
    <t>New Delhi - Civil Lines</t>
  </si>
  <si>
    <t>GL5377841446</t>
  </si>
  <si>
    <t>MFLC1001439</t>
  </si>
  <si>
    <t>9533661902</t>
  </si>
  <si>
    <t>GL0469126579</t>
  </si>
  <si>
    <t>MFLC1001440</t>
  </si>
  <si>
    <t>Karthik Murugan</t>
  </si>
  <si>
    <t>7124981777</t>
  </si>
  <si>
    <t>GL9972351456</t>
  </si>
  <si>
    <t>MFLC1001441</t>
  </si>
  <si>
    <t>Latha Hegde</t>
  </si>
  <si>
    <t>8125708737</t>
  </si>
  <si>
    <t>GL0491769912</t>
  </si>
  <si>
    <t>MFLC1001442</t>
  </si>
  <si>
    <t>Vinod Varghese</t>
  </si>
  <si>
    <t>8003441438</t>
  </si>
  <si>
    <t>GL8166387039</t>
  </si>
  <si>
    <t>MFLC1001443</t>
  </si>
  <si>
    <t>Rani Nair</t>
  </si>
  <si>
    <t>9215825619</t>
  </si>
  <si>
    <t>GL6714141564</t>
  </si>
  <si>
    <t>MFLC1001444</t>
  </si>
  <si>
    <t>Saranya Rajan</t>
  </si>
  <si>
    <t>9169275930</t>
  </si>
  <si>
    <t>GL6182699271</t>
  </si>
  <si>
    <t>MFLC1001445</t>
  </si>
  <si>
    <t>Meena Pandey</t>
  </si>
  <si>
    <t>9064749188</t>
  </si>
  <si>
    <t>GL4710716881</t>
  </si>
  <si>
    <t>MFLC1001446</t>
  </si>
  <si>
    <t>Anitha Chandran</t>
  </si>
  <si>
    <t>9152702066</t>
  </si>
  <si>
    <t>GL1530812162</t>
  </si>
  <si>
    <t>MFLC1001447</t>
  </si>
  <si>
    <t>Senthil Subramanian</t>
  </si>
  <si>
    <t>8552047278</t>
  </si>
  <si>
    <t>GL1048124279</t>
  </si>
  <si>
    <t>MFLC1001448</t>
  </si>
  <si>
    <t>9479776935</t>
  </si>
  <si>
    <t>GL2583031202</t>
  </si>
  <si>
    <t>MFLC1001449</t>
  </si>
  <si>
    <t>9169762661</t>
  </si>
  <si>
    <t>GL0408461739</t>
  </si>
  <si>
    <t>MFLC1001450</t>
  </si>
  <si>
    <t>Kiran Bhat</t>
  </si>
  <si>
    <t>9909946330</t>
  </si>
  <si>
    <t>GL0171662442</t>
  </si>
  <si>
    <t>MFLC1001451</t>
  </si>
  <si>
    <t>7579235942</t>
  </si>
  <si>
    <t>GL1654754995</t>
  </si>
  <si>
    <t>MFLC1001452</t>
  </si>
  <si>
    <t>Bhavani Babu</t>
  </si>
  <si>
    <t>9812368391</t>
  </si>
  <si>
    <t>GL7570894797</t>
  </si>
  <si>
    <t>MFLC1001453</t>
  </si>
  <si>
    <t>Lakshmi Raman</t>
  </si>
  <si>
    <t>9994363356</t>
  </si>
  <si>
    <t>GL4385172870</t>
  </si>
  <si>
    <t>MFLC1001454</t>
  </si>
  <si>
    <t>9864798459</t>
  </si>
  <si>
    <t>GL8606270446</t>
  </si>
  <si>
    <t>MFLC1001455</t>
  </si>
  <si>
    <t>9417741755</t>
  </si>
  <si>
    <t>GL1977994827</t>
  </si>
  <si>
    <t>MFLC1001456</t>
  </si>
  <si>
    <t>8468644112</t>
  </si>
  <si>
    <t>GL9748021392</t>
  </si>
  <si>
    <t>MFLC1001457</t>
  </si>
  <si>
    <t>Manjula Hegde</t>
  </si>
  <si>
    <t>9738740145</t>
  </si>
  <si>
    <t>GL4222954405</t>
  </si>
  <si>
    <t>MFLC1001458</t>
  </si>
  <si>
    <t>9388336413</t>
  </si>
  <si>
    <t>Faridabad - Nehru Nagar</t>
  </si>
  <si>
    <t>GL2448404232</t>
  </si>
  <si>
    <t>MFLC1001459</t>
  </si>
  <si>
    <t>Jincy Joseph</t>
  </si>
  <si>
    <t>9849703375</t>
  </si>
  <si>
    <t>GL7885221761</t>
  </si>
  <si>
    <t>MFLC1001460</t>
  </si>
  <si>
    <t>Binu Varghese</t>
  </si>
  <si>
    <t>9946663783</t>
  </si>
  <si>
    <t>GL2497516062</t>
  </si>
  <si>
    <t>MFLC1001461</t>
  </si>
  <si>
    <t>Vijaya Rao</t>
  </si>
  <si>
    <t>8685043302</t>
  </si>
  <si>
    <t>Tirupati - Temple Street</t>
  </si>
  <si>
    <t>GL9160065184</t>
  </si>
  <si>
    <t>MFLC1001462</t>
  </si>
  <si>
    <t>9322692416</t>
  </si>
  <si>
    <t>GL5622506612</t>
  </si>
  <si>
    <t>MFLC1001463</t>
  </si>
  <si>
    <t>9643357540</t>
  </si>
  <si>
    <t>GL9658392700</t>
  </si>
  <si>
    <t>MFLC1001464</t>
  </si>
  <si>
    <t>9121114253</t>
  </si>
  <si>
    <t>GL1489196852</t>
  </si>
  <si>
    <t>MFLC1001465</t>
  </si>
  <si>
    <t>8757948542</t>
  </si>
  <si>
    <t>GL4243118117</t>
  </si>
  <si>
    <t>MFLC1001466</t>
  </si>
  <si>
    <t>Vikas Saxena</t>
  </si>
  <si>
    <t>9237069611</t>
  </si>
  <si>
    <t>GL6825992197</t>
  </si>
  <si>
    <t>MFLC1001467</t>
  </si>
  <si>
    <t>Latha Mathew</t>
  </si>
  <si>
    <t>8078265858</t>
  </si>
  <si>
    <t>GL3274292416</t>
  </si>
  <si>
    <t>MFLC1001468</t>
  </si>
  <si>
    <t>Smitha Kumar</t>
  </si>
  <si>
    <t>9785864694</t>
  </si>
  <si>
    <t>GL5651766829</t>
  </si>
  <si>
    <t>MFLC1001469</t>
  </si>
  <si>
    <t>9252047765</t>
  </si>
  <si>
    <t>Lucknow - Civil Lines</t>
  </si>
  <si>
    <t>GL8155512615</t>
  </si>
  <si>
    <t>MFLC1001470</t>
  </si>
  <si>
    <t>Sindhu Thomas</t>
  </si>
  <si>
    <t>7490266793</t>
  </si>
  <si>
    <t>GL7101815243</t>
  </si>
  <si>
    <t>MFLC1001471</t>
  </si>
  <si>
    <t>9138823711</t>
  </si>
  <si>
    <t>Kota - Bus Stand</t>
  </si>
  <si>
    <t>GL8266836348</t>
  </si>
  <si>
    <t>MFLC1001472</t>
  </si>
  <si>
    <t>9649452830</t>
  </si>
  <si>
    <t>GL3152797626</t>
  </si>
  <si>
    <t>MFLC1001473</t>
  </si>
  <si>
    <t>9767772606</t>
  </si>
  <si>
    <t>GL1451312528</t>
  </si>
  <si>
    <t>MFLC1001474</t>
  </si>
  <si>
    <t>Kavitha Iyer</t>
  </si>
  <si>
    <t>9492190397</t>
  </si>
  <si>
    <t>GL1966172120</t>
  </si>
  <si>
    <t>MFLC1001475</t>
  </si>
  <si>
    <t>8407452826</t>
  </si>
  <si>
    <t>GL8395273170</t>
  </si>
  <si>
    <t>MFLC1001476</t>
  </si>
  <si>
    <t>8600805416</t>
  </si>
  <si>
    <t>GL9219102194</t>
  </si>
  <si>
    <t>MFLC1001477</t>
  </si>
  <si>
    <t>Bindu Nair</t>
  </si>
  <si>
    <t>7622866827</t>
  </si>
  <si>
    <t>GL1242054463</t>
  </si>
  <si>
    <t>MFLC1001478</t>
  </si>
  <si>
    <t>8214851572</t>
  </si>
  <si>
    <t>GL3175116805</t>
  </si>
  <si>
    <t>MFLC1001479</t>
  </si>
  <si>
    <t>Geeta Joshi</t>
  </si>
  <si>
    <t>8689536938</t>
  </si>
  <si>
    <t>GL3531188177</t>
  </si>
  <si>
    <t>MFLC1001480</t>
  </si>
  <si>
    <t>9153396312</t>
  </si>
  <si>
    <t>GL1506657607</t>
  </si>
  <si>
    <t>MFLC1001481</t>
  </si>
  <si>
    <t>8642959446</t>
  </si>
  <si>
    <t>GL0151499820</t>
  </si>
  <si>
    <t>MFLC1001482</t>
  </si>
  <si>
    <t>9186073069</t>
  </si>
  <si>
    <t>GL2957755386</t>
  </si>
  <si>
    <t>MFLC1001483</t>
  </si>
  <si>
    <t>Ajay Pandey</t>
  </si>
  <si>
    <t>9541033570</t>
  </si>
  <si>
    <t>GL6941715238</t>
  </si>
  <si>
    <t>MFLC1001484</t>
  </si>
  <si>
    <t>Anita Verma</t>
  </si>
  <si>
    <t>7988711693</t>
  </si>
  <si>
    <t>GL1884978059</t>
  </si>
  <si>
    <t>MFLC1001485</t>
  </si>
  <si>
    <t>Shibu Panicker</t>
  </si>
  <si>
    <t>7692712211</t>
  </si>
  <si>
    <t>GL3564175260</t>
  </si>
  <si>
    <t>MFLC1001486</t>
  </si>
  <si>
    <t>9697610918</t>
  </si>
  <si>
    <t>GL7194975896</t>
  </si>
  <si>
    <t>MFLC1001487</t>
  </si>
  <si>
    <t>Malathi Sundaram</t>
  </si>
  <si>
    <t>7665634286</t>
  </si>
  <si>
    <t>GL4468264316</t>
  </si>
  <si>
    <t>MFLC1001488</t>
  </si>
  <si>
    <t>9541728004</t>
  </si>
  <si>
    <t>GL1268110709</t>
  </si>
  <si>
    <t>MFLC1001489</t>
  </si>
  <si>
    <t>Vijay Krishnan</t>
  </si>
  <si>
    <t>9769382055</t>
  </si>
  <si>
    <t>GL2641723919</t>
  </si>
  <si>
    <t>MFLC1001490</t>
  </si>
  <si>
    <t>Jincy Mathew</t>
  </si>
  <si>
    <t>9499834875</t>
  </si>
  <si>
    <t>GL3980285725</t>
  </si>
  <si>
    <t>MFLC1001491</t>
  </si>
  <si>
    <t>Rajesh Verma</t>
  </si>
  <si>
    <t>9154297581</t>
  </si>
  <si>
    <t>Jaipur - Temple Street</t>
  </si>
  <si>
    <t>GL6319816623</t>
  </si>
  <si>
    <t>MFLC1001492</t>
  </si>
  <si>
    <t>Kavitha Krishnan</t>
  </si>
  <si>
    <t>8742112172</t>
  </si>
  <si>
    <t>GL0314266220</t>
  </si>
  <si>
    <t>MFLC1001493</t>
  </si>
  <si>
    <t>Sajeev Ibrahim</t>
  </si>
  <si>
    <t>8392550038</t>
  </si>
  <si>
    <t>GL0360675571</t>
  </si>
  <si>
    <t>MFLC1001494</t>
  </si>
  <si>
    <t>Vikas Kumar</t>
  </si>
  <si>
    <t>8926791692</t>
  </si>
  <si>
    <t>GL0175387748</t>
  </si>
  <si>
    <t>MFLC1001495</t>
  </si>
  <si>
    <t>Selvi Rajan</t>
  </si>
  <si>
    <t>9083295793</t>
  </si>
  <si>
    <t>GL4612728001</t>
  </si>
  <si>
    <t>MFLC1001496</t>
  </si>
  <si>
    <t>Prakash Shetty</t>
  </si>
  <si>
    <t>9398329586</t>
  </si>
  <si>
    <t>GL9831035376</t>
  </si>
  <si>
    <t>MFLC1001497</t>
  </si>
  <si>
    <t>Remya Kurup</t>
  </si>
  <si>
    <t>8862374448</t>
  </si>
  <si>
    <t>GL9533521472</t>
  </si>
  <si>
    <t>MFLC1001498</t>
  </si>
  <si>
    <t>9114461426</t>
  </si>
  <si>
    <t>GL0339964507</t>
  </si>
  <si>
    <t>MFLC1001499</t>
  </si>
  <si>
    <t>Rohit Yadav</t>
  </si>
  <si>
    <t>7427976885</t>
  </si>
  <si>
    <t>Dwarka - MG Road</t>
  </si>
  <si>
    <t>GL6143812081</t>
  </si>
  <si>
    <t>MFLC1001500</t>
  </si>
  <si>
    <t>Latha Thomas</t>
  </si>
  <si>
    <t>7184303948</t>
  </si>
  <si>
    <t>GL1608180106</t>
  </si>
  <si>
    <t>MFLC1001501</t>
  </si>
  <si>
    <t>9247512675</t>
  </si>
  <si>
    <t>GL7838761420</t>
  </si>
  <si>
    <t>MFLC1001502</t>
  </si>
  <si>
    <t>6654658421</t>
  </si>
  <si>
    <t>GL9222477448</t>
  </si>
  <si>
    <t>MFLC1001503</t>
  </si>
  <si>
    <t>8126145639</t>
  </si>
  <si>
    <t>Rohini - Station Road</t>
  </si>
  <si>
    <t>GL8302020907</t>
  </si>
  <si>
    <t>MFLC1001504</t>
  </si>
  <si>
    <t>Saravanan Annamalai</t>
  </si>
  <si>
    <t>7953409724</t>
  </si>
  <si>
    <t>GL0630283314</t>
  </si>
  <si>
    <t>MFLC1001505</t>
  </si>
  <si>
    <t>8653718245</t>
  </si>
  <si>
    <t>GL9222947153</t>
  </si>
  <si>
    <t>MFLC1001506</t>
  </si>
  <si>
    <t>Jose Mohammed</t>
  </si>
  <si>
    <t>9426494662</t>
  </si>
  <si>
    <t>GL9213052405</t>
  </si>
  <si>
    <t>MFLC1001507</t>
  </si>
  <si>
    <t>Sravani Prasad</t>
  </si>
  <si>
    <t>8590068297</t>
  </si>
  <si>
    <t>GL4882684394</t>
  </si>
  <si>
    <t>MFLC1001508</t>
  </si>
  <si>
    <t>Mathew Menon</t>
  </si>
  <si>
    <t>7026229622</t>
  </si>
  <si>
    <t>GL7194153278</t>
  </si>
  <si>
    <t>MFLC1001509</t>
  </si>
  <si>
    <t>6770068527</t>
  </si>
  <si>
    <t>GL0635695388</t>
  </si>
  <si>
    <t>MFLC1001510</t>
  </si>
  <si>
    <t>Sreeja Ibrahim</t>
  </si>
  <si>
    <t>7043192186</t>
  </si>
  <si>
    <t>GL2418611280</t>
  </si>
  <si>
    <t>MFLC1001511</t>
  </si>
  <si>
    <t>9994274111</t>
  </si>
  <si>
    <t>GL5167418808</t>
  </si>
  <si>
    <t>MFLC1001512</t>
  </si>
  <si>
    <t>Sanjay Jain</t>
  </si>
  <si>
    <t>7911706404</t>
  </si>
  <si>
    <t>GL7991130591</t>
  </si>
  <si>
    <t>MFLC1001513</t>
  </si>
  <si>
    <t>9709454959</t>
  </si>
  <si>
    <t>GL7555105641</t>
  </si>
  <si>
    <t>MFLC1001514</t>
  </si>
  <si>
    <t>9666806998</t>
  </si>
  <si>
    <t>Kozhikode - Church Road</t>
  </si>
  <si>
    <t>GL1557039815</t>
  </si>
  <si>
    <t>MFLC1001515</t>
  </si>
  <si>
    <t>9062259563</t>
  </si>
  <si>
    <t>GL1450745244</t>
  </si>
  <si>
    <t>MFLC1001516</t>
  </si>
  <si>
    <t>8953501764</t>
  </si>
  <si>
    <t>GL2859546028</t>
  </si>
  <si>
    <t>MFLC1001517</t>
  </si>
  <si>
    <t>9908439011</t>
  </si>
  <si>
    <t>GL5238012949</t>
  </si>
  <si>
    <t>MFLC1001518</t>
  </si>
  <si>
    <t>8113420473</t>
  </si>
  <si>
    <t>GL7873813334</t>
  </si>
  <si>
    <t>MFLC1001519</t>
  </si>
  <si>
    <t>Vikas Mishra</t>
  </si>
  <si>
    <t>8524042302</t>
  </si>
  <si>
    <t>GL5044531266</t>
  </si>
  <si>
    <t>MFLC1001520</t>
  </si>
  <si>
    <t>7344822348</t>
  </si>
  <si>
    <t>GL0866363069</t>
  </si>
  <si>
    <t>MFLC1001521</t>
  </si>
  <si>
    <t>7235844315</t>
  </si>
  <si>
    <t>GL5357978918</t>
  </si>
  <si>
    <t>MFLC1001522</t>
  </si>
  <si>
    <t>9812854237</t>
  </si>
  <si>
    <t>GL0799978067</t>
  </si>
  <si>
    <t>MFLC1001523</t>
  </si>
  <si>
    <t>Sunita Mishra</t>
  </si>
  <si>
    <t>8711735852</t>
  </si>
  <si>
    <t>GL9239641856</t>
  </si>
  <si>
    <t>MFLC1001524</t>
  </si>
  <si>
    <t>9925052730</t>
  </si>
  <si>
    <t>GL7108237847</t>
  </si>
  <si>
    <t>MFLC1001525</t>
  </si>
  <si>
    <t>9718122887</t>
  </si>
  <si>
    <t>GL9581221000</t>
  </si>
  <si>
    <t>MFLC1001526</t>
  </si>
  <si>
    <t>7268642114</t>
  </si>
  <si>
    <t>GL5573746349</t>
  </si>
  <si>
    <t>MFLC1001527</t>
  </si>
  <si>
    <t>7239192794</t>
  </si>
  <si>
    <t>GL8842957607</t>
  </si>
  <si>
    <t>MFLC1001528</t>
  </si>
  <si>
    <t>Shibu Mohammed</t>
  </si>
  <si>
    <t>9786608113</t>
  </si>
  <si>
    <t>GL5039968289</t>
  </si>
  <si>
    <t>MFLC1001529</t>
  </si>
  <si>
    <t>Sunil Saxena</t>
  </si>
  <si>
    <t>7698281536</t>
  </si>
  <si>
    <t>GL5459572092</t>
  </si>
  <si>
    <t>MFLC1001530</t>
  </si>
  <si>
    <t>Fathima Mathew</t>
  </si>
  <si>
    <t>8945359014</t>
  </si>
  <si>
    <t>GL9717647485</t>
  </si>
  <si>
    <t>MFLC1001531</t>
  </si>
  <si>
    <t>Anjaneyulu Rao</t>
  </si>
  <si>
    <t>8147204069</t>
  </si>
  <si>
    <t>GL9843799690</t>
  </si>
  <si>
    <t>MFLC1001532</t>
  </si>
  <si>
    <t>Bindu Philip</t>
  </si>
  <si>
    <t>8300590343</t>
  </si>
  <si>
    <t>GL5122124317</t>
  </si>
  <si>
    <t>MFLC1001533</t>
  </si>
  <si>
    <t>9654181088</t>
  </si>
  <si>
    <t>GL3886091319</t>
  </si>
  <si>
    <t>MFLC1001534</t>
  </si>
  <si>
    <t>8450799566</t>
  </si>
  <si>
    <t>GL3042179461</t>
  </si>
  <si>
    <t>MFLC1001535</t>
  </si>
  <si>
    <t>8152824433</t>
  </si>
  <si>
    <t>GL8184364496</t>
  </si>
  <si>
    <t>MFLC1001536</t>
  </si>
  <si>
    <t>8297599255</t>
  </si>
  <si>
    <t>GL4826796394</t>
  </si>
  <si>
    <t>MFLC1001537</t>
  </si>
  <si>
    <t>9358473737</t>
  </si>
  <si>
    <t>GL1192003506</t>
  </si>
  <si>
    <t>MFLC1001538</t>
  </si>
  <si>
    <t>9985181429</t>
  </si>
  <si>
    <t>GL7325909985</t>
  </si>
  <si>
    <t>MFLC1001539</t>
  </si>
  <si>
    <t>8336733558</t>
  </si>
  <si>
    <t>GL9628303841</t>
  </si>
  <si>
    <t>MFLC1001540</t>
  </si>
  <si>
    <t>Murugan Raman</t>
  </si>
  <si>
    <t>8610128120</t>
  </si>
  <si>
    <t>GL3469489548</t>
  </si>
  <si>
    <t>MFLC1001541</t>
  </si>
  <si>
    <t>Lakshmi Shetty</t>
  </si>
  <si>
    <t>8895036837</t>
  </si>
  <si>
    <t>GL2250653978</t>
  </si>
  <si>
    <t>MFLC1001542</t>
  </si>
  <si>
    <t>Mani Pandian</t>
  </si>
  <si>
    <t>9945663775</t>
  </si>
  <si>
    <t>GL3310436588</t>
  </si>
  <si>
    <t>MFLC1001543</t>
  </si>
  <si>
    <t>8334176056</t>
  </si>
  <si>
    <t>GL6750826296</t>
  </si>
  <si>
    <t>MFLC1001544</t>
  </si>
  <si>
    <t>Senthil Natarajan</t>
  </si>
  <si>
    <t>7322458457</t>
  </si>
  <si>
    <t>GL4430330560</t>
  </si>
  <si>
    <t>MFLC1001545</t>
  </si>
  <si>
    <t>6843566743</t>
  </si>
  <si>
    <t>GL6408928608</t>
  </si>
  <si>
    <t>MFLC1001546</t>
  </si>
  <si>
    <t>8624075755</t>
  </si>
  <si>
    <t>Guntur - Bus Stand</t>
  </si>
  <si>
    <t>GL1490681163</t>
  </si>
  <si>
    <t>MFLC1001547</t>
  </si>
  <si>
    <t>Rekha Yadav</t>
  </si>
  <si>
    <t>7254050092</t>
  </si>
  <si>
    <t>GL9566792090</t>
  </si>
  <si>
    <t>MFLC1001548</t>
  </si>
  <si>
    <t>Anita Singh</t>
  </si>
  <si>
    <t>9842409712</t>
  </si>
  <si>
    <t>GL9587416274</t>
  </si>
  <si>
    <t>MFLC1001549</t>
  </si>
  <si>
    <t>7206662751</t>
  </si>
  <si>
    <t>GL7624054682</t>
  </si>
  <si>
    <t>MFLC1001550</t>
  </si>
  <si>
    <t>Senthil Krishnan</t>
  </si>
  <si>
    <t>9269955283</t>
  </si>
  <si>
    <t>GL9589820228</t>
  </si>
  <si>
    <t>MFLC1001551</t>
  </si>
  <si>
    <t>Biju Pillai</t>
  </si>
  <si>
    <t>7639492505</t>
  </si>
  <si>
    <t>GL2793109805</t>
  </si>
  <si>
    <t>MFLC1001552</t>
  </si>
  <si>
    <t>Sreejith Mohammed</t>
  </si>
  <si>
    <t>8896724563</t>
  </si>
  <si>
    <t>GL3804278016</t>
  </si>
  <si>
    <t>MFLC1001553</t>
  </si>
  <si>
    <t>Ramesh Raju</t>
  </si>
  <si>
    <t>9566322862</t>
  </si>
  <si>
    <t>Tirupati - Church Road</t>
  </si>
  <si>
    <t>GL5357287640</t>
  </si>
  <si>
    <t>MFLC1001554</t>
  </si>
  <si>
    <t>Sirisha Raju</t>
  </si>
  <si>
    <t>8849275257</t>
  </si>
  <si>
    <t>GL9381830149</t>
  </si>
  <si>
    <t>MFLC1001555</t>
  </si>
  <si>
    <t>Ajay Gupta</t>
  </si>
  <si>
    <t>7381748060</t>
  </si>
  <si>
    <t>GL0556355840</t>
  </si>
  <si>
    <t>MFLC1001556</t>
  </si>
  <si>
    <t>Suresh Mohammed</t>
  </si>
  <si>
    <t>8781863927</t>
  </si>
  <si>
    <t>GL7628075746</t>
  </si>
  <si>
    <t>MFLC1001557</t>
  </si>
  <si>
    <t>Sanjay Yadav</t>
  </si>
  <si>
    <t>8668887551</t>
  </si>
  <si>
    <t>GL4406361113</t>
  </si>
  <si>
    <t>MFLC1001558</t>
  </si>
  <si>
    <t>Geetha Patil</t>
  </si>
  <si>
    <t>7044355408</t>
  </si>
  <si>
    <t>GL2572413598</t>
  </si>
  <si>
    <t>MFLC1001559</t>
  </si>
  <si>
    <t>7957815289</t>
  </si>
  <si>
    <t>GL3892376622</t>
  </si>
  <si>
    <t>MFLC1001560</t>
  </si>
  <si>
    <t>Pooja Verma</t>
  </si>
  <si>
    <t>8533944976</t>
  </si>
  <si>
    <t>GL9043288887</t>
  </si>
  <si>
    <t>MFLC1001561</t>
  </si>
  <si>
    <t>Murugan Pandian</t>
  </si>
  <si>
    <t>8567521413</t>
  </si>
  <si>
    <t>GL5429255075</t>
  </si>
  <si>
    <t>MFLC1001562</t>
  </si>
  <si>
    <t>8868932357</t>
  </si>
  <si>
    <t>GL6415529848</t>
  </si>
  <si>
    <t>MFLC1001563</t>
  </si>
  <si>
    <t>7107153007</t>
  </si>
  <si>
    <t>GL4699233631</t>
  </si>
  <si>
    <t>MFLC1001564</t>
  </si>
  <si>
    <t>9192296830</t>
  </si>
  <si>
    <t>GL7358081303</t>
  </si>
  <si>
    <t>MFLC1001565</t>
  </si>
  <si>
    <t>Bhaskar Reddy</t>
  </si>
  <si>
    <t>8649155851</t>
  </si>
  <si>
    <t>Nellore - MG Road</t>
  </si>
  <si>
    <t>GL3849495054</t>
  </si>
  <si>
    <t>MFLC1001566</t>
  </si>
  <si>
    <t>8388558660</t>
  </si>
  <si>
    <t>GL4925155056</t>
  </si>
  <si>
    <t>MFLC1001567</t>
  </si>
  <si>
    <t>6627181251</t>
  </si>
  <si>
    <t>GL9519636808</t>
  </si>
  <si>
    <t>MFLC1001568</t>
  </si>
  <si>
    <t>9030113144</t>
  </si>
  <si>
    <t>GL7297880061</t>
  </si>
  <si>
    <t>MFLC1001569</t>
  </si>
  <si>
    <t>9208926900</t>
  </si>
  <si>
    <t>GL7211209598</t>
  </si>
  <si>
    <t>MFLC1001570</t>
  </si>
  <si>
    <t>Faisal Ibrahim</t>
  </si>
  <si>
    <t>9371013356</t>
  </si>
  <si>
    <t>GL0591811678</t>
  </si>
  <si>
    <t>MFLC1001571</t>
  </si>
  <si>
    <t>8166069937</t>
  </si>
  <si>
    <t>GL1472481558</t>
  </si>
  <si>
    <t>MFLC1001572</t>
  </si>
  <si>
    <t>7162780606</t>
  </si>
  <si>
    <t>GL5847400478</t>
  </si>
  <si>
    <t>MFLC1001573</t>
  </si>
  <si>
    <t>9875456642</t>
  </si>
  <si>
    <t>GL6768239746</t>
  </si>
  <si>
    <t>MFLC1001574</t>
  </si>
  <si>
    <t>Manoj Verma</t>
  </si>
  <si>
    <t>9728407956</t>
  </si>
  <si>
    <t>GL7052076038</t>
  </si>
  <si>
    <t>MFLC1001575</t>
  </si>
  <si>
    <t>9089316752</t>
  </si>
  <si>
    <t>GL3583628077</t>
  </si>
  <si>
    <t>MFLC1001576</t>
  </si>
  <si>
    <t>Srikanth Babu</t>
  </si>
  <si>
    <t>9098020706</t>
  </si>
  <si>
    <t>GL4938718077</t>
  </si>
  <si>
    <t>MFLC1001577</t>
  </si>
  <si>
    <t>Manjula Murthy</t>
  </si>
  <si>
    <t>8881823328</t>
  </si>
  <si>
    <t>GL8212794239</t>
  </si>
  <si>
    <t>MFLC1001578</t>
  </si>
  <si>
    <t>Fathima George</t>
  </si>
  <si>
    <t>7508049387</t>
  </si>
  <si>
    <t>Kottayam - Civil Lines</t>
  </si>
  <si>
    <t>GL9873820977</t>
  </si>
  <si>
    <t>MFLC1001579</t>
  </si>
  <si>
    <t>8612212466</t>
  </si>
  <si>
    <t>Kota - MG Road</t>
  </si>
  <si>
    <t>GL6527084646</t>
  </si>
  <si>
    <t>MFLC1001580</t>
  </si>
  <si>
    <t>8631357497</t>
  </si>
  <si>
    <t>GL9843975105</t>
  </si>
  <si>
    <t>MFLC1001581</t>
  </si>
  <si>
    <t>8410062089</t>
  </si>
  <si>
    <t>GL9651441344</t>
  </si>
  <si>
    <t>MFLC1001582</t>
  </si>
  <si>
    <t>9197774878</t>
  </si>
  <si>
    <t>GL9142388209</t>
  </si>
  <si>
    <t>MFLC1001583</t>
  </si>
  <si>
    <t>Ritu Pandey</t>
  </si>
  <si>
    <t>9463763028</t>
  </si>
  <si>
    <t>GL9396782140</t>
  </si>
  <si>
    <t>MFLC1001584</t>
  </si>
  <si>
    <t>Anjaneyulu Varma</t>
  </si>
  <si>
    <t>6225864790</t>
  </si>
  <si>
    <t>GL2934913808</t>
  </si>
  <si>
    <t>MFLC1001585</t>
  </si>
  <si>
    <t>Anoop Varghese</t>
  </si>
  <si>
    <t>9829019218</t>
  </si>
  <si>
    <t>GL7516914623</t>
  </si>
  <si>
    <t>MFLC1001586</t>
  </si>
  <si>
    <t>Amit Joshi</t>
  </si>
  <si>
    <t>9085067432</t>
  </si>
  <si>
    <t>GL2772800128</t>
  </si>
  <si>
    <t>MFLC1001587</t>
  </si>
  <si>
    <t>9704003781</t>
  </si>
  <si>
    <t>GL3542186458</t>
  </si>
  <si>
    <t>MFLC1001588</t>
  </si>
  <si>
    <t>Rajesh Rathore</t>
  </si>
  <si>
    <t>9606131913</t>
  </si>
  <si>
    <t>GL1984504232</t>
  </si>
  <si>
    <t>MFLC1001589</t>
  </si>
  <si>
    <t>8509981065</t>
  </si>
  <si>
    <t>GL1877166223</t>
  </si>
  <si>
    <t>MFLC1001590</t>
  </si>
  <si>
    <t>Meena Natarajan</t>
  </si>
  <si>
    <t>6003475362</t>
  </si>
  <si>
    <t>GL2922260672</t>
  </si>
  <si>
    <t>MFLC1001591</t>
  </si>
  <si>
    <t>Manjula Kulkarni</t>
  </si>
  <si>
    <t>9405795363</t>
  </si>
  <si>
    <t>GL5831297960</t>
  </si>
  <si>
    <t>MFLC1001592</t>
  </si>
  <si>
    <t>9645082402</t>
  </si>
  <si>
    <t>GL3611544357</t>
  </si>
  <si>
    <t>MFLC1001593</t>
  </si>
  <si>
    <t>Mani Murugan</t>
  </si>
  <si>
    <t>8018830221</t>
  </si>
  <si>
    <t>GL0973687302</t>
  </si>
  <si>
    <t>MFLC1001594</t>
  </si>
  <si>
    <t>7902490034</t>
  </si>
  <si>
    <t>Belagavi - MG Road</t>
  </si>
  <si>
    <t>GL2803826447</t>
  </si>
  <si>
    <t>MFLC1001595</t>
  </si>
  <si>
    <t>7981578168</t>
  </si>
  <si>
    <t>GL9573552240</t>
  </si>
  <si>
    <t>MFLC1001596</t>
  </si>
  <si>
    <t>Priya Selvam</t>
  </si>
  <si>
    <t>8118972311</t>
  </si>
  <si>
    <t>GL5790771507</t>
  </si>
  <si>
    <t>MFLC1001597</t>
  </si>
  <si>
    <t>7532816082</t>
  </si>
  <si>
    <t>GL6472802768</t>
  </si>
  <si>
    <t>MFLC1001598</t>
  </si>
  <si>
    <t>9265676552</t>
  </si>
  <si>
    <t>GL9692139635</t>
  </si>
  <si>
    <t>MFLC1001599</t>
  </si>
  <si>
    <t>Swathi Varma</t>
  </si>
  <si>
    <t>9822274808</t>
  </si>
  <si>
    <t>GL3029084655</t>
  </si>
  <si>
    <t>MFLC1001600</t>
  </si>
  <si>
    <t>8321641402</t>
  </si>
  <si>
    <t>GL7582679207</t>
  </si>
  <si>
    <t>MFLC1001601</t>
  </si>
  <si>
    <t>Kiran Rao</t>
  </si>
  <si>
    <t>9753672765</t>
  </si>
  <si>
    <t>GL7173733552</t>
  </si>
  <si>
    <t>MFLC1001602</t>
  </si>
  <si>
    <t>9415780198</t>
  </si>
  <si>
    <t>GL6763787260</t>
  </si>
  <si>
    <t>MFLC1001603</t>
  </si>
  <si>
    <t>Ganesh Annamalai</t>
  </si>
  <si>
    <t>7504094297</t>
  </si>
  <si>
    <t>GL6509152874</t>
  </si>
  <si>
    <t>MFLC1001604</t>
  </si>
  <si>
    <t>Shivakumar Shankar</t>
  </si>
  <si>
    <t>7484765501</t>
  </si>
  <si>
    <t>GL5810496299</t>
  </si>
  <si>
    <t>MFLC1001605</t>
  </si>
  <si>
    <t>9080033974</t>
  </si>
  <si>
    <t>Shivamogga - Nehru Nagar</t>
  </si>
  <si>
    <t>GL4038171179</t>
  </si>
  <si>
    <t>MFLC1001606</t>
  </si>
  <si>
    <t>Manoj George</t>
  </si>
  <si>
    <t>8596403462</t>
  </si>
  <si>
    <t>GL9054168775</t>
  </si>
  <si>
    <t>MFLC1001607</t>
  </si>
  <si>
    <t>6728588232</t>
  </si>
  <si>
    <t>GL9258608486</t>
  </si>
  <si>
    <t>MFLC1001608</t>
  </si>
  <si>
    <t>Latha Gowda</t>
  </si>
  <si>
    <t>9559579572</t>
  </si>
  <si>
    <t>GL1736907076</t>
  </si>
  <si>
    <t>MFLC1001609</t>
  </si>
  <si>
    <t>7380889657</t>
  </si>
  <si>
    <t>Jaipur - Station Road</t>
  </si>
  <si>
    <t>GL1336513481</t>
  </si>
  <si>
    <t>MFLC1001610</t>
  </si>
  <si>
    <t>7543743941</t>
  </si>
  <si>
    <t>Tiruchirappalli - Nehru Nagar</t>
  </si>
  <si>
    <t>GL2707824966</t>
  </si>
  <si>
    <t>MFLC1001611</t>
  </si>
  <si>
    <t>Jyothi Varma</t>
  </si>
  <si>
    <t>7880319972</t>
  </si>
  <si>
    <t>GL3737972116</t>
  </si>
  <si>
    <t>MFLC1001612</t>
  </si>
  <si>
    <t>9797204326</t>
  </si>
  <si>
    <t>GL4942083219</t>
  </si>
  <si>
    <t>MFLC1001613</t>
  </si>
  <si>
    <t>Devi Annamalai</t>
  </si>
  <si>
    <t>7289284063</t>
  </si>
  <si>
    <t>GL0460870030</t>
  </si>
  <si>
    <t>MFLC1001614</t>
  </si>
  <si>
    <t>7782995070</t>
  </si>
  <si>
    <t>GL7781935249</t>
  </si>
  <si>
    <t>MFLC1001615</t>
  </si>
  <si>
    <t>7913498577</t>
  </si>
  <si>
    <t>GL0121160127</t>
  </si>
  <si>
    <t>MFLC1001616</t>
  </si>
  <si>
    <t>9563036324</t>
  </si>
  <si>
    <t>GL9689418136</t>
  </si>
  <si>
    <t>MFLC1001617</t>
  </si>
  <si>
    <t>Srikanth Kumar</t>
  </si>
  <si>
    <t>8778863935</t>
  </si>
  <si>
    <t>GL7310676533</t>
  </si>
  <si>
    <t>MFLC1001618</t>
  </si>
  <si>
    <t>9476330384</t>
  </si>
  <si>
    <t>GL9001998079</t>
  </si>
  <si>
    <t>MFLC1001619</t>
  </si>
  <si>
    <t>9717419372</t>
  </si>
  <si>
    <t>GL9202810640</t>
  </si>
  <si>
    <t>MFLC1001620</t>
  </si>
  <si>
    <t>9669843969</t>
  </si>
  <si>
    <t>GL5224708332</t>
  </si>
  <si>
    <t>MFLC1001621</t>
  </si>
  <si>
    <t>8787815728</t>
  </si>
  <si>
    <t>GL0456879563</t>
  </si>
  <si>
    <t>MFLC1001622</t>
  </si>
  <si>
    <t>Asha Reddy</t>
  </si>
  <si>
    <t>9185441082</t>
  </si>
  <si>
    <t>GL2793132437</t>
  </si>
  <si>
    <t>MFLC1001623</t>
  </si>
  <si>
    <t>9742511750</t>
  </si>
  <si>
    <t>GL6078695612</t>
  </si>
  <si>
    <t>MFLC1001624</t>
  </si>
  <si>
    <t>9625059353</t>
  </si>
  <si>
    <t>GL0110340336</t>
  </si>
  <si>
    <t>MFLC1001625</t>
  </si>
  <si>
    <t>Binu Mathew</t>
  </si>
  <si>
    <t>9923005017</t>
  </si>
  <si>
    <t>GL3080385139</t>
  </si>
  <si>
    <t>MFLC1001626</t>
  </si>
  <si>
    <t>Manjunath Kulkarni</t>
  </si>
  <si>
    <t>8147958225</t>
  </si>
  <si>
    <t>GL9574108694</t>
  </si>
  <si>
    <t>MFLC1001627</t>
  </si>
  <si>
    <t>9401896236</t>
  </si>
  <si>
    <t>GL1152866814</t>
  </si>
  <si>
    <t>MFLC1001628</t>
  </si>
  <si>
    <t>Radha Murthy</t>
  </si>
  <si>
    <t>9267020054</t>
  </si>
  <si>
    <t>GL4872078192</t>
  </si>
  <si>
    <t>MFLC1001629</t>
  </si>
  <si>
    <t>Sunil Rathore</t>
  </si>
  <si>
    <t>9052907665</t>
  </si>
  <si>
    <t>GL6665574262</t>
  </si>
  <si>
    <t>MFLC1001630</t>
  </si>
  <si>
    <t>6226103355</t>
  </si>
  <si>
    <t>GL8672892101</t>
  </si>
  <si>
    <t>MFLC1001631</t>
  </si>
  <si>
    <t>Jincy Warrier</t>
  </si>
  <si>
    <t>9746400594</t>
  </si>
  <si>
    <t>GL6130350376</t>
  </si>
  <si>
    <t>MFLC1001632</t>
  </si>
  <si>
    <t>9299267621</t>
  </si>
  <si>
    <t>GL8725215494</t>
  </si>
  <si>
    <t>MFLC1001633</t>
  </si>
  <si>
    <t>7517005391</t>
  </si>
  <si>
    <t>GL7224832875</t>
  </si>
  <si>
    <t>MFLC1001634</t>
  </si>
  <si>
    <t>Ramesh Murugan</t>
  </si>
  <si>
    <t>9504791749</t>
  </si>
  <si>
    <t>GL0313798394</t>
  </si>
  <si>
    <t>MFLC1001635</t>
  </si>
  <si>
    <t>8648506612</t>
  </si>
  <si>
    <t>GL7172362483</t>
  </si>
  <si>
    <t>MFLC1001636</t>
  </si>
  <si>
    <t>Vijaya Goud</t>
  </si>
  <si>
    <t>8273442751</t>
  </si>
  <si>
    <t>GL9524086536</t>
  </si>
  <si>
    <t>MFLC1001637</t>
  </si>
  <si>
    <t>8992426092</t>
  </si>
  <si>
    <t>GL9899244848</t>
  </si>
  <si>
    <t>MFLC1001638</t>
  </si>
  <si>
    <t>8060986917</t>
  </si>
  <si>
    <t>GL2911802476</t>
  </si>
  <si>
    <t>MFLC1001639</t>
  </si>
  <si>
    <t>Ajith George</t>
  </si>
  <si>
    <t>8651070505</t>
  </si>
  <si>
    <t>GL4696251212</t>
  </si>
  <si>
    <t>MFLC1001640</t>
  </si>
  <si>
    <t>Harish Murthy</t>
  </si>
  <si>
    <t>9735472187</t>
  </si>
  <si>
    <t>GL2442046048</t>
  </si>
  <si>
    <t>MFLC1001641</t>
  </si>
  <si>
    <t>Suresh Naik</t>
  </si>
  <si>
    <t>9532809839</t>
  </si>
  <si>
    <t>GL3989788080</t>
  </si>
  <si>
    <t>MFLC1001642</t>
  </si>
  <si>
    <t>Seema Yadav</t>
  </si>
  <si>
    <t>9782573956</t>
  </si>
  <si>
    <t>GL4299194921</t>
  </si>
  <si>
    <t>MFLC1001643</t>
  </si>
  <si>
    <t>Saranya Subramanian</t>
  </si>
  <si>
    <t>9526744676</t>
  </si>
  <si>
    <t>GL3526903754</t>
  </si>
  <si>
    <t>MFLC1001644</t>
  </si>
  <si>
    <t>Divya Joseph</t>
  </si>
  <si>
    <t>9063386538</t>
  </si>
  <si>
    <t>Kollam - Station Road</t>
  </si>
  <si>
    <t>GL9433595678</t>
  </si>
  <si>
    <t>MFLC1001645</t>
  </si>
  <si>
    <t>Vasanthi Annamalai</t>
  </si>
  <si>
    <t>9333937552</t>
  </si>
  <si>
    <t>GL5625030263</t>
  </si>
  <si>
    <t>MFLC1001646</t>
  </si>
  <si>
    <t>Manoj Nair</t>
  </si>
  <si>
    <t>9867077900</t>
  </si>
  <si>
    <t>GL7526158646</t>
  </si>
  <si>
    <t>MFLC1001647</t>
  </si>
  <si>
    <t>8052850830</t>
  </si>
  <si>
    <t>New Delhi - Nehru Nagar</t>
  </si>
  <si>
    <t>GL2856025282</t>
  </si>
  <si>
    <t>MFLC1001648</t>
  </si>
  <si>
    <t>9688938472</t>
  </si>
  <si>
    <t>Chennai - Nehru Nagar</t>
  </si>
  <si>
    <t>GL7946961657</t>
  </si>
  <si>
    <t>MFLC1001649</t>
  </si>
  <si>
    <t>Binu Nair</t>
  </si>
  <si>
    <t>9520764301</t>
  </si>
  <si>
    <t>GL3618191473</t>
  </si>
  <si>
    <t>MFLC1001650</t>
  </si>
  <si>
    <t>Vinod Panicker</t>
  </si>
  <si>
    <t>8554174305</t>
  </si>
  <si>
    <t>GL7995245564</t>
  </si>
  <si>
    <t>MFLC1001651</t>
  </si>
  <si>
    <t>8934679182</t>
  </si>
  <si>
    <t>GL7119464126</t>
  </si>
  <si>
    <t>MFLC1001652</t>
  </si>
  <si>
    <t>8313535657</t>
  </si>
  <si>
    <t>GL2033637055</t>
  </si>
  <si>
    <t>MFLC1001653</t>
  </si>
  <si>
    <t>8219810085</t>
  </si>
  <si>
    <t>GL9341424257</t>
  </si>
  <si>
    <t>MFLC1001654</t>
  </si>
  <si>
    <t>8455781002</t>
  </si>
  <si>
    <t>GL0528313246</t>
  </si>
  <si>
    <t>MFLC1001655</t>
  </si>
  <si>
    <t>9052020010</t>
  </si>
  <si>
    <t>GL5389163084</t>
  </si>
  <si>
    <t>MFLC1001656</t>
  </si>
  <si>
    <t>9574080265</t>
  </si>
  <si>
    <t>GL8949150643</t>
  </si>
  <si>
    <t>MFLC1001657</t>
  </si>
  <si>
    <t>8044123485</t>
  </si>
  <si>
    <t>GL2782180103</t>
  </si>
  <si>
    <t>MFLC1001658</t>
  </si>
  <si>
    <t>Geeta Pandey</t>
  </si>
  <si>
    <t>8224102469</t>
  </si>
  <si>
    <t>GL2916998387</t>
  </si>
  <si>
    <t>MFLC1001659</t>
  </si>
  <si>
    <t>8279388516</t>
  </si>
  <si>
    <t>GL7773070879</t>
  </si>
  <si>
    <t>MFLC1001660</t>
  </si>
  <si>
    <t>8293090586</t>
  </si>
  <si>
    <t>GL9451048136</t>
  </si>
  <si>
    <t>MFLC1001661</t>
  </si>
  <si>
    <t>Arun Annamalai</t>
  </si>
  <si>
    <t>8926546061</t>
  </si>
  <si>
    <t>GL7915375899</t>
  </si>
  <si>
    <t>MFLC1001662</t>
  </si>
  <si>
    <t>8421690714</t>
  </si>
  <si>
    <t>GL1237749174</t>
  </si>
  <si>
    <t>MFLC1001663</t>
  </si>
  <si>
    <t>8957688473</t>
  </si>
  <si>
    <t>GL9518100264</t>
  </si>
  <si>
    <t>MFLC1001664</t>
  </si>
  <si>
    <t>Karthik Subramanian</t>
  </si>
  <si>
    <t>9808055935</t>
  </si>
  <si>
    <t>GL8482852188</t>
  </si>
  <si>
    <t>MFLC1001665</t>
  </si>
  <si>
    <t>Sumithra Murthy</t>
  </si>
  <si>
    <t>9481529772</t>
  </si>
  <si>
    <t>GL1265081560</t>
  </si>
  <si>
    <t>MFLC1001666</t>
  </si>
  <si>
    <t>9928995814</t>
  </si>
  <si>
    <t>GL4064515756</t>
  </si>
  <si>
    <t>MFLC1001667</t>
  </si>
  <si>
    <t>Padma Sastry</t>
  </si>
  <si>
    <t>9755668239</t>
  </si>
  <si>
    <t>GL9223782953</t>
  </si>
  <si>
    <t>MFLC1001668</t>
  </si>
  <si>
    <t>9959387839</t>
  </si>
  <si>
    <t>GL3464591830</t>
  </si>
  <si>
    <t>MFLC1001669</t>
  </si>
  <si>
    <t>9742184706</t>
  </si>
  <si>
    <t>Jodhpur - Station Road</t>
  </si>
  <si>
    <t>GL3127205395</t>
  </si>
  <si>
    <t>MFLC1001670</t>
  </si>
  <si>
    <t>Mary Ibrahim</t>
  </si>
  <si>
    <t>9754861574</t>
  </si>
  <si>
    <t>GL6351615255</t>
  </si>
  <si>
    <t>MFLC1001671</t>
  </si>
  <si>
    <t>7384071890</t>
  </si>
  <si>
    <t>GL9082333961</t>
  </si>
  <si>
    <t>MFLC1001672</t>
  </si>
  <si>
    <t>Sanjay Tiwari</t>
  </si>
  <si>
    <t>9279513260</t>
  </si>
  <si>
    <t>GL1769699020</t>
  </si>
  <si>
    <t>MFLC1001673</t>
  </si>
  <si>
    <t>9338306678</t>
  </si>
  <si>
    <t>GL3976550207</t>
  </si>
  <si>
    <t>MFLC1001674</t>
  </si>
  <si>
    <t>Suresh Tiwari</t>
  </si>
  <si>
    <t>9851062286</t>
  </si>
  <si>
    <t>GL2211625408</t>
  </si>
  <si>
    <t>MFLC1001675</t>
  </si>
  <si>
    <t>9081240611</t>
  </si>
  <si>
    <t>GL5943210604</t>
  </si>
  <si>
    <t>MFLC1001676</t>
  </si>
  <si>
    <t>Jyothi Sastry</t>
  </si>
  <si>
    <t>9568275120</t>
  </si>
  <si>
    <t>GL5929913706</t>
  </si>
  <si>
    <t>MFLC1001677</t>
  </si>
  <si>
    <t>8864168184</t>
  </si>
  <si>
    <t>GL4097612288</t>
  </si>
  <si>
    <t>MFLC1001678</t>
  </si>
  <si>
    <t>Shibu Thomas</t>
  </si>
  <si>
    <t>7731499598</t>
  </si>
  <si>
    <t>GL7506050583</t>
  </si>
  <si>
    <t>MFLC1001679</t>
  </si>
  <si>
    <t>Krishna Sastry</t>
  </si>
  <si>
    <t>8447790038</t>
  </si>
  <si>
    <t>GL2003596082</t>
  </si>
  <si>
    <t>MFLC1001680</t>
  </si>
  <si>
    <t>Devi Natarajan</t>
  </si>
  <si>
    <t>7429890191</t>
  </si>
  <si>
    <t>GL8534794017</t>
  </si>
  <si>
    <t>MFLC1001681</t>
  </si>
  <si>
    <t>9297708569</t>
  </si>
  <si>
    <t>GL8372920047</t>
  </si>
  <si>
    <t>MFLC1001682</t>
  </si>
  <si>
    <t>7063450197</t>
  </si>
  <si>
    <t>GL1311447019</t>
  </si>
  <si>
    <t>MFLC1001683</t>
  </si>
  <si>
    <t>9279590596</t>
  </si>
  <si>
    <t>GL3642374153</t>
  </si>
  <si>
    <t>MFLC1001684</t>
  </si>
  <si>
    <t>Murugan Kannan</t>
  </si>
  <si>
    <t>9622284082</t>
  </si>
  <si>
    <t>GL3252202886</t>
  </si>
  <si>
    <t>MFLC1001685</t>
  </si>
  <si>
    <t>7126791472</t>
  </si>
  <si>
    <t>GL1211229121</t>
  </si>
  <si>
    <t>MFLC1001686</t>
  </si>
  <si>
    <t>8824201634</t>
  </si>
  <si>
    <t>GL3817112589</t>
  </si>
  <si>
    <t>MFLC1001687</t>
  </si>
  <si>
    <t>Sindhu Kumar</t>
  </si>
  <si>
    <t>9022593036</t>
  </si>
  <si>
    <t>GL8400722062</t>
  </si>
  <si>
    <t>MFLC1001688</t>
  </si>
  <si>
    <t>Latha Nair</t>
  </si>
  <si>
    <t>9957733449</t>
  </si>
  <si>
    <t>GL1276324217</t>
  </si>
  <si>
    <t>MFLC1001689</t>
  </si>
  <si>
    <t>9369532635</t>
  </si>
  <si>
    <t>GL5750858579</t>
  </si>
  <si>
    <t>MFLC1001690</t>
  </si>
  <si>
    <t>9835489635</t>
  </si>
  <si>
    <t>GL0456772115</t>
  </si>
  <si>
    <t>MFLC1001691</t>
  </si>
  <si>
    <t>Kavita Sharma</t>
  </si>
  <si>
    <t>7766504433</t>
  </si>
  <si>
    <t>GL8455497209</t>
  </si>
  <si>
    <t>MFLC1001692</t>
  </si>
  <si>
    <t>9325887900</t>
  </si>
  <si>
    <t>GL7429974950</t>
  </si>
  <si>
    <t>MFLC1001693</t>
  </si>
  <si>
    <t>9522860669</t>
  </si>
  <si>
    <t>GL5281171778</t>
  </si>
  <si>
    <t>MFLC1001694</t>
  </si>
  <si>
    <t>Abdul Warrier</t>
  </si>
  <si>
    <t>8790710841</t>
  </si>
  <si>
    <t>GL9552906744</t>
  </si>
  <si>
    <t>MFLC1001695</t>
  </si>
  <si>
    <t>9023803103</t>
  </si>
  <si>
    <t>GL5739410596</t>
  </si>
  <si>
    <t>MFLC1001696</t>
  </si>
  <si>
    <t>7154996258</t>
  </si>
  <si>
    <t>GL7319990489</t>
  </si>
  <si>
    <t>MFLC1001697</t>
  </si>
  <si>
    <t>9746052199</t>
  </si>
  <si>
    <t>GL7308539605</t>
  </si>
  <si>
    <t>MFLC1001698</t>
  </si>
  <si>
    <t>9113588379</t>
  </si>
  <si>
    <t>GL8033813505</t>
  </si>
  <si>
    <t>MFLC1001699</t>
  </si>
  <si>
    <t>7255057143</t>
  </si>
  <si>
    <t>GL6907832614</t>
  </si>
  <si>
    <t>MFLC1001700</t>
  </si>
  <si>
    <t>9562425042</t>
  </si>
  <si>
    <t>GL9631815510</t>
  </si>
  <si>
    <t>MFLC1001701</t>
  </si>
  <si>
    <t>9623775726</t>
  </si>
  <si>
    <t>Coimbatore - Station Road</t>
  </si>
  <si>
    <t>GL1534078477</t>
  </si>
  <si>
    <t>MFLC1001702</t>
  </si>
  <si>
    <t>8189759898</t>
  </si>
  <si>
    <t>GL8872115644</t>
  </si>
  <si>
    <t>MFLC1001703</t>
  </si>
  <si>
    <t>7819585670</t>
  </si>
  <si>
    <t>GL7128260439</t>
  </si>
  <si>
    <t>MFLC1001704</t>
  </si>
  <si>
    <t>Jose Kurup</t>
  </si>
  <si>
    <t>8634766590</t>
  </si>
  <si>
    <t>GL1645806163</t>
  </si>
  <si>
    <t>MFLC1001705</t>
  </si>
  <si>
    <t>9205185799</t>
  </si>
  <si>
    <t>GL9768832273</t>
  </si>
  <si>
    <t>MFLC1001706</t>
  </si>
  <si>
    <t>9260832817</t>
  </si>
  <si>
    <t>GL5972613019</t>
  </si>
  <si>
    <t>MFLC1001707</t>
  </si>
  <si>
    <t>Naveen Gupta</t>
  </si>
  <si>
    <t>8220707762</t>
  </si>
  <si>
    <t>GL2412300459</t>
  </si>
  <si>
    <t>MFLC1001708</t>
  </si>
  <si>
    <t>7773830434</t>
  </si>
  <si>
    <t>GL3859397674</t>
  </si>
  <si>
    <t>MFLC1001709</t>
  </si>
  <si>
    <t>6197544282</t>
  </si>
  <si>
    <t>GL4618872789</t>
  </si>
  <si>
    <t>MFLC1001710</t>
  </si>
  <si>
    <t>Sumithra Naik</t>
  </si>
  <si>
    <t>9225036321</t>
  </si>
  <si>
    <t>GL8516070475</t>
  </si>
  <si>
    <t>MFLC1001711</t>
  </si>
  <si>
    <t>6347057361</t>
  </si>
  <si>
    <t>GL2088517458</t>
  </si>
  <si>
    <t>MFLC1001712</t>
  </si>
  <si>
    <t>Radha Rao</t>
  </si>
  <si>
    <t>8608819548</t>
  </si>
  <si>
    <t>GL3849057502</t>
  </si>
  <si>
    <t>MFLC1001713</t>
  </si>
  <si>
    <t>Sindhu Menon</t>
  </si>
  <si>
    <t>8145348661</t>
  </si>
  <si>
    <t>GL6219638461</t>
  </si>
  <si>
    <t>MFLC1001714</t>
  </si>
  <si>
    <t>Srinivas Kulkarni</t>
  </si>
  <si>
    <t>7460760071</t>
  </si>
  <si>
    <t>GL7687059654</t>
  </si>
  <si>
    <t>MFLC1001715</t>
  </si>
  <si>
    <t>9739708297</t>
  </si>
  <si>
    <t>GL0064730800</t>
  </si>
  <si>
    <t>MFLC1001716</t>
  </si>
  <si>
    <t>7375693452</t>
  </si>
  <si>
    <t>GL2669034965</t>
  </si>
  <si>
    <t>MFLC1001717</t>
  </si>
  <si>
    <t>Bindu Menon</t>
  </si>
  <si>
    <t>9624376865</t>
  </si>
  <si>
    <t>GL5835072629</t>
  </si>
  <si>
    <t>MFLC1001718</t>
  </si>
  <si>
    <t>9810177180</t>
  </si>
  <si>
    <t>Jodhpur - Bus Stand</t>
  </si>
  <si>
    <t>GL2325182047</t>
  </si>
  <si>
    <t>MFLC1001719</t>
  </si>
  <si>
    <t>9295118380</t>
  </si>
  <si>
    <t>GL5277151164</t>
  </si>
  <si>
    <t>MFLC1001720</t>
  </si>
  <si>
    <t>Ramesh Annamalai</t>
  </si>
  <si>
    <t>7365693667</t>
  </si>
  <si>
    <t>GL6549729010</t>
  </si>
  <si>
    <t>MFLC1001721</t>
  </si>
  <si>
    <t>9960470401</t>
  </si>
  <si>
    <t>GL2675775873</t>
  </si>
  <si>
    <t>MFLC1001722</t>
  </si>
  <si>
    <t>8825957373</t>
  </si>
  <si>
    <t>GL3975437825</t>
  </si>
  <si>
    <t>MFLC1001723</t>
  </si>
  <si>
    <t>Shivakumar Murthy</t>
  </si>
  <si>
    <t>8154100443</t>
  </si>
  <si>
    <t>GL5200827280</t>
  </si>
  <si>
    <t>MFLC1001724</t>
  </si>
  <si>
    <t>9785457957</t>
  </si>
  <si>
    <t>GL1755362948</t>
  </si>
  <si>
    <t>MFLC1001725</t>
  </si>
  <si>
    <t>Naresh Rao</t>
  </si>
  <si>
    <t>9262350568</t>
  </si>
  <si>
    <t>GL2459933575</t>
  </si>
  <si>
    <t>MFLC1001726</t>
  </si>
  <si>
    <t>7061635929</t>
  </si>
  <si>
    <t>GL8903217500</t>
  </si>
  <si>
    <t>MFLC1001727</t>
  </si>
  <si>
    <t>9174106247</t>
  </si>
  <si>
    <t>GL9306400132</t>
  </si>
  <si>
    <t>MFLC1001728</t>
  </si>
  <si>
    <t>9061512326</t>
  </si>
  <si>
    <t>GL4059359709</t>
  </si>
  <si>
    <t>MFLC1001729</t>
  </si>
  <si>
    <t>Jayanthi Krishnan</t>
  </si>
  <si>
    <t>9719587283</t>
  </si>
  <si>
    <t>GL4325515204</t>
  </si>
  <si>
    <t>MFLC1001730</t>
  </si>
  <si>
    <t>Anusha Yadav</t>
  </si>
  <si>
    <t>9644684144</t>
  </si>
  <si>
    <t>GL2999371638</t>
  </si>
  <si>
    <t>MFLC1001731</t>
  </si>
  <si>
    <t>8195599289</t>
  </si>
  <si>
    <t>GL8810347009</t>
  </si>
  <si>
    <t>MFLC1001732</t>
  </si>
  <si>
    <t>9246317018</t>
  </si>
  <si>
    <t>GL7840894466</t>
  </si>
  <si>
    <t>MFLC1001733</t>
  </si>
  <si>
    <t>7974105018</t>
  </si>
  <si>
    <t>GL0996838680</t>
  </si>
  <si>
    <t>MFLC1001734</t>
  </si>
  <si>
    <t>9650711433</t>
  </si>
  <si>
    <t>GL8775359918</t>
  </si>
  <si>
    <t>MFLC1001735</t>
  </si>
  <si>
    <t>9605946254</t>
  </si>
  <si>
    <t>GL7672574889</t>
  </si>
  <si>
    <t>MFLC1001736</t>
  </si>
  <si>
    <t>Dinesh Selvam</t>
  </si>
  <si>
    <t>6792380231</t>
  </si>
  <si>
    <t>GL6906450773</t>
  </si>
  <si>
    <t>MFLC1001737</t>
  </si>
  <si>
    <t>8654092761</t>
  </si>
  <si>
    <t>GL9547424625</t>
  </si>
  <si>
    <t>MFLC1001738</t>
  </si>
  <si>
    <t>9378660172</t>
  </si>
  <si>
    <t>GL2061432838</t>
  </si>
  <si>
    <t>MFLC1001739</t>
  </si>
  <si>
    <t>9166587188</t>
  </si>
  <si>
    <t>GL0561470438</t>
  </si>
  <si>
    <t>MFLC1001740</t>
  </si>
  <si>
    <t>Anita Jain</t>
  </si>
  <si>
    <t>9779757732</t>
  </si>
  <si>
    <t>GL0359817320</t>
  </si>
  <si>
    <t>MFLC1001741</t>
  </si>
  <si>
    <t>7300999735</t>
  </si>
  <si>
    <t>GL4515578983</t>
  </si>
  <si>
    <t>MFLC1001742</t>
  </si>
  <si>
    <t>Thomas Mathew</t>
  </si>
  <si>
    <t>9705062001</t>
  </si>
  <si>
    <t>GL4585879443</t>
  </si>
  <si>
    <t>MFLC1001743</t>
  </si>
  <si>
    <t>Ramesh Goud</t>
  </si>
  <si>
    <t>9543164044</t>
  </si>
  <si>
    <t>GL6146030487</t>
  </si>
  <si>
    <t>MFLC1001744</t>
  </si>
  <si>
    <t>9558435123</t>
  </si>
  <si>
    <t>GL9722387180</t>
  </si>
  <si>
    <t>MFLC1001745</t>
  </si>
  <si>
    <t>Anil Mohammed</t>
  </si>
  <si>
    <t>9338421179</t>
  </si>
  <si>
    <t>GL5599553241</t>
  </si>
  <si>
    <t>MFLC1001746</t>
  </si>
  <si>
    <t>9533233990</t>
  </si>
  <si>
    <t>GL3053564997</t>
  </si>
  <si>
    <t>MFLC1001747</t>
  </si>
  <si>
    <t>Malathi Raman</t>
  </si>
  <si>
    <t>9450673505</t>
  </si>
  <si>
    <t>GL5307276096</t>
  </si>
  <si>
    <t>MFLC1001748</t>
  </si>
  <si>
    <t>Nagarjuna Rao</t>
  </si>
  <si>
    <t>8866571863</t>
  </si>
  <si>
    <t>GL1323790603</t>
  </si>
  <si>
    <t>MFLC1001749</t>
  </si>
  <si>
    <t>8240140978</t>
  </si>
  <si>
    <t>GL5554445450</t>
  </si>
  <si>
    <t>MFLC1001750</t>
  </si>
  <si>
    <t>Srinivas Sastry</t>
  </si>
  <si>
    <t>8316065317</t>
  </si>
  <si>
    <t>GL6817872714</t>
  </si>
  <si>
    <t>MFLC1001751</t>
  </si>
  <si>
    <t>Rani Varghese</t>
  </si>
  <si>
    <t>9524579247</t>
  </si>
  <si>
    <t>GL1425114586</t>
  </si>
  <si>
    <t>MFLC1001752</t>
  </si>
  <si>
    <t>Manoj Thomas</t>
  </si>
  <si>
    <t>9228347925</t>
  </si>
  <si>
    <t>GL4790913677</t>
  </si>
  <si>
    <t>MFLC1001753</t>
  </si>
  <si>
    <t>8530722252</t>
  </si>
  <si>
    <t>GL8577731931</t>
  </si>
  <si>
    <t>MFLC1001754</t>
  </si>
  <si>
    <t>8737477391</t>
  </si>
  <si>
    <t>GL7670910647</t>
  </si>
  <si>
    <t>MFLC1001755</t>
  </si>
  <si>
    <t>8211324286</t>
  </si>
  <si>
    <t>GL0067512816</t>
  </si>
  <si>
    <t>MFLC1001756</t>
  </si>
  <si>
    <t>9728555839</t>
  </si>
  <si>
    <t>GL2503330355</t>
  </si>
  <si>
    <t>MFLC1001757</t>
  </si>
  <si>
    <t>Ritu Singh</t>
  </si>
  <si>
    <t>8070191852</t>
  </si>
  <si>
    <t>GL6415497353</t>
  </si>
  <si>
    <t>MFLC1001758</t>
  </si>
  <si>
    <t>8552194426</t>
  </si>
  <si>
    <t>GL5110276166</t>
  </si>
  <si>
    <t>MFLC1001759</t>
  </si>
  <si>
    <t>Shivakumar Rao</t>
  </si>
  <si>
    <t>7001561674</t>
  </si>
  <si>
    <t>GL0709368673</t>
  </si>
  <si>
    <t>MFLC1001760</t>
  </si>
  <si>
    <t>9482558063</t>
  </si>
  <si>
    <t>Karimnagar - Station Road</t>
  </si>
  <si>
    <t>GL3050981375</t>
  </si>
  <si>
    <t>MFLC1001761</t>
  </si>
  <si>
    <t>7451679906</t>
  </si>
  <si>
    <t>GL9031698002</t>
  </si>
  <si>
    <t>MFLC1001762</t>
  </si>
  <si>
    <t>7317124794</t>
  </si>
  <si>
    <t>GL5824639300</t>
  </si>
  <si>
    <t>MFLC1001763</t>
  </si>
  <si>
    <t>8513870037</t>
  </si>
  <si>
    <t>GL3250470129</t>
  </si>
  <si>
    <t>MFLC1001764</t>
  </si>
  <si>
    <t>Neha Verma</t>
  </si>
  <si>
    <t>9238687176</t>
  </si>
  <si>
    <t>GL2419486672</t>
  </si>
  <si>
    <t>MFLC1001765</t>
  </si>
  <si>
    <t>8941784410</t>
  </si>
  <si>
    <t>GL0040479858</t>
  </si>
  <si>
    <t>MFLC1001766</t>
  </si>
  <si>
    <t>Meena Tiwari</t>
  </si>
  <si>
    <t>8375137545</t>
  </si>
  <si>
    <t>GL5151221427</t>
  </si>
  <si>
    <t>MFLC1001767</t>
  </si>
  <si>
    <t>Vikas Sharma</t>
  </si>
  <si>
    <t>9175524362</t>
  </si>
  <si>
    <t>GL6778576603</t>
  </si>
  <si>
    <t>MFLC1001768</t>
  </si>
  <si>
    <t>Sapna Tiwari</t>
  </si>
  <si>
    <t>8142729863</t>
  </si>
  <si>
    <t>GL6411982278</t>
  </si>
  <si>
    <t>MFLC1001769</t>
  </si>
  <si>
    <t>Smitha Ibrahim</t>
  </si>
  <si>
    <t>9117298933</t>
  </si>
  <si>
    <t>Thrissur - Temple Street</t>
  </si>
  <si>
    <t>GL7727318529</t>
  </si>
  <si>
    <t>MFLC1001770</t>
  </si>
  <si>
    <t>Prakash Gowda</t>
  </si>
  <si>
    <t>8770332821</t>
  </si>
  <si>
    <t>GL8805998124</t>
  </si>
  <si>
    <t>MFLC1001771</t>
  </si>
  <si>
    <t>8465790573</t>
  </si>
  <si>
    <t>GL0220254218</t>
  </si>
  <si>
    <t>MFLC1001772</t>
  </si>
  <si>
    <t>7498828008</t>
  </si>
  <si>
    <t>GL2194363962</t>
  </si>
  <si>
    <t>MFLC1001773</t>
  </si>
  <si>
    <t>9070671246</t>
  </si>
  <si>
    <t>GL8351561925</t>
  </si>
  <si>
    <t>MFLC1001774</t>
  </si>
  <si>
    <t>9265987610</t>
  </si>
  <si>
    <t>GL9886361089</t>
  </si>
  <si>
    <t>MFLC1001775</t>
  </si>
  <si>
    <t>6071367403</t>
  </si>
  <si>
    <t>GL7554649135</t>
  </si>
  <si>
    <t>MFLC1001776</t>
  </si>
  <si>
    <t>9189894213</t>
  </si>
  <si>
    <t>GL3397813020</t>
  </si>
  <si>
    <t>MFLC1001777</t>
  </si>
  <si>
    <t>8601949478</t>
  </si>
  <si>
    <t>GL4823624109</t>
  </si>
  <si>
    <t>MFLC1001778</t>
  </si>
  <si>
    <t>8785922825</t>
  </si>
  <si>
    <t>GL3049411147</t>
  </si>
  <si>
    <t>MFLC1001779</t>
  </si>
  <si>
    <t>Kavita Saxena</t>
  </si>
  <si>
    <t>9614893754</t>
  </si>
  <si>
    <t>GL3506468235</t>
  </si>
  <si>
    <t>MFLC1001780</t>
  </si>
  <si>
    <t>Mary Mohammed</t>
  </si>
  <si>
    <t>9980172732</t>
  </si>
  <si>
    <t>GL3977911877</t>
  </si>
  <si>
    <t>MFLC1001781</t>
  </si>
  <si>
    <t>Mani Kannan</t>
  </si>
  <si>
    <t>7117440932</t>
  </si>
  <si>
    <t>GL8570555439</t>
  </si>
  <si>
    <t>MFLC1001782</t>
  </si>
  <si>
    <t>Deepak Gupta</t>
  </si>
  <si>
    <t>9673061480</t>
  </si>
  <si>
    <t>GL3716313242</t>
  </si>
  <si>
    <t>MFLC1001783</t>
  </si>
  <si>
    <t>9328365567</t>
  </si>
  <si>
    <t>GL2672369636</t>
  </si>
  <si>
    <t>MFLC1001784</t>
  </si>
  <si>
    <t>8192178135</t>
  </si>
  <si>
    <t>GL2829160857</t>
  </si>
  <si>
    <t>MFLC1001785</t>
  </si>
  <si>
    <t>8124251398</t>
  </si>
  <si>
    <t>GL4261798245</t>
  </si>
  <si>
    <t>MFLC1001786</t>
  </si>
  <si>
    <t>Vijaya Chowdary</t>
  </si>
  <si>
    <t>9714231974</t>
  </si>
  <si>
    <t>GL7899007441</t>
  </si>
  <si>
    <t>MFLC1001787</t>
  </si>
  <si>
    <t>7041282069</t>
  </si>
  <si>
    <t>GL7938055196</t>
  </si>
  <si>
    <t>MFLC1001788</t>
  </si>
  <si>
    <t>8781546333</t>
  </si>
  <si>
    <t>GL3305352529</t>
  </si>
  <si>
    <t>MFLC1001789</t>
  </si>
  <si>
    <t>7241002683</t>
  </si>
  <si>
    <t>GL1454716963</t>
  </si>
  <si>
    <t>MFLC1001790</t>
  </si>
  <si>
    <t>Remya Menon</t>
  </si>
  <si>
    <t>8157313767</t>
  </si>
  <si>
    <t>GL1093550959</t>
  </si>
  <si>
    <t>MFLC1001791</t>
  </si>
  <si>
    <t>9228690779</t>
  </si>
  <si>
    <t>GL1349849597</t>
  </si>
  <si>
    <t>MFLC1001792</t>
  </si>
  <si>
    <t>Sapna Joshi</t>
  </si>
  <si>
    <t>9232774723</t>
  </si>
  <si>
    <t>GL2772157038</t>
  </si>
  <si>
    <t>MFLC1001793</t>
  </si>
  <si>
    <t>Venkatesh Babu</t>
  </si>
  <si>
    <t>7943665179</t>
  </si>
  <si>
    <t>GL9151933462</t>
  </si>
  <si>
    <t>MFLC1001794</t>
  </si>
  <si>
    <t>Anoop Pillai</t>
  </si>
  <si>
    <t>9053467479</t>
  </si>
  <si>
    <t>GL5328196481</t>
  </si>
  <si>
    <t>MFLC1001795</t>
  </si>
  <si>
    <t>6797049874</t>
  </si>
  <si>
    <t>GL8374465352</t>
  </si>
  <si>
    <t>MFLC1001796</t>
  </si>
  <si>
    <t>Venkatesh Kulkarni</t>
  </si>
  <si>
    <t>7921740424</t>
  </si>
  <si>
    <t>GL6179127392</t>
  </si>
  <si>
    <t>MFLC1001797</t>
  </si>
  <si>
    <t>8727769172</t>
  </si>
  <si>
    <t>GL3795631390</t>
  </si>
  <si>
    <t>MFLC1001798</t>
  </si>
  <si>
    <t>6166759234</t>
  </si>
  <si>
    <t>Kozhikode - Industrial Estate</t>
  </si>
  <si>
    <t>GL6763512558</t>
  </si>
  <si>
    <t>MFLC1001799</t>
  </si>
  <si>
    <t>Manoj Mohammed</t>
  </si>
  <si>
    <t>7300350189</t>
  </si>
  <si>
    <t>GL3314158282</t>
  </si>
  <si>
    <t>MFLC1001800</t>
  </si>
  <si>
    <t>6755082462</t>
  </si>
  <si>
    <t>GL1789281113</t>
  </si>
  <si>
    <t>MFLC1001801</t>
  </si>
  <si>
    <t>Malathi Selvam</t>
  </si>
  <si>
    <t>9074906051</t>
  </si>
  <si>
    <t>GL9664620634</t>
  </si>
  <si>
    <t>MFLC1001802</t>
  </si>
  <si>
    <t>Jayanthi Rajan</t>
  </si>
  <si>
    <t>9337221180</t>
  </si>
  <si>
    <t>GL7067588391</t>
  </si>
  <si>
    <t>MFLC1001803</t>
  </si>
  <si>
    <t>8959180852</t>
  </si>
  <si>
    <t>GL3010534877</t>
  </si>
  <si>
    <t>MFLC1001804</t>
  </si>
  <si>
    <t>9630005300</t>
  </si>
  <si>
    <t>GL2768431865</t>
  </si>
  <si>
    <t>MFLC1001805</t>
  </si>
  <si>
    <t>Revathi Annamalai</t>
  </si>
  <si>
    <t>9972514865</t>
  </si>
  <si>
    <t>GL9062562004</t>
  </si>
  <si>
    <t>MFLC1001806</t>
  </si>
  <si>
    <t>Rekha Mishra</t>
  </si>
  <si>
    <t>9083588160</t>
  </si>
  <si>
    <t>GL3385585623</t>
  </si>
  <si>
    <t>MFLC1001807</t>
  </si>
  <si>
    <t>9181110841</t>
  </si>
  <si>
    <t>GL8059448270</t>
  </si>
  <si>
    <t>MFLC1001808</t>
  </si>
  <si>
    <t>7692187054</t>
  </si>
  <si>
    <t>GL8465966160</t>
  </si>
  <si>
    <t>MFLC1001809</t>
  </si>
  <si>
    <t>Selvam Selvam</t>
  </si>
  <si>
    <t>7243214703</t>
  </si>
  <si>
    <t>GL3824037880</t>
  </si>
  <si>
    <t>MFLC1001810</t>
  </si>
  <si>
    <t>8572717969</t>
  </si>
  <si>
    <t>GL0885054685</t>
  </si>
  <si>
    <t>MFLC1001811</t>
  </si>
  <si>
    <t>Meena Sharma</t>
  </si>
  <si>
    <t>9270373958</t>
  </si>
  <si>
    <t>GL9747347327</t>
  </si>
  <si>
    <t>MFLC1001812</t>
  </si>
  <si>
    <t>Saravanan Krishnan</t>
  </si>
  <si>
    <t>9286926401</t>
  </si>
  <si>
    <t>GL6788793007</t>
  </si>
  <si>
    <t>MFLC1001813</t>
  </si>
  <si>
    <t>Asha Shetty</t>
  </si>
  <si>
    <t>6512823848</t>
  </si>
  <si>
    <t>GL4530879350</t>
  </si>
  <si>
    <t>MFLC1001814</t>
  </si>
  <si>
    <t>Suresh Gowda</t>
  </si>
  <si>
    <t>9166590194</t>
  </si>
  <si>
    <t>GL6791861730</t>
  </si>
  <si>
    <t>MFLC1001815</t>
  </si>
  <si>
    <t>9650193572</t>
  </si>
  <si>
    <t>GL6032362084</t>
  </si>
  <si>
    <t>MFLC1001816</t>
  </si>
  <si>
    <t>8821015403</t>
  </si>
  <si>
    <t>GL9352001324</t>
  </si>
  <si>
    <t>MFLC1001817</t>
  </si>
  <si>
    <t>9697611671</t>
  </si>
  <si>
    <t>GL8656423413</t>
  </si>
  <si>
    <t>MFLC1001818</t>
  </si>
  <si>
    <t>Savitha Hegde</t>
  </si>
  <si>
    <t>9538648878</t>
  </si>
  <si>
    <t>GL8567594307</t>
  </si>
  <si>
    <t>MFLC1001819</t>
  </si>
  <si>
    <t>9816142352</t>
  </si>
  <si>
    <t>GL0405980014</t>
  </si>
  <si>
    <t>MFLC1001820</t>
  </si>
  <si>
    <t>8586778382</t>
  </si>
  <si>
    <t>GL8561508717</t>
  </si>
  <si>
    <t>MFLC1001821</t>
  </si>
  <si>
    <t>9206074752</t>
  </si>
  <si>
    <t>GL9532880167</t>
  </si>
  <si>
    <t>MFLC1001822</t>
  </si>
  <si>
    <t>Sreeja Warrier</t>
  </si>
  <si>
    <t>9067016744</t>
  </si>
  <si>
    <t>GL6023266836</t>
  </si>
  <si>
    <t>MFLC1001823</t>
  </si>
  <si>
    <t>Anil Agarwal</t>
  </si>
  <si>
    <t>7235586510</t>
  </si>
  <si>
    <t>GL8835061181</t>
  </si>
  <si>
    <t>MFLC1001824</t>
  </si>
  <si>
    <t>8399528046</t>
  </si>
  <si>
    <t>GL2647901842</t>
  </si>
  <si>
    <t>MFLC1001825</t>
  </si>
  <si>
    <t>7284875548</t>
  </si>
  <si>
    <t>GL8202041392</t>
  </si>
  <si>
    <t>MFLC1001826</t>
  </si>
  <si>
    <t>9891801517</t>
  </si>
  <si>
    <t>Visakhapatnam - Main Road</t>
  </si>
  <si>
    <t>GL5196111382</t>
  </si>
  <si>
    <t>MFLC1001827</t>
  </si>
  <si>
    <t>Arun Venkatesh</t>
  </si>
  <si>
    <t>7478874642</t>
  </si>
  <si>
    <t>GL0184093909</t>
  </si>
  <si>
    <t>MFLC1001828</t>
  </si>
  <si>
    <t>Mahesh Goud</t>
  </si>
  <si>
    <t>9489905684</t>
  </si>
  <si>
    <t>GL9122808647</t>
  </si>
  <si>
    <t>MFLC1001829</t>
  </si>
  <si>
    <t>Manoj Menon</t>
  </si>
  <si>
    <t>9674989350</t>
  </si>
  <si>
    <t>GL2838285636</t>
  </si>
  <si>
    <t>MFLC1001830</t>
  </si>
  <si>
    <t>Vignesh Rajan</t>
  </si>
  <si>
    <t>7399978611</t>
  </si>
  <si>
    <t>GL8493138122</t>
  </si>
  <si>
    <t>MFLC1001831</t>
  </si>
  <si>
    <t>Suresh Reddy</t>
  </si>
  <si>
    <t>7931212934</t>
  </si>
  <si>
    <t>GL7869661809</t>
  </si>
  <si>
    <t>MFLC1001832</t>
  </si>
  <si>
    <t>8130238570</t>
  </si>
  <si>
    <t>GL3193073198</t>
  </si>
  <si>
    <t>MFLC1001833</t>
  </si>
  <si>
    <t>6938244196</t>
  </si>
  <si>
    <t>GL3387507117</t>
  </si>
  <si>
    <t>MFLC1001834</t>
  </si>
  <si>
    <t>8656398859</t>
  </si>
  <si>
    <t>GL6441150374</t>
  </si>
  <si>
    <t>MFLC1001835</t>
  </si>
  <si>
    <t>Biju Kurup</t>
  </si>
  <si>
    <t>9516547877</t>
  </si>
  <si>
    <t>GL1519280472</t>
  </si>
  <si>
    <t>MFLC1001836</t>
  </si>
  <si>
    <t>Arun Sundaram</t>
  </si>
  <si>
    <t>7116837058</t>
  </si>
  <si>
    <t>GL0661063061</t>
  </si>
  <si>
    <t>MFLC1001837</t>
  </si>
  <si>
    <t>9786121969</t>
  </si>
  <si>
    <t>GL9538601284</t>
  </si>
  <si>
    <t>MFLC1001838</t>
  </si>
  <si>
    <t>9895659849</t>
  </si>
  <si>
    <t>GL9284613430</t>
  </si>
  <si>
    <t>MFLC1001839</t>
  </si>
  <si>
    <t>9774615718</t>
  </si>
  <si>
    <t>GL9980951853</t>
  </si>
  <si>
    <t>MFLC1001840</t>
  </si>
  <si>
    <t>Manjunath Shankar</t>
  </si>
  <si>
    <t>9910742335</t>
  </si>
  <si>
    <t>GL3995697289</t>
  </si>
  <si>
    <t>MFLC1001841</t>
  </si>
  <si>
    <t>8455633787</t>
  </si>
  <si>
    <t>GL2650649229</t>
  </si>
  <si>
    <t>MFLC1001842</t>
  </si>
  <si>
    <t>8917024180</t>
  </si>
  <si>
    <t>GL7069557440</t>
  </si>
  <si>
    <t>MFLC1001843</t>
  </si>
  <si>
    <t>Kumar Murugan</t>
  </si>
  <si>
    <t>9904282956</t>
  </si>
  <si>
    <t>GL6316523869</t>
  </si>
  <si>
    <t>MFLC1001844</t>
  </si>
  <si>
    <t>8571865601</t>
  </si>
  <si>
    <t>GL9749823130</t>
  </si>
  <si>
    <t>MFLC1001845</t>
  </si>
  <si>
    <t>8271643045</t>
  </si>
  <si>
    <t>GL5549226973</t>
  </si>
  <si>
    <t>MFLC1001846</t>
  </si>
  <si>
    <t>Rani Menon</t>
  </si>
  <si>
    <t>8019104574</t>
  </si>
  <si>
    <t>GL7432155516</t>
  </si>
  <si>
    <t>MFLC1001847</t>
  </si>
  <si>
    <t>Ramesh Chandran</t>
  </si>
  <si>
    <t>7351962571</t>
  </si>
  <si>
    <t>GL0728936277</t>
  </si>
  <si>
    <t>MFLC1001848</t>
  </si>
  <si>
    <t>Kavita Rathore</t>
  </si>
  <si>
    <t>8312199016</t>
  </si>
  <si>
    <t>GL5896709646</t>
  </si>
  <si>
    <t>MFLC1001849</t>
  </si>
  <si>
    <t>7562388076</t>
  </si>
  <si>
    <t>GL2007004948</t>
  </si>
  <si>
    <t>MFLC1001850</t>
  </si>
  <si>
    <t>6633328272</t>
  </si>
  <si>
    <t>GL1529256800</t>
  </si>
  <si>
    <t>MFLC1001851</t>
  </si>
  <si>
    <t>9008900936</t>
  </si>
  <si>
    <t>GL0975477969</t>
  </si>
  <si>
    <t>MFLC1001852</t>
  </si>
  <si>
    <t>Sunil Gupta</t>
  </si>
  <si>
    <t>7891313493</t>
  </si>
  <si>
    <t>GL2095325129</t>
  </si>
  <si>
    <t>MFLC1001853</t>
  </si>
  <si>
    <t>8794633745</t>
  </si>
  <si>
    <t>GL8835904338</t>
  </si>
  <si>
    <t>MFLC1001854</t>
  </si>
  <si>
    <t>6426148840</t>
  </si>
  <si>
    <t>GL3353535180</t>
  </si>
  <si>
    <t>MFLC1001855</t>
  </si>
  <si>
    <t>Sravani Varma</t>
  </si>
  <si>
    <t>8044714551</t>
  </si>
  <si>
    <t>GL5074659655</t>
  </si>
  <si>
    <t>MFLC1001856</t>
  </si>
  <si>
    <t>Priya Joshi</t>
  </si>
  <si>
    <t>9286687372</t>
  </si>
  <si>
    <t>GL9111051255</t>
  </si>
  <si>
    <t>MFLC1001857</t>
  </si>
  <si>
    <t>8805059870</t>
  </si>
  <si>
    <t>GL5189347850</t>
  </si>
  <si>
    <t>MFLC1001858</t>
  </si>
  <si>
    <t>Padma Yadav</t>
  </si>
  <si>
    <t>8172005929</t>
  </si>
  <si>
    <t>GL2099141831</t>
  </si>
  <si>
    <t>MFLC1001859</t>
  </si>
  <si>
    <t>9595243589</t>
  </si>
  <si>
    <t>GL7468430536</t>
  </si>
  <si>
    <t>MFLC1001860</t>
  </si>
  <si>
    <t>9658816216</t>
  </si>
  <si>
    <t>GL3137478361</t>
  </si>
  <si>
    <t>MFLC1001861</t>
  </si>
  <si>
    <t>Swathi Setty</t>
  </si>
  <si>
    <t>8492752819</t>
  </si>
  <si>
    <t>GL6299214255</t>
  </si>
  <si>
    <t>MFLC1001862</t>
  </si>
  <si>
    <t>9069371756</t>
  </si>
  <si>
    <t>GL1552873192</t>
  </si>
  <si>
    <t>MFLC1001863</t>
  </si>
  <si>
    <t>8904023893</t>
  </si>
  <si>
    <t>GL8576271753</t>
  </si>
  <si>
    <t>MFLC1001864</t>
  </si>
  <si>
    <t>7032270627</t>
  </si>
  <si>
    <t>GL2264815346</t>
  </si>
  <si>
    <t>MFLC1001865</t>
  </si>
  <si>
    <t>Sravani Setty</t>
  </si>
  <si>
    <t>9831118233</t>
  </si>
  <si>
    <t>GL1725059576</t>
  </si>
  <si>
    <t>MFLC1001866</t>
  </si>
  <si>
    <t>Ganesh Rajan</t>
  </si>
  <si>
    <t>9476853632</t>
  </si>
  <si>
    <t>GL9639899777</t>
  </si>
  <si>
    <t>MFLC1001867</t>
  </si>
  <si>
    <t>Revathi Krishnan</t>
  </si>
  <si>
    <t>7461011142</t>
  </si>
  <si>
    <t>GL4473508287</t>
  </si>
  <si>
    <t>MFLC1001868</t>
  </si>
  <si>
    <t>9887727208</t>
  </si>
  <si>
    <t>GL5677366418</t>
  </si>
  <si>
    <t>MFLC1001869</t>
  </si>
  <si>
    <t>Padma Prasad</t>
  </si>
  <si>
    <t>9179385664</t>
  </si>
  <si>
    <t>GL7649306096</t>
  </si>
  <si>
    <t>MFLC1001870</t>
  </si>
  <si>
    <t>8156487371</t>
  </si>
  <si>
    <t>GL2614274448</t>
  </si>
  <si>
    <t>MFLC1001871</t>
  </si>
  <si>
    <t>Jayanthi Venkatesh</t>
  </si>
  <si>
    <t>9041984151</t>
  </si>
  <si>
    <t>GL0091530010</t>
  </si>
  <si>
    <t>MFLC1001872</t>
  </si>
  <si>
    <t>7046659244</t>
  </si>
  <si>
    <t>GL0541069081</t>
  </si>
  <si>
    <t>MFLC1001873</t>
  </si>
  <si>
    <t>Ramesh Reddy</t>
  </si>
  <si>
    <t>8685159957</t>
  </si>
  <si>
    <t>GL7522506430</t>
  </si>
  <si>
    <t>MFLC1001874</t>
  </si>
  <si>
    <t>9896348169</t>
  </si>
  <si>
    <t>GL5537872459</t>
  </si>
  <si>
    <t>MFLC1001875</t>
  </si>
  <si>
    <t>8380984749</t>
  </si>
  <si>
    <t>GL8665128394</t>
  </si>
  <si>
    <t>MFLC1001876</t>
  </si>
  <si>
    <t>9604000072</t>
  </si>
  <si>
    <t>GL9494799822</t>
  </si>
  <si>
    <t>MFLC1001877</t>
  </si>
  <si>
    <t>8929849605</t>
  </si>
  <si>
    <t>GL7123203356</t>
  </si>
  <si>
    <t>MFLC1001878</t>
  </si>
  <si>
    <t>7555907592</t>
  </si>
  <si>
    <t>GL5992729703</t>
  </si>
  <si>
    <t>MFLC1001879</t>
  </si>
  <si>
    <t>8165117572</t>
  </si>
  <si>
    <t>GL4293627637</t>
  </si>
  <si>
    <t>MFLC1001880</t>
  </si>
  <si>
    <t>Shobha Bhat</t>
  </si>
  <si>
    <t>9108670248</t>
  </si>
  <si>
    <t>GL9747004593</t>
  </si>
  <si>
    <t>MFLC1001881</t>
  </si>
  <si>
    <t>9357597968</t>
  </si>
  <si>
    <t>GL4578659678</t>
  </si>
  <si>
    <t>MFLC1001882</t>
  </si>
  <si>
    <t>9183163762</t>
  </si>
  <si>
    <t>GL2366391460</t>
  </si>
  <si>
    <t>MFLC1001883</t>
  </si>
  <si>
    <t>Sumithra Rao</t>
  </si>
  <si>
    <t>9459202764</t>
  </si>
  <si>
    <t>Belagavi - Gandhi Nagar</t>
  </si>
  <si>
    <t>GL4889271236</t>
  </si>
  <si>
    <t>MFLC1001884</t>
  </si>
  <si>
    <t>Jayanthi Selvam</t>
  </si>
  <si>
    <t>8001135091</t>
  </si>
  <si>
    <t>GL1006907545</t>
  </si>
  <si>
    <t>MFLC1001885</t>
  </si>
  <si>
    <t>8696828393</t>
  </si>
  <si>
    <t>GL3179861079</t>
  </si>
  <si>
    <t>MFLC1001886</t>
  </si>
  <si>
    <t>9713364434</t>
  </si>
  <si>
    <t>GL5982602623</t>
  </si>
  <si>
    <t>MFLC1001887</t>
  </si>
  <si>
    <t>Madhavi Rao</t>
  </si>
  <si>
    <t>8811612783</t>
  </si>
  <si>
    <t>GL6142967298</t>
  </si>
  <si>
    <t>MFLC1001888</t>
  </si>
  <si>
    <t>8536574789</t>
  </si>
  <si>
    <t>GL1108844523</t>
  </si>
  <si>
    <t>MFLC1001889</t>
  </si>
  <si>
    <t>Kumar Krishnan</t>
  </si>
  <si>
    <t>8064140706</t>
  </si>
  <si>
    <t>GL5856334763</t>
  </si>
  <si>
    <t>MFLC1001890</t>
  </si>
  <si>
    <t>Shibu Varghese</t>
  </si>
  <si>
    <t>9251273019</t>
  </si>
  <si>
    <t>GL9764226116</t>
  </si>
  <si>
    <t>MFLC1001891</t>
  </si>
  <si>
    <t>9462997005</t>
  </si>
  <si>
    <t>GL3389489130</t>
  </si>
  <si>
    <t>MFLC1001892</t>
  </si>
  <si>
    <t>Deepak Singh</t>
  </si>
  <si>
    <t>7739332535</t>
  </si>
  <si>
    <t>GL1585220747</t>
  </si>
  <si>
    <t>MFLC1001893</t>
  </si>
  <si>
    <t>8428036812</t>
  </si>
  <si>
    <t>GL6757960554</t>
  </si>
  <si>
    <t>MFLC1001894</t>
  </si>
  <si>
    <t>9450545367</t>
  </si>
  <si>
    <t>GL4047699409</t>
  </si>
  <si>
    <t>MFLC1001895</t>
  </si>
  <si>
    <t>9136413879</t>
  </si>
  <si>
    <t>GL7755935957</t>
  </si>
  <si>
    <t>MFLC1001896</t>
  </si>
  <si>
    <t>Meena Sundaram</t>
  </si>
  <si>
    <t>6230154497</t>
  </si>
  <si>
    <t>GL1286642849</t>
  </si>
  <si>
    <t>MFLC1001897</t>
  </si>
  <si>
    <t>Jose Panicker</t>
  </si>
  <si>
    <t>7779986375</t>
  </si>
  <si>
    <t>GL8053802399</t>
  </si>
  <si>
    <t>MFLC1001898</t>
  </si>
  <si>
    <t>9475178471</t>
  </si>
  <si>
    <t>GL5520165471</t>
  </si>
  <si>
    <t>MFLC1001899</t>
  </si>
  <si>
    <t>9477690907</t>
  </si>
  <si>
    <t>GL0832985602</t>
  </si>
  <si>
    <t>MFLC1001900</t>
  </si>
  <si>
    <t>Geetha Hegde</t>
  </si>
  <si>
    <t>9936373147</t>
  </si>
  <si>
    <t>GL3735460310</t>
  </si>
  <si>
    <t>MFLC1001901</t>
  </si>
  <si>
    <t>Lakshmi Acharya</t>
  </si>
  <si>
    <t>9644947573</t>
  </si>
  <si>
    <t>GL2676387427</t>
  </si>
  <si>
    <t>MFLC1001902</t>
  </si>
  <si>
    <t>9919070415</t>
  </si>
  <si>
    <t>GL4863854984</t>
  </si>
  <si>
    <t>MFLC1001903</t>
  </si>
  <si>
    <t>9306454001</t>
  </si>
  <si>
    <t>GL1654378829</t>
  </si>
  <si>
    <t>MFLC1001904</t>
  </si>
  <si>
    <t>9262292890</t>
  </si>
  <si>
    <t>GL9496554908</t>
  </si>
  <si>
    <t>MFLC1001905</t>
  </si>
  <si>
    <t>Anil Tiwari</t>
  </si>
  <si>
    <t>8236452959</t>
  </si>
  <si>
    <t>GL8180486160</t>
  </si>
  <si>
    <t>MFLC1001906</t>
  </si>
  <si>
    <t>9885448276</t>
  </si>
  <si>
    <t>GL0444798152</t>
  </si>
  <si>
    <t>MFLC1001907</t>
  </si>
  <si>
    <t>8699504383</t>
  </si>
  <si>
    <t>GL3731417122</t>
  </si>
  <si>
    <t>MFLC1001908</t>
  </si>
  <si>
    <t>Pooja Pandey</t>
  </si>
  <si>
    <t>7072653448</t>
  </si>
  <si>
    <t>GL4488998689</t>
  </si>
  <si>
    <t>MFLC1001909</t>
  </si>
  <si>
    <t>9855772408</t>
  </si>
  <si>
    <t>GL9267434529</t>
  </si>
  <si>
    <t>MFLC1001910</t>
  </si>
  <si>
    <t>9360336985</t>
  </si>
  <si>
    <t>GL5652257154</t>
  </si>
  <si>
    <t>MFLC1001911</t>
  </si>
  <si>
    <t>9836205040</t>
  </si>
  <si>
    <t>GL9136160357</t>
  </si>
  <si>
    <t>MFLC1001912</t>
  </si>
  <si>
    <t>Arun Iyer</t>
  </si>
  <si>
    <t>9489266241</t>
  </si>
  <si>
    <t>GL9618584622</t>
  </si>
  <si>
    <t>MFLC1001913</t>
  </si>
  <si>
    <t>9871856903</t>
  </si>
  <si>
    <t>GL5468930433</t>
  </si>
  <si>
    <t>MFLC1001914</t>
  </si>
  <si>
    <t>9095888248</t>
  </si>
  <si>
    <t>GL6439110107</t>
  </si>
  <si>
    <t>MFLC1001915</t>
  </si>
  <si>
    <t>Rakesh Jain</t>
  </si>
  <si>
    <t>9592226817</t>
  </si>
  <si>
    <t>GL4953445415</t>
  </si>
  <si>
    <t>MFLC1001916</t>
  </si>
  <si>
    <t>9419558700</t>
  </si>
  <si>
    <t>GL5862300974</t>
  </si>
  <si>
    <t>MFLC1001917</t>
  </si>
  <si>
    <t>7965451958</t>
  </si>
  <si>
    <t>GL1185464665</t>
  </si>
  <si>
    <t>MFLC1001918</t>
  </si>
  <si>
    <t>9311876723</t>
  </si>
  <si>
    <t>GL4015319152</t>
  </si>
  <si>
    <t>MFLC1001919</t>
  </si>
  <si>
    <t>9698179320</t>
  </si>
  <si>
    <t>GL1206149469</t>
  </si>
  <si>
    <t>MFLC1001920</t>
  </si>
  <si>
    <t>8380554913</t>
  </si>
  <si>
    <t>GL7761931869</t>
  </si>
  <si>
    <t>MFLC1001921</t>
  </si>
  <si>
    <t>8354065926</t>
  </si>
  <si>
    <t>GL2271675991</t>
  </si>
  <si>
    <t>MFLC1001922</t>
  </si>
  <si>
    <t>8925274349</t>
  </si>
  <si>
    <t>GL8290947607</t>
  </si>
  <si>
    <t>MFLC1001923</t>
  </si>
  <si>
    <t>Radha Kumar</t>
  </si>
  <si>
    <t>7631773928</t>
  </si>
  <si>
    <t>GL6932336320</t>
  </si>
  <si>
    <t>MFLC1001924</t>
  </si>
  <si>
    <t>8201547756</t>
  </si>
  <si>
    <t>Tirunelveli - Market Road</t>
  </si>
  <si>
    <t>GL3184994150</t>
  </si>
  <si>
    <t>MFLC1001925</t>
  </si>
  <si>
    <t>9531164857</t>
  </si>
  <si>
    <t>Indore - MG Road</t>
  </si>
  <si>
    <t>GL0245202995</t>
  </si>
  <si>
    <t>MFLC1001926</t>
  </si>
  <si>
    <t>Suresh Murthy</t>
  </si>
  <si>
    <t>9165926996</t>
  </si>
  <si>
    <t>GL1872026264</t>
  </si>
  <si>
    <t>MFLC1001927</t>
  </si>
  <si>
    <t>6199997677</t>
  </si>
  <si>
    <t>GL2717358338</t>
  </si>
  <si>
    <t>MFLC1001928</t>
  </si>
  <si>
    <t>Raghu Shetty</t>
  </si>
  <si>
    <t>8785860354</t>
  </si>
  <si>
    <t>GL3962565204</t>
  </si>
  <si>
    <t>MFLC1001929</t>
  </si>
  <si>
    <t>7046057048</t>
  </si>
  <si>
    <t>GL7256948649</t>
  </si>
  <si>
    <t>MFLC1001930</t>
  </si>
  <si>
    <t>Sirisha Setty</t>
  </si>
  <si>
    <t>8598046281</t>
  </si>
  <si>
    <t>GL1447464474</t>
  </si>
  <si>
    <t>MFLC1001931</t>
  </si>
  <si>
    <t>8248694851</t>
  </si>
  <si>
    <t>GL2064727833</t>
  </si>
  <si>
    <t>MFLC1001932</t>
  </si>
  <si>
    <t>7885242748</t>
  </si>
  <si>
    <t>GL8466812536</t>
  </si>
  <si>
    <t>MFLC1001933</t>
  </si>
  <si>
    <t>8302078180</t>
  </si>
  <si>
    <t>GL2172563331</t>
  </si>
  <si>
    <t>MFLC1001934</t>
  </si>
  <si>
    <t>Naresh Raju</t>
  </si>
  <si>
    <t>8871254528</t>
  </si>
  <si>
    <t>Vijayawada - Nehru Nagar</t>
  </si>
  <si>
    <t>GL2678363150</t>
  </si>
  <si>
    <t>MFLC1001935</t>
  </si>
  <si>
    <t>Priya Iyer</t>
  </si>
  <si>
    <t>8374491248</t>
  </si>
  <si>
    <t>GL7754295235</t>
  </si>
  <si>
    <t>MFLC1001936</t>
  </si>
  <si>
    <t>9823906691</t>
  </si>
  <si>
    <t>GL8404524253</t>
  </si>
  <si>
    <t>MFLC1001937</t>
  </si>
  <si>
    <t>9364522747</t>
  </si>
  <si>
    <t>Lucknow - Main Road</t>
  </si>
  <si>
    <t>GL7252891003</t>
  </si>
  <si>
    <t>MFLC1001938</t>
  </si>
  <si>
    <t>9001438980</t>
  </si>
  <si>
    <t>GL9574873055</t>
  </si>
  <si>
    <t>MFLC1001939</t>
  </si>
  <si>
    <t>8516571584</t>
  </si>
  <si>
    <t>GL4440749271</t>
  </si>
  <si>
    <t>MFLC1001940</t>
  </si>
  <si>
    <t>Sravani Sastry</t>
  </si>
  <si>
    <t>9674166213</t>
  </si>
  <si>
    <t>GL1489244121</t>
  </si>
  <si>
    <t>MFLC1001941</t>
  </si>
  <si>
    <t>8553881614</t>
  </si>
  <si>
    <t>GL1431452316</t>
  </si>
  <si>
    <t>MFLC1001942</t>
  </si>
  <si>
    <t>Ravi Reddy</t>
  </si>
  <si>
    <t>7401778855</t>
  </si>
  <si>
    <t>GL4361906811</t>
  </si>
  <si>
    <t>MFLC1001943</t>
  </si>
  <si>
    <t>9048329003</t>
  </si>
  <si>
    <t>GL7592155929</t>
  </si>
  <si>
    <t>MFLC1001944</t>
  </si>
  <si>
    <t>9759771172</t>
  </si>
  <si>
    <t>GL5209938407</t>
  </si>
  <si>
    <t>MFLC1001945</t>
  </si>
  <si>
    <t>9378993412</t>
  </si>
  <si>
    <t>GL9180138503</t>
  </si>
  <si>
    <t>MFLC1001946</t>
  </si>
  <si>
    <t>Ravi Gowda</t>
  </si>
  <si>
    <t>9669050176</t>
  </si>
  <si>
    <t>GL6323360839</t>
  </si>
  <si>
    <t>MFLC1001947</t>
  </si>
  <si>
    <t>Dinesh Venkatesh</t>
  </si>
  <si>
    <t>9424811698</t>
  </si>
  <si>
    <t>GL1512578087</t>
  </si>
  <si>
    <t>MFLC1001948</t>
  </si>
  <si>
    <t>9570263893</t>
  </si>
  <si>
    <t>GL3481547607</t>
  </si>
  <si>
    <t>MFLC1001949</t>
  </si>
  <si>
    <t>Thomas Mohammed</t>
  </si>
  <si>
    <t>8515488838</t>
  </si>
  <si>
    <t>GL2851865498</t>
  </si>
  <si>
    <t>MFLC1001950</t>
  </si>
  <si>
    <t>Shobha Patil</t>
  </si>
  <si>
    <t>8840498793</t>
  </si>
  <si>
    <t>GL1928323981</t>
  </si>
  <si>
    <t>MFLC1001951</t>
  </si>
  <si>
    <t>Dinesh Kannan</t>
  </si>
  <si>
    <t>8904989226</t>
  </si>
  <si>
    <t>GL1850792114</t>
  </si>
  <si>
    <t>MFLC1001952</t>
  </si>
  <si>
    <t>Amit Jain</t>
  </si>
  <si>
    <t>9175347820</t>
  </si>
  <si>
    <t>GL3926291123</t>
  </si>
  <si>
    <t>MFLC1001953</t>
  </si>
  <si>
    <t>9701406465</t>
  </si>
  <si>
    <t>Hubballi - MG Road</t>
  </si>
  <si>
    <t>GL6708528515</t>
  </si>
  <si>
    <t>MFLC1001954</t>
  </si>
  <si>
    <t>Santhosh Panicker</t>
  </si>
  <si>
    <t>9223224345</t>
  </si>
  <si>
    <t>GL2521010632</t>
  </si>
  <si>
    <t>MFLC1001955</t>
  </si>
  <si>
    <t>9690159161</t>
  </si>
  <si>
    <t>GL0433998621</t>
  </si>
  <si>
    <t>MFLC1001956</t>
  </si>
  <si>
    <t>8777678148</t>
  </si>
  <si>
    <t>GL6408004082</t>
  </si>
  <si>
    <t>MFLC1001957</t>
  </si>
  <si>
    <t>8504548118</t>
  </si>
  <si>
    <t>GL7043718940</t>
  </si>
  <si>
    <t>MFLC1001958</t>
  </si>
  <si>
    <t>8131844380</t>
  </si>
  <si>
    <t>GL5414477048</t>
  </si>
  <si>
    <t>MFLC1001959</t>
  </si>
  <si>
    <t>Shobha Shankar</t>
  </si>
  <si>
    <t>7465445963</t>
  </si>
  <si>
    <t>GL3469769624</t>
  </si>
  <si>
    <t>MFLC1001960</t>
  </si>
  <si>
    <t>7630362603</t>
  </si>
  <si>
    <t>GL7657158472</t>
  </si>
  <si>
    <t>MFLC1001961</t>
  </si>
  <si>
    <t>6108448046</t>
  </si>
  <si>
    <t>GL6615425240</t>
  </si>
  <si>
    <t>MFLC1001962</t>
  </si>
  <si>
    <t>Kavitha Chowdary</t>
  </si>
  <si>
    <t>7626228056</t>
  </si>
  <si>
    <t>GL9574446245</t>
  </si>
  <si>
    <t>MFLC1001963</t>
  </si>
  <si>
    <t>9424980984</t>
  </si>
  <si>
    <t>GL8950595060</t>
  </si>
  <si>
    <t>MFLC1001964</t>
  </si>
  <si>
    <t>8767890661</t>
  </si>
  <si>
    <t>GL1514079496</t>
  </si>
  <si>
    <t>MFLC1001965</t>
  </si>
  <si>
    <t>Pooja Tiwari</t>
  </si>
  <si>
    <t>9011397390</t>
  </si>
  <si>
    <t>GL2057020609</t>
  </si>
  <si>
    <t>MFLC1001966</t>
  </si>
  <si>
    <t>9891142460</t>
  </si>
  <si>
    <t>GL4156289707</t>
  </si>
  <si>
    <t>MFLC1001967</t>
  </si>
  <si>
    <t>Sunita Kumar</t>
  </si>
  <si>
    <t>8857926507</t>
  </si>
  <si>
    <t>GL9698241125</t>
  </si>
  <si>
    <t>MFLC1001968</t>
  </si>
  <si>
    <t>9985760792</t>
  </si>
  <si>
    <t>GL3099041501</t>
  </si>
  <si>
    <t>MFLC1001969</t>
  </si>
  <si>
    <t>9061726763</t>
  </si>
  <si>
    <t>GL8196805194</t>
  </si>
  <si>
    <t>MFLC1001970</t>
  </si>
  <si>
    <t>Shivakumar Naik</t>
  </si>
  <si>
    <t>9377398960</t>
  </si>
  <si>
    <t>GL6296574852</t>
  </si>
  <si>
    <t>MFLC1001971</t>
  </si>
  <si>
    <t>Srinivas Shankar</t>
  </si>
  <si>
    <t>8253374157</t>
  </si>
  <si>
    <t>GL5196581112</t>
  </si>
  <si>
    <t>MFLC1001972</t>
  </si>
  <si>
    <t>8688491326</t>
  </si>
  <si>
    <t>GL7216006707</t>
  </si>
  <si>
    <t>MFLC1001973</t>
  </si>
  <si>
    <t>7938754364</t>
  </si>
  <si>
    <t>GL5299024971</t>
  </si>
  <si>
    <t>MFLC1001974</t>
  </si>
  <si>
    <t>Vasanthi Chandran</t>
  </si>
  <si>
    <t>9508149989</t>
  </si>
  <si>
    <t>GL9103621075</t>
  </si>
  <si>
    <t>MFLC1001975</t>
  </si>
  <si>
    <t>6928275938</t>
  </si>
  <si>
    <t>GL6211636539</t>
  </si>
  <si>
    <t>MFLC1001976</t>
  </si>
  <si>
    <t>9927077166</t>
  </si>
  <si>
    <t>GL9360223439</t>
  </si>
  <si>
    <t>MFLC1001977</t>
  </si>
  <si>
    <t>Srinivas Goud</t>
  </si>
  <si>
    <t>9754973951</t>
  </si>
  <si>
    <t>GL2544517065</t>
  </si>
  <si>
    <t>MFLC1001978</t>
  </si>
  <si>
    <t>8842634498</t>
  </si>
  <si>
    <t>GL4326677010</t>
  </si>
  <si>
    <t>MFLC1001979</t>
  </si>
  <si>
    <t>Naresh Yadav</t>
  </si>
  <si>
    <t>8723273388</t>
  </si>
  <si>
    <t>GL0359563570</t>
  </si>
  <si>
    <t>MFLC1001980</t>
  </si>
  <si>
    <t>Ritu Verma</t>
  </si>
  <si>
    <t>9530814499</t>
  </si>
  <si>
    <t>Jaipur - Civil Lines</t>
  </si>
  <si>
    <t>GL4290145931</t>
  </si>
  <si>
    <t>MFLC1001981</t>
  </si>
  <si>
    <t>9385824716</t>
  </si>
  <si>
    <t>GL9606503194</t>
  </si>
  <si>
    <t>MFLC1001982</t>
  </si>
  <si>
    <t>9828020384</t>
  </si>
  <si>
    <t>GL3614925529</t>
  </si>
  <si>
    <t>MFLC1001983</t>
  </si>
  <si>
    <t>Vikas Chauhan</t>
  </si>
  <si>
    <t>9865042320</t>
  </si>
  <si>
    <t>Kota - Market Road</t>
  </si>
  <si>
    <t>GL9576680641</t>
  </si>
  <si>
    <t>MFLC1001984</t>
  </si>
  <si>
    <t>6297634485</t>
  </si>
  <si>
    <t>GL7928719786</t>
  </si>
  <si>
    <t>MFLC1001985</t>
  </si>
  <si>
    <t>Mathew Kurup</t>
  </si>
  <si>
    <t>8431773127</t>
  </si>
  <si>
    <t>GL6420302093</t>
  </si>
  <si>
    <t>MFLC1001986</t>
  </si>
  <si>
    <t>Kavita Mishra</t>
  </si>
  <si>
    <t>6811851290</t>
  </si>
  <si>
    <t>GL7389995052</t>
  </si>
  <si>
    <t>MFLC1001987</t>
  </si>
  <si>
    <t>8360523709</t>
  </si>
  <si>
    <t>GL7177463619</t>
  </si>
  <si>
    <t>MFLC1001988</t>
  </si>
  <si>
    <t>Vasanthi Pandian</t>
  </si>
  <si>
    <t>9897627256</t>
  </si>
  <si>
    <t>GL1629385249</t>
  </si>
  <si>
    <t>MFLC1001989</t>
  </si>
  <si>
    <t>8413240832</t>
  </si>
  <si>
    <t>GL9780107683</t>
  </si>
  <si>
    <t>MFLC1001990</t>
  </si>
  <si>
    <t>7410324791</t>
  </si>
  <si>
    <t>GL2592581389</t>
  </si>
  <si>
    <t>MFLC1001991</t>
  </si>
  <si>
    <t>9890888955</t>
  </si>
  <si>
    <t>GL9460361113</t>
  </si>
  <si>
    <t>MFLC1001992</t>
  </si>
  <si>
    <t>Ajith Nair</t>
  </si>
  <si>
    <t>7450779879</t>
  </si>
  <si>
    <t>GL1531649668</t>
  </si>
  <si>
    <t>MFLC1001993</t>
  </si>
  <si>
    <t>6243365436</t>
  </si>
  <si>
    <t>GL5365268109</t>
  </si>
  <si>
    <t>MFLC1001994</t>
  </si>
  <si>
    <t>7426254541</t>
  </si>
  <si>
    <t>GL0440292070</t>
  </si>
  <si>
    <t>MFLC1001995</t>
  </si>
  <si>
    <t>8681494860</t>
  </si>
  <si>
    <t>GL8263954589</t>
  </si>
  <si>
    <t>MFLC1001996</t>
  </si>
  <si>
    <t>8530236271</t>
  </si>
  <si>
    <t>GL9765578960</t>
  </si>
  <si>
    <t>MFLC1001997</t>
  </si>
  <si>
    <t>Srinivas Rao</t>
  </si>
  <si>
    <t>7635092098</t>
  </si>
  <si>
    <t>GL4849263983</t>
  </si>
  <si>
    <t>MFLC1001998</t>
  </si>
  <si>
    <t>9079480738</t>
  </si>
  <si>
    <t>GL3157042816</t>
  </si>
  <si>
    <t>MFLC1001999</t>
  </si>
  <si>
    <t>9027304071</t>
  </si>
  <si>
    <t>GL9111001300</t>
  </si>
  <si>
    <t>MFLC1002000</t>
  </si>
  <si>
    <t>8828246475</t>
  </si>
  <si>
    <t>GL5356994602</t>
  </si>
  <si>
    <t>Summary of sample collections pool (2,000 gold loan customers)</t>
  </si>
  <si>
    <t>All figures are live COUNTIFS/SUMIFS on the Customers sheet.</t>
  </si>
  <si>
    <t>By payment scheme</t>
  </si>
  <si>
    <t>Customers</t>
  </si>
  <si>
    <t>% of total</t>
  </si>
  <si>
    <t>Total POS (₹)</t>
  </si>
  <si>
    <t>Total due (₹)</t>
  </si>
  <si>
    <t>Total</t>
  </si>
  <si>
    <t>By risk tier</t>
  </si>
  <si>
    <t>By suggested channel</t>
  </si>
  <si>
    <t>Treatment segment x suggested channel (customers)</t>
  </si>
  <si>
    <t>Monthly-interest customers by months unpaid (NPA at 3 months)</t>
  </si>
  <si>
    <t>Months unpaid</t>
  </si>
  <si>
    <t>Months to NPA</t>
  </si>
  <si>
    <t>% of monthly-interest customers</t>
  </si>
  <si>
    <t>eNACH registered (monthly-interest)</t>
  </si>
  <si>
    <t>By fallback channel</t>
  </si>
  <si>
    <t>By preferred language (voice bot / WhatsApp)</t>
  </si>
  <si>
    <t>Language</t>
  </si>
  <si>
    <t>Assumptions, rules and notes</t>
  </si>
  <si>
    <t>Yellow cells B4:B6 are live inputs used by formulas on the Customers sheet. B7:B10 are documented cut-offs that were applied when the static columns (risk tier, segment, channel) were built; changing them does not recalculate those columns.</t>
  </si>
  <si>
    <t>Parameter</t>
  </si>
  <si>
    <t>Value</t>
  </si>
  <si>
    <t>Used by / note</t>
  </si>
  <si>
    <t>As-of date</t>
  </si>
  <si>
    <t>Reference date for days past due and days since last payment. Assumption: today's date.</t>
  </si>
  <si>
    <t>NPA trigger (months of unpaid interest)</t>
  </si>
  <si>
    <t>Per your input: if interest is unpaid for 3 months the account turns NPA. Drives "Monthly: months to NPA" = trigger - months unpaid. Every monthly-interest account in the sample has 1-2 months unpaid, so months to NPA is always 1 or 2. Static risk tier/channel columns do NOT recalc if this changes.</t>
  </si>
  <si>
    <t>Max months of interest the bot asks for (minimum amount due)</t>
  </si>
  <si>
    <t>Drives "Bullet: months bot should try to collect" and "Bot ask amount". Based on your example of securing 2 months of pending interest.</t>
  </si>
  <si>
    <t>Small-ticket POS threshold (₹)</t>
  </si>
  <si>
    <t>Used to assign segment B and to size the channel (documented; values on Customers are static).</t>
  </si>
  <si>
    <t>Large-ticket POS threshold (₹)</t>
  </si>
  <si>
    <t>Used in channel logic for large-ticket customers (documented; values on Customers are static).</t>
  </si>
  <si>
    <t>Risk tier cut-off: Medium from score</t>
  </si>
  <si>
    <t>Score below this = Low. Cut-offs set so roughly 40% Low / 34% Medium / 26% High.</t>
  </si>
  <si>
    <t>Risk tier cut-off: High from score</t>
  </si>
  <si>
    <t>Score at or above this = High.</t>
  </si>
  <si>
    <t>Treatment segments (rule order: first match wins)</t>
  </si>
  <si>
    <t>Bullet scheme with 5-6 months of interest accrued</t>
  </si>
  <si>
    <t>Bot negotiates a minimum amount due</t>
  </si>
  <si>
    <t>Monthly-interest, POS &gt;= ₹50k and risk = High</t>
  </si>
  <si>
    <t>POS &lt; ₹50k (not already C)</t>
  </si>
  <si>
    <t>Bot/digital reminders; call center added only if risk = High</t>
  </si>
  <si>
    <t>Monthly-interest, POS &gt;= ₹50k, 1 month unpaid (just slipped), risk not High</t>
  </si>
  <si>
    <t>WhatsApp nudge; push eNACH</t>
  </si>
  <si>
    <t>Everything else (ADDED by me; you defined A-D only)</t>
  </si>
  <si>
    <t>Matched to risk tier and ticket size</t>
  </si>
  <si>
    <t>Suggested channel logic (base rule, then response-based reallocation, then consent check)</t>
  </si>
  <si>
    <t>RULE 1 - High risk</t>
  </si>
  <si>
    <t>Every High-risk customer is "Bot + call center": the voice bot goes first and the call center follows up (non-responders, negotiation, promise-to-pay). Applies to all segments.</t>
  </si>
  <si>
    <t>A</t>
  </si>
  <si>
    <t>B (not High risk)</t>
  </si>
  <si>
    <t>WhatsApp reminder if 1 month unpaid, else Voice bot</t>
  </si>
  <si>
    <t>C (not High risk)</t>
  </si>
  <si>
    <t>Voice bot negotiates the minimum amount due</t>
  </si>
  <si>
    <t>E (not High risk)</t>
  </si>
  <si>
    <t>Low risk: WhatsApp reminder (Voice bot if 3+ months of bullet interest) | Medium risk: Voice bot; Call center if POS &gt; ₹2L and urgent (monthly with 2 months unpaid, or bullet with 3+ months)</t>
  </si>
  <si>
    <t>Reallocation on response</t>
  </si>
  <si>
    <t>Non-High-risk customers: if the last attempt used the same channel and got No response / Not reachable, move one rung up (WhatsApp &gt; Voice bot &gt; Call center), capped per segment (A, B: Voice bot; C, E: Call center). Refused / disputed goes to Call center (not A, B).</t>
  </si>
  <si>
    <t>Consent check</t>
  </si>
  <si>
    <t>If WhatsApp is the suggested channel but WhatsApp opt-in = N, route to Voice bot.</t>
  </si>
  <si>
    <t>WhatsApp &gt; Voice bot | Voice bot &gt; WhatsApp (Low risk with opt-in), None for segment B, else Call center | Call center and Bot + call center &gt; Field visit</t>
  </si>
  <si>
    <t>No longer a first-line channel. It is the fallback after Bot + call center / Call center. Tell me if you want it back as a first-line channel for the highest-urgency accounts.</t>
  </si>
  <si>
    <t>How the sample data was generated (all values are synthetic)</t>
  </si>
  <si>
    <t>Mobile numbers / names</t>
  </si>
  <si>
    <t>Randomly generated and fictitious. Random 10-digit numbers could belong to real people: replace with test numbers before any live voice-bot or WhatsApp trial.</t>
  </si>
  <si>
    <t>Payment scheme mix</t>
  </si>
  <si>
    <t>~56% Monthly interest, ~44% Bullet. Bullet tenures: 3M 12%, 6M 58%, 12M 30% (6M largest, as in the Bullet 3M/6M/12M cut on your collections page).</t>
  </si>
  <si>
    <t>Months unpaid (monthly)</t>
  </si>
  <si>
    <t>1 month: ~57%, 2 months: ~43%. Accounts with 0 months unpaid (not yet due) are excluded, so every monthly-interest account is within 1-2 months of NPA (3-month trigger). This is the at-risk collections pool, consistent with your "20-40% of EII loans at risk of NPA in 3 months".</t>
  </si>
  <si>
    <t>eNACH</t>
  </si>
  <si>
    <t>~30% of monthly-interest loans have eNACH, i.e. ~70% do not (your 60-80% without NACH).</t>
  </si>
  <si>
    <t>POS</t>
  </si>
  <si>
    <t>Log-normal, median ~₹1.2L, range ₹15k to ₹25L.</t>
  </si>
  <si>
    <t>Interest rate</t>
  </si>
  <si>
    <t>Bullet 12-18% p.a.; Monthly interest 14-24% p.a. (illustrative, not Muthoot's rate card).</t>
  </si>
  <si>
    <t>Risk score</t>
  </si>
  <si>
    <t>Weighted on-us behaviour (months unpaid, missed payments, broken promises; for bullets, accrual months and maturity pressure), off-us signals (bureau score, off-us loans, off-us delinquency) and LTV, plus noise. Scaled 0-100. Bullets are not subject to the 3-month NPA clock (bullet NPA depends on maturity), so their months of interest due can run to 6.</t>
  </si>
  <si>
    <t>Static vs formula columns</t>
  </si>
  <si>
    <t>Green headers on Customers are live formulas (due amount, months to NPA, bot ask, days past due, maturity). Risk score, risk tier, segment, channel and fallback are static model-style outputs.</t>
  </si>
  <si>
    <t>Data dictionary</t>
  </si>
  <si>
    <t>Navy headers = columns you asked for. Blue = columns I added. Teal = live formula columns.</t>
  </si>
  <si>
    <t>#</t>
  </si>
  <si>
    <t>Column</t>
  </si>
  <si>
    <t>Requested / Added</t>
  </si>
  <si>
    <t>Type</t>
  </si>
  <si>
    <t>Description</t>
  </si>
  <si>
    <t>Requested</t>
  </si>
  <si>
    <t>Data</t>
  </si>
  <si>
    <t>Unique customer identifier (synthetic).</t>
  </si>
  <si>
    <t>Customer name (synthetic, matched to state/language).</t>
  </si>
  <si>
    <t>10-digit mobile number (synthetic). Do not dial.</t>
  </si>
  <si>
    <t>Principal outstanding on the gold loan, in ₹.</t>
  </si>
  <si>
    <t>Loan type. All rows are Gold loan.</t>
  </si>
  <si>
    <t>Bullet (interest + principal at maturity) or Monthly interest (EII).</t>
  </si>
  <si>
    <t>Bullet only: months of interest accrued and unpaid.</t>
  </si>
  <si>
    <t>Formula</t>
  </si>
  <si>
    <t>Bullet only: months of interest the bot tries to collect = MIN(months due, max months on Assumptions).</t>
  </si>
  <si>
    <t>Monthly-interest only: months of interest not paid.</t>
  </si>
  <si>
    <t>Monthly-interest only: months left before NPA = NPA trigger (3 months) - months unpaid, so always 1 or 2 in this sample.</t>
  </si>
  <si>
    <t>Months of interest due x monthly interest. For monthly customers who are current (0 months unpaid), shows the upcoming month's interest.</t>
  </si>
  <si>
    <t>Monthly: date of the oldest unpaid due date (or the upcoming due date if current). Bullet: date interest started accruing (loan start).</t>
  </si>
  <si>
    <t>Model output</t>
  </si>
  <si>
    <t>High / Medium / Low, from the risk score (cut-offs on Assumptions). Reflects on-us + off-us signals.</t>
  </si>
  <si>
    <t>Recommended first channel: WhatsApp reminder, Voice bot, Call center, or Bot + call center (all High-risk customers), per the treatment strategy.</t>
  </si>
  <si>
    <t>Added</t>
  </si>
  <si>
    <t>One-line reason for the channel, including any response-based escalation.</t>
  </si>
  <si>
    <t>Next channel if the suggested channel does not work (Field visit is used here).</t>
  </si>
  <si>
    <t>Treatment segment A-E (see Assumptions for rules).</t>
  </si>
  <si>
    <t>What the bot should do on the call or message for this segment.</t>
  </si>
  <si>
    <t>Language for the vernacular bot.</t>
  </si>
  <si>
    <t>Customer consent to receive WhatsApp messages.</t>
  </si>
  <si>
    <t>Best time to call.</t>
  </si>
  <si>
    <t>State of the branch.</t>
  </si>
  <si>
    <t>City of the branch.</t>
  </si>
  <si>
    <t>Servicing branch (for call-center / field routing).</t>
  </si>
  <si>
    <t>Gold loan account number (synthetic).</t>
  </si>
  <si>
    <t>Loan disbursement date.</t>
  </si>
  <si>
    <t>Contractual tenure in months.</t>
  </si>
  <si>
    <t>Formula: EDATE(loan start, tenure).</t>
  </si>
  <si>
    <t>Interest rate, % per annum (illustrative).</t>
  </si>
  <si>
    <t>Formula: POS x rate / 12, rounded.</t>
  </si>
  <si>
    <t>Formula: amount the bot asks for (minimum amount due) = ask months x monthly interest.</t>
  </si>
  <si>
    <t>Formula: monthly = as-of date - due since; bullet = days past maturity. 0 if not yet due.</t>
  </si>
  <si>
    <t>Date of the last interest payment (monthly-interest only).</t>
  </si>
  <si>
    <t>Formula: as-of date - last payment date.</t>
  </si>
  <si>
    <t>Y/N for monthly-interest; NA for bullet.</t>
  </si>
  <si>
    <t>Missed interest due dates in the last 6 months (monthly-interest only).</t>
  </si>
  <si>
    <t>Promises to pay made but not kept in the last 3 months.</t>
  </si>
  <si>
    <t>Credit bureau score (300-900); NA = no bureau history.</t>
  </si>
  <si>
    <t>Active loans with other lenders (off-us).</t>
  </si>
  <si>
    <t>Y if any off-us loan is 30+ days past due.</t>
  </si>
  <si>
    <t>Loan-to-value on pledged gold (%); higher = thinner buffer.</t>
  </si>
  <si>
    <t>Composite risk score, 0-100 (higher = riskier).</t>
  </si>
  <si>
    <t>Date of the most recent collections contact.</t>
  </si>
  <si>
    <t>Channel of the most recent contact.</t>
  </si>
  <si>
    <t>Outcome of the most recent contact.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</si>
</sst>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"/>
    <numFmt numFmtId="166" formatCode="0.0%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color rgb="FF051C2C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51C2C"/>
        <bgColor rgb="FF000000"/>
      </patternFill>
    </fill>
    <fill>
      <patternFill patternType="solid">
        <fgColor rgb="FF0B7A75"/>
        <bgColor rgb="FF008080"/>
      </patternFill>
    </fill>
    <fill>
      <patternFill patternType="solid">
        <fgColor rgb="FF2251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E3EBFF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/>
    <xf numFmtId="49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3" fontId="2" fillId="0" borderId="1" xfId="0" applyNumberFormat="1" applyFont="1" applyBorder="1"/>
    <xf numFmtId="166" fontId="2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/>
    <xf numFmtId="166" fontId="5" fillId="0" borderId="1" xfId="0" applyNumberFormat="1" applyFont="1" applyBorder="1"/>
    <xf numFmtId="1" fontId="2" fillId="0" borderId="1" xfId="0" applyNumberFormat="1" applyFont="1" applyBorder="1"/>
    <xf numFmtId="0" fontId="1" fillId="2" borderId="1" xfId="0" applyFont="1" applyFill="1" applyBorder="1"/>
    <xf numFmtId="164" fontId="6" fillId="5" borderId="1" xfId="0" applyNumberFormat="1" applyFont="1" applyFill="1" applyBorder="1"/>
    <xf numFmtId="0" fontId="4" fillId="0" borderId="0" xfId="0" applyFont="1" applyAlignment="1">
      <alignment vertical="top" wrapText="1"/>
    </xf>
    <xf numFmtId="1" fontId="6" fillId="5" borderId="1" xfId="0" applyNumberFormat="1" applyFont="1" applyFill="1" applyBorder="1"/>
    <xf numFmtId="0" fontId="5" fillId="6" borderId="0" xfId="0" applyFont="1" applyFill="1"/>
    <xf numFmtId="0" fontId="0" fillId="6" borderId="0" xfId="0" applyFill="1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15">
    <dxf>
      <font>
        <b/>
        <sz val="10"/>
        <color rgb="FFFFFFFF"/>
        <name val="Arial"/>
        <charset val="1"/>
      </font>
      <fill>
        <patternFill>
          <bgColor rgb="FF051C2C"/>
        </patternFill>
      </fill>
    </dxf>
    <dxf>
      <font>
        <b/>
        <sz val="10"/>
        <color rgb="FFFFFFFF"/>
        <name val="Arial"/>
        <charset val="1"/>
      </font>
      <fill>
        <patternFill>
          <bgColor rgb="FF051C2C"/>
        </patternFill>
      </fill>
    </dxf>
    <dxf>
      <font>
        <b/>
        <sz val="10"/>
        <color rgb="FFFFFFFF"/>
        <name val="Arial"/>
        <charset val="1"/>
      </font>
      <fill>
        <patternFill>
          <bgColor rgb="FF2251FF"/>
        </patternFill>
      </fill>
    </dxf>
    <dxf>
      <font>
        <b/>
        <sz val="10"/>
        <color rgb="FFFFFFFF"/>
        <name val="Arial"/>
        <charset val="1"/>
      </font>
      <fill>
        <patternFill>
          <bgColor rgb="FF6C8CFF"/>
        </patternFill>
      </fill>
    </dxf>
    <dxf>
      <font>
        <b/>
        <sz val="10"/>
        <color rgb="FF051C2C"/>
        <name val="Arial"/>
        <charset val="1"/>
      </font>
      <fill>
        <patternFill>
          <bgColor rgb="FFB4C7FF"/>
        </patternFill>
      </fill>
    </dxf>
    <dxf>
      <font>
        <b/>
        <sz val="10"/>
        <color rgb="FF051C2C"/>
        <name val="Arial"/>
        <charset val="1"/>
      </font>
      <fill>
        <patternFill>
          <bgColor rgb="FFE3EBFF"/>
        </patternFill>
      </fill>
    </dxf>
    <dxf>
      <font>
        <b/>
        <sz val="10"/>
        <color rgb="FFFFFFFF"/>
        <name val="Arial"/>
        <charset val="1"/>
      </font>
      <fill>
        <patternFill>
          <bgColor rgb="FF051C2C"/>
        </patternFill>
      </fill>
    </dxf>
    <dxf>
      <font>
        <b/>
        <sz val="10"/>
        <color rgb="FFFFFFFF"/>
        <name val="Arial"/>
        <charset val="1"/>
      </font>
      <fill>
        <patternFill>
          <bgColor rgb="FF051C2C"/>
        </patternFill>
      </fill>
    </dxf>
    <dxf>
      <font>
        <b/>
        <sz val="10"/>
        <color rgb="FFFFFFFF"/>
        <name val="Arial"/>
        <charset val="1"/>
      </font>
      <fill>
        <patternFill>
          <bgColor rgb="FF2251FF"/>
        </patternFill>
      </fill>
    </dxf>
    <dxf>
      <font>
        <b/>
        <sz val="10"/>
        <color rgb="FFFFFFFF"/>
        <name val="Arial"/>
        <charset val="1"/>
      </font>
      <fill>
        <patternFill>
          <bgColor rgb="FF6C8CFF"/>
        </patternFill>
      </fill>
    </dxf>
    <dxf>
      <font>
        <b/>
        <sz val="10"/>
        <color rgb="FF051C2C"/>
        <name val="Arial"/>
        <charset val="1"/>
      </font>
      <fill>
        <patternFill>
          <bgColor rgb="FFB4C7FF"/>
        </patternFill>
      </fill>
    </dxf>
    <dxf>
      <font>
        <b/>
        <sz val="10"/>
        <color rgb="FF051C2C"/>
        <name val="Arial"/>
        <charset val="1"/>
      </font>
      <fill>
        <patternFill>
          <bgColor rgb="FFE3EBFF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B7A75"/>
      <rgbColor rgb="FFBFBFBF"/>
      <rgbColor rgb="FF808080"/>
      <rgbColor rgb="FF6C8CFF"/>
      <rgbColor rgb="FF993366"/>
      <rgbColor rgb="FFFFFFCC"/>
      <rgbColor rgb="FFE3EBFF"/>
      <rgbColor rgb="FF660066"/>
      <rgbColor rgb="FFFF8080"/>
      <rgbColor rgb="FF0066CC"/>
      <rgbColor rgb="FFB4C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251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51C2C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01"/>
  <sheetViews>
    <sheetView tabSelected="1" zoomScaleNormal="100" workbookViewId="0">
      <pane xSplit="2" ySplit="1" topLeftCell="AJ2" activePane="bottomRight" state="frozen"/>
      <selection pane="topRight" activeCell="C1" sqref="C1"/>
      <selection pane="bottomLeft" activeCell="A2" sqref="A2"/>
      <selection pane="bottomRight" sqref="A1:XFD1"/>
    </sheetView>
  </sheetViews>
  <sheetFormatPr defaultColWidth="8.6328125" defaultRowHeight="14.5" x14ac:dyDescent="0.35"/>
  <cols>
    <col min="1" max="1" width="14" customWidth="1"/>
    <col min="2" max="2" width="22" customWidth="1"/>
    <col min="3" max="3" width="14" customWidth="1"/>
    <col min="4" max="4" width="12" customWidth="1"/>
    <col min="5" max="5" width="11" customWidth="1"/>
    <col min="6" max="6" width="16" customWidth="1"/>
    <col min="7" max="7" width="14" customWidth="1"/>
    <col min="8" max="8" width="16" customWidth="1"/>
    <col min="9" max="9" width="14" customWidth="1"/>
    <col min="10" max="10" width="12" customWidth="1"/>
    <col min="11" max="12" width="13" customWidth="1"/>
    <col min="13" max="13" width="10" customWidth="1"/>
    <col min="14" max="14" width="18" customWidth="1"/>
    <col min="15" max="15" width="44" customWidth="1"/>
    <col min="16" max="16" width="24" customWidth="1"/>
    <col min="17" max="17" width="26" customWidth="1"/>
    <col min="18" max="18" width="36" customWidth="1"/>
    <col min="19" max="19" width="12" customWidth="1"/>
    <col min="20" max="20" width="11" customWidth="1"/>
    <col min="21" max="21" width="19" customWidth="1"/>
    <col min="22" max="22" width="15" customWidth="1"/>
    <col min="23" max="23" width="16" customWidth="1"/>
    <col min="24" max="24" width="30" customWidth="1"/>
    <col min="25" max="25" width="15" customWidth="1"/>
    <col min="26" max="26" width="13" customWidth="1"/>
    <col min="27" max="27" width="9" customWidth="1"/>
    <col min="28" max="28" width="13" customWidth="1"/>
    <col min="29" max="29" width="10" customWidth="1"/>
    <col min="30" max="31" width="12" customWidth="1"/>
    <col min="32" max="32" width="9" customWidth="1"/>
    <col min="33" max="33" width="14" customWidth="1"/>
    <col min="34" max="35" width="10" customWidth="1"/>
    <col min="36" max="37" width="12" customWidth="1"/>
    <col min="38" max="38" width="9" customWidth="1"/>
    <col min="39" max="39" width="10" customWidth="1"/>
    <col min="40" max="40" width="11" customWidth="1"/>
    <col min="41" max="41" width="8" customWidth="1"/>
    <col min="42" max="42" width="9" customWidth="1"/>
    <col min="43" max="43" width="13" customWidth="1"/>
    <col min="44" max="44" width="17" customWidth="1"/>
    <col min="45" max="45" width="19" customWidth="1"/>
  </cols>
  <sheetData>
    <row r="1" spans="1:45" ht="5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3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45" x14ac:dyDescent="0.35">
      <c r="A2" s="5" t="s">
        <v>45</v>
      </c>
      <c r="B2" s="5" t="s">
        <v>46</v>
      </c>
      <c r="C2" s="6" t="s">
        <v>47</v>
      </c>
      <c r="D2" s="7">
        <v>83400</v>
      </c>
      <c r="E2" s="5" t="s">
        <v>48</v>
      </c>
      <c r="F2" s="5" t="s">
        <v>49</v>
      </c>
      <c r="G2" s="8"/>
      <c r="H2" s="8" t="str">
        <f>IF(F2="Bullet",MIN(G2,Assumptions!$B$6),"")</f>
        <v/>
      </c>
      <c r="I2" s="8">
        <v>1</v>
      </c>
      <c r="J2" s="8">
        <f>IF(F2="Monthly interest",MAX(0,Assumptions!$B$5-I2),"")</f>
        <v>2</v>
      </c>
      <c r="K2" s="7">
        <f t="shared" ref="K2:K65" si="0">IF(F2="Bullet",G2*AD2,MAX(I2,1)*AD2)</f>
        <v>1251</v>
      </c>
      <c r="L2" s="9">
        <v>46272</v>
      </c>
      <c r="M2" s="5" t="s">
        <v>50</v>
      </c>
      <c r="N2" s="5" t="s">
        <v>51</v>
      </c>
      <c r="O2" s="5" t="s">
        <v>52</v>
      </c>
      <c r="P2" s="5" t="s">
        <v>53</v>
      </c>
      <c r="Q2" s="5" t="s">
        <v>54</v>
      </c>
      <c r="R2" s="5" t="s">
        <v>55</v>
      </c>
      <c r="S2" s="5" t="s">
        <v>56</v>
      </c>
      <c r="T2" s="5" t="s">
        <v>57</v>
      </c>
      <c r="U2" s="5" t="s">
        <v>58</v>
      </c>
      <c r="V2" s="5" t="s">
        <v>59</v>
      </c>
      <c r="W2" s="5" t="s">
        <v>60</v>
      </c>
      <c r="X2" s="5" t="s">
        <v>61</v>
      </c>
      <c r="Y2" s="5" t="s">
        <v>62</v>
      </c>
      <c r="Z2" s="9">
        <v>46180</v>
      </c>
      <c r="AA2" s="8">
        <v>24</v>
      </c>
      <c r="AB2" s="9">
        <f t="shared" ref="AB2:AB65" si="1">EDATE(Z2,AA2)</f>
        <v>46911</v>
      </c>
      <c r="AC2" s="10">
        <v>18</v>
      </c>
      <c r="AD2" s="7">
        <f t="shared" ref="AD2:AD65" si="2">ROUND(D2*AC2/100/12,0)</f>
        <v>1251</v>
      </c>
      <c r="AE2" s="7">
        <f>IF(F2="Bullet",H2*AD2,MIN(MAX(I2,1),Assumptions!$B$6)*AD2)</f>
        <v>1251</v>
      </c>
      <c r="AF2" s="8">
        <f>IF(F2="Bullet",MAX(0,Assumptions!$B$4-AB2),MAX(0,Assumptions!$B$4-L2))</f>
        <v>26</v>
      </c>
      <c r="AG2" s="9">
        <v>46246</v>
      </c>
      <c r="AH2" s="8">
        <f>IF(AG2="","",Assumptions!$B$4-AG2)</f>
        <v>52</v>
      </c>
      <c r="AI2" s="5" t="s">
        <v>63</v>
      </c>
      <c r="AJ2" s="8">
        <v>1</v>
      </c>
      <c r="AK2" s="8">
        <v>0</v>
      </c>
      <c r="AL2" s="8">
        <v>799</v>
      </c>
      <c r="AM2" s="8">
        <v>1</v>
      </c>
      <c r="AN2" s="5" t="s">
        <v>63</v>
      </c>
      <c r="AO2" s="10">
        <v>75</v>
      </c>
      <c r="AP2" s="8">
        <v>10</v>
      </c>
      <c r="AQ2" s="9">
        <v>46289</v>
      </c>
      <c r="AR2" s="5" t="s">
        <v>51</v>
      </c>
      <c r="AS2" s="5" t="s">
        <v>64</v>
      </c>
    </row>
    <row r="3" spans="1:45" x14ac:dyDescent="0.35">
      <c r="A3" s="5" t="s">
        <v>65</v>
      </c>
      <c r="B3" s="5" t="s">
        <v>66</v>
      </c>
      <c r="C3" s="6" t="s">
        <v>67</v>
      </c>
      <c r="D3" s="7">
        <v>252600</v>
      </c>
      <c r="E3" s="5" t="s">
        <v>48</v>
      </c>
      <c r="F3" s="5" t="s">
        <v>68</v>
      </c>
      <c r="G3" s="8">
        <v>3</v>
      </c>
      <c r="H3" s="8">
        <f>IF(F3="Bullet",MIN(G3,Assumptions!$B$6),"")</f>
        <v>2</v>
      </c>
      <c r="I3" s="8"/>
      <c r="J3" s="8" t="str">
        <f>IF(F3="Monthly interest",MAX(0,Assumptions!$B$5-I3),"")</f>
        <v/>
      </c>
      <c r="K3" s="7">
        <f t="shared" si="0"/>
        <v>7578</v>
      </c>
      <c r="L3" s="9">
        <v>46187</v>
      </c>
      <c r="M3" s="5" t="s">
        <v>69</v>
      </c>
      <c r="N3" s="5" t="s">
        <v>70</v>
      </c>
      <c r="O3" s="5" t="s">
        <v>71</v>
      </c>
      <c r="P3" s="5" t="s">
        <v>72</v>
      </c>
      <c r="Q3" s="5" t="s">
        <v>73</v>
      </c>
      <c r="R3" s="5" t="s">
        <v>74</v>
      </c>
      <c r="S3" s="5" t="s">
        <v>75</v>
      </c>
      <c r="T3" s="5" t="s">
        <v>57</v>
      </c>
      <c r="U3" s="5" t="s">
        <v>58</v>
      </c>
      <c r="V3" s="5" t="s">
        <v>76</v>
      </c>
      <c r="W3" s="5" t="s">
        <v>77</v>
      </c>
      <c r="X3" s="5" t="s">
        <v>78</v>
      </c>
      <c r="Y3" s="5" t="s">
        <v>79</v>
      </c>
      <c r="Z3" s="9">
        <v>46187</v>
      </c>
      <c r="AA3" s="8">
        <v>6</v>
      </c>
      <c r="AB3" s="9">
        <f t="shared" si="1"/>
        <v>46370</v>
      </c>
      <c r="AC3" s="10">
        <v>12</v>
      </c>
      <c r="AD3" s="7">
        <f t="shared" si="2"/>
        <v>2526</v>
      </c>
      <c r="AE3" s="7">
        <f>IF(F3="Bullet",H3*AD3,MIN(MAX(I3,1),Assumptions!$B$6)*AD3)</f>
        <v>5052</v>
      </c>
      <c r="AF3" s="8">
        <f>IF(F3="Bullet",MAX(0,Assumptions!$B$4-AB3),MAX(0,Assumptions!$B$4-L3))</f>
        <v>0</v>
      </c>
      <c r="AG3" s="9"/>
      <c r="AH3" s="8" t="str">
        <f>IF(AG3="","",Assumptions!$B$4-AG3)</f>
        <v/>
      </c>
      <c r="AI3" s="5" t="s">
        <v>80</v>
      </c>
      <c r="AJ3" s="8"/>
      <c r="AK3" s="8">
        <v>1</v>
      </c>
      <c r="AL3" s="8">
        <v>618</v>
      </c>
      <c r="AM3" s="8">
        <v>0</v>
      </c>
      <c r="AN3" s="5" t="s">
        <v>63</v>
      </c>
      <c r="AO3" s="10">
        <v>65.099999999999994</v>
      </c>
      <c r="AP3" s="8">
        <v>36</v>
      </c>
      <c r="AQ3" s="9">
        <v>46293</v>
      </c>
      <c r="AR3" s="5" t="s">
        <v>53</v>
      </c>
      <c r="AS3" s="5" t="s">
        <v>81</v>
      </c>
    </row>
    <row r="4" spans="1:45" x14ac:dyDescent="0.35">
      <c r="A4" s="5" t="s">
        <v>82</v>
      </c>
      <c r="B4" s="5" t="s">
        <v>83</v>
      </c>
      <c r="C4" s="6" t="s">
        <v>84</v>
      </c>
      <c r="D4" s="7">
        <v>68000</v>
      </c>
      <c r="E4" s="5" t="s">
        <v>48</v>
      </c>
      <c r="F4" s="5" t="s">
        <v>68</v>
      </c>
      <c r="G4" s="8">
        <v>2</v>
      </c>
      <c r="H4" s="8">
        <f>IF(F4="Bullet",MIN(G4,Assumptions!$B$6),"")</f>
        <v>2</v>
      </c>
      <c r="I4" s="8"/>
      <c r="J4" s="8" t="str">
        <f>IF(F4="Monthly interest",MAX(0,Assumptions!$B$5-I4),"")</f>
        <v/>
      </c>
      <c r="K4" s="7">
        <f t="shared" si="0"/>
        <v>2040</v>
      </c>
      <c r="L4" s="9">
        <v>46231</v>
      </c>
      <c r="M4" s="5" t="s">
        <v>50</v>
      </c>
      <c r="N4" s="5" t="s">
        <v>51</v>
      </c>
      <c r="O4" s="5" t="s">
        <v>71</v>
      </c>
      <c r="P4" s="5" t="s">
        <v>53</v>
      </c>
      <c r="Q4" s="5" t="s">
        <v>73</v>
      </c>
      <c r="R4" s="5" t="s">
        <v>74</v>
      </c>
      <c r="S4" s="5" t="s">
        <v>85</v>
      </c>
      <c r="T4" s="5" t="s">
        <v>57</v>
      </c>
      <c r="U4" s="5" t="s">
        <v>86</v>
      </c>
      <c r="V4" s="5" t="s">
        <v>87</v>
      </c>
      <c r="W4" s="5" t="s">
        <v>88</v>
      </c>
      <c r="X4" s="5" t="s">
        <v>89</v>
      </c>
      <c r="Y4" s="5" t="s">
        <v>90</v>
      </c>
      <c r="Z4" s="9">
        <v>46231</v>
      </c>
      <c r="AA4" s="8">
        <v>12</v>
      </c>
      <c r="AB4" s="9">
        <f t="shared" si="1"/>
        <v>46596</v>
      </c>
      <c r="AC4" s="10">
        <v>18</v>
      </c>
      <c r="AD4" s="7">
        <f t="shared" si="2"/>
        <v>1020</v>
      </c>
      <c r="AE4" s="7">
        <f>IF(F4="Bullet",H4*AD4,MIN(MAX(I4,1),Assumptions!$B$6)*AD4)</f>
        <v>2040</v>
      </c>
      <c r="AF4" s="8">
        <f>IF(F4="Bullet",MAX(0,Assumptions!$B$4-AB4),MAX(0,Assumptions!$B$4-L4))</f>
        <v>0</v>
      </c>
      <c r="AG4" s="9"/>
      <c r="AH4" s="8" t="str">
        <f>IF(AG4="","",Assumptions!$B$4-AG4)</f>
        <v/>
      </c>
      <c r="AI4" s="5" t="s">
        <v>80</v>
      </c>
      <c r="AJ4" s="8"/>
      <c r="AK4" s="8">
        <v>0</v>
      </c>
      <c r="AL4" s="8">
        <v>718</v>
      </c>
      <c r="AM4" s="8">
        <v>1</v>
      </c>
      <c r="AN4" s="5" t="s">
        <v>63</v>
      </c>
      <c r="AO4" s="10">
        <v>60</v>
      </c>
      <c r="AP4" s="8">
        <v>10</v>
      </c>
      <c r="AQ4" s="9">
        <v>46273</v>
      </c>
      <c r="AR4" s="5" t="s">
        <v>70</v>
      </c>
      <c r="AS4" s="5" t="s">
        <v>91</v>
      </c>
    </row>
    <row r="5" spans="1:45" x14ac:dyDescent="0.35">
      <c r="A5" s="5" t="s">
        <v>92</v>
      </c>
      <c r="B5" s="5" t="s">
        <v>93</v>
      </c>
      <c r="C5" s="6" t="s">
        <v>94</v>
      </c>
      <c r="D5" s="7">
        <v>536700</v>
      </c>
      <c r="E5" s="5" t="s">
        <v>48</v>
      </c>
      <c r="F5" s="5" t="s">
        <v>49</v>
      </c>
      <c r="G5" s="8"/>
      <c r="H5" s="8" t="str">
        <f>IF(F5="Bullet",MIN(G5,Assumptions!$B$6),"")</f>
        <v/>
      </c>
      <c r="I5" s="8">
        <v>1</v>
      </c>
      <c r="J5" s="8">
        <f>IF(F5="Monthly interest",MAX(0,Assumptions!$B$5-I5),"")</f>
        <v>2</v>
      </c>
      <c r="K5" s="7">
        <f t="shared" si="0"/>
        <v>7156</v>
      </c>
      <c r="L5" s="9">
        <v>46278</v>
      </c>
      <c r="M5" s="5" t="s">
        <v>69</v>
      </c>
      <c r="N5" s="5" t="s">
        <v>53</v>
      </c>
      <c r="O5" s="5" t="s">
        <v>95</v>
      </c>
      <c r="P5" s="5" t="s">
        <v>70</v>
      </c>
      <c r="Q5" s="5" t="s">
        <v>54</v>
      </c>
      <c r="R5" s="5" t="s">
        <v>55</v>
      </c>
      <c r="S5" s="5" t="s">
        <v>85</v>
      </c>
      <c r="T5" s="5" t="s">
        <v>63</v>
      </c>
      <c r="U5" s="5" t="s">
        <v>86</v>
      </c>
      <c r="V5" s="5" t="s">
        <v>96</v>
      </c>
      <c r="W5" s="5" t="s">
        <v>97</v>
      </c>
      <c r="X5" s="5" t="s">
        <v>98</v>
      </c>
      <c r="Y5" s="5" t="s">
        <v>99</v>
      </c>
      <c r="Z5" s="9">
        <v>46155</v>
      </c>
      <c r="AA5" s="8">
        <v>24</v>
      </c>
      <c r="AB5" s="9">
        <f t="shared" si="1"/>
        <v>46886</v>
      </c>
      <c r="AC5" s="10">
        <v>16</v>
      </c>
      <c r="AD5" s="7">
        <f t="shared" si="2"/>
        <v>7156</v>
      </c>
      <c r="AE5" s="7">
        <f>IF(F5="Bullet",H5*AD5,MIN(MAX(I5,1),Assumptions!$B$6)*AD5)</f>
        <v>7156</v>
      </c>
      <c r="AF5" s="8">
        <f>IF(F5="Bullet",MAX(0,Assumptions!$B$4-AB5),MAX(0,Assumptions!$B$4-L5))</f>
        <v>20</v>
      </c>
      <c r="AG5" s="9">
        <v>46250</v>
      </c>
      <c r="AH5" s="8">
        <f>IF(AG5="","",Assumptions!$B$4-AG5)</f>
        <v>48</v>
      </c>
      <c r="AI5" s="5" t="s">
        <v>63</v>
      </c>
      <c r="AJ5" s="8">
        <v>1</v>
      </c>
      <c r="AK5" s="8">
        <v>0</v>
      </c>
      <c r="AL5" s="8">
        <v>595</v>
      </c>
      <c r="AM5" s="8">
        <v>1</v>
      </c>
      <c r="AN5" s="5" t="s">
        <v>63</v>
      </c>
      <c r="AO5" s="10">
        <v>64.7</v>
      </c>
      <c r="AP5" s="8">
        <v>46</v>
      </c>
      <c r="AQ5" s="9">
        <v>46277</v>
      </c>
      <c r="AR5" s="5" t="s">
        <v>53</v>
      </c>
      <c r="AS5" s="5" t="s">
        <v>81</v>
      </c>
    </row>
    <row r="6" spans="1:45" x14ac:dyDescent="0.35">
      <c r="A6" s="5" t="s">
        <v>100</v>
      </c>
      <c r="B6" s="5" t="s">
        <v>101</v>
      </c>
      <c r="C6" s="6" t="s">
        <v>102</v>
      </c>
      <c r="D6" s="7">
        <v>109200</v>
      </c>
      <c r="E6" s="5" t="s">
        <v>48</v>
      </c>
      <c r="F6" s="5" t="s">
        <v>49</v>
      </c>
      <c r="G6" s="8"/>
      <c r="H6" s="8" t="str">
        <f>IF(F6="Bullet",MIN(G6,Assumptions!$B$6),"")</f>
        <v/>
      </c>
      <c r="I6" s="8">
        <v>1</v>
      </c>
      <c r="J6" s="8">
        <f>IF(F6="Monthly interest",MAX(0,Assumptions!$B$5-I6),"")</f>
        <v>2</v>
      </c>
      <c r="K6" s="7">
        <f t="shared" si="0"/>
        <v>2002</v>
      </c>
      <c r="L6" s="9">
        <v>46272</v>
      </c>
      <c r="M6" s="5" t="s">
        <v>50</v>
      </c>
      <c r="N6" s="5" t="s">
        <v>53</v>
      </c>
      <c r="O6" s="5" t="s">
        <v>103</v>
      </c>
      <c r="P6" s="5" t="s">
        <v>70</v>
      </c>
      <c r="Q6" s="5" t="s">
        <v>54</v>
      </c>
      <c r="R6" s="5" t="s">
        <v>55</v>
      </c>
      <c r="S6" s="5" t="s">
        <v>75</v>
      </c>
      <c r="T6" s="5" t="s">
        <v>63</v>
      </c>
      <c r="U6" s="5" t="s">
        <v>104</v>
      </c>
      <c r="V6" s="5" t="s">
        <v>76</v>
      </c>
      <c r="W6" s="5" t="s">
        <v>105</v>
      </c>
      <c r="X6" s="5" t="s">
        <v>106</v>
      </c>
      <c r="Y6" s="5" t="s">
        <v>107</v>
      </c>
      <c r="Z6" s="9">
        <v>46180</v>
      </c>
      <c r="AA6" s="8">
        <v>12</v>
      </c>
      <c r="AB6" s="9">
        <f t="shared" si="1"/>
        <v>46545</v>
      </c>
      <c r="AC6" s="10">
        <v>22</v>
      </c>
      <c r="AD6" s="7">
        <f t="shared" si="2"/>
        <v>2002</v>
      </c>
      <c r="AE6" s="7">
        <f>IF(F6="Bullet",H6*AD6,MIN(MAX(I6,1),Assumptions!$B$6)*AD6)</f>
        <v>2002</v>
      </c>
      <c r="AF6" s="8">
        <f>IF(F6="Bullet",MAX(0,Assumptions!$B$4-AB6),MAX(0,Assumptions!$B$4-L6))</f>
        <v>26</v>
      </c>
      <c r="AG6" s="9">
        <v>46243</v>
      </c>
      <c r="AH6" s="8">
        <f>IF(AG6="","",Assumptions!$B$4-AG6)</f>
        <v>55</v>
      </c>
      <c r="AI6" s="5" t="s">
        <v>63</v>
      </c>
      <c r="AJ6" s="8">
        <v>1</v>
      </c>
      <c r="AK6" s="8">
        <v>0</v>
      </c>
      <c r="AL6" s="8">
        <v>762</v>
      </c>
      <c r="AM6" s="8">
        <v>0</v>
      </c>
      <c r="AN6" s="5" t="s">
        <v>63</v>
      </c>
      <c r="AO6" s="10">
        <v>72</v>
      </c>
      <c r="AP6" s="8">
        <v>18</v>
      </c>
      <c r="AQ6" s="9">
        <v>46293</v>
      </c>
      <c r="AR6" s="5" t="s">
        <v>51</v>
      </c>
      <c r="AS6" s="5" t="s">
        <v>81</v>
      </c>
    </row>
    <row r="7" spans="1:45" x14ac:dyDescent="0.35">
      <c r="A7" s="5" t="s">
        <v>108</v>
      </c>
      <c r="B7" s="5" t="s">
        <v>109</v>
      </c>
      <c r="C7" s="6" t="s">
        <v>110</v>
      </c>
      <c r="D7" s="7">
        <v>99900</v>
      </c>
      <c r="E7" s="5" t="s">
        <v>48</v>
      </c>
      <c r="F7" s="5" t="s">
        <v>49</v>
      </c>
      <c r="G7" s="8"/>
      <c r="H7" s="8" t="str">
        <f>IF(F7="Bullet",MIN(G7,Assumptions!$B$6),"")</f>
        <v/>
      </c>
      <c r="I7" s="8">
        <v>1</v>
      </c>
      <c r="J7" s="8">
        <f>IF(F7="Monthly interest",MAX(0,Assumptions!$B$5-I7),"")</f>
        <v>2</v>
      </c>
      <c r="K7" s="7">
        <f t="shared" si="0"/>
        <v>1998</v>
      </c>
      <c r="L7" s="9">
        <v>46289</v>
      </c>
      <c r="M7" s="5" t="s">
        <v>50</v>
      </c>
      <c r="N7" s="5" t="s">
        <v>51</v>
      </c>
      <c r="O7" s="5" t="s">
        <v>52</v>
      </c>
      <c r="P7" s="5" t="s">
        <v>53</v>
      </c>
      <c r="Q7" s="5" t="s">
        <v>54</v>
      </c>
      <c r="R7" s="5" t="s">
        <v>55</v>
      </c>
      <c r="S7" s="5" t="s">
        <v>75</v>
      </c>
      <c r="T7" s="5" t="s">
        <v>57</v>
      </c>
      <c r="U7" s="5" t="s">
        <v>86</v>
      </c>
      <c r="V7" s="5" t="s">
        <v>76</v>
      </c>
      <c r="W7" s="5" t="s">
        <v>105</v>
      </c>
      <c r="X7" s="5" t="s">
        <v>111</v>
      </c>
      <c r="Y7" s="5" t="s">
        <v>112</v>
      </c>
      <c r="Z7" s="9">
        <v>46015</v>
      </c>
      <c r="AA7" s="8">
        <v>12</v>
      </c>
      <c r="AB7" s="9">
        <f t="shared" si="1"/>
        <v>46380</v>
      </c>
      <c r="AC7" s="10">
        <v>24</v>
      </c>
      <c r="AD7" s="7">
        <f t="shared" si="2"/>
        <v>1998</v>
      </c>
      <c r="AE7" s="7">
        <f>IF(F7="Bullet",H7*AD7,MIN(MAX(I7,1),Assumptions!$B$6)*AD7)</f>
        <v>1998</v>
      </c>
      <c r="AF7" s="8">
        <f>IF(F7="Bullet",MAX(0,Assumptions!$B$4-AB7),MAX(0,Assumptions!$B$4-L7))</f>
        <v>9</v>
      </c>
      <c r="AG7" s="9">
        <v>46259</v>
      </c>
      <c r="AH7" s="8">
        <f>IF(AG7="","",Assumptions!$B$4-AG7)</f>
        <v>39</v>
      </c>
      <c r="AI7" s="5" t="s">
        <v>63</v>
      </c>
      <c r="AJ7" s="8">
        <v>1</v>
      </c>
      <c r="AK7" s="8">
        <v>0</v>
      </c>
      <c r="AL7" s="8">
        <v>722</v>
      </c>
      <c r="AM7" s="8">
        <v>0</v>
      </c>
      <c r="AN7" s="5" t="s">
        <v>63</v>
      </c>
      <c r="AO7" s="10">
        <v>70.3</v>
      </c>
      <c r="AP7" s="8">
        <v>22</v>
      </c>
      <c r="AQ7" s="9">
        <v>46289</v>
      </c>
      <c r="AR7" s="5" t="s">
        <v>53</v>
      </c>
      <c r="AS7" s="5" t="s">
        <v>81</v>
      </c>
    </row>
    <row r="8" spans="1:45" x14ac:dyDescent="0.35">
      <c r="A8" s="5" t="s">
        <v>113</v>
      </c>
      <c r="B8" s="5" t="s">
        <v>114</v>
      </c>
      <c r="C8" s="6" t="s">
        <v>115</v>
      </c>
      <c r="D8" s="7">
        <v>127200</v>
      </c>
      <c r="E8" s="5" t="s">
        <v>48</v>
      </c>
      <c r="F8" s="5" t="s">
        <v>49</v>
      </c>
      <c r="G8" s="8"/>
      <c r="H8" s="8" t="str">
        <f>IF(F8="Bullet",MIN(G8,Assumptions!$B$6),"")</f>
        <v/>
      </c>
      <c r="I8" s="8">
        <v>2</v>
      </c>
      <c r="J8" s="8">
        <f>IF(F8="Monthly interest",MAX(0,Assumptions!$B$5-I8),"")</f>
        <v>1</v>
      </c>
      <c r="K8" s="7">
        <f t="shared" si="0"/>
        <v>3816</v>
      </c>
      <c r="L8" s="9">
        <v>46250</v>
      </c>
      <c r="M8" s="5" t="s">
        <v>116</v>
      </c>
      <c r="N8" s="5" t="s">
        <v>117</v>
      </c>
      <c r="O8" s="5" t="s">
        <v>118</v>
      </c>
      <c r="P8" s="5" t="s">
        <v>72</v>
      </c>
      <c r="Q8" s="5" t="s">
        <v>119</v>
      </c>
      <c r="R8" s="5" t="s">
        <v>120</v>
      </c>
      <c r="S8" s="5" t="s">
        <v>56</v>
      </c>
      <c r="T8" s="5" t="s">
        <v>57</v>
      </c>
      <c r="U8" s="5" t="s">
        <v>58</v>
      </c>
      <c r="V8" s="5" t="s">
        <v>59</v>
      </c>
      <c r="W8" s="5" t="s">
        <v>60</v>
      </c>
      <c r="X8" s="5" t="s">
        <v>121</v>
      </c>
      <c r="Y8" s="5" t="s">
        <v>122</v>
      </c>
      <c r="Z8" s="9">
        <v>46069</v>
      </c>
      <c r="AA8" s="8">
        <v>24</v>
      </c>
      <c r="AB8" s="9">
        <f t="shared" si="1"/>
        <v>46799</v>
      </c>
      <c r="AC8" s="10">
        <v>18</v>
      </c>
      <c r="AD8" s="7">
        <f t="shared" si="2"/>
        <v>1908</v>
      </c>
      <c r="AE8" s="7">
        <f>IF(F8="Bullet",H8*AD8,MIN(MAX(I8,1),Assumptions!$B$6)*AD8)</f>
        <v>3816</v>
      </c>
      <c r="AF8" s="8">
        <f>IF(F8="Bullet",MAX(0,Assumptions!$B$4-AB8),MAX(0,Assumptions!$B$4-L8))</f>
        <v>48</v>
      </c>
      <c r="AG8" s="9">
        <v>46222</v>
      </c>
      <c r="AH8" s="8">
        <f>IF(AG8="","",Assumptions!$B$4-AG8)</f>
        <v>76</v>
      </c>
      <c r="AI8" s="5" t="s">
        <v>63</v>
      </c>
      <c r="AJ8" s="8">
        <v>2</v>
      </c>
      <c r="AK8" s="8">
        <v>0</v>
      </c>
      <c r="AL8" s="8">
        <v>698</v>
      </c>
      <c r="AM8" s="8">
        <v>1</v>
      </c>
      <c r="AN8" s="5" t="s">
        <v>63</v>
      </c>
      <c r="AO8" s="10">
        <v>88</v>
      </c>
      <c r="AP8" s="8">
        <v>53</v>
      </c>
      <c r="AQ8" s="9">
        <v>46276</v>
      </c>
      <c r="AR8" s="5" t="s">
        <v>70</v>
      </c>
      <c r="AS8" s="5" t="s">
        <v>91</v>
      </c>
    </row>
    <row r="9" spans="1:45" x14ac:dyDescent="0.35">
      <c r="A9" s="5" t="s">
        <v>123</v>
      </c>
      <c r="B9" s="5" t="s">
        <v>124</v>
      </c>
      <c r="C9" s="6" t="s">
        <v>125</v>
      </c>
      <c r="D9" s="7">
        <v>108900</v>
      </c>
      <c r="E9" s="5" t="s">
        <v>48</v>
      </c>
      <c r="F9" s="5" t="s">
        <v>49</v>
      </c>
      <c r="G9" s="8"/>
      <c r="H9" s="8" t="str">
        <f>IF(F9="Bullet",MIN(G9,Assumptions!$B$6),"")</f>
        <v/>
      </c>
      <c r="I9" s="8">
        <v>1</v>
      </c>
      <c r="J9" s="8">
        <f>IF(F9="Monthly interest",MAX(0,Assumptions!$B$5-I9),"")</f>
        <v>2</v>
      </c>
      <c r="K9" s="7">
        <f t="shared" si="0"/>
        <v>1271</v>
      </c>
      <c r="L9" s="9">
        <v>46298</v>
      </c>
      <c r="M9" s="5" t="s">
        <v>69</v>
      </c>
      <c r="N9" s="5" t="s">
        <v>51</v>
      </c>
      <c r="O9" s="5" t="s">
        <v>52</v>
      </c>
      <c r="P9" s="5" t="s">
        <v>53</v>
      </c>
      <c r="Q9" s="5" t="s">
        <v>54</v>
      </c>
      <c r="R9" s="5" t="s">
        <v>55</v>
      </c>
      <c r="S9" s="5" t="s">
        <v>56</v>
      </c>
      <c r="T9" s="5" t="s">
        <v>57</v>
      </c>
      <c r="U9" s="5" t="s">
        <v>104</v>
      </c>
      <c r="V9" s="5" t="s">
        <v>59</v>
      </c>
      <c r="W9" s="5" t="s">
        <v>126</v>
      </c>
      <c r="X9" s="5" t="s">
        <v>127</v>
      </c>
      <c r="Y9" s="5" t="s">
        <v>128</v>
      </c>
      <c r="Z9" s="9">
        <v>46025</v>
      </c>
      <c r="AA9" s="8">
        <v>24</v>
      </c>
      <c r="AB9" s="9">
        <f t="shared" si="1"/>
        <v>46755</v>
      </c>
      <c r="AC9" s="10">
        <v>14</v>
      </c>
      <c r="AD9" s="7">
        <f t="shared" si="2"/>
        <v>1271</v>
      </c>
      <c r="AE9" s="7">
        <f>IF(F9="Bullet",H9*AD9,MIN(MAX(I9,1),Assumptions!$B$6)*AD9)</f>
        <v>1271</v>
      </c>
      <c r="AF9" s="8">
        <f>IF(F9="Bullet",MAX(0,Assumptions!$B$4-AB9),MAX(0,Assumptions!$B$4-L9))</f>
        <v>0</v>
      </c>
      <c r="AG9" s="9">
        <v>46268</v>
      </c>
      <c r="AH9" s="8">
        <f>IF(AG9="","",Assumptions!$B$4-AG9)</f>
        <v>30</v>
      </c>
      <c r="AI9" s="5" t="s">
        <v>63</v>
      </c>
      <c r="AJ9" s="8">
        <v>2</v>
      </c>
      <c r="AK9" s="8">
        <v>0</v>
      </c>
      <c r="AL9" s="8">
        <v>592</v>
      </c>
      <c r="AM9" s="8">
        <v>5</v>
      </c>
      <c r="AN9" s="5" t="s">
        <v>63</v>
      </c>
      <c r="AO9" s="10">
        <v>67.599999999999994</v>
      </c>
      <c r="AP9" s="8">
        <v>45</v>
      </c>
      <c r="AQ9" s="9">
        <v>46274</v>
      </c>
      <c r="AR9" s="5" t="s">
        <v>51</v>
      </c>
      <c r="AS9" s="5" t="s">
        <v>64</v>
      </c>
    </row>
    <row r="10" spans="1:45" x14ac:dyDescent="0.35">
      <c r="A10" s="5" t="s">
        <v>129</v>
      </c>
      <c r="B10" s="5" t="s">
        <v>130</v>
      </c>
      <c r="C10" s="6" t="s">
        <v>131</v>
      </c>
      <c r="D10" s="7">
        <v>52300</v>
      </c>
      <c r="E10" s="5" t="s">
        <v>48</v>
      </c>
      <c r="F10" s="5" t="s">
        <v>49</v>
      </c>
      <c r="G10" s="8"/>
      <c r="H10" s="8" t="str">
        <f>IF(F10="Bullet",MIN(G10,Assumptions!$B$6),"")</f>
        <v/>
      </c>
      <c r="I10" s="8">
        <v>1</v>
      </c>
      <c r="J10" s="8">
        <f>IF(F10="Monthly interest",MAX(0,Assumptions!$B$5-I10),"")</f>
        <v>2</v>
      </c>
      <c r="K10" s="7">
        <f t="shared" si="0"/>
        <v>785</v>
      </c>
      <c r="L10" s="9">
        <v>46289</v>
      </c>
      <c r="M10" s="5" t="s">
        <v>50</v>
      </c>
      <c r="N10" s="5" t="s">
        <v>53</v>
      </c>
      <c r="O10" s="5" t="s">
        <v>132</v>
      </c>
      <c r="P10" s="5" t="s">
        <v>51</v>
      </c>
      <c r="Q10" s="5" t="s">
        <v>54</v>
      </c>
      <c r="R10" s="5" t="s">
        <v>55</v>
      </c>
      <c r="S10" s="5" t="s">
        <v>85</v>
      </c>
      <c r="T10" s="5" t="s">
        <v>57</v>
      </c>
      <c r="U10" s="5" t="s">
        <v>58</v>
      </c>
      <c r="V10" s="5" t="s">
        <v>133</v>
      </c>
      <c r="W10" s="5" t="s">
        <v>134</v>
      </c>
      <c r="X10" s="5" t="s">
        <v>135</v>
      </c>
      <c r="Y10" s="5" t="s">
        <v>136</v>
      </c>
      <c r="Z10" s="9">
        <v>46046</v>
      </c>
      <c r="AA10" s="8">
        <v>12</v>
      </c>
      <c r="AB10" s="9">
        <f t="shared" si="1"/>
        <v>46411</v>
      </c>
      <c r="AC10" s="10">
        <v>18</v>
      </c>
      <c r="AD10" s="7">
        <f t="shared" si="2"/>
        <v>785</v>
      </c>
      <c r="AE10" s="7">
        <f>IF(F10="Bullet",H10*AD10,MIN(MAX(I10,1),Assumptions!$B$6)*AD10)</f>
        <v>785</v>
      </c>
      <c r="AF10" s="8">
        <f>IF(F10="Bullet",MAX(0,Assumptions!$B$4-AB10),MAX(0,Assumptions!$B$4-L10))</f>
        <v>9</v>
      </c>
      <c r="AG10" s="9">
        <v>46263</v>
      </c>
      <c r="AH10" s="8">
        <f>IF(AG10="","",Assumptions!$B$4-AG10)</f>
        <v>35</v>
      </c>
      <c r="AI10" s="5" t="s">
        <v>63</v>
      </c>
      <c r="AJ10" s="8">
        <v>2</v>
      </c>
      <c r="AK10" s="8">
        <v>0</v>
      </c>
      <c r="AL10" s="8">
        <v>711</v>
      </c>
      <c r="AM10" s="8">
        <v>1</v>
      </c>
      <c r="AN10" s="5" t="s">
        <v>63</v>
      </c>
      <c r="AO10" s="10">
        <v>66.3</v>
      </c>
      <c r="AP10" s="8">
        <v>29</v>
      </c>
      <c r="AQ10" s="9">
        <v>46279</v>
      </c>
      <c r="AR10" s="5" t="s">
        <v>51</v>
      </c>
      <c r="AS10" s="5" t="s">
        <v>91</v>
      </c>
    </row>
    <row r="11" spans="1:45" x14ac:dyDescent="0.35">
      <c r="A11" s="5" t="s">
        <v>137</v>
      </c>
      <c r="B11" s="5" t="s">
        <v>138</v>
      </c>
      <c r="C11" s="6" t="s">
        <v>139</v>
      </c>
      <c r="D11" s="7">
        <v>102300</v>
      </c>
      <c r="E11" s="5" t="s">
        <v>48</v>
      </c>
      <c r="F11" s="5" t="s">
        <v>49</v>
      </c>
      <c r="G11" s="8"/>
      <c r="H11" s="8" t="str">
        <f>IF(F11="Bullet",MIN(G11,Assumptions!$B$6),"")</f>
        <v/>
      </c>
      <c r="I11" s="8">
        <v>1</v>
      </c>
      <c r="J11" s="8">
        <f>IF(F11="Monthly interest",MAX(0,Assumptions!$B$5-I11),"")</f>
        <v>2</v>
      </c>
      <c r="K11" s="7">
        <f t="shared" si="0"/>
        <v>1876</v>
      </c>
      <c r="L11" s="9">
        <v>46283</v>
      </c>
      <c r="M11" s="5" t="s">
        <v>50</v>
      </c>
      <c r="N11" s="5" t="s">
        <v>51</v>
      </c>
      <c r="O11" s="5" t="s">
        <v>52</v>
      </c>
      <c r="P11" s="5" t="s">
        <v>53</v>
      </c>
      <c r="Q11" s="5" t="s">
        <v>54</v>
      </c>
      <c r="R11" s="5" t="s">
        <v>55</v>
      </c>
      <c r="S11" s="5" t="s">
        <v>75</v>
      </c>
      <c r="T11" s="5" t="s">
        <v>57</v>
      </c>
      <c r="U11" s="5" t="s">
        <v>104</v>
      </c>
      <c r="V11" s="5" t="s">
        <v>76</v>
      </c>
      <c r="W11" s="5" t="s">
        <v>140</v>
      </c>
      <c r="X11" s="5" t="s">
        <v>141</v>
      </c>
      <c r="Y11" s="5" t="s">
        <v>142</v>
      </c>
      <c r="Z11" s="9">
        <v>46191</v>
      </c>
      <c r="AA11" s="8">
        <v>12</v>
      </c>
      <c r="AB11" s="9">
        <f t="shared" si="1"/>
        <v>46556</v>
      </c>
      <c r="AC11" s="10">
        <v>22</v>
      </c>
      <c r="AD11" s="7">
        <f t="shared" si="2"/>
        <v>1876</v>
      </c>
      <c r="AE11" s="7">
        <f>IF(F11="Bullet",H11*AD11,MIN(MAX(I11,1),Assumptions!$B$6)*AD11)</f>
        <v>1876</v>
      </c>
      <c r="AF11" s="8">
        <f>IF(F11="Bullet",MAX(0,Assumptions!$B$4-AB11),MAX(0,Assumptions!$B$4-L11))</f>
        <v>15</v>
      </c>
      <c r="AG11" s="9">
        <v>46256</v>
      </c>
      <c r="AH11" s="8">
        <f>IF(AG11="","",Assumptions!$B$4-AG11)</f>
        <v>42</v>
      </c>
      <c r="AI11" s="5" t="s">
        <v>63</v>
      </c>
      <c r="AJ11" s="8">
        <v>1</v>
      </c>
      <c r="AK11" s="8">
        <v>0</v>
      </c>
      <c r="AL11" s="8">
        <v>744</v>
      </c>
      <c r="AM11" s="8">
        <v>0</v>
      </c>
      <c r="AN11" s="5" t="s">
        <v>63</v>
      </c>
      <c r="AO11" s="10">
        <v>66.8</v>
      </c>
      <c r="AP11" s="8">
        <v>21</v>
      </c>
      <c r="AQ11" s="9">
        <v>46294</v>
      </c>
      <c r="AR11" s="5" t="s">
        <v>51</v>
      </c>
      <c r="AS11" s="5" t="s">
        <v>64</v>
      </c>
    </row>
    <row r="12" spans="1:45" x14ac:dyDescent="0.35">
      <c r="A12" s="5" t="s">
        <v>143</v>
      </c>
      <c r="B12" s="5" t="s">
        <v>144</v>
      </c>
      <c r="C12" s="6" t="s">
        <v>145</v>
      </c>
      <c r="D12" s="7">
        <v>152700</v>
      </c>
      <c r="E12" s="5" t="s">
        <v>48</v>
      </c>
      <c r="F12" s="5" t="s">
        <v>49</v>
      </c>
      <c r="G12" s="8"/>
      <c r="H12" s="8" t="str">
        <f>IF(F12="Bullet",MIN(G12,Assumptions!$B$6),"")</f>
        <v/>
      </c>
      <c r="I12" s="8">
        <v>1</v>
      </c>
      <c r="J12" s="8">
        <f>IF(F12="Monthly interest",MAX(0,Assumptions!$B$5-I12),"")</f>
        <v>2</v>
      </c>
      <c r="K12" s="7">
        <f t="shared" si="0"/>
        <v>2036</v>
      </c>
      <c r="L12" s="9">
        <v>46278</v>
      </c>
      <c r="M12" s="5" t="s">
        <v>50</v>
      </c>
      <c r="N12" s="5" t="s">
        <v>53</v>
      </c>
      <c r="O12" s="5" t="s">
        <v>103</v>
      </c>
      <c r="P12" s="5" t="s">
        <v>51</v>
      </c>
      <c r="Q12" s="5" t="s">
        <v>54</v>
      </c>
      <c r="R12" s="5" t="s">
        <v>55</v>
      </c>
      <c r="S12" s="5" t="s">
        <v>75</v>
      </c>
      <c r="T12" s="5" t="s">
        <v>57</v>
      </c>
      <c r="U12" s="5" t="s">
        <v>86</v>
      </c>
      <c r="V12" s="5" t="s">
        <v>76</v>
      </c>
      <c r="W12" s="5" t="s">
        <v>146</v>
      </c>
      <c r="X12" s="5" t="s">
        <v>147</v>
      </c>
      <c r="Y12" s="5" t="s">
        <v>148</v>
      </c>
      <c r="Z12" s="9">
        <v>46186</v>
      </c>
      <c r="AA12" s="8">
        <v>12</v>
      </c>
      <c r="AB12" s="9">
        <f t="shared" si="1"/>
        <v>46551</v>
      </c>
      <c r="AC12" s="10">
        <v>16</v>
      </c>
      <c r="AD12" s="7">
        <f t="shared" si="2"/>
        <v>2036</v>
      </c>
      <c r="AE12" s="7">
        <f>IF(F12="Bullet",H12*AD12,MIN(MAX(I12,1),Assumptions!$B$6)*AD12)</f>
        <v>2036</v>
      </c>
      <c r="AF12" s="8">
        <f>IF(F12="Bullet",MAX(0,Assumptions!$B$4-AB12),MAX(0,Assumptions!$B$4-L12))</f>
        <v>20</v>
      </c>
      <c r="AG12" s="9">
        <v>46249</v>
      </c>
      <c r="AH12" s="8">
        <f>IF(AG12="","",Assumptions!$B$4-AG12)</f>
        <v>49</v>
      </c>
      <c r="AI12" s="5" t="s">
        <v>57</v>
      </c>
      <c r="AJ12" s="8">
        <v>2</v>
      </c>
      <c r="AK12" s="8">
        <v>0</v>
      </c>
      <c r="AL12" s="8">
        <v>771</v>
      </c>
      <c r="AM12" s="8">
        <v>2</v>
      </c>
      <c r="AN12" s="5" t="s">
        <v>63</v>
      </c>
      <c r="AO12" s="10">
        <v>69.5</v>
      </c>
      <c r="AP12" s="8">
        <v>21</v>
      </c>
      <c r="AQ12" s="9">
        <v>46296</v>
      </c>
      <c r="AR12" s="5" t="s">
        <v>51</v>
      </c>
      <c r="AS12" s="5" t="s">
        <v>81</v>
      </c>
    </row>
    <row r="13" spans="1:45" x14ac:dyDescent="0.35">
      <c r="A13" s="5" t="s">
        <v>149</v>
      </c>
      <c r="B13" s="5" t="s">
        <v>150</v>
      </c>
      <c r="C13" s="6" t="s">
        <v>151</v>
      </c>
      <c r="D13" s="7">
        <v>44200</v>
      </c>
      <c r="E13" s="5" t="s">
        <v>48</v>
      </c>
      <c r="F13" s="5" t="s">
        <v>49</v>
      </c>
      <c r="G13" s="8"/>
      <c r="H13" s="8" t="str">
        <f>IF(F13="Bullet",MIN(G13,Assumptions!$B$6),"")</f>
        <v/>
      </c>
      <c r="I13" s="8">
        <v>2</v>
      </c>
      <c r="J13" s="8">
        <f>IF(F13="Monthly interest",MAX(0,Assumptions!$B$5-I13),"")</f>
        <v>1</v>
      </c>
      <c r="K13" s="7">
        <f t="shared" si="0"/>
        <v>1768</v>
      </c>
      <c r="L13" s="9">
        <v>46243</v>
      </c>
      <c r="M13" s="5" t="s">
        <v>69</v>
      </c>
      <c r="N13" s="5" t="s">
        <v>53</v>
      </c>
      <c r="O13" s="5" t="s">
        <v>152</v>
      </c>
      <c r="P13" s="5" t="s">
        <v>153</v>
      </c>
      <c r="Q13" s="5" t="s">
        <v>154</v>
      </c>
      <c r="R13" s="5" t="s">
        <v>155</v>
      </c>
      <c r="S13" s="5" t="s">
        <v>56</v>
      </c>
      <c r="T13" s="5" t="s">
        <v>57</v>
      </c>
      <c r="U13" s="5" t="s">
        <v>86</v>
      </c>
      <c r="V13" s="5" t="s">
        <v>59</v>
      </c>
      <c r="W13" s="5" t="s">
        <v>156</v>
      </c>
      <c r="X13" s="5" t="s">
        <v>157</v>
      </c>
      <c r="Y13" s="5" t="s">
        <v>158</v>
      </c>
      <c r="Z13" s="9">
        <v>46090</v>
      </c>
      <c r="AA13" s="8">
        <v>12</v>
      </c>
      <c r="AB13" s="9">
        <f t="shared" si="1"/>
        <v>46455</v>
      </c>
      <c r="AC13" s="10">
        <v>24</v>
      </c>
      <c r="AD13" s="7">
        <f t="shared" si="2"/>
        <v>884</v>
      </c>
      <c r="AE13" s="7">
        <f>IF(F13="Bullet",H13*AD13,MIN(MAX(I13,1),Assumptions!$B$6)*AD13)</f>
        <v>1768</v>
      </c>
      <c r="AF13" s="8">
        <f>IF(F13="Bullet",MAX(0,Assumptions!$B$4-AB13),MAX(0,Assumptions!$B$4-L13))</f>
        <v>55</v>
      </c>
      <c r="AG13" s="9">
        <v>46216</v>
      </c>
      <c r="AH13" s="8">
        <f>IF(AG13="","",Assumptions!$B$4-AG13)</f>
        <v>82</v>
      </c>
      <c r="AI13" s="5" t="s">
        <v>57</v>
      </c>
      <c r="AJ13" s="8">
        <v>2</v>
      </c>
      <c r="AK13" s="8">
        <v>0</v>
      </c>
      <c r="AL13" s="8" t="s">
        <v>80</v>
      </c>
      <c r="AM13" s="8">
        <v>0</v>
      </c>
      <c r="AN13" s="5" t="s">
        <v>63</v>
      </c>
      <c r="AO13" s="10">
        <v>74</v>
      </c>
      <c r="AP13" s="8">
        <v>45</v>
      </c>
      <c r="AQ13" s="9"/>
      <c r="AR13" s="5"/>
      <c r="AS13" s="5" t="s">
        <v>159</v>
      </c>
    </row>
    <row r="14" spans="1:45" x14ac:dyDescent="0.35">
      <c r="A14" s="5" t="s">
        <v>160</v>
      </c>
      <c r="B14" s="5" t="s">
        <v>161</v>
      </c>
      <c r="C14" s="6" t="s">
        <v>162</v>
      </c>
      <c r="D14" s="7">
        <v>169000</v>
      </c>
      <c r="E14" s="5" t="s">
        <v>48</v>
      </c>
      <c r="F14" s="5" t="s">
        <v>49</v>
      </c>
      <c r="G14" s="8"/>
      <c r="H14" s="8" t="str">
        <f>IF(F14="Bullet",MIN(G14,Assumptions!$B$6),"")</f>
        <v/>
      </c>
      <c r="I14" s="8">
        <v>2</v>
      </c>
      <c r="J14" s="8">
        <f>IF(F14="Monthly interest",MAX(0,Assumptions!$B$5-I14),"")</f>
        <v>1</v>
      </c>
      <c r="K14" s="7">
        <f t="shared" si="0"/>
        <v>5634</v>
      </c>
      <c r="L14" s="9">
        <v>46262</v>
      </c>
      <c r="M14" s="5" t="s">
        <v>116</v>
      </c>
      <c r="N14" s="5" t="s">
        <v>117</v>
      </c>
      <c r="O14" s="5" t="s">
        <v>118</v>
      </c>
      <c r="P14" s="5" t="s">
        <v>72</v>
      </c>
      <c r="Q14" s="5" t="s">
        <v>119</v>
      </c>
      <c r="R14" s="5" t="s">
        <v>120</v>
      </c>
      <c r="S14" s="5" t="s">
        <v>75</v>
      </c>
      <c r="T14" s="5" t="s">
        <v>63</v>
      </c>
      <c r="U14" s="5" t="s">
        <v>58</v>
      </c>
      <c r="V14" s="5" t="s">
        <v>76</v>
      </c>
      <c r="W14" s="5" t="s">
        <v>105</v>
      </c>
      <c r="X14" s="5" t="s">
        <v>163</v>
      </c>
      <c r="Y14" s="5" t="s">
        <v>164</v>
      </c>
      <c r="Z14" s="9">
        <v>46170</v>
      </c>
      <c r="AA14" s="8">
        <v>12</v>
      </c>
      <c r="AB14" s="9">
        <f t="shared" si="1"/>
        <v>46535</v>
      </c>
      <c r="AC14" s="10">
        <v>20</v>
      </c>
      <c r="AD14" s="7">
        <f t="shared" si="2"/>
        <v>2817</v>
      </c>
      <c r="AE14" s="7">
        <f>IF(F14="Bullet",H14*AD14,MIN(MAX(I14,1),Assumptions!$B$6)*AD14)</f>
        <v>5634</v>
      </c>
      <c r="AF14" s="8">
        <f>IF(F14="Bullet",MAX(0,Assumptions!$B$4-AB14),MAX(0,Assumptions!$B$4-L14))</f>
        <v>36</v>
      </c>
      <c r="AG14" s="9">
        <v>46235</v>
      </c>
      <c r="AH14" s="8">
        <f>IF(AG14="","",Assumptions!$B$4-AG14)</f>
        <v>63</v>
      </c>
      <c r="AI14" s="5" t="s">
        <v>57</v>
      </c>
      <c r="AJ14" s="8">
        <v>3</v>
      </c>
      <c r="AK14" s="8">
        <v>2</v>
      </c>
      <c r="AL14" s="8">
        <v>664</v>
      </c>
      <c r="AM14" s="8">
        <v>0</v>
      </c>
      <c r="AN14" s="5" t="s">
        <v>63</v>
      </c>
      <c r="AO14" s="10">
        <v>80.599999999999994</v>
      </c>
      <c r="AP14" s="8">
        <v>59</v>
      </c>
      <c r="AQ14" s="9">
        <v>46292</v>
      </c>
      <c r="AR14" s="5" t="s">
        <v>51</v>
      </c>
      <c r="AS14" s="5" t="s">
        <v>64</v>
      </c>
    </row>
    <row r="15" spans="1:45" x14ac:dyDescent="0.35">
      <c r="A15" s="5" t="s">
        <v>165</v>
      </c>
      <c r="B15" s="5" t="s">
        <v>166</v>
      </c>
      <c r="C15" s="6" t="s">
        <v>167</v>
      </c>
      <c r="D15" s="7">
        <v>137300</v>
      </c>
      <c r="E15" s="5" t="s">
        <v>48</v>
      </c>
      <c r="F15" s="5" t="s">
        <v>68</v>
      </c>
      <c r="G15" s="8">
        <v>5</v>
      </c>
      <c r="H15" s="8">
        <f>IF(F15="Bullet",MIN(G15,Assumptions!$B$6),"")</f>
        <v>2</v>
      </c>
      <c r="I15" s="8"/>
      <c r="J15" s="8" t="str">
        <f>IF(F15="Monthly interest",MAX(0,Assumptions!$B$5-I15),"")</f>
        <v/>
      </c>
      <c r="K15" s="7">
        <f t="shared" si="0"/>
        <v>8580</v>
      </c>
      <c r="L15" s="9">
        <v>46132</v>
      </c>
      <c r="M15" s="5" t="s">
        <v>69</v>
      </c>
      <c r="N15" s="5" t="s">
        <v>53</v>
      </c>
      <c r="O15" s="5" t="s">
        <v>168</v>
      </c>
      <c r="P15" s="5" t="s">
        <v>70</v>
      </c>
      <c r="Q15" s="5" t="s">
        <v>169</v>
      </c>
      <c r="R15" s="5" t="s">
        <v>170</v>
      </c>
      <c r="S15" s="5" t="s">
        <v>85</v>
      </c>
      <c r="T15" s="5" t="s">
        <v>57</v>
      </c>
      <c r="U15" s="5" t="s">
        <v>104</v>
      </c>
      <c r="V15" s="5" t="s">
        <v>96</v>
      </c>
      <c r="W15" s="5" t="s">
        <v>171</v>
      </c>
      <c r="X15" s="5" t="s">
        <v>172</v>
      </c>
      <c r="Y15" s="5" t="s">
        <v>173</v>
      </c>
      <c r="Z15" s="9">
        <v>46132</v>
      </c>
      <c r="AA15" s="8">
        <v>12</v>
      </c>
      <c r="AB15" s="9">
        <f t="shared" si="1"/>
        <v>46497</v>
      </c>
      <c r="AC15" s="10">
        <v>15</v>
      </c>
      <c r="AD15" s="7">
        <f t="shared" si="2"/>
        <v>1716</v>
      </c>
      <c r="AE15" s="7">
        <f>IF(F15="Bullet",H15*AD15,MIN(MAX(I15,1),Assumptions!$B$6)*AD15)</f>
        <v>3432</v>
      </c>
      <c r="AF15" s="8">
        <f>IF(F15="Bullet",MAX(0,Assumptions!$B$4-AB15),MAX(0,Assumptions!$B$4-L15))</f>
        <v>0</v>
      </c>
      <c r="AG15" s="9"/>
      <c r="AH15" s="8" t="str">
        <f>IF(AG15="","",Assumptions!$B$4-AG15)</f>
        <v/>
      </c>
      <c r="AI15" s="5" t="s">
        <v>80</v>
      </c>
      <c r="AJ15" s="8"/>
      <c r="AK15" s="8">
        <v>1</v>
      </c>
      <c r="AL15" s="8" t="s">
        <v>80</v>
      </c>
      <c r="AM15" s="8">
        <v>0</v>
      </c>
      <c r="AN15" s="5" t="s">
        <v>63</v>
      </c>
      <c r="AO15" s="10">
        <v>85.4</v>
      </c>
      <c r="AP15" s="8">
        <v>45</v>
      </c>
      <c r="AQ15" s="9">
        <v>46283</v>
      </c>
      <c r="AR15" s="5" t="s">
        <v>70</v>
      </c>
      <c r="AS15" s="5" t="s">
        <v>81</v>
      </c>
    </row>
    <row r="16" spans="1:45" x14ac:dyDescent="0.35">
      <c r="A16" s="5" t="s">
        <v>174</v>
      </c>
      <c r="B16" s="5" t="s">
        <v>175</v>
      </c>
      <c r="C16" s="6" t="s">
        <v>176</v>
      </c>
      <c r="D16" s="7">
        <v>186400</v>
      </c>
      <c r="E16" s="5" t="s">
        <v>48</v>
      </c>
      <c r="F16" s="5" t="s">
        <v>68</v>
      </c>
      <c r="G16" s="8">
        <v>2</v>
      </c>
      <c r="H16" s="8">
        <f>IF(F16="Bullet",MIN(G16,Assumptions!$B$6),"")</f>
        <v>2</v>
      </c>
      <c r="I16" s="8"/>
      <c r="J16" s="8" t="str">
        <f>IF(F16="Monthly interest",MAX(0,Assumptions!$B$5-I16),"")</f>
        <v/>
      </c>
      <c r="K16" s="7">
        <f t="shared" si="0"/>
        <v>4660</v>
      </c>
      <c r="L16" s="9">
        <v>46229</v>
      </c>
      <c r="M16" s="5" t="s">
        <v>69</v>
      </c>
      <c r="N16" s="5" t="s">
        <v>53</v>
      </c>
      <c r="O16" s="5" t="s">
        <v>71</v>
      </c>
      <c r="P16" s="5" t="s">
        <v>70</v>
      </c>
      <c r="Q16" s="5" t="s">
        <v>73</v>
      </c>
      <c r="R16" s="5" t="s">
        <v>74</v>
      </c>
      <c r="S16" s="5" t="s">
        <v>85</v>
      </c>
      <c r="T16" s="5" t="s">
        <v>57</v>
      </c>
      <c r="U16" s="5" t="s">
        <v>86</v>
      </c>
      <c r="V16" s="5" t="s">
        <v>177</v>
      </c>
      <c r="W16" s="5" t="s">
        <v>178</v>
      </c>
      <c r="X16" s="5" t="s">
        <v>179</v>
      </c>
      <c r="Y16" s="5" t="s">
        <v>180</v>
      </c>
      <c r="Z16" s="9">
        <v>46229</v>
      </c>
      <c r="AA16" s="8">
        <v>12</v>
      </c>
      <c r="AB16" s="9">
        <f t="shared" si="1"/>
        <v>46594</v>
      </c>
      <c r="AC16" s="10">
        <v>15</v>
      </c>
      <c r="AD16" s="7">
        <f t="shared" si="2"/>
        <v>2330</v>
      </c>
      <c r="AE16" s="7">
        <f>IF(F16="Bullet",H16*AD16,MIN(MAX(I16,1),Assumptions!$B$6)*AD16)</f>
        <v>4660</v>
      </c>
      <c r="AF16" s="8">
        <f>IF(F16="Bullet",MAX(0,Assumptions!$B$4-AB16),MAX(0,Assumptions!$B$4-L16))</f>
        <v>0</v>
      </c>
      <c r="AG16" s="9"/>
      <c r="AH16" s="8" t="str">
        <f>IF(AG16="","",Assumptions!$B$4-AG16)</f>
        <v/>
      </c>
      <c r="AI16" s="5" t="s">
        <v>80</v>
      </c>
      <c r="AJ16" s="8"/>
      <c r="AK16" s="8">
        <v>0</v>
      </c>
      <c r="AL16" s="8">
        <v>645</v>
      </c>
      <c r="AM16" s="8">
        <v>2</v>
      </c>
      <c r="AN16" s="5" t="s">
        <v>63</v>
      </c>
      <c r="AO16" s="10">
        <v>66.2</v>
      </c>
      <c r="AP16" s="8">
        <v>31</v>
      </c>
      <c r="AQ16" s="9">
        <v>46274</v>
      </c>
      <c r="AR16" s="5" t="s">
        <v>72</v>
      </c>
      <c r="AS16" s="5" t="s">
        <v>181</v>
      </c>
    </row>
    <row r="17" spans="1:45" x14ac:dyDescent="0.35">
      <c r="A17" s="5" t="s">
        <v>182</v>
      </c>
      <c r="B17" s="5" t="s">
        <v>183</v>
      </c>
      <c r="C17" s="6" t="s">
        <v>184</v>
      </c>
      <c r="D17" s="7">
        <v>149300</v>
      </c>
      <c r="E17" s="5" t="s">
        <v>48</v>
      </c>
      <c r="F17" s="5" t="s">
        <v>49</v>
      </c>
      <c r="G17" s="8"/>
      <c r="H17" s="8" t="str">
        <f>IF(F17="Bullet",MIN(G17,Assumptions!$B$6),"")</f>
        <v/>
      </c>
      <c r="I17" s="8">
        <v>1</v>
      </c>
      <c r="J17" s="8">
        <f>IF(F17="Monthly interest",MAX(0,Assumptions!$B$5-I17),"")</f>
        <v>2</v>
      </c>
      <c r="K17" s="7">
        <f t="shared" si="0"/>
        <v>1991</v>
      </c>
      <c r="L17" s="9">
        <v>46286</v>
      </c>
      <c r="M17" s="5" t="s">
        <v>50</v>
      </c>
      <c r="N17" s="5" t="s">
        <v>51</v>
      </c>
      <c r="O17" s="5" t="s">
        <v>52</v>
      </c>
      <c r="P17" s="5" t="s">
        <v>53</v>
      </c>
      <c r="Q17" s="5" t="s">
        <v>54</v>
      </c>
      <c r="R17" s="5" t="s">
        <v>55</v>
      </c>
      <c r="S17" s="5" t="s">
        <v>185</v>
      </c>
      <c r="T17" s="5" t="s">
        <v>57</v>
      </c>
      <c r="U17" s="5" t="s">
        <v>86</v>
      </c>
      <c r="V17" s="5" t="s">
        <v>186</v>
      </c>
      <c r="W17" s="5" t="s">
        <v>187</v>
      </c>
      <c r="X17" s="5" t="s">
        <v>188</v>
      </c>
      <c r="Y17" s="5" t="s">
        <v>189</v>
      </c>
      <c r="Z17" s="9">
        <v>46133</v>
      </c>
      <c r="AA17" s="8">
        <v>12</v>
      </c>
      <c r="AB17" s="9">
        <f t="shared" si="1"/>
        <v>46498</v>
      </c>
      <c r="AC17" s="10">
        <v>16</v>
      </c>
      <c r="AD17" s="7">
        <f t="shared" si="2"/>
        <v>1991</v>
      </c>
      <c r="AE17" s="7">
        <f>IF(F17="Bullet",H17*AD17,MIN(MAX(I17,1),Assumptions!$B$6)*AD17)</f>
        <v>1991</v>
      </c>
      <c r="AF17" s="8">
        <f>IF(F17="Bullet",MAX(0,Assumptions!$B$4-AB17),MAX(0,Assumptions!$B$4-L17))</f>
        <v>12</v>
      </c>
      <c r="AG17" s="9">
        <v>46259</v>
      </c>
      <c r="AH17" s="8">
        <f>IF(AG17="","",Assumptions!$B$4-AG17)</f>
        <v>39</v>
      </c>
      <c r="AI17" s="5" t="s">
        <v>63</v>
      </c>
      <c r="AJ17" s="8">
        <v>2</v>
      </c>
      <c r="AK17" s="8">
        <v>0</v>
      </c>
      <c r="AL17" s="8">
        <v>680</v>
      </c>
      <c r="AM17" s="8">
        <v>0</v>
      </c>
      <c r="AN17" s="5" t="s">
        <v>63</v>
      </c>
      <c r="AO17" s="10">
        <v>63</v>
      </c>
      <c r="AP17" s="8">
        <v>24</v>
      </c>
      <c r="AQ17" s="9">
        <v>46284</v>
      </c>
      <c r="AR17" s="5" t="s">
        <v>70</v>
      </c>
      <c r="AS17" s="5" t="s">
        <v>190</v>
      </c>
    </row>
    <row r="18" spans="1:45" x14ac:dyDescent="0.35">
      <c r="A18" s="5" t="s">
        <v>191</v>
      </c>
      <c r="B18" s="5" t="s">
        <v>192</v>
      </c>
      <c r="C18" s="6" t="s">
        <v>193</v>
      </c>
      <c r="D18" s="7">
        <v>93400</v>
      </c>
      <c r="E18" s="5" t="s">
        <v>48</v>
      </c>
      <c r="F18" s="5" t="s">
        <v>49</v>
      </c>
      <c r="G18" s="8"/>
      <c r="H18" s="8" t="str">
        <f>IF(F18="Bullet",MIN(G18,Assumptions!$B$6),"")</f>
        <v/>
      </c>
      <c r="I18" s="8">
        <v>1</v>
      </c>
      <c r="J18" s="8">
        <f>IF(F18="Monthly interest",MAX(0,Assumptions!$B$5-I18),"")</f>
        <v>2</v>
      </c>
      <c r="K18" s="7">
        <f t="shared" si="0"/>
        <v>1168</v>
      </c>
      <c r="L18" s="9">
        <v>46288</v>
      </c>
      <c r="M18" s="5" t="s">
        <v>50</v>
      </c>
      <c r="N18" s="5" t="s">
        <v>51</v>
      </c>
      <c r="O18" s="5" t="s">
        <v>52</v>
      </c>
      <c r="P18" s="5" t="s">
        <v>53</v>
      </c>
      <c r="Q18" s="5" t="s">
        <v>54</v>
      </c>
      <c r="R18" s="5" t="s">
        <v>55</v>
      </c>
      <c r="S18" s="5" t="s">
        <v>56</v>
      </c>
      <c r="T18" s="5" t="s">
        <v>57</v>
      </c>
      <c r="U18" s="5" t="s">
        <v>58</v>
      </c>
      <c r="V18" s="5" t="s">
        <v>59</v>
      </c>
      <c r="W18" s="5" t="s">
        <v>194</v>
      </c>
      <c r="X18" s="5" t="s">
        <v>195</v>
      </c>
      <c r="Y18" s="5" t="s">
        <v>196</v>
      </c>
      <c r="Z18" s="9">
        <v>46014</v>
      </c>
      <c r="AA18" s="8">
        <v>12</v>
      </c>
      <c r="AB18" s="9">
        <f t="shared" si="1"/>
        <v>46379</v>
      </c>
      <c r="AC18" s="10">
        <v>15</v>
      </c>
      <c r="AD18" s="7">
        <f t="shared" si="2"/>
        <v>1168</v>
      </c>
      <c r="AE18" s="7">
        <f>IF(F18="Bullet",H18*AD18,MIN(MAX(I18,1),Assumptions!$B$6)*AD18)</f>
        <v>1168</v>
      </c>
      <c r="AF18" s="8">
        <f>IF(F18="Bullet",MAX(0,Assumptions!$B$4-AB18),MAX(0,Assumptions!$B$4-L18))</f>
        <v>10</v>
      </c>
      <c r="AG18" s="9">
        <v>46260</v>
      </c>
      <c r="AH18" s="8">
        <f>IF(AG18="","",Assumptions!$B$4-AG18)</f>
        <v>38</v>
      </c>
      <c r="AI18" s="5" t="s">
        <v>63</v>
      </c>
      <c r="AJ18" s="8">
        <v>1</v>
      </c>
      <c r="AK18" s="8">
        <v>0</v>
      </c>
      <c r="AL18" s="8">
        <v>731</v>
      </c>
      <c r="AM18" s="8">
        <v>1</v>
      </c>
      <c r="AN18" s="5" t="s">
        <v>63</v>
      </c>
      <c r="AO18" s="10">
        <v>62.5</v>
      </c>
      <c r="AP18" s="8">
        <v>17</v>
      </c>
      <c r="AQ18" s="9"/>
      <c r="AR18" s="5"/>
      <c r="AS18" s="5" t="s">
        <v>159</v>
      </c>
    </row>
    <row r="19" spans="1:45" x14ac:dyDescent="0.35">
      <c r="A19" s="5" t="s">
        <v>197</v>
      </c>
      <c r="B19" s="5" t="s">
        <v>198</v>
      </c>
      <c r="C19" s="6" t="s">
        <v>199</v>
      </c>
      <c r="D19" s="7">
        <v>94700</v>
      </c>
      <c r="E19" s="5" t="s">
        <v>48</v>
      </c>
      <c r="F19" s="5" t="s">
        <v>68</v>
      </c>
      <c r="G19" s="8">
        <v>4</v>
      </c>
      <c r="H19" s="8">
        <f>IF(F19="Bullet",MIN(G19,Assumptions!$B$6),"")</f>
        <v>2</v>
      </c>
      <c r="I19" s="8"/>
      <c r="J19" s="8" t="str">
        <f>IF(F19="Monthly interest",MAX(0,Assumptions!$B$5-I19),"")</f>
        <v/>
      </c>
      <c r="K19" s="7">
        <f t="shared" si="0"/>
        <v>5684</v>
      </c>
      <c r="L19" s="9">
        <v>46175</v>
      </c>
      <c r="M19" s="5" t="s">
        <v>69</v>
      </c>
      <c r="N19" s="5" t="s">
        <v>53</v>
      </c>
      <c r="O19" s="5" t="s">
        <v>71</v>
      </c>
      <c r="P19" s="5" t="s">
        <v>70</v>
      </c>
      <c r="Q19" s="5" t="s">
        <v>73</v>
      </c>
      <c r="R19" s="5" t="s">
        <v>74</v>
      </c>
      <c r="S19" s="5" t="s">
        <v>185</v>
      </c>
      <c r="T19" s="5" t="s">
        <v>63</v>
      </c>
      <c r="U19" s="5" t="s">
        <v>86</v>
      </c>
      <c r="V19" s="5" t="s">
        <v>200</v>
      </c>
      <c r="W19" s="5" t="s">
        <v>201</v>
      </c>
      <c r="X19" s="5" t="s">
        <v>202</v>
      </c>
      <c r="Y19" s="5" t="s">
        <v>203</v>
      </c>
      <c r="Z19" s="9">
        <v>46175</v>
      </c>
      <c r="AA19" s="8">
        <v>12</v>
      </c>
      <c r="AB19" s="9">
        <f t="shared" si="1"/>
        <v>46540</v>
      </c>
      <c r="AC19" s="10">
        <v>18</v>
      </c>
      <c r="AD19" s="7">
        <f t="shared" si="2"/>
        <v>1421</v>
      </c>
      <c r="AE19" s="7">
        <f>IF(F19="Bullet",H19*AD19,MIN(MAX(I19,1),Assumptions!$B$6)*AD19)</f>
        <v>2842</v>
      </c>
      <c r="AF19" s="8">
        <f>IF(F19="Bullet",MAX(0,Assumptions!$B$4-AB19),MAX(0,Assumptions!$B$4-L19))</f>
        <v>0</v>
      </c>
      <c r="AG19" s="9"/>
      <c r="AH19" s="8" t="str">
        <f>IF(AG19="","",Assumptions!$B$4-AG19)</f>
        <v/>
      </c>
      <c r="AI19" s="5" t="s">
        <v>80</v>
      </c>
      <c r="AJ19" s="8"/>
      <c r="AK19" s="8">
        <v>1</v>
      </c>
      <c r="AL19" s="8" t="s">
        <v>80</v>
      </c>
      <c r="AM19" s="8">
        <v>0</v>
      </c>
      <c r="AN19" s="5" t="s">
        <v>63</v>
      </c>
      <c r="AO19" s="10">
        <v>77.599999999999994</v>
      </c>
      <c r="AP19" s="8">
        <v>33</v>
      </c>
      <c r="AQ19" s="9">
        <v>46297</v>
      </c>
      <c r="AR19" s="5" t="s">
        <v>51</v>
      </c>
      <c r="AS19" s="5" t="s">
        <v>81</v>
      </c>
    </row>
    <row r="20" spans="1:45" x14ac:dyDescent="0.35">
      <c r="A20" s="5" t="s">
        <v>204</v>
      </c>
      <c r="B20" s="5" t="s">
        <v>205</v>
      </c>
      <c r="C20" s="6" t="s">
        <v>206</v>
      </c>
      <c r="D20" s="7">
        <v>294600</v>
      </c>
      <c r="E20" s="5" t="s">
        <v>48</v>
      </c>
      <c r="F20" s="5" t="s">
        <v>68</v>
      </c>
      <c r="G20" s="8">
        <v>3</v>
      </c>
      <c r="H20" s="8">
        <f>IF(F20="Bullet",MIN(G20,Assumptions!$B$6),"")</f>
        <v>2</v>
      </c>
      <c r="I20" s="8"/>
      <c r="J20" s="8" t="str">
        <f>IF(F20="Monthly interest",MAX(0,Assumptions!$B$5-I20),"")</f>
        <v/>
      </c>
      <c r="K20" s="7">
        <f t="shared" si="0"/>
        <v>13257</v>
      </c>
      <c r="L20" s="9">
        <v>46194</v>
      </c>
      <c r="M20" s="5" t="s">
        <v>116</v>
      </c>
      <c r="N20" s="5" t="s">
        <v>117</v>
      </c>
      <c r="O20" s="5" t="s">
        <v>207</v>
      </c>
      <c r="P20" s="5" t="s">
        <v>72</v>
      </c>
      <c r="Q20" s="5" t="s">
        <v>73</v>
      </c>
      <c r="R20" s="5" t="s">
        <v>74</v>
      </c>
      <c r="S20" s="5" t="s">
        <v>85</v>
      </c>
      <c r="T20" s="5" t="s">
        <v>63</v>
      </c>
      <c r="U20" s="5" t="s">
        <v>104</v>
      </c>
      <c r="V20" s="5" t="s">
        <v>177</v>
      </c>
      <c r="W20" s="5" t="s">
        <v>208</v>
      </c>
      <c r="X20" s="5" t="s">
        <v>209</v>
      </c>
      <c r="Y20" s="5" t="s">
        <v>210</v>
      </c>
      <c r="Z20" s="9">
        <v>46194</v>
      </c>
      <c r="AA20" s="8">
        <v>3</v>
      </c>
      <c r="AB20" s="9">
        <f t="shared" si="1"/>
        <v>46286</v>
      </c>
      <c r="AC20" s="10">
        <v>18</v>
      </c>
      <c r="AD20" s="7">
        <f t="shared" si="2"/>
        <v>4419</v>
      </c>
      <c r="AE20" s="7">
        <f>IF(F20="Bullet",H20*AD20,MIN(MAX(I20,1),Assumptions!$B$6)*AD20)</f>
        <v>8838</v>
      </c>
      <c r="AF20" s="8">
        <f>IF(F20="Bullet",MAX(0,Assumptions!$B$4-AB20),MAX(0,Assumptions!$B$4-L20))</f>
        <v>12</v>
      </c>
      <c r="AG20" s="9"/>
      <c r="AH20" s="8" t="str">
        <f>IF(AG20="","",Assumptions!$B$4-AG20)</f>
        <v/>
      </c>
      <c r="AI20" s="5" t="s">
        <v>80</v>
      </c>
      <c r="AJ20" s="8"/>
      <c r="AK20" s="8">
        <v>2</v>
      </c>
      <c r="AL20" s="8">
        <v>695</v>
      </c>
      <c r="AM20" s="8">
        <v>1</v>
      </c>
      <c r="AN20" s="5" t="s">
        <v>57</v>
      </c>
      <c r="AO20" s="10">
        <v>63.2</v>
      </c>
      <c r="AP20" s="8">
        <v>57</v>
      </c>
      <c r="AQ20" s="9"/>
      <c r="AR20" s="5"/>
      <c r="AS20" s="5" t="s">
        <v>159</v>
      </c>
    </row>
    <row r="21" spans="1:45" x14ac:dyDescent="0.35">
      <c r="A21" s="5" t="s">
        <v>211</v>
      </c>
      <c r="B21" s="5" t="s">
        <v>212</v>
      </c>
      <c r="C21" s="6" t="s">
        <v>213</v>
      </c>
      <c r="D21" s="7">
        <v>96200</v>
      </c>
      <c r="E21" s="5" t="s">
        <v>48</v>
      </c>
      <c r="F21" s="5" t="s">
        <v>68</v>
      </c>
      <c r="G21" s="8">
        <v>2</v>
      </c>
      <c r="H21" s="8">
        <f>IF(F21="Bullet",MIN(G21,Assumptions!$B$6),"")</f>
        <v>2</v>
      </c>
      <c r="I21" s="8"/>
      <c r="J21" s="8" t="str">
        <f>IF(F21="Monthly interest",MAX(0,Assumptions!$B$5-I21),"")</f>
        <v/>
      </c>
      <c r="K21" s="7">
        <f t="shared" si="0"/>
        <v>2886</v>
      </c>
      <c r="L21" s="9">
        <v>46218</v>
      </c>
      <c r="M21" s="5" t="s">
        <v>50</v>
      </c>
      <c r="N21" s="5" t="s">
        <v>53</v>
      </c>
      <c r="O21" s="5" t="s">
        <v>95</v>
      </c>
      <c r="P21" s="5" t="s">
        <v>70</v>
      </c>
      <c r="Q21" s="5" t="s">
        <v>73</v>
      </c>
      <c r="R21" s="5" t="s">
        <v>74</v>
      </c>
      <c r="S21" s="5" t="s">
        <v>214</v>
      </c>
      <c r="T21" s="5" t="s">
        <v>63</v>
      </c>
      <c r="U21" s="5" t="s">
        <v>58</v>
      </c>
      <c r="V21" s="5" t="s">
        <v>215</v>
      </c>
      <c r="W21" s="5" t="s">
        <v>216</v>
      </c>
      <c r="X21" s="5" t="s">
        <v>217</v>
      </c>
      <c r="Y21" s="5" t="s">
        <v>218</v>
      </c>
      <c r="Z21" s="9">
        <v>46218</v>
      </c>
      <c r="AA21" s="8">
        <v>12</v>
      </c>
      <c r="AB21" s="9">
        <f t="shared" si="1"/>
        <v>46583</v>
      </c>
      <c r="AC21" s="10">
        <v>18</v>
      </c>
      <c r="AD21" s="7">
        <f t="shared" si="2"/>
        <v>1443</v>
      </c>
      <c r="AE21" s="7">
        <f>IF(F21="Bullet",H21*AD21,MIN(MAX(I21,1),Assumptions!$B$6)*AD21)</f>
        <v>2886</v>
      </c>
      <c r="AF21" s="8">
        <f>IF(F21="Bullet",MAX(0,Assumptions!$B$4-AB21),MAX(0,Assumptions!$B$4-L21))</f>
        <v>0</v>
      </c>
      <c r="AG21" s="9"/>
      <c r="AH21" s="8" t="str">
        <f>IF(AG21="","",Assumptions!$B$4-AG21)</f>
        <v/>
      </c>
      <c r="AI21" s="5" t="s">
        <v>80</v>
      </c>
      <c r="AJ21" s="8"/>
      <c r="AK21" s="8">
        <v>0</v>
      </c>
      <c r="AL21" s="8">
        <v>771</v>
      </c>
      <c r="AM21" s="8">
        <v>1</v>
      </c>
      <c r="AN21" s="5" t="s">
        <v>63</v>
      </c>
      <c r="AO21" s="10">
        <v>71.900000000000006</v>
      </c>
      <c r="AP21" s="8">
        <v>8</v>
      </c>
      <c r="AQ21" s="9">
        <v>46297</v>
      </c>
      <c r="AR21" s="5" t="s">
        <v>53</v>
      </c>
      <c r="AS21" s="5" t="s">
        <v>64</v>
      </c>
    </row>
    <row r="22" spans="1:45" x14ac:dyDescent="0.35">
      <c r="A22" s="5" t="s">
        <v>219</v>
      </c>
      <c r="B22" s="5" t="s">
        <v>220</v>
      </c>
      <c r="C22" s="6" t="s">
        <v>221</v>
      </c>
      <c r="D22" s="7">
        <v>18200</v>
      </c>
      <c r="E22" s="5" t="s">
        <v>48</v>
      </c>
      <c r="F22" s="5" t="s">
        <v>49</v>
      </c>
      <c r="G22" s="8"/>
      <c r="H22" s="8" t="str">
        <f>IF(F22="Bullet",MIN(G22,Assumptions!$B$6),"")</f>
        <v/>
      </c>
      <c r="I22" s="8">
        <v>1</v>
      </c>
      <c r="J22" s="8">
        <f>IF(F22="Monthly interest",MAX(0,Assumptions!$B$5-I22),"")</f>
        <v>2</v>
      </c>
      <c r="K22" s="7">
        <f t="shared" si="0"/>
        <v>303</v>
      </c>
      <c r="L22" s="9">
        <v>46274</v>
      </c>
      <c r="M22" s="5" t="s">
        <v>50</v>
      </c>
      <c r="N22" s="5" t="s">
        <v>51</v>
      </c>
      <c r="O22" s="5" t="s">
        <v>152</v>
      </c>
      <c r="P22" s="5" t="s">
        <v>53</v>
      </c>
      <c r="Q22" s="5" t="s">
        <v>154</v>
      </c>
      <c r="R22" s="5" t="s">
        <v>155</v>
      </c>
      <c r="S22" s="5" t="s">
        <v>85</v>
      </c>
      <c r="T22" s="5" t="s">
        <v>57</v>
      </c>
      <c r="U22" s="5" t="s">
        <v>58</v>
      </c>
      <c r="V22" s="5" t="s">
        <v>177</v>
      </c>
      <c r="W22" s="5" t="s">
        <v>178</v>
      </c>
      <c r="X22" s="5" t="s">
        <v>222</v>
      </c>
      <c r="Y22" s="5" t="s">
        <v>223</v>
      </c>
      <c r="Z22" s="9">
        <v>46212</v>
      </c>
      <c r="AA22" s="8">
        <v>18</v>
      </c>
      <c r="AB22" s="9">
        <f t="shared" si="1"/>
        <v>46761</v>
      </c>
      <c r="AC22" s="10">
        <v>20</v>
      </c>
      <c r="AD22" s="7">
        <f t="shared" si="2"/>
        <v>303</v>
      </c>
      <c r="AE22" s="7">
        <f>IF(F22="Bullet",H22*AD22,MIN(MAX(I22,1),Assumptions!$B$6)*AD22)</f>
        <v>303</v>
      </c>
      <c r="AF22" s="8">
        <f>IF(F22="Bullet",MAX(0,Assumptions!$B$4-AB22),MAX(0,Assumptions!$B$4-L22))</f>
        <v>24</v>
      </c>
      <c r="AG22" s="9">
        <v>46248</v>
      </c>
      <c r="AH22" s="8">
        <f>IF(AG22="","",Assumptions!$B$4-AG22)</f>
        <v>50</v>
      </c>
      <c r="AI22" s="5" t="s">
        <v>63</v>
      </c>
      <c r="AJ22" s="8">
        <v>1</v>
      </c>
      <c r="AK22" s="8">
        <v>1</v>
      </c>
      <c r="AL22" s="8">
        <v>806</v>
      </c>
      <c r="AM22" s="8">
        <v>1</v>
      </c>
      <c r="AN22" s="5" t="s">
        <v>63</v>
      </c>
      <c r="AO22" s="10">
        <v>57.9</v>
      </c>
      <c r="AP22" s="8">
        <v>20</v>
      </c>
      <c r="AQ22" s="9">
        <v>46282</v>
      </c>
      <c r="AR22" s="5" t="s">
        <v>51</v>
      </c>
      <c r="AS22" s="5" t="s">
        <v>190</v>
      </c>
    </row>
    <row r="23" spans="1:45" x14ac:dyDescent="0.35">
      <c r="A23" s="5" t="s">
        <v>224</v>
      </c>
      <c r="B23" s="5" t="s">
        <v>225</v>
      </c>
      <c r="C23" s="6" t="s">
        <v>226</v>
      </c>
      <c r="D23" s="7">
        <v>166500</v>
      </c>
      <c r="E23" s="5" t="s">
        <v>48</v>
      </c>
      <c r="F23" s="5" t="s">
        <v>68</v>
      </c>
      <c r="G23" s="8">
        <v>3</v>
      </c>
      <c r="H23" s="8">
        <f>IF(F23="Bullet",MIN(G23,Assumptions!$B$6),"")</f>
        <v>2</v>
      </c>
      <c r="I23" s="8"/>
      <c r="J23" s="8" t="str">
        <f>IF(F23="Monthly interest",MAX(0,Assumptions!$B$5-I23),"")</f>
        <v/>
      </c>
      <c r="K23" s="7">
        <f t="shared" si="0"/>
        <v>5412</v>
      </c>
      <c r="L23" s="9">
        <v>46202</v>
      </c>
      <c r="M23" s="5" t="s">
        <v>69</v>
      </c>
      <c r="N23" s="5" t="s">
        <v>53</v>
      </c>
      <c r="O23" s="5" t="s">
        <v>71</v>
      </c>
      <c r="P23" s="5" t="s">
        <v>70</v>
      </c>
      <c r="Q23" s="5" t="s">
        <v>73</v>
      </c>
      <c r="R23" s="5" t="s">
        <v>74</v>
      </c>
      <c r="S23" s="5" t="s">
        <v>56</v>
      </c>
      <c r="T23" s="5" t="s">
        <v>57</v>
      </c>
      <c r="U23" s="5" t="s">
        <v>86</v>
      </c>
      <c r="V23" s="5" t="s">
        <v>59</v>
      </c>
      <c r="W23" s="5" t="s">
        <v>194</v>
      </c>
      <c r="X23" s="5" t="s">
        <v>227</v>
      </c>
      <c r="Y23" s="5" t="s">
        <v>228</v>
      </c>
      <c r="Z23" s="9">
        <v>46202</v>
      </c>
      <c r="AA23" s="8">
        <v>6</v>
      </c>
      <c r="AB23" s="9">
        <f t="shared" si="1"/>
        <v>46385</v>
      </c>
      <c r="AC23" s="10">
        <v>13</v>
      </c>
      <c r="AD23" s="7">
        <f t="shared" si="2"/>
        <v>1804</v>
      </c>
      <c r="AE23" s="7">
        <f>IF(F23="Bullet",H23*AD23,MIN(MAX(I23,1),Assumptions!$B$6)*AD23)</f>
        <v>3608</v>
      </c>
      <c r="AF23" s="8">
        <f>IF(F23="Bullet",MAX(0,Assumptions!$B$4-AB23),MAX(0,Assumptions!$B$4-L23))</f>
        <v>0</v>
      </c>
      <c r="AG23" s="9"/>
      <c r="AH23" s="8" t="str">
        <f>IF(AG23="","",Assumptions!$B$4-AG23)</f>
        <v/>
      </c>
      <c r="AI23" s="5" t="s">
        <v>80</v>
      </c>
      <c r="AJ23" s="8"/>
      <c r="AK23" s="8">
        <v>2</v>
      </c>
      <c r="AL23" s="8">
        <v>665</v>
      </c>
      <c r="AM23" s="8">
        <v>2</v>
      </c>
      <c r="AN23" s="5" t="s">
        <v>63</v>
      </c>
      <c r="AO23" s="10">
        <v>65.599999999999994</v>
      </c>
      <c r="AP23" s="8">
        <v>43</v>
      </c>
      <c r="AQ23" s="9">
        <v>46284</v>
      </c>
      <c r="AR23" s="5" t="s">
        <v>70</v>
      </c>
      <c r="AS23" s="5" t="s">
        <v>91</v>
      </c>
    </row>
    <row r="24" spans="1:45" x14ac:dyDescent="0.35">
      <c r="A24" s="5" t="s">
        <v>229</v>
      </c>
      <c r="B24" s="5" t="s">
        <v>230</v>
      </c>
      <c r="C24" s="6" t="s">
        <v>231</v>
      </c>
      <c r="D24" s="7">
        <v>427100</v>
      </c>
      <c r="E24" s="5" t="s">
        <v>48</v>
      </c>
      <c r="F24" s="5" t="s">
        <v>68</v>
      </c>
      <c r="G24" s="8">
        <v>2</v>
      </c>
      <c r="H24" s="8">
        <f>IF(F24="Bullet",MIN(G24,Assumptions!$B$6),"")</f>
        <v>2</v>
      </c>
      <c r="I24" s="8"/>
      <c r="J24" s="8" t="str">
        <f>IF(F24="Monthly interest",MAX(0,Assumptions!$B$5-I24),"")</f>
        <v/>
      </c>
      <c r="K24" s="7">
        <f t="shared" si="0"/>
        <v>12814</v>
      </c>
      <c r="L24" s="9">
        <v>46223</v>
      </c>
      <c r="M24" s="5" t="s">
        <v>50</v>
      </c>
      <c r="N24" s="5" t="s">
        <v>53</v>
      </c>
      <c r="O24" s="5" t="s">
        <v>95</v>
      </c>
      <c r="P24" s="5" t="s">
        <v>70</v>
      </c>
      <c r="Q24" s="5" t="s">
        <v>73</v>
      </c>
      <c r="R24" s="5" t="s">
        <v>74</v>
      </c>
      <c r="S24" s="5" t="s">
        <v>214</v>
      </c>
      <c r="T24" s="5" t="s">
        <v>63</v>
      </c>
      <c r="U24" s="5" t="s">
        <v>104</v>
      </c>
      <c r="V24" s="5" t="s">
        <v>215</v>
      </c>
      <c r="W24" s="5" t="s">
        <v>232</v>
      </c>
      <c r="X24" s="5" t="s">
        <v>233</v>
      </c>
      <c r="Y24" s="5" t="s">
        <v>234</v>
      </c>
      <c r="Z24" s="9">
        <v>46223</v>
      </c>
      <c r="AA24" s="8">
        <v>12</v>
      </c>
      <c r="AB24" s="9">
        <f t="shared" si="1"/>
        <v>46588</v>
      </c>
      <c r="AC24" s="10">
        <v>18</v>
      </c>
      <c r="AD24" s="7">
        <f t="shared" si="2"/>
        <v>6407</v>
      </c>
      <c r="AE24" s="7">
        <f>IF(F24="Bullet",H24*AD24,MIN(MAX(I24,1),Assumptions!$B$6)*AD24)</f>
        <v>12814</v>
      </c>
      <c r="AF24" s="8">
        <f>IF(F24="Bullet",MAX(0,Assumptions!$B$4-AB24),MAX(0,Assumptions!$B$4-L24))</f>
        <v>0</v>
      </c>
      <c r="AG24" s="9"/>
      <c r="AH24" s="8" t="str">
        <f>IF(AG24="","",Assumptions!$B$4-AG24)</f>
        <v/>
      </c>
      <c r="AI24" s="5" t="s">
        <v>80</v>
      </c>
      <c r="AJ24" s="8"/>
      <c r="AK24" s="8">
        <v>0</v>
      </c>
      <c r="AL24" s="8">
        <v>790</v>
      </c>
      <c r="AM24" s="8">
        <v>1</v>
      </c>
      <c r="AN24" s="5" t="s">
        <v>63</v>
      </c>
      <c r="AO24" s="10">
        <v>57.5</v>
      </c>
      <c r="AP24" s="8">
        <v>9</v>
      </c>
      <c r="AQ24" s="9">
        <v>46282</v>
      </c>
      <c r="AR24" s="5" t="s">
        <v>51</v>
      </c>
      <c r="AS24" s="5" t="s">
        <v>181</v>
      </c>
    </row>
    <row r="25" spans="1:45" x14ac:dyDescent="0.35">
      <c r="A25" s="5" t="s">
        <v>235</v>
      </c>
      <c r="B25" s="5" t="s">
        <v>101</v>
      </c>
      <c r="C25" s="6" t="s">
        <v>236</v>
      </c>
      <c r="D25" s="7">
        <v>60900</v>
      </c>
      <c r="E25" s="5" t="s">
        <v>48</v>
      </c>
      <c r="F25" s="5" t="s">
        <v>49</v>
      </c>
      <c r="G25" s="8"/>
      <c r="H25" s="8" t="str">
        <f>IF(F25="Bullet",MIN(G25,Assumptions!$B$6),"")</f>
        <v/>
      </c>
      <c r="I25" s="8">
        <v>2</v>
      </c>
      <c r="J25" s="8">
        <f>IF(F25="Monthly interest",MAX(0,Assumptions!$B$5-I25),"")</f>
        <v>1</v>
      </c>
      <c r="K25" s="7">
        <f t="shared" si="0"/>
        <v>1624</v>
      </c>
      <c r="L25" s="9">
        <v>46239</v>
      </c>
      <c r="M25" s="5" t="s">
        <v>116</v>
      </c>
      <c r="N25" s="5" t="s">
        <v>117</v>
      </c>
      <c r="O25" s="5" t="s">
        <v>118</v>
      </c>
      <c r="P25" s="5" t="s">
        <v>72</v>
      </c>
      <c r="Q25" s="5" t="s">
        <v>119</v>
      </c>
      <c r="R25" s="5" t="s">
        <v>120</v>
      </c>
      <c r="S25" s="5" t="s">
        <v>75</v>
      </c>
      <c r="T25" s="5" t="s">
        <v>57</v>
      </c>
      <c r="U25" s="5" t="s">
        <v>86</v>
      </c>
      <c r="V25" s="5" t="s">
        <v>76</v>
      </c>
      <c r="W25" s="5" t="s">
        <v>140</v>
      </c>
      <c r="X25" s="5" t="s">
        <v>237</v>
      </c>
      <c r="Y25" s="5" t="s">
        <v>238</v>
      </c>
      <c r="Z25" s="9">
        <v>46147</v>
      </c>
      <c r="AA25" s="8">
        <v>18</v>
      </c>
      <c r="AB25" s="9">
        <f t="shared" si="1"/>
        <v>46696</v>
      </c>
      <c r="AC25" s="10">
        <v>16</v>
      </c>
      <c r="AD25" s="7">
        <f t="shared" si="2"/>
        <v>812</v>
      </c>
      <c r="AE25" s="7">
        <f>IF(F25="Bullet",H25*AD25,MIN(MAX(I25,1),Assumptions!$B$6)*AD25)</f>
        <v>1624</v>
      </c>
      <c r="AF25" s="8">
        <f>IF(F25="Bullet",MAX(0,Assumptions!$B$4-AB25),MAX(0,Assumptions!$B$4-L25))</f>
        <v>59</v>
      </c>
      <c r="AG25" s="9">
        <v>46213</v>
      </c>
      <c r="AH25" s="8">
        <f>IF(AG25="","",Assumptions!$B$4-AG25)</f>
        <v>85</v>
      </c>
      <c r="AI25" s="5" t="s">
        <v>63</v>
      </c>
      <c r="AJ25" s="8">
        <v>3</v>
      </c>
      <c r="AK25" s="8">
        <v>0</v>
      </c>
      <c r="AL25" s="8">
        <v>604</v>
      </c>
      <c r="AM25" s="8">
        <v>1</v>
      </c>
      <c r="AN25" s="5" t="s">
        <v>63</v>
      </c>
      <c r="AO25" s="10">
        <v>69</v>
      </c>
      <c r="AP25" s="8">
        <v>54</v>
      </c>
      <c r="AQ25" s="9">
        <v>46285</v>
      </c>
      <c r="AR25" s="5" t="s">
        <v>53</v>
      </c>
      <c r="AS25" s="5" t="s">
        <v>81</v>
      </c>
    </row>
    <row r="26" spans="1:45" x14ac:dyDescent="0.35">
      <c r="A26" s="5" t="s">
        <v>239</v>
      </c>
      <c r="B26" s="5" t="s">
        <v>240</v>
      </c>
      <c r="C26" s="6" t="s">
        <v>241</v>
      </c>
      <c r="D26" s="7">
        <v>412600</v>
      </c>
      <c r="E26" s="5" t="s">
        <v>48</v>
      </c>
      <c r="F26" s="5" t="s">
        <v>49</v>
      </c>
      <c r="G26" s="8"/>
      <c r="H26" s="8" t="str">
        <f>IF(F26="Bullet",MIN(G26,Assumptions!$B$6),"")</f>
        <v/>
      </c>
      <c r="I26" s="8">
        <v>2</v>
      </c>
      <c r="J26" s="8">
        <f>IF(F26="Monthly interest",MAX(0,Assumptions!$B$5-I26),"")</f>
        <v>1</v>
      </c>
      <c r="K26" s="7">
        <f t="shared" si="0"/>
        <v>15128</v>
      </c>
      <c r="L26" s="9">
        <v>46259</v>
      </c>
      <c r="M26" s="5" t="s">
        <v>69</v>
      </c>
      <c r="N26" s="5" t="s">
        <v>70</v>
      </c>
      <c r="O26" s="5" t="s">
        <v>71</v>
      </c>
      <c r="P26" s="5" t="s">
        <v>72</v>
      </c>
      <c r="Q26" s="5" t="s">
        <v>73</v>
      </c>
      <c r="R26" s="5" t="s">
        <v>74</v>
      </c>
      <c r="S26" s="5" t="s">
        <v>214</v>
      </c>
      <c r="T26" s="5" t="s">
        <v>57</v>
      </c>
      <c r="U26" s="5" t="s">
        <v>58</v>
      </c>
      <c r="V26" s="5" t="s">
        <v>215</v>
      </c>
      <c r="W26" s="5" t="s">
        <v>242</v>
      </c>
      <c r="X26" s="5" t="s">
        <v>243</v>
      </c>
      <c r="Y26" s="5" t="s">
        <v>244</v>
      </c>
      <c r="Z26" s="9">
        <v>46047</v>
      </c>
      <c r="AA26" s="8">
        <v>12</v>
      </c>
      <c r="AB26" s="9">
        <f t="shared" si="1"/>
        <v>46412</v>
      </c>
      <c r="AC26" s="10">
        <v>22</v>
      </c>
      <c r="AD26" s="7">
        <f t="shared" si="2"/>
        <v>7564</v>
      </c>
      <c r="AE26" s="7">
        <f>IF(F26="Bullet",H26*AD26,MIN(MAX(I26,1),Assumptions!$B$6)*AD26)</f>
        <v>15128</v>
      </c>
      <c r="AF26" s="8">
        <f>IF(F26="Bullet",MAX(0,Assumptions!$B$4-AB26),MAX(0,Assumptions!$B$4-L26))</f>
        <v>39</v>
      </c>
      <c r="AG26" s="9">
        <v>46229</v>
      </c>
      <c r="AH26" s="8">
        <f>IF(AG26="","",Assumptions!$B$4-AG26)</f>
        <v>69</v>
      </c>
      <c r="AI26" s="5" t="s">
        <v>57</v>
      </c>
      <c r="AJ26" s="8">
        <v>2</v>
      </c>
      <c r="AK26" s="8">
        <v>0</v>
      </c>
      <c r="AL26" s="8">
        <v>763</v>
      </c>
      <c r="AM26" s="8">
        <v>4</v>
      </c>
      <c r="AN26" s="5" t="s">
        <v>63</v>
      </c>
      <c r="AO26" s="10">
        <v>72.900000000000006</v>
      </c>
      <c r="AP26" s="8">
        <v>46</v>
      </c>
      <c r="AQ26" s="9">
        <v>46290</v>
      </c>
      <c r="AR26" s="5" t="s">
        <v>70</v>
      </c>
      <c r="AS26" s="5" t="s">
        <v>64</v>
      </c>
    </row>
    <row r="27" spans="1:45" x14ac:dyDescent="0.35">
      <c r="A27" s="5" t="s">
        <v>245</v>
      </c>
      <c r="B27" s="5" t="s">
        <v>246</v>
      </c>
      <c r="C27" s="6" t="s">
        <v>247</v>
      </c>
      <c r="D27" s="7">
        <v>202100</v>
      </c>
      <c r="E27" s="5" t="s">
        <v>48</v>
      </c>
      <c r="F27" s="5" t="s">
        <v>49</v>
      </c>
      <c r="G27" s="8"/>
      <c r="H27" s="8" t="str">
        <f>IF(F27="Bullet",MIN(G27,Assumptions!$B$6),"")</f>
        <v/>
      </c>
      <c r="I27" s="8">
        <v>2</v>
      </c>
      <c r="J27" s="8">
        <f>IF(F27="Monthly interest",MAX(0,Assumptions!$B$5-I27),"")</f>
        <v>1</v>
      </c>
      <c r="K27" s="7">
        <f t="shared" si="0"/>
        <v>4716</v>
      </c>
      <c r="L27" s="9">
        <v>46262</v>
      </c>
      <c r="M27" s="5" t="s">
        <v>69</v>
      </c>
      <c r="N27" s="5" t="s">
        <v>70</v>
      </c>
      <c r="O27" s="5" t="s">
        <v>71</v>
      </c>
      <c r="P27" s="5" t="s">
        <v>72</v>
      </c>
      <c r="Q27" s="5" t="s">
        <v>73</v>
      </c>
      <c r="R27" s="5" t="s">
        <v>74</v>
      </c>
      <c r="S27" s="5" t="s">
        <v>56</v>
      </c>
      <c r="T27" s="5" t="s">
        <v>57</v>
      </c>
      <c r="U27" s="5" t="s">
        <v>86</v>
      </c>
      <c r="V27" s="5" t="s">
        <v>59</v>
      </c>
      <c r="W27" s="5" t="s">
        <v>194</v>
      </c>
      <c r="X27" s="5" t="s">
        <v>248</v>
      </c>
      <c r="Y27" s="5" t="s">
        <v>249</v>
      </c>
      <c r="Z27" s="9">
        <v>46109</v>
      </c>
      <c r="AA27" s="8">
        <v>18</v>
      </c>
      <c r="AB27" s="9">
        <f t="shared" si="1"/>
        <v>46658</v>
      </c>
      <c r="AC27" s="10">
        <v>14</v>
      </c>
      <c r="AD27" s="7">
        <f t="shared" si="2"/>
        <v>2358</v>
      </c>
      <c r="AE27" s="7">
        <f>IF(F27="Bullet",H27*AD27,MIN(MAX(I27,1),Assumptions!$B$6)*AD27)</f>
        <v>4716</v>
      </c>
      <c r="AF27" s="8">
        <f>IF(F27="Bullet",MAX(0,Assumptions!$B$4-AB27),MAX(0,Assumptions!$B$4-L27))</f>
        <v>36</v>
      </c>
      <c r="AG27" s="9">
        <v>46236</v>
      </c>
      <c r="AH27" s="8">
        <f>IF(AG27="","",Assumptions!$B$4-AG27)</f>
        <v>62</v>
      </c>
      <c r="AI27" s="5" t="s">
        <v>63</v>
      </c>
      <c r="AJ27" s="8">
        <v>2</v>
      </c>
      <c r="AK27" s="8">
        <v>0</v>
      </c>
      <c r="AL27" s="8">
        <v>794</v>
      </c>
      <c r="AM27" s="8">
        <v>2</v>
      </c>
      <c r="AN27" s="5" t="s">
        <v>63</v>
      </c>
      <c r="AO27" s="10">
        <v>74.099999999999994</v>
      </c>
      <c r="AP27" s="8">
        <v>33</v>
      </c>
      <c r="AQ27" s="9">
        <v>46283</v>
      </c>
      <c r="AR27" s="5" t="s">
        <v>53</v>
      </c>
      <c r="AS27" s="5" t="s">
        <v>181</v>
      </c>
    </row>
    <row r="28" spans="1:45" x14ac:dyDescent="0.35">
      <c r="A28" s="5" t="s">
        <v>250</v>
      </c>
      <c r="B28" s="5" t="s">
        <v>251</v>
      </c>
      <c r="C28" s="6" t="s">
        <v>252</v>
      </c>
      <c r="D28" s="7">
        <v>362800</v>
      </c>
      <c r="E28" s="5" t="s">
        <v>48</v>
      </c>
      <c r="F28" s="5" t="s">
        <v>49</v>
      </c>
      <c r="G28" s="8"/>
      <c r="H28" s="8" t="str">
        <f>IF(F28="Bullet",MIN(G28,Assumptions!$B$6),"")</f>
        <v/>
      </c>
      <c r="I28" s="8">
        <v>1</v>
      </c>
      <c r="J28" s="8">
        <f>IF(F28="Monthly interest",MAX(0,Assumptions!$B$5-I28),"")</f>
        <v>2</v>
      </c>
      <c r="K28" s="7">
        <f t="shared" si="0"/>
        <v>5442</v>
      </c>
      <c r="L28" s="9">
        <v>46287</v>
      </c>
      <c r="M28" s="5" t="s">
        <v>50</v>
      </c>
      <c r="N28" s="5" t="s">
        <v>53</v>
      </c>
      <c r="O28" s="5" t="s">
        <v>132</v>
      </c>
      <c r="P28" s="5" t="s">
        <v>70</v>
      </c>
      <c r="Q28" s="5" t="s">
        <v>54</v>
      </c>
      <c r="R28" s="5" t="s">
        <v>55</v>
      </c>
      <c r="S28" s="5" t="s">
        <v>253</v>
      </c>
      <c r="T28" s="5" t="s">
        <v>63</v>
      </c>
      <c r="U28" s="5" t="s">
        <v>86</v>
      </c>
      <c r="V28" s="5" t="s">
        <v>87</v>
      </c>
      <c r="W28" s="5" t="s">
        <v>254</v>
      </c>
      <c r="X28" s="5" t="s">
        <v>255</v>
      </c>
      <c r="Y28" s="5" t="s">
        <v>256</v>
      </c>
      <c r="Z28" s="9">
        <v>46225</v>
      </c>
      <c r="AA28" s="8">
        <v>18</v>
      </c>
      <c r="AB28" s="9">
        <f t="shared" si="1"/>
        <v>46774</v>
      </c>
      <c r="AC28" s="10">
        <v>18</v>
      </c>
      <c r="AD28" s="7">
        <f t="shared" si="2"/>
        <v>5442</v>
      </c>
      <c r="AE28" s="7">
        <f>IF(F28="Bullet",H28*AD28,MIN(MAX(I28,1),Assumptions!$B$6)*AD28)</f>
        <v>5442</v>
      </c>
      <c r="AF28" s="8">
        <f>IF(F28="Bullet",MAX(0,Assumptions!$B$4-AB28),MAX(0,Assumptions!$B$4-L28))</f>
        <v>11</v>
      </c>
      <c r="AG28" s="9">
        <v>46261</v>
      </c>
      <c r="AH28" s="8">
        <f>IF(AG28="","",Assumptions!$B$4-AG28)</f>
        <v>37</v>
      </c>
      <c r="AI28" s="5" t="s">
        <v>57</v>
      </c>
      <c r="AJ28" s="8">
        <v>1</v>
      </c>
      <c r="AK28" s="8">
        <v>0</v>
      </c>
      <c r="AL28" s="8">
        <v>653</v>
      </c>
      <c r="AM28" s="8">
        <v>0</v>
      </c>
      <c r="AN28" s="5" t="s">
        <v>63</v>
      </c>
      <c r="AO28" s="10">
        <v>53.4</v>
      </c>
      <c r="AP28" s="8">
        <v>24</v>
      </c>
      <c r="AQ28" s="9">
        <v>46288</v>
      </c>
      <c r="AR28" s="5" t="s">
        <v>51</v>
      </c>
      <c r="AS28" s="5" t="s">
        <v>91</v>
      </c>
    </row>
    <row r="29" spans="1:45" x14ac:dyDescent="0.35">
      <c r="A29" s="5" t="s">
        <v>257</v>
      </c>
      <c r="B29" s="5" t="s">
        <v>258</v>
      </c>
      <c r="C29" s="6" t="s">
        <v>259</v>
      </c>
      <c r="D29" s="7">
        <v>72100</v>
      </c>
      <c r="E29" s="5" t="s">
        <v>48</v>
      </c>
      <c r="F29" s="5" t="s">
        <v>68</v>
      </c>
      <c r="G29" s="8">
        <v>4</v>
      </c>
      <c r="H29" s="8">
        <f>IF(F29="Bullet",MIN(G29,Assumptions!$B$6),"")</f>
        <v>2</v>
      </c>
      <c r="I29" s="8"/>
      <c r="J29" s="8" t="str">
        <f>IF(F29="Monthly interest",MAX(0,Assumptions!$B$5-I29),"")</f>
        <v/>
      </c>
      <c r="K29" s="7">
        <f t="shared" si="0"/>
        <v>3844</v>
      </c>
      <c r="L29" s="9">
        <v>46165</v>
      </c>
      <c r="M29" s="5" t="s">
        <v>69</v>
      </c>
      <c r="N29" s="5" t="s">
        <v>53</v>
      </c>
      <c r="O29" s="5" t="s">
        <v>71</v>
      </c>
      <c r="P29" s="5" t="s">
        <v>70</v>
      </c>
      <c r="Q29" s="5" t="s">
        <v>73</v>
      </c>
      <c r="R29" s="5" t="s">
        <v>74</v>
      </c>
      <c r="S29" s="5" t="s">
        <v>75</v>
      </c>
      <c r="T29" s="5" t="s">
        <v>57</v>
      </c>
      <c r="U29" s="5" t="s">
        <v>104</v>
      </c>
      <c r="V29" s="5" t="s">
        <v>76</v>
      </c>
      <c r="W29" s="5" t="s">
        <v>77</v>
      </c>
      <c r="X29" s="5" t="s">
        <v>260</v>
      </c>
      <c r="Y29" s="5" t="s">
        <v>261</v>
      </c>
      <c r="Z29" s="9">
        <v>46165</v>
      </c>
      <c r="AA29" s="8">
        <v>6</v>
      </c>
      <c r="AB29" s="9">
        <f t="shared" si="1"/>
        <v>46349</v>
      </c>
      <c r="AC29" s="10">
        <v>16</v>
      </c>
      <c r="AD29" s="7">
        <f t="shared" si="2"/>
        <v>961</v>
      </c>
      <c r="AE29" s="7">
        <f>IF(F29="Bullet",H29*AD29,MIN(MAX(I29,1),Assumptions!$B$6)*AD29)</f>
        <v>1922</v>
      </c>
      <c r="AF29" s="8">
        <f>IF(F29="Bullet",MAX(0,Assumptions!$B$4-AB29),MAX(0,Assumptions!$B$4-L29))</f>
        <v>0</v>
      </c>
      <c r="AG29" s="9"/>
      <c r="AH29" s="8" t="str">
        <f>IF(AG29="","",Assumptions!$B$4-AG29)</f>
        <v/>
      </c>
      <c r="AI29" s="5" t="s">
        <v>80</v>
      </c>
      <c r="AJ29" s="8"/>
      <c r="AK29" s="8">
        <v>2</v>
      </c>
      <c r="AL29" s="8">
        <v>725</v>
      </c>
      <c r="AM29" s="8">
        <v>1</v>
      </c>
      <c r="AN29" s="5" t="s">
        <v>63</v>
      </c>
      <c r="AO29" s="10">
        <v>83.1</v>
      </c>
      <c r="AP29" s="8">
        <v>43</v>
      </c>
      <c r="AQ29" s="9">
        <v>46281</v>
      </c>
      <c r="AR29" s="5" t="s">
        <v>70</v>
      </c>
      <c r="AS29" s="5" t="s">
        <v>81</v>
      </c>
    </row>
    <row r="30" spans="1:45" x14ac:dyDescent="0.35">
      <c r="A30" s="5" t="s">
        <v>262</v>
      </c>
      <c r="B30" s="5" t="s">
        <v>263</v>
      </c>
      <c r="C30" s="6" t="s">
        <v>264</v>
      </c>
      <c r="D30" s="7">
        <v>85600</v>
      </c>
      <c r="E30" s="5" t="s">
        <v>48</v>
      </c>
      <c r="F30" s="5" t="s">
        <v>68</v>
      </c>
      <c r="G30" s="8">
        <v>4</v>
      </c>
      <c r="H30" s="8">
        <f>IF(F30="Bullet",MIN(G30,Assumptions!$B$6),"")</f>
        <v>2</v>
      </c>
      <c r="I30" s="8"/>
      <c r="J30" s="8" t="str">
        <f>IF(F30="Monthly interest",MAX(0,Assumptions!$B$5-I30),"")</f>
        <v/>
      </c>
      <c r="K30" s="7">
        <f t="shared" si="0"/>
        <v>3424</v>
      </c>
      <c r="L30" s="9">
        <v>46158</v>
      </c>
      <c r="M30" s="5" t="s">
        <v>69</v>
      </c>
      <c r="N30" s="5" t="s">
        <v>53</v>
      </c>
      <c r="O30" s="5" t="s">
        <v>71</v>
      </c>
      <c r="P30" s="5" t="s">
        <v>70</v>
      </c>
      <c r="Q30" s="5" t="s">
        <v>73</v>
      </c>
      <c r="R30" s="5" t="s">
        <v>74</v>
      </c>
      <c r="S30" s="5" t="s">
        <v>85</v>
      </c>
      <c r="T30" s="5" t="s">
        <v>57</v>
      </c>
      <c r="U30" s="5" t="s">
        <v>86</v>
      </c>
      <c r="V30" s="5" t="s">
        <v>96</v>
      </c>
      <c r="W30" s="5" t="s">
        <v>265</v>
      </c>
      <c r="X30" s="5" t="s">
        <v>266</v>
      </c>
      <c r="Y30" s="5" t="s">
        <v>267</v>
      </c>
      <c r="Z30" s="9">
        <v>46158</v>
      </c>
      <c r="AA30" s="8">
        <v>6</v>
      </c>
      <c r="AB30" s="9">
        <f t="shared" si="1"/>
        <v>46342</v>
      </c>
      <c r="AC30" s="10">
        <v>12</v>
      </c>
      <c r="AD30" s="7">
        <f t="shared" si="2"/>
        <v>856</v>
      </c>
      <c r="AE30" s="7">
        <f>IF(F30="Bullet",H30*AD30,MIN(MAX(I30,1),Assumptions!$B$6)*AD30)</f>
        <v>1712</v>
      </c>
      <c r="AF30" s="8">
        <f>IF(F30="Bullet",MAX(0,Assumptions!$B$4-AB30),MAX(0,Assumptions!$B$4-L30))</f>
        <v>0</v>
      </c>
      <c r="AG30" s="9"/>
      <c r="AH30" s="8" t="str">
        <f>IF(AG30="","",Assumptions!$B$4-AG30)</f>
        <v/>
      </c>
      <c r="AI30" s="5" t="s">
        <v>80</v>
      </c>
      <c r="AJ30" s="8"/>
      <c r="AK30" s="8">
        <v>0</v>
      </c>
      <c r="AL30" s="8">
        <v>626</v>
      </c>
      <c r="AM30" s="8">
        <v>3</v>
      </c>
      <c r="AN30" s="5" t="s">
        <v>63</v>
      </c>
      <c r="AO30" s="10">
        <v>65.2</v>
      </c>
      <c r="AP30" s="8">
        <v>33</v>
      </c>
      <c r="AQ30" s="9">
        <v>46286</v>
      </c>
      <c r="AR30" s="5" t="s">
        <v>51</v>
      </c>
      <c r="AS30" s="5" t="s">
        <v>81</v>
      </c>
    </row>
    <row r="31" spans="1:45" x14ac:dyDescent="0.35">
      <c r="A31" s="5" t="s">
        <v>268</v>
      </c>
      <c r="B31" s="5" t="s">
        <v>269</v>
      </c>
      <c r="C31" s="6" t="s">
        <v>270</v>
      </c>
      <c r="D31" s="7">
        <v>291400</v>
      </c>
      <c r="E31" s="5" t="s">
        <v>48</v>
      </c>
      <c r="F31" s="5" t="s">
        <v>68</v>
      </c>
      <c r="G31" s="8">
        <v>1</v>
      </c>
      <c r="H31" s="8">
        <f>IF(F31="Bullet",MIN(G31,Assumptions!$B$6),"")</f>
        <v>1</v>
      </c>
      <c r="I31" s="8"/>
      <c r="J31" s="8" t="str">
        <f>IF(F31="Monthly interest",MAX(0,Assumptions!$B$5-I31),"")</f>
        <v/>
      </c>
      <c r="K31" s="7">
        <f t="shared" si="0"/>
        <v>2914</v>
      </c>
      <c r="L31" s="9">
        <v>46266</v>
      </c>
      <c r="M31" s="5" t="s">
        <v>50</v>
      </c>
      <c r="N31" s="5" t="s">
        <v>70</v>
      </c>
      <c r="O31" s="5" t="s">
        <v>271</v>
      </c>
      <c r="P31" s="5" t="s">
        <v>72</v>
      </c>
      <c r="Q31" s="5" t="s">
        <v>73</v>
      </c>
      <c r="R31" s="5" t="s">
        <v>74</v>
      </c>
      <c r="S31" s="5" t="s">
        <v>85</v>
      </c>
      <c r="T31" s="5" t="s">
        <v>57</v>
      </c>
      <c r="U31" s="5" t="s">
        <v>104</v>
      </c>
      <c r="V31" s="5" t="s">
        <v>96</v>
      </c>
      <c r="W31" s="5" t="s">
        <v>265</v>
      </c>
      <c r="X31" s="5" t="s">
        <v>272</v>
      </c>
      <c r="Y31" s="5" t="s">
        <v>273</v>
      </c>
      <c r="Z31" s="9">
        <v>46266</v>
      </c>
      <c r="AA31" s="8">
        <v>6</v>
      </c>
      <c r="AB31" s="9">
        <f t="shared" si="1"/>
        <v>46447</v>
      </c>
      <c r="AC31" s="10">
        <v>12</v>
      </c>
      <c r="AD31" s="7">
        <f t="shared" si="2"/>
        <v>2914</v>
      </c>
      <c r="AE31" s="7">
        <f>IF(F31="Bullet",H31*AD31,MIN(MAX(I31,1),Assumptions!$B$6)*AD31)</f>
        <v>2914</v>
      </c>
      <c r="AF31" s="8">
        <f>IF(F31="Bullet",MAX(0,Assumptions!$B$4-AB31),MAX(0,Assumptions!$B$4-L31))</f>
        <v>0</v>
      </c>
      <c r="AG31" s="9"/>
      <c r="AH31" s="8" t="str">
        <f>IF(AG31="","",Assumptions!$B$4-AG31)</f>
        <v/>
      </c>
      <c r="AI31" s="5" t="s">
        <v>80</v>
      </c>
      <c r="AJ31" s="8"/>
      <c r="AK31" s="8">
        <v>0</v>
      </c>
      <c r="AL31" s="8">
        <v>711</v>
      </c>
      <c r="AM31" s="8">
        <v>0</v>
      </c>
      <c r="AN31" s="5" t="s">
        <v>63</v>
      </c>
      <c r="AO31" s="10">
        <v>61.1</v>
      </c>
      <c r="AP31" s="8">
        <v>13</v>
      </c>
      <c r="AQ31" s="9">
        <v>46277</v>
      </c>
      <c r="AR31" s="5" t="s">
        <v>51</v>
      </c>
      <c r="AS31" s="5" t="s">
        <v>274</v>
      </c>
    </row>
    <row r="32" spans="1:45" x14ac:dyDescent="0.35">
      <c r="A32" s="5" t="s">
        <v>275</v>
      </c>
      <c r="B32" s="5" t="s">
        <v>276</v>
      </c>
      <c r="C32" s="6" t="s">
        <v>277</v>
      </c>
      <c r="D32" s="7">
        <v>440600</v>
      </c>
      <c r="E32" s="5" t="s">
        <v>48</v>
      </c>
      <c r="F32" s="5" t="s">
        <v>68</v>
      </c>
      <c r="G32" s="8">
        <v>3</v>
      </c>
      <c r="H32" s="8">
        <f>IF(F32="Bullet",MIN(G32,Assumptions!$B$6),"")</f>
        <v>2</v>
      </c>
      <c r="I32" s="8"/>
      <c r="J32" s="8" t="str">
        <f>IF(F32="Monthly interest",MAX(0,Assumptions!$B$5-I32),"")</f>
        <v/>
      </c>
      <c r="K32" s="7">
        <f t="shared" si="0"/>
        <v>17625</v>
      </c>
      <c r="L32" s="9">
        <v>46206</v>
      </c>
      <c r="M32" s="5" t="s">
        <v>69</v>
      </c>
      <c r="N32" s="5" t="s">
        <v>70</v>
      </c>
      <c r="O32" s="5" t="s">
        <v>71</v>
      </c>
      <c r="P32" s="5" t="s">
        <v>72</v>
      </c>
      <c r="Q32" s="5" t="s">
        <v>73</v>
      </c>
      <c r="R32" s="5" t="s">
        <v>74</v>
      </c>
      <c r="S32" s="5" t="s">
        <v>253</v>
      </c>
      <c r="T32" s="5" t="s">
        <v>57</v>
      </c>
      <c r="U32" s="5" t="s">
        <v>86</v>
      </c>
      <c r="V32" s="5" t="s">
        <v>215</v>
      </c>
      <c r="W32" s="5" t="s">
        <v>278</v>
      </c>
      <c r="X32" s="5" t="s">
        <v>279</v>
      </c>
      <c r="Y32" s="5" t="s">
        <v>280</v>
      </c>
      <c r="Z32" s="9">
        <v>46206</v>
      </c>
      <c r="AA32" s="8">
        <v>3</v>
      </c>
      <c r="AB32" s="9">
        <f t="shared" si="1"/>
        <v>46298</v>
      </c>
      <c r="AC32" s="10">
        <v>16</v>
      </c>
      <c r="AD32" s="7">
        <f t="shared" si="2"/>
        <v>5875</v>
      </c>
      <c r="AE32" s="7">
        <f>IF(F32="Bullet",H32*AD32,MIN(MAX(I32,1),Assumptions!$B$6)*AD32)</f>
        <v>11750</v>
      </c>
      <c r="AF32" s="8">
        <f>IF(F32="Bullet",MAX(0,Assumptions!$B$4-AB32),MAX(0,Assumptions!$B$4-L32))</f>
        <v>0</v>
      </c>
      <c r="AG32" s="9"/>
      <c r="AH32" s="8" t="str">
        <f>IF(AG32="","",Assumptions!$B$4-AG32)</f>
        <v/>
      </c>
      <c r="AI32" s="5" t="s">
        <v>80</v>
      </c>
      <c r="AJ32" s="8"/>
      <c r="AK32" s="8">
        <v>1</v>
      </c>
      <c r="AL32" s="8">
        <v>702</v>
      </c>
      <c r="AM32" s="8">
        <v>2</v>
      </c>
      <c r="AN32" s="5" t="s">
        <v>63</v>
      </c>
      <c r="AO32" s="10">
        <v>69.2</v>
      </c>
      <c r="AP32" s="8">
        <v>34</v>
      </c>
      <c r="AQ32" s="9">
        <v>46291</v>
      </c>
      <c r="AR32" s="5" t="s">
        <v>70</v>
      </c>
      <c r="AS32" s="5" t="s">
        <v>81</v>
      </c>
    </row>
    <row r="33" spans="1:45" x14ac:dyDescent="0.35">
      <c r="A33" s="5" t="s">
        <v>281</v>
      </c>
      <c r="B33" s="5" t="s">
        <v>282</v>
      </c>
      <c r="C33" s="6" t="s">
        <v>283</v>
      </c>
      <c r="D33" s="7">
        <v>71200</v>
      </c>
      <c r="E33" s="5" t="s">
        <v>48</v>
      </c>
      <c r="F33" s="5" t="s">
        <v>68</v>
      </c>
      <c r="G33" s="8">
        <v>3</v>
      </c>
      <c r="H33" s="8">
        <f>IF(F33="Bullet",MIN(G33,Assumptions!$B$6),"")</f>
        <v>2</v>
      </c>
      <c r="I33" s="8"/>
      <c r="J33" s="8" t="str">
        <f>IF(F33="Monthly interest",MAX(0,Assumptions!$B$5-I33),"")</f>
        <v/>
      </c>
      <c r="K33" s="7">
        <f t="shared" si="0"/>
        <v>2847</v>
      </c>
      <c r="L33" s="9">
        <v>46191</v>
      </c>
      <c r="M33" s="5" t="s">
        <v>69</v>
      </c>
      <c r="N33" s="5" t="s">
        <v>53</v>
      </c>
      <c r="O33" s="5" t="s">
        <v>71</v>
      </c>
      <c r="P33" s="5" t="s">
        <v>70</v>
      </c>
      <c r="Q33" s="5" t="s">
        <v>73</v>
      </c>
      <c r="R33" s="5" t="s">
        <v>74</v>
      </c>
      <c r="S33" s="5" t="s">
        <v>214</v>
      </c>
      <c r="T33" s="5" t="s">
        <v>57</v>
      </c>
      <c r="U33" s="5" t="s">
        <v>58</v>
      </c>
      <c r="V33" s="5" t="s">
        <v>215</v>
      </c>
      <c r="W33" s="5" t="s">
        <v>284</v>
      </c>
      <c r="X33" s="5" t="s">
        <v>285</v>
      </c>
      <c r="Y33" s="5" t="s">
        <v>286</v>
      </c>
      <c r="Z33" s="9">
        <v>46191</v>
      </c>
      <c r="AA33" s="8">
        <v>3</v>
      </c>
      <c r="AB33" s="9">
        <f t="shared" si="1"/>
        <v>46283</v>
      </c>
      <c r="AC33" s="10">
        <v>16</v>
      </c>
      <c r="AD33" s="7">
        <f t="shared" si="2"/>
        <v>949</v>
      </c>
      <c r="AE33" s="7">
        <f>IF(F33="Bullet",H33*AD33,MIN(MAX(I33,1),Assumptions!$B$6)*AD33)</f>
        <v>1898</v>
      </c>
      <c r="AF33" s="8">
        <f>IF(F33="Bullet",MAX(0,Assumptions!$B$4-AB33),MAX(0,Assumptions!$B$4-L33))</f>
        <v>15</v>
      </c>
      <c r="AG33" s="9"/>
      <c r="AH33" s="8" t="str">
        <f>IF(AG33="","",Assumptions!$B$4-AG33)</f>
        <v/>
      </c>
      <c r="AI33" s="5" t="s">
        <v>80</v>
      </c>
      <c r="AJ33" s="8"/>
      <c r="AK33" s="8">
        <v>2</v>
      </c>
      <c r="AL33" s="8">
        <v>751</v>
      </c>
      <c r="AM33" s="8">
        <v>1</v>
      </c>
      <c r="AN33" s="5" t="s">
        <v>63</v>
      </c>
      <c r="AO33" s="10">
        <v>63.3</v>
      </c>
      <c r="AP33" s="8">
        <v>31</v>
      </c>
      <c r="AQ33" s="9">
        <v>46273</v>
      </c>
      <c r="AR33" s="5" t="s">
        <v>70</v>
      </c>
      <c r="AS33" s="5" t="s">
        <v>91</v>
      </c>
    </row>
    <row r="34" spans="1:45" x14ac:dyDescent="0.35">
      <c r="A34" s="5" t="s">
        <v>287</v>
      </c>
      <c r="B34" s="5" t="s">
        <v>288</v>
      </c>
      <c r="C34" s="6" t="s">
        <v>289</v>
      </c>
      <c r="D34" s="7">
        <v>36700</v>
      </c>
      <c r="E34" s="5" t="s">
        <v>48</v>
      </c>
      <c r="F34" s="5" t="s">
        <v>49</v>
      </c>
      <c r="G34" s="8"/>
      <c r="H34" s="8" t="str">
        <f>IF(F34="Bullet",MIN(G34,Assumptions!$B$6),"")</f>
        <v/>
      </c>
      <c r="I34" s="8">
        <v>2</v>
      </c>
      <c r="J34" s="8">
        <f>IF(F34="Monthly interest",MAX(0,Assumptions!$B$5-I34),"")</f>
        <v>1</v>
      </c>
      <c r="K34" s="7">
        <f t="shared" si="0"/>
        <v>1346</v>
      </c>
      <c r="L34" s="9">
        <v>46255</v>
      </c>
      <c r="M34" s="5" t="s">
        <v>69</v>
      </c>
      <c r="N34" s="5" t="s">
        <v>53</v>
      </c>
      <c r="O34" s="5" t="s">
        <v>152</v>
      </c>
      <c r="P34" s="5" t="s">
        <v>153</v>
      </c>
      <c r="Q34" s="5" t="s">
        <v>154</v>
      </c>
      <c r="R34" s="5" t="s">
        <v>155</v>
      </c>
      <c r="S34" s="5" t="s">
        <v>185</v>
      </c>
      <c r="T34" s="5" t="s">
        <v>57</v>
      </c>
      <c r="U34" s="5" t="s">
        <v>104</v>
      </c>
      <c r="V34" s="5" t="s">
        <v>186</v>
      </c>
      <c r="W34" s="5" t="s">
        <v>187</v>
      </c>
      <c r="X34" s="5" t="s">
        <v>290</v>
      </c>
      <c r="Y34" s="5" t="s">
        <v>291</v>
      </c>
      <c r="Z34" s="9">
        <v>46043</v>
      </c>
      <c r="AA34" s="8">
        <v>12</v>
      </c>
      <c r="AB34" s="9">
        <f t="shared" si="1"/>
        <v>46408</v>
      </c>
      <c r="AC34" s="10">
        <v>22</v>
      </c>
      <c r="AD34" s="7">
        <f t="shared" si="2"/>
        <v>673</v>
      </c>
      <c r="AE34" s="7">
        <f>IF(F34="Bullet",H34*AD34,MIN(MAX(I34,1),Assumptions!$B$6)*AD34)</f>
        <v>1346</v>
      </c>
      <c r="AF34" s="8">
        <f>IF(F34="Bullet",MAX(0,Assumptions!$B$4-AB34),MAX(0,Assumptions!$B$4-L34))</f>
        <v>43</v>
      </c>
      <c r="AG34" s="9">
        <v>46226</v>
      </c>
      <c r="AH34" s="8">
        <f>IF(AG34="","",Assumptions!$B$4-AG34)</f>
        <v>72</v>
      </c>
      <c r="AI34" s="5" t="s">
        <v>57</v>
      </c>
      <c r="AJ34" s="8">
        <v>3</v>
      </c>
      <c r="AK34" s="8">
        <v>0</v>
      </c>
      <c r="AL34" s="8">
        <v>776</v>
      </c>
      <c r="AM34" s="8">
        <v>2</v>
      </c>
      <c r="AN34" s="5" t="s">
        <v>63</v>
      </c>
      <c r="AO34" s="10">
        <v>70.2</v>
      </c>
      <c r="AP34" s="8">
        <v>35</v>
      </c>
      <c r="AQ34" s="9">
        <v>46281</v>
      </c>
      <c r="AR34" s="5" t="s">
        <v>70</v>
      </c>
      <c r="AS34" s="5" t="s">
        <v>64</v>
      </c>
    </row>
    <row r="35" spans="1:45" x14ac:dyDescent="0.35">
      <c r="A35" s="5" t="s">
        <v>292</v>
      </c>
      <c r="B35" s="5" t="s">
        <v>293</v>
      </c>
      <c r="C35" s="6" t="s">
        <v>294</v>
      </c>
      <c r="D35" s="7">
        <v>67800</v>
      </c>
      <c r="E35" s="5" t="s">
        <v>48</v>
      </c>
      <c r="F35" s="5" t="s">
        <v>68</v>
      </c>
      <c r="G35" s="8">
        <v>3</v>
      </c>
      <c r="H35" s="8">
        <f>IF(F35="Bullet",MIN(G35,Assumptions!$B$6),"")</f>
        <v>2</v>
      </c>
      <c r="I35" s="8"/>
      <c r="J35" s="8" t="str">
        <f>IF(F35="Monthly interest",MAX(0,Assumptions!$B$5-I35),"")</f>
        <v/>
      </c>
      <c r="K35" s="7">
        <f t="shared" si="0"/>
        <v>3051</v>
      </c>
      <c r="L35" s="9">
        <v>46199</v>
      </c>
      <c r="M35" s="5" t="s">
        <v>50</v>
      </c>
      <c r="N35" s="5" t="s">
        <v>70</v>
      </c>
      <c r="O35" s="5" t="s">
        <v>295</v>
      </c>
      <c r="P35" s="5" t="s">
        <v>72</v>
      </c>
      <c r="Q35" s="5" t="s">
        <v>73</v>
      </c>
      <c r="R35" s="5" t="s">
        <v>74</v>
      </c>
      <c r="S35" s="5" t="s">
        <v>56</v>
      </c>
      <c r="T35" s="5" t="s">
        <v>57</v>
      </c>
      <c r="U35" s="5" t="s">
        <v>104</v>
      </c>
      <c r="V35" s="5" t="s">
        <v>59</v>
      </c>
      <c r="W35" s="5" t="s">
        <v>194</v>
      </c>
      <c r="X35" s="5" t="s">
        <v>248</v>
      </c>
      <c r="Y35" s="5" t="s">
        <v>296</v>
      </c>
      <c r="Z35" s="9">
        <v>46199</v>
      </c>
      <c r="AA35" s="8">
        <v>12</v>
      </c>
      <c r="AB35" s="9">
        <f t="shared" si="1"/>
        <v>46564</v>
      </c>
      <c r="AC35" s="10">
        <v>18</v>
      </c>
      <c r="AD35" s="7">
        <f t="shared" si="2"/>
        <v>1017</v>
      </c>
      <c r="AE35" s="7">
        <f>IF(F35="Bullet",H35*AD35,MIN(MAX(I35,1),Assumptions!$B$6)*AD35)</f>
        <v>2034</v>
      </c>
      <c r="AF35" s="8">
        <f>IF(F35="Bullet",MAX(0,Assumptions!$B$4-AB35),MAX(0,Assumptions!$B$4-L35))</f>
        <v>0</v>
      </c>
      <c r="AG35" s="9"/>
      <c r="AH35" s="8" t="str">
        <f>IF(AG35="","",Assumptions!$B$4-AG35)</f>
        <v/>
      </c>
      <c r="AI35" s="5" t="s">
        <v>80</v>
      </c>
      <c r="AJ35" s="8"/>
      <c r="AK35" s="8">
        <v>0</v>
      </c>
      <c r="AL35" s="8">
        <v>623</v>
      </c>
      <c r="AM35" s="8">
        <v>1</v>
      </c>
      <c r="AN35" s="5" t="s">
        <v>63</v>
      </c>
      <c r="AO35" s="10">
        <v>74.8</v>
      </c>
      <c r="AP35" s="8">
        <v>30</v>
      </c>
      <c r="AQ35" s="9">
        <v>46296</v>
      </c>
      <c r="AR35" s="5" t="s">
        <v>53</v>
      </c>
      <c r="AS35" s="5" t="s">
        <v>91</v>
      </c>
    </row>
    <row r="36" spans="1:45" x14ac:dyDescent="0.35">
      <c r="A36" s="5" t="s">
        <v>297</v>
      </c>
      <c r="B36" s="5" t="s">
        <v>298</v>
      </c>
      <c r="C36" s="6" t="s">
        <v>299</v>
      </c>
      <c r="D36" s="7">
        <v>497100</v>
      </c>
      <c r="E36" s="5" t="s">
        <v>48</v>
      </c>
      <c r="F36" s="5" t="s">
        <v>68</v>
      </c>
      <c r="G36" s="8">
        <v>3</v>
      </c>
      <c r="H36" s="8">
        <f>IF(F36="Bullet",MIN(G36,Assumptions!$B$6),"")</f>
        <v>2</v>
      </c>
      <c r="I36" s="8"/>
      <c r="J36" s="8" t="str">
        <f>IF(F36="Monthly interest",MAX(0,Assumptions!$B$5-I36),"")</f>
        <v/>
      </c>
      <c r="K36" s="7">
        <f t="shared" si="0"/>
        <v>14913</v>
      </c>
      <c r="L36" s="9">
        <v>46184</v>
      </c>
      <c r="M36" s="5" t="s">
        <v>50</v>
      </c>
      <c r="N36" s="5" t="s">
        <v>53</v>
      </c>
      <c r="O36" s="5" t="s">
        <v>71</v>
      </c>
      <c r="P36" s="5" t="s">
        <v>51</v>
      </c>
      <c r="Q36" s="5" t="s">
        <v>73</v>
      </c>
      <c r="R36" s="5" t="s">
        <v>74</v>
      </c>
      <c r="S36" s="5" t="s">
        <v>56</v>
      </c>
      <c r="T36" s="5" t="s">
        <v>57</v>
      </c>
      <c r="U36" s="5" t="s">
        <v>86</v>
      </c>
      <c r="V36" s="5" t="s">
        <v>59</v>
      </c>
      <c r="W36" s="5" t="s">
        <v>300</v>
      </c>
      <c r="X36" s="5" t="s">
        <v>301</v>
      </c>
      <c r="Y36" s="5" t="s">
        <v>302</v>
      </c>
      <c r="Z36" s="9">
        <v>46184</v>
      </c>
      <c r="AA36" s="8">
        <v>12</v>
      </c>
      <c r="AB36" s="9">
        <f t="shared" si="1"/>
        <v>46549</v>
      </c>
      <c r="AC36" s="10">
        <v>12</v>
      </c>
      <c r="AD36" s="7">
        <f t="shared" si="2"/>
        <v>4971</v>
      </c>
      <c r="AE36" s="7">
        <f>IF(F36="Bullet",H36*AD36,MIN(MAX(I36,1),Assumptions!$B$6)*AD36)</f>
        <v>9942</v>
      </c>
      <c r="AF36" s="8">
        <f>IF(F36="Bullet",MAX(0,Assumptions!$B$4-AB36),MAX(0,Assumptions!$B$4-L36))</f>
        <v>0</v>
      </c>
      <c r="AG36" s="9"/>
      <c r="AH36" s="8" t="str">
        <f>IF(AG36="","",Assumptions!$B$4-AG36)</f>
        <v/>
      </c>
      <c r="AI36" s="5" t="s">
        <v>80</v>
      </c>
      <c r="AJ36" s="8"/>
      <c r="AK36" s="8">
        <v>1</v>
      </c>
      <c r="AL36" s="8">
        <v>700</v>
      </c>
      <c r="AM36" s="8">
        <v>1</v>
      </c>
      <c r="AN36" s="5" t="s">
        <v>63</v>
      </c>
      <c r="AO36" s="10">
        <v>80.2</v>
      </c>
      <c r="AP36" s="8">
        <v>30</v>
      </c>
      <c r="AQ36" s="9">
        <v>46295</v>
      </c>
      <c r="AR36" s="5" t="s">
        <v>51</v>
      </c>
      <c r="AS36" s="5" t="s">
        <v>91</v>
      </c>
    </row>
    <row r="37" spans="1:45" x14ac:dyDescent="0.35">
      <c r="A37" s="5" t="s">
        <v>303</v>
      </c>
      <c r="B37" s="5" t="s">
        <v>304</v>
      </c>
      <c r="C37" s="6" t="s">
        <v>305</v>
      </c>
      <c r="D37" s="7">
        <v>75700</v>
      </c>
      <c r="E37" s="5" t="s">
        <v>48</v>
      </c>
      <c r="F37" s="5" t="s">
        <v>68</v>
      </c>
      <c r="G37" s="8">
        <v>4</v>
      </c>
      <c r="H37" s="8">
        <f>IF(F37="Bullet",MIN(G37,Assumptions!$B$6),"")</f>
        <v>2</v>
      </c>
      <c r="I37" s="8"/>
      <c r="J37" s="8" t="str">
        <f>IF(F37="Monthly interest",MAX(0,Assumptions!$B$5-I37),"")</f>
        <v/>
      </c>
      <c r="K37" s="7">
        <f t="shared" si="0"/>
        <v>3532</v>
      </c>
      <c r="L37" s="9">
        <v>46169</v>
      </c>
      <c r="M37" s="5" t="s">
        <v>50</v>
      </c>
      <c r="N37" s="5" t="s">
        <v>53</v>
      </c>
      <c r="O37" s="5" t="s">
        <v>71</v>
      </c>
      <c r="P37" s="5" t="s">
        <v>51</v>
      </c>
      <c r="Q37" s="5" t="s">
        <v>73</v>
      </c>
      <c r="R37" s="5" t="s">
        <v>74</v>
      </c>
      <c r="S37" s="5" t="s">
        <v>75</v>
      </c>
      <c r="T37" s="5" t="s">
        <v>57</v>
      </c>
      <c r="U37" s="5" t="s">
        <v>86</v>
      </c>
      <c r="V37" s="5" t="s">
        <v>76</v>
      </c>
      <c r="W37" s="5" t="s">
        <v>306</v>
      </c>
      <c r="X37" s="5" t="s">
        <v>307</v>
      </c>
      <c r="Y37" s="5" t="s">
        <v>308</v>
      </c>
      <c r="Z37" s="9">
        <v>46169</v>
      </c>
      <c r="AA37" s="8">
        <v>12</v>
      </c>
      <c r="AB37" s="9">
        <f t="shared" si="1"/>
        <v>46534</v>
      </c>
      <c r="AC37" s="10">
        <v>14</v>
      </c>
      <c r="AD37" s="7">
        <f t="shared" si="2"/>
        <v>883</v>
      </c>
      <c r="AE37" s="7">
        <f>IF(F37="Bullet",H37*AD37,MIN(MAX(I37,1),Assumptions!$B$6)*AD37)</f>
        <v>1766</v>
      </c>
      <c r="AF37" s="8">
        <f>IF(F37="Bullet",MAX(0,Assumptions!$B$4-AB37),MAX(0,Assumptions!$B$4-L37))</f>
        <v>0</v>
      </c>
      <c r="AG37" s="9"/>
      <c r="AH37" s="8" t="str">
        <f>IF(AG37="","",Assumptions!$B$4-AG37)</f>
        <v/>
      </c>
      <c r="AI37" s="5" t="s">
        <v>80</v>
      </c>
      <c r="AJ37" s="8"/>
      <c r="AK37" s="8">
        <v>1</v>
      </c>
      <c r="AL37" s="8">
        <v>703</v>
      </c>
      <c r="AM37" s="8">
        <v>1</v>
      </c>
      <c r="AN37" s="5" t="s">
        <v>63</v>
      </c>
      <c r="AO37" s="10">
        <v>75.400000000000006</v>
      </c>
      <c r="AP37" s="8">
        <v>28</v>
      </c>
      <c r="AQ37" s="9">
        <v>46279</v>
      </c>
      <c r="AR37" s="5" t="s">
        <v>70</v>
      </c>
      <c r="AS37" s="5" t="s">
        <v>81</v>
      </c>
    </row>
    <row r="38" spans="1:45" x14ac:dyDescent="0.35">
      <c r="A38" s="5" t="s">
        <v>309</v>
      </c>
      <c r="B38" s="5" t="s">
        <v>310</v>
      </c>
      <c r="C38" s="6" t="s">
        <v>311</v>
      </c>
      <c r="D38" s="7">
        <v>90900</v>
      </c>
      <c r="E38" s="5" t="s">
        <v>48</v>
      </c>
      <c r="F38" s="5" t="s">
        <v>68</v>
      </c>
      <c r="G38" s="8">
        <v>1</v>
      </c>
      <c r="H38" s="8">
        <f>IF(F38="Bullet",MIN(G38,Assumptions!$B$6),"")</f>
        <v>1</v>
      </c>
      <c r="I38" s="8"/>
      <c r="J38" s="8" t="str">
        <f>IF(F38="Monthly interest",MAX(0,Assumptions!$B$5-I38),"")</f>
        <v/>
      </c>
      <c r="K38" s="7">
        <f t="shared" si="0"/>
        <v>985</v>
      </c>
      <c r="L38" s="9">
        <v>46253</v>
      </c>
      <c r="M38" s="5" t="s">
        <v>50</v>
      </c>
      <c r="N38" s="5" t="s">
        <v>51</v>
      </c>
      <c r="O38" s="5" t="s">
        <v>71</v>
      </c>
      <c r="P38" s="5" t="s">
        <v>53</v>
      </c>
      <c r="Q38" s="5" t="s">
        <v>73</v>
      </c>
      <c r="R38" s="5" t="s">
        <v>74</v>
      </c>
      <c r="S38" s="5" t="s">
        <v>85</v>
      </c>
      <c r="T38" s="5" t="s">
        <v>57</v>
      </c>
      <c r="U38" s="5" t="s">
        <v>86</v>
      </c>
      <c r="V38" s="5" t="s">
        <v>177</v>
      </c>
      <c r="W38" s="5" t="s">
        <v>208</v>
      </c>
      <c r="X38" s="5" t="s">
        <v>312</v>
      </c>
      <c r="Y38" s="5" t="s">
        <v>313</v>
      </c>
      <c r="Z38" s="9">
        <v>46253</v>
      </c>
      <c r="AA38" s="8">
        <v>12</v>
      </c>
      <c r="AB38" s="9">
        <f t="shared" si="1"/>
        <v>46618</v>
      </c>
      <c r="AC38" s="10">
        <v>13</v>
      </c>
      <c r="AD38" s="7">
        <f t="shared" si="2"/>
        <v>985</v>
      </c>
      <c r="AE38" s="7">
        <f>IF(F38="Bullet",H38*AD38,MIN(MAX(I38,1),Assumptions!$B$6)*AD38)</f>
        <v>985</v>
      </c>
      <c r="AF38" s="8">
        <f>IF(F38="Bullet",MAX(0,Assumptions!$B$4-AB38),MAX(0,Assumptions!$B$4-L38))</f>
        <v>0</v>
      </c>
      <c r="AG38" s="9"/>
      <c r="AH38" s="8" t="str">
        <f>IF(AG38="","",Assumptions!$B$4-AG38)</f>
        <v/>
      </c>
      <c r="AI38" s="5" t="s">
        <v>80</v>
      </c>
      <c r="AJ38" s="8"/>
      <c r="AK38" s="8">
        <v>0</v>
      </c>
      <c r="AL38" s="8">
        <v>650</v>
      </c>
      <c r="AM38" s="8">
        <v>0</v>
      </c>
      <c r="AN38" s="5" t="s">
        <v>63</v>
      </c>
      <c r="AO38" s="10">
        <v>72.900000000000006</v>
      </c>
      <c r="AP38" s="8">
        <v>17</v>
      </c>
      <c r="AQ38" s="9">
        <v>46276</v>
      </c>
      <c r="AR38" s="5" t="s">
        <v>70</v>
      </c>
      <c r="AS38" s="5" t="s">
        <v>81</v>
      </c>
    </row>
    <row r="39" spans="1:45" x14ac:dyDescent="0.35">
      <c r="A39" s="5" t="s">
        <v>314</v>
      </c>
      <c r="B39" s="5" t="s">
        <v>315</v>
      </c>
      <c r="C39" s="6" t="s">
        <v>316</v>
      </c>
      <c r="D39" s="7">
        <v>145200</v>
      </c>
      <c r="E39" s="5" t="s">
        <v>48</v>
      </c>
      <c r="F39" s="5" t="s">
        <v>49</v>
      </c>
      <c r="G39" s="8"/>
      <c r="H39" s="8" t="str">
        <f>IF(F39="Bullet",MIN(G39,Assumptions!$B$6),"")</f>
        <v/>
      </c>
      <c r="I39" s="8">
        <v>1</v>
      </c>
      <c r="J39" s="8">
        <f>IF(F39="Monthly interest",MAX(0,Assumptions!$B$5-I39),"")</f>
        <v>2</v>
      </c>
      <c r="K39" s="7">
        <f t="shared" si="0"/>
        <v>1815</v>
      </c>
      <c r="L39" s="9">
        <v>46274</v>
      </c>
      <c r="M39" s="5" t="s">
        <v>50</v>
      </c>
      <c r="N39" s="5" t="s">
        <v>51</v>
      </c>
      <c r="O39" s="5" t="s">
        <v>52</v>
      </c>
      <c r="P39" s="5" t="s">
        <v>53</v>
      </c>
      <c r="Q39" s="5" t="s">
        <v>54</v>
      </c>
      <c r="R39" s="5" t="s">
        <v>55</v>
      </c>
      <c r="S39" s="5" t="s">
        <v>85</v>
      </c>
      <c r="T39" s="5" t="s">
        <v>57</v>
      </c>
      <c r="U39" s="5" t="s">
        <v>104</v>
      </c>
      <c r="V39" s="5" t="s">
        <v>133</v>
      </c>
      <c r="W39" s="5" t="s">
        <v>317</v>
      </c>
      <c r="X39" s="5" t="s">
        <v>318</v>
      </c>
      <c r="Y39" s="5" t="s">
        <v>319</v>
      </c>
      <c r="Z39" s="9">
        <v>46031</v>
      </c>
      <c r="AA39" s="8">
        <v>12</v>
      </c>
      <c r="AB39" s="9">
        <f t="shared" si="1"/>
        <v>46396</v>
      </c>
      <c r="AC39" s="10">
        <v>15</v>
      </c>
      <c r="AD39" s="7">
        <f t="shared" si="2"/>
        <v>1815</v>
      </c>
      <c r="AE39" s="7">
        <f>IF(F39="Bullet",H39*AD39,MIN(MAX(I39,1),Assumptions!$B$6)*AD39)</f>
        <v>1815</v>
      </c>
      <c r="AF39" s="8">
        <f>IF(F39="Bullet",MAX(0,Assumptions!$B$4-AB39),MAX(0,Assumptions!$B$4-L39))</f>
        <v>24</v>
      </c>
      <c r="AG39" s="9">
        <v>46244</v>
      </c>
      <c r="AH39" s="8">
        <f>IF(AG39="","",Assumptions!$B$4-AG39)</f>
        <v>54</v>
      </c>
      <c r="AI39" s="5" t="s">
        <v>57</v>
      </c>
      <c r="AJ39" s="8">
        <v>1</v>
      </c>
      <c r="AK39" s="8">
        <v>0</v>
      </c>
      <c r="AL39" s="8">
        <v>852</v>
      </c>
      <c r="AM39" s="8">
        <v>0</v>
      </c>
      <c r="AN39" s="5" t="s">
        <v>63</v>
      </c>
      <c r="AO39" s="10">
        <v>68.599999999999994</v>
      </c>
      <c r="AP39" s="8">
        <v>5</v>
      </c>
      <c r="AQ39" s="9">
        <v>46287</v>
      </c>
      <c r="AR39" s="5" t="s">
        <v>51</v>
      </c>
      <c r="AS39" s="5" t="s">
        <v>64</v>
      </c>
    </row>
    <row r="40" spans="1:45" x14ac:dyDescent="0.35">
      <c r="A40" s="5" t="s">
        <v>320</v>
      </c>
      <c r="B40" s="5" t="s">
        <v>321</v>
      </c>
      <c r="C40" s="6" t="s">
        <v>322</v>
      </c>
      <c r="D40" s="7">
        <v>82400</v>
      </c>
      <c r="E40" s="5" t="s">
        <v>48</v>
      </c>
      <c r="F40" s="5" t="s">
        <v>68</v>
      </c>
      <c r="G40" s="8">
        <v>3</v>
      </c>
      <c r="H40" s="8">
        <f>IF(F40="Bullet",MIN(G40,Assumptions!$B$6),"")</f>
        <v>2</v>
      </c>
      <c r="I40" s="8"/>
      <c r="J40" s="8" t="str">
        <f>IF(F40="Monthly interest",MAX(0,Assumptions!$B$5-I40),"")</f>
        <v/>
      </c>
      <c r="K40" s="7">
        <f t="shared" si="0"/>
        <v>3708</v>
      </c>
      <c r="L40" s="9">
        <v>46182</v>
      </c>
      <c r="M40" s="5" t="s">
        <v>50</v>
      </c>
      <c r="N40" s="5" t="s">
        <v>53</v>
      </c>
      <c r="O40" s="5" t="s">
        <v>71</v>
      </c>
      <c r="P40" s="5" t="s">
        <v>51</v>
      </c>
      <c r="Q40" s="5" t="s">
        <v>73</v>
      </c>
      <c r="R40" s="5" t="s">
        <v>74</v>
      </c>
      <c r="S40" s="5" t="s">
        <v>56</v>
      </c>
      <c r="T40" s="5" t="s">
        <v>57</v>
      </c>
      <c r="U40" s="5" t="s">
        <v>86</v>
      </c>
      <c r="V40" s="5" t="s">
        <v>59</v>
      </c>
      <c r="W40" s="5" t="s">
        <v>323</v>
      </c>
      <c r="X40" s="5" t="s">
        <v>324</v>
      </c>
      <c r="Y40" s="5" t="s">
        <v>325</v>
      </c>
      <c r="Z40" s="9">
        <v>46182</v>
      </c>
      <c r="AA40" s="8">
        <v>6</v>
      </c>
      <c r="AB40" s="9">
        <f t="shared" si="1"/>
        <v>46365</v>
      </c>
      <c r="AC40" s="10">
        <v>18</v>
      </c>
      <c r="AD40" s="7">
        <f t="shared" si="2"/>
        <v>1236</v>
      </c>
      <c r="AE40" s="7">
        <f>IF(F40="Bullet",H40*AD40,MIN(MAX(I40,1),Assumptions!$B$6)*AD40)</f>
        <v>2472</v>
      </c>
      <c r="AF40" s="8">
        <f>IF(F40="Bullet",MAX(0,Assumptions!$B$4-AB40),MAX(0,Assumptions!$B$4-L40))</f>
        <v>0</v>
      </c>
      <c r="AG40" s="9"/>
      <c r="AH40" s="8" t="str">
        <f>IF(AG40="","",Assumptions!$B$4-AG40)</f>
        <v/>
      </c>
      <c r="AI40" s="5" t="s">
        <v>80</v>
      </c>
      <c r="AJ40" s="8"/>
      <c r="AK40" s="8">
        <v>1</v>
      </c>
      <c r="AL40" s="8">
        <v>729</v>
      </c>
      <c r="AM40" s="8">
        <v>0</v>
      </c>
      <c r="AN40" s="5" t="s">
        <v>63</v>
      </c>
      <c r="AO40" s="10">
        <v>73.900000000000006</v>
      </c>
      <c r="AP40" s="8">
        <v>14</v>
      </c>
      <c r="AQ40" s="9"/>
      <c r="AR40" s="5"/>
      <c r="AS40" s="5" t="s">
        <v>159</v>
      </c>
    </row>
    <row r="41" spans="1:45" x14ac:dyDescent="0.35">
      <c r="A41" s="5" t="s">
        <v>326</v>
      </c>
      <c r="B41" s="5" t="s">
        <v>327</v>
      </c>
      <c r="C41" s="6" t="s">
        <v>328</v>
      </c>
      <c r="D41" s="7">
        <v>258300</v>
      </c>
      <c r="E41" s="5" t="s">
        <v>48</v>
      </c>
      <c r="F41" s="5" t="s">
        <v>68</v>
      </c>
      <c r="G41" s="8">
        <v>3</v>
      </c>
      <c r="H41" s="8">
        <f>IF(F41="Bullet",MIN(G41,Assumptions!$B$6),"")</f>
        <v>2</v>
      </c>
      <c r="I41" s="8"/>
      <c r="J41" s="8" t="str">
        <f>IF(F41="Monthly interest",MAX(0,Assumptions!$B$5-I41),"")</f>
        <v/>
      </c>
      <c r="K41" s="7">
        <f t="shared" si="0"/>
        <v>8394</v>
      </c>
      <c r="L41" s="9">
        <v>46205</v>
      </c>
      <c r="M41" s="5" t="s">
        <v>50</v>
      </c>
      <c r="N41" s="5" t="s">
        <v>53</v>
      </c>
      <c r="O41" s="5" t="s">
        <v>71</v>
      </c>
      <c r="P41" s="5" t="s">
        <v>70</v>
      </c>
      <c r="Q41" s="5" t="s">
        <v>73</v>
      </c>
      <c r="R41" s="5" t="s">
        <v>74</v>
      </c>
      <c r="S41" s="5" t="s">
        <v>185</v>
      </c>
      <c r="T41" s="5" t="s">
        <v>63</v>
      </c>
      <c r="U41" s="5" t="s">
        <v>104</v>
      </c>
      <c r="V41" s="5" t="s">
        <v>186</v>
      </c>
      <c r="W41" s="5" t="s">
        <v>329</v>
      </c>
      <c r="X41" s="5" t="s">
        <v>330</v>
      </c>
      <c r="Y41" s="5" t="s">
        <v>331</v>
      </c>
      <c r="Z41" s="9">
        <v>46205</v>
      </c>
      <c r="AA41" s="8">
        <v>6</v>
      </c>
      <c r="AB41" s="9">
        <f t="shared" si="1"/>
        <v>46389</v>
      </c>
      <c r="AC41" s="10">
        <v>13</v>
      </c>
      <c r="AD41" s="7">
        <f t="shared" si="2"/>
        <v>2798</v>
      </c>
      <c r="AE41" s="7">
        <f>IF(F41="Bullet",H41*AD41,MIN(MAX(I41,1),Assumptions!$B$6)*AD41)</f>
        <v>5596</v>
      </c>
      <c r="AF41" s="8">
        <f>IF(F41="Bullet",MAX(0,Assumptions!$B$4-AB41),MAX(0,Assumptions!$B$4-L41))</f>
        <v>0</v>
      </c>
      <c r="AG41" s="9"/>
      <c r="AH41" s="8" t="str">
        <f>IF(AG41="","",Assumptions!$B$4-AG41)</f>
        <v/>
      </c>
      <c r="AI41" s="5" t="s">
        <v>80</v>
      </c>
      <c r="AJ41" s="8"/>
      <c r="AK41" s="8">
        <v>1</v>
      </c>
      <c r="AL41" s="8">
        <v>727</v>
      </c>
      <c r="AM41" s="8">
        <v>3</v>
      </c>
      <c r="AN41" s="5" t="s">
        <v>63</v>
      </c>
      <c r="AO41" s="10">
        <v>66.7</v>
      </c>
      <c r="AP41" s="8">
        <v>26</v>
      </c>
      <c r="AQ41" s="9">
        <v>46289</v>
      </c>
      <c r="AR41" s="5" t="s">
        <v>53</v>
      </c>
      <c r="AS41" s="5" t="s">
        <v>181</v>
      </c>
    </row>
    <row r="42" spans="1:45" x14ac:dyDescent="0.35">
      <c r="A42" s="5" t="s">
        <v>332</v>
      </c>
      <c r="B42" s="5" t="s">
        <v>333</v>
      </c>
      <c r="C42" s="6" t="s">
        <v>334</v>
      </c>
      <c r="D42" s="7">
        <v>28000</v>
      </c>
      <c r="E42" s="5" t="s">
        <v>48</v>
      </c>
      <c r="F42" s="5" t="s">
        <v>68</v>
      </c>
      <c r="G42" s="8">
        <v>2</v>
      </c>
      <c r="H42" s="8">
        <f>IF(F42="Bullet",MIN(G42,Assumptions!$B$6),"")</f>
        <v>2</v>
      </c>
      <c r="I42" s="8"/>
      <c r="J42" s="8" t="str">
        <f>IF(F42="Monthly interest",MAX(0,Assumptions!$B$5-I42),"")</f>
        <v/>
      </c>
      <c r="K42" s="7">
        <f t="shared" si="0"/>
        <v>560</v>
      </c>
      <c r="L42" s="9">
        <v>46221</v>
      </c>
      <c r="M42" s="5" t="s">
        <v>69</v>
      </c>
      <c r="N42" s="5" t="s">
        <v>53</v>
      </c>
      <c r="O42" s="5" t="s">
        <v>152</v>
      </c>
      <c r="P42" s="5" t="s">
        <v>153</v>
      </c>
      <c r="Q42" s="5" t="s">
        <v>154</v>
      </c>
      <c r="R42" s="5" t="s">
        <v>155</v>
      </c>
      <c r="S42" s="5" t="s">
        <v>56</v>
      </c>
      <c r="T42" s="5" t="s">
        <v>63</v>
      </c>
      <c r="U42" s="5" t="s">
        <v>58</v>
      </c>
      <c r="V42" s="5" t="s">
        <v>59</v>
      </c>
      <c r="W42" s="5" t="s">
        <v>60</v>
      </c>
      <c r="X42" s="5" t="s">
        <v>335</v>
      </c>
      <c r="Y42" s="5" t="s">
        <v>336</v>
      </c>
      <c r="Z42" s="9">
        <v>46221</v>
      </c>
      <c r="AA42" s="8">
        <v>6</v>
      </c>
      <c r="AB42" s="9">
        <f t="shared" si="1"/>
        <v>46405</v>
      </c>
      <c r="AC42" s="10">
        <v>12</v>
      </c>
      <c r="AD42" s="7">
        <f t="shared" si="2"/>
        <v>280</v>
      </c>
      <c r="AE42" s="7">
        <f>IF(F42="Bullet",H42*AD42,MIN(MAX(I42,1),Assumptions!$B$6)*AD42)</f>
        <v>560</v>
      </c>
      <c r="AF42" s="8">
        <f>IF(F42="Bullet",MAX(0,Assumptions!$B$4-AB42),MAX(0,Assumptions!$B$4-L42))</f>
        <v>0</v>
      </c>
      <c r="AG42" s="9"/>
      <c r="AH42" s="8" t="str">
        <f>IF(AG42="","",Assumptions!$B$4-AG42)</f>
        <v/>
      </c>
      <c r="AI42" s="5" t="s">
        <v>80</v>
      </c>
      <c r="AJ42" s="8"/>
      <c r="AK42" s="8">
        <v>0</v>
      </c>
      <c r="AL42" s="8" t="s">
        <v>80</v>
      </c>
      <c r="AM42" s="8">
        <v>1</v>
      </c>
      <c r="AN42" s="5" t="s">
        <v>63</v>
      </c>
      <c r="AO42" s="10">
        <v>87.8</v>
      </c>
      <c r="AP42" s="8">
        <v>32</v>
      </c>
      <c r="AQ42" s="9">
        <v>46296</v>
      </c>
      <c r="AR42" s="5" t="s">
        <v>53</v>
      </c>
      <c r="AS42" s="5" t="s">
        <v>81</v>
      </c>
    </row>
    <row r="43" spans="1:45" x14ac:dyDescent="0.35">
      <c r="A43" s="5" t="s">
        <v>337</v>
      </c>
      <c r="B43" s="5" t="s">
        <v>338</v>
      </c>
      <c r="C43" s="6" t="s">
        <v>339</v>
      </c>
      <c r="D43" s="7">
        <v>109200</v>
      </c>
      <c r="E43" s="5" t="s">
        <v>48</v>
      </c>
      <c r="F43" s="5" t="s">
        <v>49</v>
      </c>
      <c r="G43" s="8"/>
      <c r="H43" s="8" t="str">
        <f>IF(F43="Bullet",MIN(G43,Assumptions!$B$6),"")</f>
        <v/>
      </c>
      <c r="I43" s="8">
        <v>1</v>
      </c>
      <c r="J43" s="8">
        <f>IF(F43="Monthly interest",MAX(0,Assumptions!$B$5-I43),"")</f>
        <v>2</v>
      </c>
      <c r="K43" s="7">
        <f t="shared" si="0"/>
        <v>2184</v>
      </c>
      <c r="L43" s="9">
        <v>46298</v>
      </c>
      <c r="M43" s="5" t="s">
        <v>116</v>
      </c>
      <c r="N43" s="5" t="s">
        <v>117</v>
      </c>
      <c r="O43" s="5" t="s">
        <v>118</v>
      </c>
      <c r="P43" s="5" t="s">
        <v>72</v>
      </c>
      <c r="Q43" s="5" t="s">
        <v>119</v>
      </c>
      <c r="R43" s="5" t="s">
        <v>120</v>
      </c>
      <c r="S43" s="5" t="s">
        <v>56</v>
      </c>
      <c r="T43" s="5" t="s">
        <v>57</v>
      </c>
      <c r="U43" s="5" t="s">
        <v>58</v>
      </c>
      <c r="V43" s="5" t="s">
        <v>59</v>
      </c>
      <c r="W43" s="5" t="s">
        <v>323</v>
      </c>
      <c r="X43" s="5" t="s">
        <v>340</v>
      </c>
      <c r="Y43" s="5" t="s">
        <v>341</v>
      </c>
      <c r="Z43" s="9">
        <v>46176</v>
      </c>
      <c r="AA43" s="8">
        <v>24</v>
      </c>
      <c r="AB43" s="9">
        <f t="shared" si="1"/>
        <v>46907</v>
      </c>
      <c r="AC43" s="10">
        <v>24</v>
      </c>
      <c r="AD43" s="7">
        <f t="shared" si="2"/>
        <v>2184</v>
      </c>
      <c r="AE43" s="7">
        <f>IF(F43="Bullet",H43*AD43,MIN(MAX(I43,1),Assumptions!$B$6)*AD43)</f>
        <v>2184</v>
      </c>
      <c r="AF43" s="8">
        <f>IF(F43="Bullet",MAX(0,Assumptions!$B$4-AB43),MAX(0,Assumptions!$B$4-L43))</f>
        <v>0</v>
      </c>
      <c r="AG43" s="9">
        <v>46271</v>
      </c>
      <c r="AH43" s="8">
        <f>IF(AG43="","",Assumptions!$B$4-AG43)</f>
        <v>27</v>
      </c>
      <c r="AI43" s="5" t="s">
        <v>63</v>
      </c>
      <c r="AJ43" s="8">
        <v>1</v>
      </c>
      <c r="AK43" s="8">
        <v>0</v>
      </c>
      <c r="AL43" s="8">
        <v>563</v>
      </c>
      <c r="AM43" s="8">
        <v>1</v>
      </c>
      <c r="AN43" s="5" t="s">
        <v>63</v>
      </c>
      <c r="AO43" s="10">
        <v>84.1</v>
      </c>
      <c r="AP43" s="8">
        <v>56</v>
      </c>
      <c r="AQ43" s="9">
        <v>46282</v>
      </c>
      <c r="AR43" s="5" t="s">
        <v>53</v>
      </c>
      <c r="AS43" s="5" t="s">
        <v>81</v>
      </c>
    </row>
    <row r="44" spans="1:45" x14ac:dyDescent="0.35">
      <c r="A44" s="5" t="s">
        <v>342</v>
      </c>
      <c r="B44" s="5" t="s">
        <v>343</v>
      </c>
      <c r="C44" s="6" t="s">
        <v>344</v>
      </c>
      <c r="D44" s="7">
        <v>266300</v>
      </c>
      <c r="E44" s="5" t="s">
        <v>48</v>
      </c>
      <c r="F44" s="5" t="s">
        <v>49</v>
      </c>
      <c r="G44" s="8"/>
      <c r="H44" s="8" t="str">
        <f>IF(F44="Bullet",MIN(G44,Assumptions!$B$6),"")</f>
        <v/>
      </c>
      <c r="I44" s="8">
        <v>2</v>
      </c>
      <c r="J44" s="8">
        <f>IF(F44="Monthly interest",MAX(0,Assumptions!$B$5-I44),"")</f>
        <v>1</v>
      </c>
      <c r="K44" s="7">
        <f t="shared" si="0"/>
        <v>9764</v>
      </c>
      <c r="L44" s="9">
        <v>46238</v>
      </c>
      <c r="M44" s="5" t="s">
        <v>69</v>
      </c>
      <c r="N44" s="5" t="s">
        <v>70</v>
      </c>
      <c r="O44" s="5" t="s">
        <v>71</v>
      </c>
      <c r="P44" s="5" t="s">
        <v>72</v>
      </c>
      <c r="Q44" s="5" t="s">
        <v>73</v>
      </c>
      <c r="R44" s="5" t="s">
        <v>74</v>
      </c>
      <c r="S44" s="5" t="s">
        <v>85</v>
      </c>
      <c r="T44" s="5" t="s">
        <v>57</v>
      </c>
      <c r="U44" s="5" t="s">
        <v>86</v>
      </c>
      <c r="V44" s="5" t="s">
        <v>177</v>
      </c>
      <c r="W44" s="5" t="s">
        <v>345</v>
      </c>
      <c r="X44" s="5" t="s">
        <v>346</v>
      </c>
      <c r="Y44" s="5" t="s">
        <v>347</v>
      </c>
      <c r="Z44" s="9">
        <v>46177</v>
      </c>
      <c r="AA44" s="8">
        <v>12</v>
      </c>
      <c r="AB44" s="9">
        <f t="shared" si="1"/>
        <v>46542</v>
      </c>
      <c r="AC44" s="10">
        <v>22</v>
      </c>
      <c r="AD44" s="7">
        <f t="shared" si="2"/>
        <v>4882</v>
      </c>
      <c r="AE44" s="7">
        <f>IF(F44="Bullet",H44*AD44,MIN(MAX(I44,1),Assumptions!$B$6)*AD44)</f>
        <v>9764</v>
      </c>
      <c r="AF44" s="8">
        <f>IF(F44="Bullet",MAX(0,Assumptions!$B$4-AB44),MAX(0,Assumptions!$B$4-L44))</f>
        <v>60</v>
      </c>
      <c r="AG44" s="9">
        <v>46211</v>
      </c>
      <c r="AH44" s="8">
        <f>IF(AG44="","",Assumptions!$B$4-AG44)</f>
        <v>87</v>
      </c>
      <c r="AI44" s="5" t="s">
        <v>63</v>
      </c>
      <c r="AJ44" s="8">
        <v>2</v>
      </c>
      <c r="AK44" s="8">
        <v>0</v>
      </c>
      <c r="AL44" s="8">
        <v>627</v>
      </c>
      <c r="AM44" s="8">
        <v>0</v>
      </c>
      <c r="AN44" s="5" t="s">
        <v>63</v>
      </c>
      <c r="AO44" s="10">
        <v>63.8</v>
      </c>
      <c r="AP44" s="8">
        <v>47</v>
      </c>
      <c r="AQ44" s="9"/>
      <c r="AR44" s="5"/>
      <c r="AS44" s="5" t="s">
        <v>159</v>
      </c>
    </row>
    <row r="45" spans="1:45" x14ac:dyDescent="0.35">
      <c r="A45" s="5" t="s">
        <v>348</v>
      </c>
      <c r="B45" s="5" t="s">
        <v>349</v>
      </c>
      <c r="C45" s="6" t="s">
        <v>350</v>
      </c>
      <c r="D45" s="7">
        <v>96000</v>
      </c>
      <c r="E45" s="5" t="s">
        <v>48</v>
      </c>
      <c r="F45" s="5" t="s">
        <v>68</v>
      </c>
      <c r="G45" s="8">
        <v>1</v>
      </c>
      <c r="H45" s="8">
        <f>IF(F45="Bullet",MIN(G45,Assumptions!$B$6),"")</f>
        <v>1</v>
      </c>
      <c r="I45" s="8"/>
      <c r="J45" s="8" t="str">
        <f>IF(F45="Monthly interest",MAX(0,Assumptions!$B$5-I45),"")</f>
        <v/>
      </c>
      <c r="K45" s="7">
        <f t="shared" si="0"/>
        <v>1040</v>
      </c>
      <c r="L45" s="9">
        <v>46264</v>
      </c>
      <c r="M45" s="5" t="s">
        <v>50</v>
      </c>
      <c r="N45" s="5" t="s">
        <v>51</v>
      </c>
      <c r="O45" s="5" t="s">
        <v>71</v>
      </c>
      <c r="P45" s="5" t="s">
        <v>53</v>
      </c>
      <c r="Q45" s="5" t="s">
        <v>73</v>
      </c>
      <c r="R45" s="5" t="s">
        <v>74</v>
      </c>
      <c r="S45" s="5" t="s">
        <v>253</v>
      </c>
      <c r="T45" s="5" t="s">
        <v>57</v>
      </c>
      <c r="U45" s="5" t="s">
        <v>86</v>
      </c>
      <c r="V45" s="5" t="s">
        <v>215</v>
      </c>
      <c r="W45" s="5" t="s">
        <v>216</v>
      </c>
      <c r="X45" s="5" t="s">
        <v>351</v>
      </c>
      <c r="Y45" s="5" t="s">
        <v>352</v>
      </c>
      <c r="Z45" s="9">
        <v>46264</v>
      </c>
      <c r="AA45" s="8">
        <v>6</v>
      </c>
      <c r="AB45" s="9">
        <f t="shared" si="1"/>
        <v>46446</v>
      </c>
      <c r="AC45" s="10">
        <v>13</v>
      </c>
      <c r="AD45" s="7">
        <f t="shared" si="2"/>
        <v>1040</v>
      </c>
      <c r="AE45" s="7">
        <f>IF(F45="Bullet",H45*AD45,MIN(MAX(I45,1),Assumptions!$B$6)*AD45)</f>
        <v>1040</v>
      </c>
      <c r="AF45" s="8">
        <f>IF(F45="Bullet",MAX(0,Assumptions!$B$4-AB45),MAX(0,Assumptions!$B$4-L45))</f>
        <v>0</v>
      </c>
      <c r="AG45" s="9"/>
      <c r="AH45" s="8" t="str">
        <f>IF(AG45="","",Assumptions!$B$4-AG45)</f>
        <v/>
      </c>
      <c r="AI45" s="5" t="s">
        <v>80</v>
      </c>
      <c r="AJ45" s="8"/>
      <c r="AK45" s="8">
        <v>0</v>
      </c>
      <c r="AL45" s="8">
        <v>723</v>
      </c>
      <c r="AM45" s="8">
        <v>1</v>
      </c>
      <c r="AN45" s="5" t="s">
        <v>63</v>
      </c>
      <c r="AO45" s="10">
        <v>68.2</v>
      </c>
      <c r="AP45" s="8">
        <v>8</v>
      </c>
      <c r="AQ45" s="9">
        <v>46277</v>
      </c>
      <c r="AR45" s="5" t="s">
        <v>51</v>
      </c>
      <c r="AS45" s="5" t="s">
        <v>190</v>
      </c>
    </row>
    <row r="46" spans="1:45" x14ac:dyDescent="0.35">
      <c r="A46" s="5" t="s">
        <v>353</v>
      </c>
      <c r="B46" s="5" t="s">
        <v>354</v>
      </c>
      <c r="C46" s="6" t="s">
        <v>355</v>
      </c>
      <c r="D46" s="7">
        <v>103600</v>
      </c>
      <c r="E46" s="5" t="s">
        <v>48</v>
      </c>
      <c r="F46" s="5" t="s">
        <v>49</v>
      </c>
      <c r="G46" s="8"/>
      <c r="H46" s="8" t="str">
        <f>IF(F46="Bullet",MIN(G46,Assumptions!$B$6),"")</f>
        <v/>
      </c>
      <c r="I46" s="8">
        <v>2</v>
      </c>
      <c r="J46" s="8">
        <f>IF(F46="Monthly interest",MAX(0,Assumptions!$B$5-I46),"")</f>
        <v>1</v>
      </c>
      <c r="K46" s="7">
        <f t="shared" si="0"/>
        <v>3108</v>
      </c>
      <c r="L46" s="9">
        <v>46241</v>
      </c>
      <c r="M46" s="5" t="s">
        <v>69</v>
      </c>
      <c r="N46" s="5" t="s">
        <v>53</v>
      </c>
      <c r="O46" s="5" t="s">
        <v>71</v>
      </c>
      <c r="P46" s="5" t="s">
        <v>70</v>
      </c>
      <c r="Q46" s="5" t="s">
        <v>73</v>
      </c>
      <c r="R46" s="5" t="s">
        <v>74</v>
      </c>
      <c r="S46" s="5" t="s">
        <v>85</v>
      </c>
      <c r="T46" s="5" t="s">
        <v>57</v>
      </c>
      <c r="U46" s="5" t="s">
        <v>86</v>
      </c>
      <c r="V46" s="5" t="s">
        <v>133</v>
      </c>
      <c r="W46" s="5" t="s">
        <v>134</v>
      </c>
      <c r="X46" s="5" t="s">
        <v>356</v>
      </c>
      <c r="Y46" s="5" t="s">
        <v>357</v>
      </c>
      <c r="Z46" s="9">
        <v>46119</v>
      </c>
      <c r="AA46" s="8">
        <v>18</v>
      </c>
      <c r="AB46" s="9">
        <f t="shared" si="1"/>
        <v>46667</v>
      </c>
      <c r="AC46" s="10">
        <v>18</v>
      </c>
      <c r="AD46" s="7">
        <f t="shared" si="2"/>
        <v>1554</v>
      </c>
      <c r="AE46" s="7">
        <f>IF(F46="Bullet",H46*AD46,MIN(MAX(I46,1),Assumptions!$B$6)*AD46)</f>
        <v>3108</v>
      </c>
      <c r="AF46" s="8">
        <f>IF(F46="Bullet",MAX(0,Assumptions!$B$4-AB46),MAX(0,Assumptions!$B$4-L46))</f>
        <v>57</v>
      </c>
      <c r="AG46" s="9">
        <v>46213</v>
      </c>
      <c r="AH46" s="8">
        <f>IF(AG46="","",Assumptions!$B$4-AG46)</f>
        <v>85</v>
      </c>
      <c r="AI46" s="5" t="s">
        <v>57</v>
      </c>
      <c r="AJ46" s="8">
        <v>3</v>
      </c>
      <c r="AK46" s="8">
        <v>2</v>
      </c>
      <c r="AL46" s="8">
        <v>728</v>
      </c>
      <c r="AM46" s="8">
        <v>1</v>
      </c>
      <c r="AN46" s="5" t="s">
        <v>63</v>
      </c>
      <c r="AO46" s="10">
        <v>64.7</v>
      </c>
      <c r="AP46" s="8">
        <v>46</v>
      </c>
      <c r="AQ46" s="9">
        <v>46286</v>
      </c>
      <c r="AR46" s="5" t="s">
        <v>53</v>
      </c>
      <c r="AS46" s="5" t="s">
        <v>64</v>
      </c>
    </row>
    <row r="47" spans="1:45" x14ac:dyDescent="0.35">
      <c r="A47" s="5" t="s">
        <v>358</v>
      </c>
      <c r="B47" s="5" t="s">
        <v>359</v>
      </c>
      <c r="C47" s="6" t="s">
        <v>360</v>
      </c>
      <c r="D47" s="7">
        <v>324500</v>
      </c>
      <c r="E47" s="5" t="s">
        <v>48</v>
      </c>
      <c r="F47" s="5" t="s">
        <v>49</v>
      </c>
      <c r="G47" s="8"/>
      <c r="H47" s="8" t="str">
        <f>IF(F47="Bullet",MIN(G47,Assumptions!$B$6),"")</f>
        <v/>
      </c>
      <c r="I47" s="8">
        <v>2</v>
      </c>
      <c r="J47" s="8">
        <f>IF(F47="Monthly interest",MAX(0,Assumptions!$B$5-I47),"")</f>
        <v>1</v>
      </c>
      <c r="K47" s="7">
        <f t="shared" si="0"/>
        <v>8654</v>
      </c>
      <c r="L47" s="9">
        <v>46261</v>
      </c>
      <c r="M47" s="5" t="s">
        <v>69</v>
      </c>
      <c r="N47" s="5" t="s">
        <v>70</v>
      </c>
      <c r="O47" s="5" t="s">
        <v>71</v>
      </c>
      <c r="P47" s="5" t="s">
        <v>72</v>
      </c>
      <c r="Q47" s="5" t="s">
        <v>73</v>
      </c>
      <c r="R47" s="5" t="s">
        <v>74</v>
      </c>
      <c r="S47" s="5" t="s">
        <v>85</v>
      </c>
      <c r="T47" s="5" t="s">
        <v>57</v>
      </c>
      <c r="U47" s="5" t="s">
        <v>104</v>
      </c>
      <c r="V47" s="5" t="s">
        <v>87</v>
      </c>
      <c r="W47" s="5" t="s">
        <v>361</v>
      </c>
      <c r="X47" s="5" t="s">
        <v>362</v>
      </c>
      <c r="Y47" s="5" t="s">
        <v>363</v>
      </c>
      <c r="Z47" s="9">
        <v>46200</v>
      </c>
      <c r="AA47" s="8">
        <v>18</v>
      </c>
      <c r="AB47" s="9">
        <f t="shared" si="1"/>
        <v>46748</v>
      </c>
      <c r="AC47" s="10">
        <v>16</v>
      </c>
      <c r="AD47" s="7">
        <f t="shared" si="2"/>
        <v>4327</v>
      </c>
      <c r="AE47" s="7">
        <f>IF(F47="Bullet",H47*AD47,MIN(MAX(I47,1),Assumptions!$B$6)*AD47)</f>
        <v>8654</v>
      </c>
      <c r="AF47" s="8">
        <f>IF(F47="Bullet",MAX(0,Assumptions!$B$4-AB47),MAX(0,Assumptions!$B$4-L47))</f>
        <v>37</v>
      </c>
      <c r="AG47" s="9">
        <v>46230</v>
      </c>
      <c r="AH47" s="8">
        <f>IF(AG47="","",Assumptions!$B$4-AG47)</f>
        <v>68</v>
      </c>
      <c r="AI47" s="5" t="s">
        <v>57</v>
      </c>
      <c r="AJ47" s="8">
        <v>2</v>
      </c>
      <c r="AK47" s="8">
        <v>2</v>
      </c>
      <c r="AL47" s="8">
        <v>782</v>
      </c>
      <c r="AM47" s="8">
        <v>0</v>
      </c>
      <c r="AN47" s="5" t="s">
        <v>63</v>
      </c>
      <c r="AO47" s="10">
        <v>61.4</v>
      </c>
      <c r="AP47" s="8">
        <v>35</v>
      </c>
      <c r="AQ47" s="9">
        <v>46282</v>
      </c>
      <c r="AR47" s="5" t="s">
        <v>70</v>
      </c>
      <c r="AS47" s="5" t="s">
        <v>64</v>
      </c>
    </row>
    <row r="48" spans="1:45" x14ac:dyDescent="0.35">
      <c r="A48" s="5" t="s">
        <v>364</v>
      </c>
      <c r="B48" s="5" t="s">
        <v>365</v>
      </c>
      <c r="C48" s="6" t="s">
        <v>366</v>
      </c>
      <c r="D48" s="7">
        <v>93600</v>
      </c>
      <c r="E48" s="5" t="s">
        <v>48</v>
      </c>
      <c r="F48" s="5" t="s">
        <v>49</v>
      </c>
      <c r="G48" s="8"/>
      <c r="H48" s="8" t="str">
        <f>IF(F48="Bullet",MIN(G48,Assumptions!$B$6),"")</f>
        <v/>
      </c>
      <c r="I48" s="8">
        <v>1</v>
      </c>
      <c r="J48" s="8">
        <f>IF(F48="Monthly interest",MAX(0,Assumptions!$B$5-I48),"")</f>
        <v>2</v>
      </c>
      <c r="K48" s="7">
        <f t="shared" si="0"/>
        <v>1248</v>
      </c>
      <c r="L48" s="9">
        <v>46282</v>
      </c>
      <c r="M48" s="5" t="s">
        <v>50</v>
      </c>
      <c r="N48" s="5" t="s">
        <v>51</v>
      </c>
      <c r="O48" s="5" t="s">
        <v>52</v>
      </c>
      <c r="P48" s="5" t="s">
        <v>53</v>
      </c>
      <c r="Q48" s="5" t="s">
        <v>54</v>
      </c>
      <c r="R48" s="5" t="s">
        <v>55</v>
      </c>
      <c r="S48" s="5" t="s">
        <v>214</v>
      </c>
      <c r="T48" s="5" t="s">
        <v>57</v>
      </c>
      <c r="U48" s="5" t="s">
        <v>86</v>
      </c>
      <c r="V48" s="5" t="s">
        <v>215</v>
      </c>
      <c r="W48" s="5" t="s">
        <v>242</v>
      </c>
      <c r="X48" s="5" t="s">
        <v>243</v>
      </c>
      <c r="Y48" s="5" t="s">
        <v>367</v>
      </c>
      <c r="Z48" s="9">
        <v>46070</v>
      </c>
      <c r="AA48" s="8">
        <v>12</v>
      </c>
      <c r="AB48" s="9">
        <f t="shared" si="1"/>
        <v>46435</v>
      </c>
      <c r="AC48" s="10">
        <v>16</v>
      </c>
      <c r="AD48" s="7">
        <f t="shared" si="2"/>
        <v>1248</v>
      </c>
      <c r="AE48" s="7">
        <f>IF(F48="Bullet",H48*AD48,MIN(MAX(I48,1),Assumptions!$B$6)*AD48)</f>
        <v>1248</v>
      </c>
      <c r="AF48" s="8">
        <f>IF(F48="Bullet",MAX(0,Assumptions!$B$4-AB48),MAX(0,Assumptions!$B$4-L48))</f>
        <v>16</v>
      </c>
      <c r="AG48" s="9">
        <v>46252</v>
      </c>
      <c r="AH48" s="8">
        <f>IF(AG48="","",Assumptions!$B$4-AG48)</f>
        <v>46</v>
      </c>
      <c r="AI48" s="5" t="s">
        <v>63</v>
      </c>
      <c r="AJ48" s="8">
        <v>1</v>
      </c>
      <c r="AK48" s="8">
        <v>0</v>
      </c>
      <c r="AL48" s="8">
        <v>673</v>
      </c>
      <c r="AM48" s="8">
        <v>0</v>
      </c>
      <c r="AN48" s="5" t="s">
        <v>63</v>
      </c>
      <c r="AO48" s="10">
        <v>63.9</v>
      </c>
      <c r="AP48" s="8">
        <v>29</v>
      </c>
      <c r="AQ48" s="9">
        <v>46289</v>
      </c>
      <c r="AR48" s="5" t="s">
        <v>53</v>
      </c>
      <c r="AS48" s="5" t="s">
        <v>64</v>
      </c>
    </row>
    <row r="49" spans="1:45" x14ac:dyDescent="0.35">
      <c r="A49" s="5" t="s">
        <v>368</v>
      </c>
      <c r="B49" s="5" t="s">
        <v>369</v>
      </c>
      <c r="C49" s="6" t="s">
        <v>370</v>
      </c>
      <c r="D49" s="7">
        <v>76600</v>
      </c>
      <c r="E49" s="5" t="s">
        <v>48</v>
      </c>
      <c r="F49" s="5" t="s">
        <v>49</v>
      </c>
      <c r="G49" s="8"/>
      <c r="H49" s="8" t="str">
        <f>IF(F49="Bullet",MIN(G49,Assumptions!$B$6),"")</f>
        <v/>
      </c>
      <c r="I49" s="8">
        <v>1</v>
      </c>
      <c r="J49" s="8">
        <f>IF(F49="Monthly interest",MAX(0,Assumptions!$B$5-I49),"")</f>
        <v>2</v>
      </c>
      <c r="K49" s="7">
        <f t="shared" si="0"/>
        <v>894</v>
      </c>
      <c r="L49" s="9">
        <v>46278</v>
      </c>
      <c r="M49" s="5" t="s">
        <v>69</v>
      </c>
      <c r="N49" s="5" t="s">
        <v>51</v>
      </c>
      <c r="O49" s="5" t="s">
        <v>52</v>
      </c>
      <c r="P49" s="5" t="s">
        <v>53</v>
      </c>
      <c r="Q49" s="5" t="s">
        <v>54</v>
      </c>
      <c r="R49" s="5" t="s">
        <v>55</v>
      </c>
      <c r="S49" s="5" t="s">
        <v>75</v>
      </c>
      <c r="T49" s="5" t="s">
        <v>57</v>
      </c>
      <c r="U49" s="5" t="s">
        <v>104</v>
      </c>
      <c r="V49" s="5" t="s">
        <v>76</v>
      </c>
      <c r="W49" s="5" t="s">
        <v>306</v>
      </c>
      <c r="X49" s="5" t="s">
        <v>371</v>
      </c>
      <c r="Y49" s="5" t="s">
        <v>372</v>
      </c>
      <c r="Z49" s="9">
        <v>46125</v>
      </c>
      <c r="AA49" s="8">
        <v>12</v>
      </c>
      <c r="AB49" s="9">
        <f t="shared" si="1"/>
        <v>46490</v>
      </c>
      <c r="AC49" s="10">
        <v>14</v>
      </c>
      <c r="AD49" s="7">
        <f t="shared" si="2"/>
        <v>894</v>
      </c>
      <c r="AE49" s="7">
        <f>IF(F49="Bullet",H49*AD49,MIN(MAX(I49,1),Assumptions!$B$6)*AD49)</f>
        <v>894</v>
      </c>
      <c r="AF49" s="8">
        <f>IF(F49="Bullet",MAX(0,Assumptions!$B$4-AB49),MAX(0,Assumptions!$B$4-L49))</f>
        <v>20</v>
      </c>
      <c r="AG49" s="9">
        <v>46248</v>
      </c>
      <c r="AH49" s="8">
        <f>IF(AG49="","",Assumptions!$B$4-AG49)</f>
        <v>50</v>
      </c>
      <c r="AI49" s="5" t="s">
        <v>63</v>
      </c>
      <c r="AJ49" s="8">
        <v>1</v>
      </c>
      <c r="AK49" s="8">
        <v>0</v>
      </c>
      <c r="AL49" s="8" t="s">
        <v>80</v>
      </c>
      <c r="AM49" s="8">
        <v>3</v>
      </c>
      <c r="AN49" s="5" t="s">
        <v>63</v>
      </c>
      <c r="AO49" s="10">
        <v>81.5</v>
      </c>
      <c r="AP49" s="8">
        <v>36</v>
      </c>
      <c r="AQ49" s="9">
        <v>46294</v>
      </c>
      <c r="AR49" s="5" t="s">
        <v>53</v>
      </c>
      <c r="AS49" s="5" t="s">
        <v>81</v>
      </c>
    </row>
    <row r="50" spans="1:45" x14ac:dyDescent="0.35">
      <c r="A50" s="5" t="s">
        <v>373</v>
      </c>
      <c r="B50" s="5" t="s">
        <v>374</v>
      </c>
      <c r="C50" s="6" t="s">
        <v>375</v>
      </c>
      <c r="D50" s="7">
        <v>164600</v>
      </c>
      <c r="E50" s="5" t="s">
        <v>48</v>
      </c>
      <c r="F50" s="5" t="s">
        <v>49</v>
      </c>
      <c r="G50" s="8"/>
      <c r="H50" s="8" t="str">
        <f>IF(F50="Bullet",MIN(G50,Assumptions!$B$6),"")</f>
        <v/>
      </c>
      <c r="I50" s="8">
        <v>1</v>
      </c>
      <c r="J50" s="8">
        <f>IF(F50="Monthly interest",MAX(0,Assumptions!$B$5-I50),"")</f>
        <v>2</v>
      </c>
      <c r="K50" s="7">
        <f t="shared" si="0"/>
        <v>2195</v>
      </c>
      <c r="L50" s="9">
        <v>46298</v>
      </c>
      <c r="M50" s="5" t="s">
        <v>50</v>
      </c>
      <c r="N50" s="5" t="s">
        <v>51</v>
      </c>
      <c r="O50" s="5" t="s">
        <v>52</v>
      </c>
      <c r="P50" s="5" t="s">
        <v>53</v>
      </c>
      <c r="Q50" s="5" t="s">
        <v>54</v>
      </c>
      <c r="R50" s="5" t="s">
        <v>55</v>
      </c>
      <c r="S50" s="5" t="s">
        <v>185</v>
      </c>
      <c r="T50" s="5" t="s">
        <v>57</v>
      </c>
      <c r="U50" s="5" t="s">
        <v>86</v>
      </c>
      <c r="V50" s="5" t="s">
        <v>186</v>
      </c>
      <c r="W50" s="5" t="s">
        <v>376</v>
      </c>
      <c r="X50" s="5" t="s">
        <v>377</v>
      </c>
      <c r="Y50" s="5" t="s">
        <v>378</v>
      </c>
      <c r="Z50" s="9">
        <v>46237</v>
      </c>
      <c r="AA50" s="8">
        <v>12</v>
      </c>
      <c r="AB50" s="9">
        <f t="shared" si="1"/>
        <v>46602</v>
      </c>
      <c r="AC50" s="10">
        <v>16</v>
      </c>
      <c r="AD50" s="7">
        <f t="shared" si="2"/>
        <v>2195</v>
      </c>
      <c r="AE50" s="7">
        <f>IF(F50="Bullet",H50*AD50,MIN(MAX(I50,1),Assumptions!$B$6)*AD50)</f>
        <v>2195</v>
      </c>
      <c r="AF50" s="8">
        <f>IF(F50="Bullet",MAX(0,Assumptions!$B$4-AB50),MAX(0,Assumptions!$B$4-L50))</f>
        <v>0</v>
      </c>
      <c r="AG50" s="9">
        <v>46273</v>
      </c>
      <c r="AH50" s="8">
        <f>IF(AG50="","",Assumptions!$B$4-AG50)</f>
        <v>25</v>
      </c>
      <c r="AI50" s="5" t="s">
        <v>63</v>
      </c>
      <c r="AJ50" s="8">
        <v>2</v>
      </c>
      <c r="AK50" s="8">
        <v>0</v>
      </c>
      <c r="AL50" s="8">
        <v>698</v>
      </c>
      <c r="AM50" s="8">
        <v>2</v>
      </c>
      <c r="AN50" s="5" t="s">
        <v>63</v>
      </c>
      <c r="AO50" s="10">
        <v>54.1</v>
      </c>
      <c r="AP50" s="8">
        <v>27</v>
      </c>
      <c r="AQ50" s="9">
        <v>46279</v>
      </c>
      <c r="AR50" s="5" t="s">
        <v>70</v>
      </c>
      <c r="AS50" s="5" t="s">
        <v>81</v>
      </c>
    </row>
    <row r="51" spans="1:45" x14ac:dyDescent="0.35">
      <c r="A51" s="5" t="s">
        <v>379</v>
      </c>
      <c r="B51" s="5" t="s">
        <v>380</v>
      </c>
      <c r="C51" s="6" t="s">
        <v>381</v>
      </c>
      <c r="D51" s="7">
        <v>540500</v>
      </c>
      <c r="E51" s="5" t="s">
        <v>48</v>
      </c>
      <c r="F51" s="5" t="s">
        <v>68</v>
      </c>
      <c r="G51" s="8">
        <v>4</v>
      </c>
      <c r="H51" s="8">
        <f>IF(F51="Bullet",MIN(G51,Assumptions!$B$6),"")</f>
        <v>2</v>
      </c>
      <c r="I51" s="8"/>
      <c r="J51" s="8" t="str">
        <f>IF(F51="Monthly interest",MAX(0,Assumptions!$B$5-I51),"")</f>
        <v/>
      </c>
      <c r="K51" s="7">
        <f t="shared" si="0"/>
        <v>27024</v>
      </c>
      <c r="L51" s="9">
        <v>46162</v>
      </c>
      <c r="M51" s="5" t="s">
        <v>50</v>
      </c>
      <c r="N51" s="5" t="s">
        <v>53</v>
      </c>
      <c r="O51" s="5" t="s">
        <v>71</v>
      </c>
      <c r="P51" s="5" t="s">
        <v>51</v>
      </c>
      <c r="Q51" s="5" t="s">
        <v>73</v>
      </c>
      <c r="R51" s="5" t="s">
        <v>74</v>
      </c>
      <c r="S51" s="5" t="s">
        <v>75</v>
      </c>
      <c r="T51" s="5" t="s">
        <v>57</v>
      </c>
      <c r="U51" s="5" t="s">
        <v>104</v>
      </c>
      <c r="V51" s="5" t="s">
        <v>76</v>
      </c>
      <c r="W51" s="5" t="s">
        <v>382</v>
      </c>
      <c r="X51" s="5" t="s">
        <v>383</v>
      </c>
      <c r="Y51" s="5" t="s">
        <v>384</v>
      </c>
      <c r="Z51" s="9">
        <v>46162</v>
      </c>
      <c r="AA51" s="8">
        <v>12</v>
      </c>
      <c r="AB51" s="9">
        <f t="shared" si="1"/>
        <v>46527</v>
      </c>
      <c r="AC51" s="10">
        <v>15</v>
      </c>
      <c r="AD51" s="7">
        <f t="shared" si="2"/>
        <v>6756</v>
      </c>
      <c r="AE51" s="7">
        <f>IF(F51="Bullet",H51*AD51,MIN(MAX(I51,1),Assumptions!$B$6)*AD51)</f>
        <v>13512</v>
      </c>
      <c r="AF51" s="8">
        <f>IF(F51="Bullet",MAX(0,Assumptions!$B$4-AB51),MAX(0,Assumptions!$B$4-L51))</f>
        <v>0</v>
      </c>
      <c r="AG51" s="9"/>
      <c r="AH51" s="8" t="str">
        <f>IF(AG51="","",Assumptions!$B$4-AG51)</f>
        <v/>
      </c>
      <c r="AI51" s="5" t="s">
        <v>80</v>
      </c>
      <c r="AJ51" s="8"/>
      <c r="AK51" s="8">
        <v>2</v>
      </c>
      <c r="AL51" s="8">
        <v>809</v>
      </c>
      <c r="AM51" s="8">
        <v>1</v>
      </c>
      <c r="AN51" s="5" t="s">
        <v>63</v>
      </c>
      <c r="AO51" s="10">
        <v>54.3</v>
      </c>
      <c r="AP51" s="8">
        <v>27</v>
      </c>
      <c r="AQ51" s="9">
        <v>46292</v>
      </c>
      <c r="AR51" s="5" t="s">
        <v>51</v>
      </c>
      <c r="AS51" s="5" t="s">
        <v>81</v>
      </c>
    </row>
    <row r="52" spans="1:45" x14ac:dyDescent="0.35">
      <c r="A52" s="5" t="s">
        <v>385</v>
      </c>
      <c r="B52" s="5" t="s">
        <v>386</v>
      </c>
      <c r="C52" s="6" t="s">
        <v>387</v>
      </c>
      <c r="D52" s="7">
        <v>90700</v>
      </c>
      <c r="E52" s="5" t="s">
        <v>48</v>
      </c>
      <c r="F52" s="5" t="s">
        <v>68</v>
      </c>
      <c r="G52" s="8">
        <v>3</v>
      </c>
      <c r="H52" s="8">
        <f>IF(F52="Bullet",MIN(G52,Assumptions!$B$6),"")</f>
        <v>2</v>
      </c>
      <c r="I52" s="8"/>
      <c r="J52" s="8" t="str">
        <f>IF(F52="Monthly interest",MAX(0,Assumptions!$B$5-I52),"")</f>
        <v/>
      </c>
      <c r="K52" s="7">
        <f t="shared" si="0"/>
        <v>3402</v>
      </c>
      <c r="L52" s="9">
        <v>46183</v>
      </c>
      <c r="M52" s="5" t="s">
        <v>50</v>
      </c>
      <c r="N52" s="5" t="s">
        <v>53</v>
      </c>
      <c r="O52" s="5" t="s">
        <v>71</v>
      </c>
      <c r="P52" s="5" t="s">
        <v>51</v>
      </c>
      <c r="Q52" s="5" t="s">
        <v>73</v>
      </c>
      <c r="R52" s="5" t="s">
        <v>74</v>
      </c>
      <c r="S52" s="5" t="s">
        <v>85</v>
      </c>
      <c r="T52" s="5" t="s">
        <v>57</v>
      </c>
      <c r="U52" s="5" t="s">
        <v>86</v>
      </c>
      <c r="V52" s="5" t="s">
        <v>177</v>
      </c>
      <c r="W52" s="5" t="s">
        <v>345</v>
      </c>
      <c r="X52" s="5" t="s">
        <v>388</v>
      </c>
      <c r="Y52" s="5" t="s">
        <v>389</v>
      </c>
      <c r="Z52" s="9">
        <v>46183</v>
      </c>
      <c r="AA52" s="8">
        <v>6</v>
      </c>
      <c r="AB52" s="9">
        <f t="shared" si="1"/>
        <v>46366</v>
      </c>
      <c r="AC52" s="10">
        <v>15</v>
      </c>
      <c r="AD52" s="7">
        <f t="shared" si="2"/>
        <v>1134</v>
      </c>
      <c r="AE52" s="7">
        <f>IF(F52="Bullet",H52*AD52,MIN(MAX(I52,1),Assumptions!$B$6)*AD52)</f>
        <v>2268</v>
      </c>
      <c r="AF52" s="8">
        <f>IF(F52="Bullet",MAX(0,Assumptions!$B$4-AB52),MAX(0,Assumptions!$B$4-L52))</f>
        <v>0</v>
      </c>
      <c r="AG52" s="9"/>
      <c r="AH52" s="8" t="str">
        <f>IF(AG52="","",Assumptions!$B$4-AG52)</f>
        <v/>
      </c>
      <c r="AI52" s="5" t="s">
        <v>80</v>
      </c>
      <c r="AJ52" s="8"/>
      <c r="AK52" s="8">
        <v>0</v>
      </c>
      <c r="AL52" s="8">
        <v>786</v>
      </c>
      <c r="AM52" s="8">
        <v>0</v>
      </c>
      <c r="AN52" s="5" t="s">
        <v>63</v>
      </c>
      <c r="AO52" s="10">
        <v>77.599999999999994</v>
      </c>
      <c r="AP52" s="8">
        <v>8</v>
      </c>
      <c r="AQ52" s="9">
        <v>46277</v>
      </c>
      <c r="AR52" s="5" t="s">
        <v>53</v>
      </c>
      <c r="AS52" s="5" t="s">
        <v>190</v>
      </c>
    </row>
    <row r="53" spans="1:45" x14ac:dyDescent="0.35">
      <c r="A53" s="5" t="s">
        <v>390</v>
      </c>
      <c r="B53" s="5" t="s">
        <v>391</v>
      </c>
      <c r="C53" s="6" t="s">
        <v>392</v>
      </c>
      <c r="D53" s="7">
        <v>27000</v>
      </c>
      <c r="E53" s="5" t="s">
        <v>48</v>
      </c>
      <c r="F53" s="5" t="s">
        <v>68</v>
      </c>
      <c r="G53" s="8">
        <v>1</v>
      </c>
      <c r="H53" s="8">
        <f>IF(F53="Bullet",MIN(G53,Assumptions!$B$6),"")</f>
        <v>1</v>
      </c>
      <c r="I53" s="8"/>
      <c r="J53" s="8" t="str">
        <f>IF(F53="Monthly interest",MAX(0,Assumptions!$B$5-I53),"")</f>
        <v/>
      </c>
      <c r="K53" s="7">
        <f t="shared" si="0"/>
        <v>293</v>
      </c>
      <c r="L53" s="9">
        <v>46268</v>
      </c>
      <c r="M53" s="5" t="s">
        <v>50</v>
      </c>
      <c r="N53" s="5" t="s">
        <v>51</v>
      </c>
      <c r="O53" s="5" t="s">
        <v>152</v>
      </c>
      <c r="P53" s="5" t="s">
        <v>53</v>
      </c>
      <c r="Q53" s="5" t="s">
        <v>154</v>
      </c>
      <c r="R53" s="5" t="s">
        <v>155</v>
      </c>
      <c r="S53" s="5" t="s">
        <v>75</v>
      </c>
      <c r="T53" s="5" t="s">
        <v>57</v>
      </c>
      <c r="U53" s="5" t="s">
        <v>86</v>
      </c>
      <c r="V53" s="5" t="s">
        <v>76</v>
      </c>
      <c r="W53" s="5" t="s">
        <v>140</v>
      </c>
      <c r="X53" s="5" t="s">
        <v>393</v>
      </c>
      <c r="Y53" s="5" t="s">
        <v>394</v>
      </c>
      <c r="Z53" s="9">
        <v>46268</v>
      </c>
      <c r="AA53" s="8">
        <v>6</v>
      </c>
      <c r="AB53" s="9">
        <f t="shared" si="1"/>
        <v>46449</v>
      </c>
      <c r="AC53" s="10">
        <v>13</v>
      </c>
      <c r="AD53" s="7">
        <f t="shared" si="2"/>
        <v>293</v>
      </c>
      <c r="AE53" s="7">
        <f>IF(F53="Bullet",H53*AD53,MIN(MAX(I53,1),Assumptions!$B$6)*AD53)</f>
        <v>293</v>
      </c>
      <c r="AF53" s="8">
        <f>IF(F53="Bullet",MAX(0,Assumptions!$B$4-AB53),MAX(0,Assumptions!$B$4-L53))</f>
        <v>0</v>
      </c>
      <c r="AG53" s="9"/>
      <c r="AH53" s="8" t="str">
        <f>IF(AG53="","",Assumptions!$B$4-AG53)</f>
        <v/>
      </c>
      <c r="AI53" s="5" t="s">
        <v>80</v>
      </c>
      <c r="AJ53" s="8"/>
      <c r="AK53" s="8">
        <v>0</v>
      </c>
      <c r="AL53" s="8">
        <v>721</v>
      </c>
      <c r="AM53" s="8">
        <v>1</v>
      </c>
      <c r="AN53" s="5" t="s">
        <v>63</v>
      </c>
      <c r="AO53" s="10">
        <v>69.400000000000006</v>
      </c>
      <c r="AP53" s="8">
        <v>7</v>
      </c>
      <c r="AQ53" s="9">
        <v>46280</v>
      </c>
      <c r="AR53" s="5" t="s">
        <v>51</v>
      </c>
      <c r="AS53" s="5" t="s">
        <v>64</v>
      </c>
    </row>
    <row r="54" spans="1:45" x14ac:dyDescent="0.35">
      <c r="A54" s="5" t="s">
        <v>395</v>
      </c>
      <c r="B54" s="5" t="s">
        <v>396</v>
      </c>
      <c r="C54" s="6" t="s">
        <v>397</v>
      </c>
      <c r="D54" s="7">
        <v>336100</v>
      </c>
      <c r="E54" s="5" t="s">
        <v>48</v>
      </c>
      <c r="F54" s="5" t="s">
        <v>68</v>
      </c>
      <c r="G54" s="8">
        <v>1</v>
      </c>
      <c r="H54" s="8">
        <f>IF(F54="Bullet",MIN(G54,Assumptions!$B$6),"")</f>
        <v>1</v>
      </c>
      <c r="I54" s="8"/>
      <c r="J54" s="8" t="str">
        <f>IF(F54="Monthly interest",MAX(0,Assumptions!$B$5-I54),"")</f>
        <v/>
      </c>
      <c r="K54" s="7">
        <f t="shared" si="0"/>
        <v>3641</v>
      </c>
      <c r="L54" s="9">
        <v>46246</v>
      </c>
      <c r="M54" s="5" t="s">
        <v>50</v>
      </c>
      <c r="N54" s="5" t="s">
        <v>53</v>
      </c>
      <c r="O54" s="5" t="s">
        <v>103</v>
      </c>
      <c r="P54" s="5" t="s">
        <v>51</v>
      </c>
      <c r="Q54" s="5" t="s">
        <v>73</v>
      </c>
      <c r="R54" s="5" t="s">
        <v>74</v>
      </c>
      <c r="S54" s="5" t="s">
        <v>214</v>
      </c>
      <c r="T54" s="5" t="s">
        <v>57</v>
      </c>
      <c r="U54" s="5" t="s">
        <v>104</v>
      </c>
      <c r="V54" s="5" t="s">
        <v>215</v>
      </c>
      <c r="W54" s="5" t="s">
        <v>284</v>
      </c>
      <c r="X54" s="5" t="s">
        <v>398</v>
      </c>
      <c r="Y54" s="5" t="s">
        <v>399</v>
      </c>
      <c r="Z54" s="9">
        <v>46246</v>
      </c>
      <c r="AA54" s="8">
        <v>6</v>
      </c>
      <c r="AB54" s="9">
        <f t="shared" si="1"/>
        <v>46430</v>
      </c>
      <c r="AC54" s="10">
        <v>13</v>
      </c>
      <c r="AD54" s="7">
        <f t="shared" si="2"/>
        <v>3641</v>
      </c>
      <c r="AE54" s="7">
        <f>IF(F54="Bullet",H54*AD54,MIN(MAX(I54,1),Assumptions!$B$6)*AD54)</f>
        <v>3641</v>
      </c>
      <c r="AF54" s="8">
        <f>IF(F54="Bullet",MAX(0,Assumptions!$B$4-AB54),MAX(0,Assumptions!$B$4-L54))</f>
        <v>0</v>
      </c>
      <c r="AG54" s="9"/>
      <c r="AH54" s="8" t="str">
        <f>IF(AG54="","",Assumptions!$B$4-AG54)</f>
        <v/>
      </c>
      <c r="AI54" s="5" t="s">
        <v>80</v>
      </c>
      <c r="AJ54" s="8"/>
      <c r="AK54" s="8">
        <v>0</v>
      </c>
      <c r="AL54" s="8">
        <v>668</v>
      </c>
      <c r="AM54" s="8">
        <v>0</v>
      </c>
      <c r="AN54" s="5" t="s">
        <v>63</v>
      </c>
      <c r="AO54" s="10">
        <v>70</v>
      </c>
      <c r="AP54" s="8">
        <v>17</v>
      </c>
      <c r="AQ54" s="9">
        <v>46282</v>
      </c>
      <c r="AR54" s="5" t="s">
        <v>51</v>
      </c>
      <c r="AS54" s="5" t="s">
        <v>81</v>
      </c>
    </row>
    <row r="55" spans="1:45" x14ac:dyDescent="0.35">
      <c r="A55" s="5" t="s">
        <v>400</v>
      </c>
      <c r="B55" s="5" t="s">
        <v>401</v>
      </c>
      <c r="C55" s="6" t="s">
        <v>402</v>
      </c>
      <c r="D55" s="7">
        <v>119200</v>
      </c>
      <c r="E55" s="5" t="s">
        <v>48</v>
      </c>
      <c r="F55" s="5" t="s">
        <v>68</v>
      </c>
      <c r="G55" s="8">
        <v>1</v>
      </c>
      <c r="H55" s="8">
        <f>IF(F55="Bullet",MIN(G55,Assumptions!$B$6),"")</f>
        <v>1</v>
      </c>
      <c r="I55" s="8"/>
      <c r="J55" s="8" t="str">
        <f>IF(F55="Monthly interest",MAX(0,Assumptions!$B$5-I55),"")</f>
        <v/>
      </c>
      <c r="K55" s="7">
        <f t="shared" si="0"/>
        <v>1589</v>
      </c>
      <c r="L55" s="9">
        <v>46259</v>
      </c>
      <c r="M55" s="5" t="s">
        <v>50</v>
      </c>
      <c r="N55" s="5" t="s">
        <v>70</v>
      </c>
      <c r="O55" s="5" t="s">
        <v>271</v>
      </c>
      <c r="P55" s="5" t="s">
        <v>72</v>
      </c>
      <c r="Q55" s="5" t="s">
        <v>73</v>
      </c>
      <c r="R55" s="5" t="s">
        <v>74</v>
      </c>
      <c r="S55" s="5" t="s">
        <v>85</v>
      </c>
      <c r="T55" s="5" t="s">
        <v>57</v>
      </c>
      <c r="U55" s="5" t="s">
        <v>104</v>
      </c>
      <c r="V55" s="5" t="s">
        <v>96</v>
      </c>
      <c r="W55" s="5" t="s">
        <v>97</v>
      </c>
      <c r="X55" s="5" t="s">
        <v>403</v>
      </c>
      <c r="Y55" s="5" t="s">
        <v>404</v>
      </c>
      <c r="Z55" s="9">
        <v>46259</v>
      </c>
      <c r="AA55" s="8">
        <v>12</v>
      </c>
      <c r="AB55" s="9">
        <f t="shared" si="1"/>
        <v>46624</v>
      </c>
      <c r="AC55" s="10">
        <v>16</v>
      </c>
      <c r="AD55" s="7">
        <f t="shared" si="2"/>
        <v>1589</v>
      </c>
      <c r="AE55" s="7">
        <f>IF(F55="Bullet",H55*AD55,MIN(MAX(I55,1),Assumptions!$B$6)*AD55)</f>
        <v>1589</v>
      </c>
      <c r="AF55" s="8">
        <f>IF(F55="Bullet",MAX(0,Assumptions!$B$4-AB55),MAX(0,Assumptions!$B$4-L55))</f>
        <v>0</v>
      </c>
      <c r="AG55" s="9"/>
      <c r="AH55" s="8" t="str">
        <f>IF(AG55="","",Assumptions!$B$4-AG55)</f>
        <v/>
      </c>
      <c r="AI55" s="5" t="s">
        <v>80</v>
      </c>
      <c r="AJ55" s="8"/>
      <c r="AK55" s="8">
        <v>0</v>
      </c>
      <c r="AL55" s="8" t="s">
        <v>80</v>
      </c>
      <c r="AM55" s="8">
        <v>0</v>
      </c>
      <c r="AN55" s="5" t="s">
        <v>63</v>
      </c>
      <c r="AO55" s="10">
        <v>59.5</v>
      </c>
      <c r="AP55" s="8">
        <v>9</v>
      </c>
      <c r="AQ55" s="9">
        <v>46275</v>
      </c>
      <c r="AR55" s="5" t="s">
        <v>51</v>
      </c>
      <c r="AS55" s="5" t="s">
        <v>274</v>
      </c>
    </row>
    <row r="56" spans="1:45" x14ac:dyDescent="0.35">
      <c r="A56" s="5" t="s">
        <v>405</v>
      </c>
      <c r="B56" s="5" t="s">
        <v>406</v>
      </c>
      <c r="C56" s="6" t="s">
        <v>407</v>
      </c>
      <c r="D56" s="7">
        <v>128200</v>
      </c>
      <c r="E56" s="5" t="s">
        <v>48</v>
      </c>
      <c r="F56" s="5" t="s">
        <v>49</v>
      </c>
      <c r="G56" s="8"/>
      <c r="H56" s="8" t="str">
        <f>IF(F56="Bullet",MIN(G56,Assumptions!$B$6),"")</f>
        <v/>
      </c>
      <c r="I56" s="8">
        <v>2</v>
      </c>
      <c r="J56" s="8">
        <f>IF(F56="Monthly interest",MAX(0,Assumptions!$B$5-I56),"")</f>
        <v>1</v>
      </c>
      <c r="K56" s="7">
        <f t="shared" si="0"/>
        <v>2992</v>
      </c>
      <c r="L56" s="9">
        <v>46239</v>
      </c>
      <c r="M56" s="5" t="s">
        <v>116</v>
      </c>
      <c r="N56" s="5" t="s">
        <v>117</v>
      </c>
      <c r="O56" s="5" t="s">
        <v>118</v>
      </c>
      <c r="P56" s="5" t="s">
        <v>72</v>
      </c>
      <c r="Q56" s="5" t="s">
        <v>119</v>
      </c>
      <c r="R56" s="5" t="s">
        <v>120</v>
      </c>
      <c r="S56" s="5" t="s">
        <v>56</v>
      </c>
      <c r="T56" s="5" t="s">
        <v>57</v>
      </c>
      <c r="U56" s="5" t="s">
        <v>86</v>
      </c>
      <c r="V56" s="5" t="s">
        <v>59</v>
      </c>
      <c r="W56" s="5" t="s">
        <v>60</v>
      </c>
      <c r="X56" s="5" t="s">
        <v>408</v>
      </c>
      <c r="Y56" s="5" t="s">
        <v>409</v>
      </c>
      <c r="Z56" s="9">
        <v>45966</v>
      </c>
      <c r="AA56" s="8">
        <v>12</v>
      </c>
      <c r="AB56" s="9">
        <f t="shared" si="1"/>
        <v>46331</v>
      </c>
      <c r="AC56" s="10">
        <v>14</v>
      </c>
      <c r="AD56" s="7">
        <f t="shared" si="2"/>
        <v>1496</v>
      </c>
      <c r="AE56" s="7">
        <f>IF(F56="Bullet",H56*AD56,MIN(MAX(I56,1),Assumptions!$B$6)*AD56)</f>
        <v>2992</v>
      </c>
      <c r="AF56" s="8">
        <f>IF(F56="Bullet",MAX(0,Assumptions!$B$4-AB56),MAX(0,Assumptions!$B$4-L56))</f>
        <v>59</v>
      </c>
      <c r="AG56" s="9">
        <v>46210</v>
      </c>
      <c r="AH56" s="8">
        <f>IF(AG56="","",Assumptions!$B$4-AG56)</f>
        <v>88</v>
      </c>
      <c r="AI56" s="5" t="s">
        <v>63</v>
      </c>
      <c r="AJ56" s="8">
        <v>2</v>
      </c>
      <c r="AK56" s="8">
        <v>0</v>
      </c>
      <c r="AL56" s="8">
        <v>636</v>
      </c>
      <c r="AM56" s="8">
        <v>3</v>
      </c>
      <c r="AN56" s="5" t="s">
        <v>63</v>
      </c>
      <c r="AO56" s="10">
        <v>64</v>
      </c>
      <c r="AP56" s="8">
        <v>57</v>
      </c>
      <c r="AQ56" s="9">
        <v>46283</v>
      </c>
      <c r="AR56" s="5" t="s">
        <v>70</v>
      </c>
      <c r="AS56" s="5" t="s">
        <v>81</v>
      </c>
    </row>
    <row r="57" spans="1:45" x14ac:dyDescent="0.35">
      <c r="A57" s="5" t="s">
        <v>410</v>
      </c>
      <c r="B57" s="5" t="s">
        <v>411</v>
      </c>
      <c r="C57" s="6" t="s">
        <v>412</v>
      </c>
      <c r="D57" s="7">
        <v>26700</v>
      </c>
      <c r="E57" s="5" t="s">
        <v>48</v>
      </c>
      <c r="F57" s="5" t="s">
        <v>49</v>
      </c>
      <c r="G57" s="8"/>
      <c r="H57" s="8" t="str">
        <f>IF(F57="Bullet",MIN(G57,Assumptions!$B$6),"")</f>
        <v/>
      </c>
      <c r="I57" s="8">
        <v>2</v>
      </c>
      <c r="J57" s="8">
        <f>IF(F57="Monthly interest",MAX(0,Assumptions!$B$5-I57),"")</f>
        <v>1</v>
      </c>
      <c r="K57" s="7">
        <f t="shared" si="0"/>
        <v>980</v>
      </c>
      <c r="L57" s="9">
        <v>46247</v>
      </c>
      <c r="M57" s="5" t="s">
        <v>69</v>
      </c>
      <c r="N57" s="5" t="s">
        <v>53</v>
      </c>
      <c r="O57" s="5" t="s">
        <v>152</v>
      </c>
      <c r="P57" s="5" t="s">
        <v>153</v>
      </c>
      <c r="Q57" s="5" t="s">
        <v>154</v>
      </c>
      <c r="R57" s="5" t="s">
        <v>155</v>
      </c>
      <c r="S57" s="5" t="s">
        <v>253</v>
      </c>
      <c r="T57" s="5" t="s">
        <v>57</v>
      </c>
      <c r="U57" s="5" t="s">
        <v>86</v>
      </c>
      <c r="V57" s="5" t="s">
        <v>76</v>
      </c>
      <c r="W57" s="5" t="s">
        <v>306</v>
      </c>
      <c r="X57" s="5" t="s">
        <v>413</v>
      </c>
      <c r="Y57" s="5" t="s">
        <v>414</v>
      </c>
      <c r="Z57" s="9">
        <v>45974</v>
      </c>
      <c r="AA57" s="8">
        <v>18</v>
      </c>
      <c r="AB57" s="9">
        <f t="shared" si="1"/>
        <v>46520</v>
      </c>
      <c r="AC57" s="10">
        <v>22</v>
      </c>
      <c r="AD57" s="7">
        <f t="shared" si="2"/>
        <v>490</v>
      </c>
      <c r="AE57" s="7">
        <f>IF(F57="Bullet",H57*AD57,MIN(MAX(I57,1),Assumptions!$B$6)*AD57)</f>
        <v>980</v>
      </c>
      <c r="AF57" s="8">
        <f>IF(F57="Bullet",MAX(0,Assumptions!$B$4-AB57),MAX(0,Assumptions!$B$4-L57))</f>
        <v>51</v>
      </c>
      <c r="AG57" s="9">
        <v>46217</v>
      </c>
      <c r="AH57" s="8">
        <f>IF(AG57="","",Assumptions!$B$4-AG57)</f>
        <v>81</v>
      </c>
      <c r="AI57" s="5" t="s">
        <v>57</v>
      </c>
      <c r="AJ57" s="8">
        <v>2</v>
      </c>
      <c r="AK57" s="8">
        <v>0</v>
      </c>
      <c r="AL57" s="8">
        <v>803</v>
      </c>
      <c r="AM57" s="8">
        <v>0</v>
      </c>
      <c r="AN57" s="5" t="s">
        <v>63</v>
      </c>
      <c r="AO57" s="10">
        <v>70.599999999999994</v>
      </c>
      <c r="AP57" s="8">
        <v>32</v>
      </c>
      <c r="AQ57" s="9">
        <v>46274</v>
      </c>
      <c r="AR57" s="5" t="s">
        <v>70</v>
      </c>
      <c r="AS57" s="5" t="s">
        <v>64</v>
      </c>
    </row>
    <row r="58" spans="1:45" x14ac:dyDescent="0.35">
      <c r="A58" s="5" t="s">
        <v>415</v>
      </c>
      <c r="B58" s="5" t="s">
        <v>416</v>
      </c>
      <c r="C58" s="6" t="s">
        <v>417</v>
      </c>
      <c r="D58" s="7">
        <v>195400</v>
      </c>
      <c r="E58" s="5" t="s">
        <v>48</v>
      </c>
      <c r="F58" s="5" t="s">
        <v>68</v>
      </c>
      <c r="G58" s="8">
        <v>2</v>
      </c>
      <c r="H58" s="8">
        <f>IF(F58="Bullet",MIN(G58,Assumptions!$B$6),"")</f>
        <v>2</v>
      </c>
      <c r="I58" s="8"/>
      <c r="J58" s="8" t="str">
        <f>IF(F58="Monthly interest",MAX(0,Assumptions!$B$5-I58),"")</f>
        <v/>
      </c>
      <c r="K58" s="7">
        <f t="shared" si="0"/>
        <v>5210</v>
      </c>
      <c r="L58" s="9">
        <v>46220</v>
      </c>
      <c r="M58" s="5" t="s">
        <v>50</v>
      </c>
      <c r="N58" s="5" t="s">
        <v>70</v>
      </c>
      <c r="O58" s="5" t="s">
        <v>271</v>
      </c>
      <c r="P58" s="5" t="s">
        <v>72</v>
      </c>
      <c r="Q58" s="5" t="s">
        <v>73</v>
      </c>
      <c r="R58" s="5" t="s">
        <v>74</v>
      </c>
      <c r="S58" s="5" t="s">
        <v>56</v>
      </c>
      <c r="T58" s="5" t="s">
        <v>57</v>
      </c>
      <c r="U58" s="5" t="s">
        <v>86</v>
      </c>
      <c r="V58" s="5" t="s">
        <v>59</v>
      </c>
      <c r="W58" s="5" t="s">
        <v>418</v>
      </c>
      <c r="X58" s="5" t="s">
        <v>419</v>
      </c>
      <c r="Y58" s="5" t="s">
        <v>420</v>
      </c>
      <c r="Z58" s="9">
        <v>46220</v>
      </c>
      <c r="AA58" s="8">
        <v>12</v>
      </c>
      <c r="AB58" s="9">
        <f t="shared" si="1"/>
        <v>46585</v>
      </c>
      <c r="AC58" s="10">
        <v>16</v>
      </c>
      <c r="AD58" s="7">
        <f t="shared" si="2"/>
        <v>2605</v>
      </c>
      <c r="AE58" s="7">
        <f>IF(F58="Bullet",H58*AD58,MIN(MAX(I58,1),Assumptions!$B$6)*AD58)</f>
        <v>5210</v>
      </c>
      <c r="AF58" s="8">
        <f>IF(F58="Bullet",MAX(0,Assumptions!$B$4-AB58),MAX(0,Assumptions!$B$4-L58))</f>
        <v>0</v>
      </c>
      <c r="AG58" s="9"/>
      <c r="AH58" s="8" t="str">
        <f>IF(AG58="","",Assumptions!$B$4-AG58)</f>
        <v/>
      </c>
      <c r="AI58" s="5" t="s">
        <v>80</v>
      </c>
      <c r="AJ58" s="8"/>
      <c r="AK58" s="8">
        <v>1</v>
      </c>
      <c r="AL58" s="8">
        <v>747</v>
      </c>
      <c r="AM58" s="8">
        <v>2</v>
      </c>
      <c r="AN58" s="5" t="s">
        <v>63</v>
      </c>
      <c r="AO58" s="10">
        <v>54.8</v>
      </c>
      <c r="AP58" s="8">
        <v>16</v>
      </c>
      <c r="AQ58" s="9">
        <v>46279</v>
      </c>
      <c r="AR58" s="5" t="s">
        <v>51</v>
      </c>
      <c r="AS58" s="5" t="s">
        <v>274</v>
      </c>
    </row>
    <row r="59" spans="1:45" x14ac:dyDescent="0.35">
      <c r="A59" s="5" t="s">
        <v>421</v>
      </c>
      <c r="B59" s="5" t="s">
        <v>406</v>
      </c>
      <c r="C59" s="6" t="s">
        <v>422</v>
      </c>
      <c r="D59" s="7">
        <v>83000</v>
      </c>
      <c r="E59" s="5" t="s">
        <v>48</v>
      </c>
      <c r="F59" s="5" t="s">
        <v>49</v>
      </c>
      <c r="G59" s="8"/>
      <c r="H59" s="8" t="str">
        <f>IF(F59="Bullet",MIN(G59,Assumptions!$B$6),"")</f>
        <v/>
      </c>
      <c r="I59" s="8">
        <v>2</v>
      </c>
      <c r="J59" s="8">
        <f>IF(F59="Monthly interest",MAX(0,Assumptions!$B$5-I59),"")</f>
        <v>1</v>
      </c>
      <c r="K59" s="7">
        <f t="shared" si="0"/>
        <v>2490</v>
      </c>
      <c r="L59" s="9">
        <v>46266</v>
      </c>
      <c r="M59" s="5" t="s">
        <v>116</v>
      </c>
      <c r="N59" s="5" t="s">
        <v>117</v>
      </c>
      <c r="O59" s="5" t="s">
        <v>118</v>
      </c>
      <c r="P59" s="5" t="s">
        <v>72</v>
      </c>
      <c r="Q59" s="5" t="s">
        <v>119</v>
      </c>
      <c r="R59" s="5" t="s">
        <v>120</v>
      </c>
      <c r="S59" s="5" t="s">
        <v>56</v>
      </c>
      <c r="T59" s="5" t="s">
        <v>63</v>
      </c>
      <c r="U59" s="5" t="s">
        <v>86</v>
      </c>
      <c r="V59" s="5" t="s">
        <v>59</v>
      </c>
      <c r="W59" s="5" t="s">
        <v>126</v>
      </c>
      <c r="X59" s="5" t="s">
        <v>423</v>
      </c>
      <c r="Y59" s="5" t="s">
        <v>424</v>
      </c>
      <c r="Z59" s="9">
        <v>46023</v>
      </c>
      <c r="AA59" s="8">
        <v>12</v>
      </c>
      <c r="AB59" s="9">
        <f t="shared" si="1"/>
        <v>46388</v>
      </c>
      <c r="AC59" s="10">
        <v>18</v>
      </c>
      <c r="AD59" s="7">
        <f t="shared" si="2"/>
        <v>1245</v>
      </c>
      <c r="AE59" s="7">
        <f>IF(F59="Bullet",H59*AD59,MIN(MAX(I59,1),Assumptions!$B$6)*AD59)</f>
        <v>2490</v>
      </c>
      <c r="AF59" s="8">
        <f>IF(F59="Bullet",MAX(0,Assumptions!$B$4-AB59),MAX(0,Assumptions!$B$4-L59))</f>
        <v>32</v>
      </c>
      <c r="AG59" s="9">
        <v>46237</v>
      </c>
      <c r="AH59" s="8">
        <f>IF(AG59="","",Assumptions!$B$4-AG59)</f>
        <v>61</v>
      </c>
      <c r="AI59" s="5" t="s">
        <v>63</v>
      </c>
      <c r="AJ59" s="8">
        <v>3</v>
      </c>
      <c r="AK59" s="8">
        <v>0</v>
      </c>
      <c r="AL59" s="8">
        <v>686</v>
      </c>
      <c r="AM59" s="8">
        <v>0</v>
      </c>
      <c r="AN59" s="5" t="s">
        <v>57</v>
      </c>
      <c r="AO59" s="10">
        <v>68.5</v>
      </c>
      <c r="AP59" s="8">
        <v>61</v>
      </c>
      <c r="AQ59" s="9">
        <v>46281</v>
      </c>
      <c r="AR59" s="5" t="s">
        <v>53</v>
      </c>
      <c r="AS59" s="5" t="s">
        <v>91</v>
      </c>
    </row>
    <row r="60" spans="1:45" x14ac:dyDescent="0.35">
      <c r="A60" s="5" t="s">
        <v>425</v>
      </c>
      <c r="B60" s="5" t="s">
        <v>426</v>
      </c>
      <c r="C60" s="6" t="s">
        <v>427</v>
      </c>
      <c r="D60" s="7">
        <v>248900</v>
      </c>
      <c r="E60" s="5" t="s">
        <v>48</v>
      </c>
      <c r="F60" s="5" t="s">
        <v>68</v>
      </c>
      <c r="G60" s="8">
        <v>3</v>
      </c>
      <c r="H60" s="8">
        <f>IF(F60="Bullet",MIN(G60,Assumptions!$B$6),"")</f>
        <v>2</v>
      </c>
      <c r="I60" s="8"/>
      <c r="J60" s="8" t="str">
        <f>IF(F60="Monthly interest",MAX(0,Assumptions!$B$5-I60),"")</f>
        <v/>
      </c>
      <c r="K60" s="7">
        <f t="shared" si="0"/>
        <v>7467</v>
      </c>
      <c r="L60" s="9">
        <v>46196</v>
      </c>
      <c r="M60" s="5" t="s">
        <v>50</v>
      </c>
      <c r="N60" s="5" t="s">
        <v>53</v>
      </c>
      <c r="O60" s="5" t="s">
        <v>71</v>
      </c>
      <c r="P60" s="5" t="s">
        <v>70</v>
      </c>
      <c r="Q60" s="5" t="s">
        <v>73</v>
      </c>
      <c r="R60" s="5" t="s">
        <v>74</v>
      </c>
      <c r="S60" s="5" t="s">
        <v>185</v>
      </c>
      <c r="T60" s="5" t="s">
        <v>63</v>
      </c>
      <c r="U60" s="5" t="s">
        <v>58</v>
      </c>
      <c r="V60" s="5" t="s">
        <v>200</v>
      </c>
      <c r="W60" s="5" t="s">
        <v>201</v>
      </c>
      <c r="X60" s="5" t="s">
        <v>428</v>
      </c>
      <c r="Y60" s="5" t="s">
        <v>429</v>
      </c>
      <c r="Z60" s="9">
        <v>46196</v>
      </c>
      <c r="AA60" s="8">
        <v>12</v>
      </c>
      <c r="AB60" s="9">
        <f t="shared" si="1"/>
        <v>46561</v>
      </c>
      <c r="AC60" s="10">
        <v>12</v>
      </c>
      <c r="AD60" s="7">
        <f t="shared" si="2"/>
        <v>2489</v>
      </c>
      <c r="AE60" s="7">
        <f>IF(F60="Bullet",H60*AD60,MIN(MAX(I60,1),Assumptions!$B$6)*AD60)</f>
        <v>4978</v>
      </c>
      <c r="AF60" s="8">
        <f>IF(F60="Bullet",MAX(0,Assumptions!$B$4-AB60),MAX(0,Assumptions!$B$4-L60))</f>
        <v>0</v>
      </c>
      <c r="AG60" s="9"/>
      <c r="AH60" s="8" t="str">
        <f>IF(AG60="","",Assumptions!$B$4-AG60)</f>
        <v/>
      </c>
      <c r="AI60" s="5" t="s">
        <v>80</v>
      </c>
      <c r="AJ60" s="8"/>
      <c r="AK60" s="8">
        <v>1</v>
      </c>
      <c r="AL60" s="8">
        <v>816</v>
      </c>
      <c r="AM60" s="8">
        <v>2</v>
      </c>
      <c r="AN60" s="5" t="s">
        <v>63</v>
      </c>
      <c r="AO60" s="10">
        <v>67.900000000000006</v>
      </c>
      <c r="AP60" s="8">
        <v>15</v>
      </c>
      <c r="AQ60" s="9">
        <v>46275</v>
      </c>
      <c r="AR60" s="5" t="s">
        <v>70</v>
      </c>
      <c r="AS60" s="5" t="s">
        <v>81</v>
      </c>
    </row>
    <row r="61" spans="1:45" x14ac:dyDescent="0.35">
      <c r="A61" s="5" t="s">
        <v>430</v>
      </c>
      <c r="B61" s="5" t="s">
        <v>431</v>
      </c>
      <c r="C61" s="6" t="s">
        <v>432</v>
      </c>
      <c r="D61" s="7">
        <v>164600</v>
      </c>
      <c r="E61" s="5" t="s">
        <v>48</v>
      </c>
      <c r="F61" s="5" t="s">
        <v>68</v>
      </c>
      <c r="G61" s="8">
        <v>2</v>
      </c>
      <c r="H61" s="8">
        <f>IF(F61="Bullet",MIN(G61,Assumptions!$B$6),"")</f>
        <v>2</v>
      </c>
      <c r="I61" s="8"/>
      <c r="J61" s="8" t="str">
        <f>IF(F61="Monthly interest",MAX(0,Assumptions!$B$5-I61),"")</f>
        <v/>
      </c>
      <c r="K61" s="7">
        <f t="shared" si="0"/>
        <v>4938</v>
      </c>
      <c r="L61" s="9">
        <v>46220</v>
      </c>
      <c r="M61" s="5" t="s">
        <v>69</v>
      </c>
      <c r="N61" s="5" t="s">
        <v>53</v>
      </c>
      <c r="O61" s="5" t="s">
        <v>71</v>
      </c>
      <c r="P61" s="5" t="s">
        <v>70</v>
      </c>
      <c r="Q61" s="5" t="s">
        <v>73</v>
      </c>
      <c r="R61" s="5" t="s">
        <v>74</v>
      </c>
      <c r="S61" s="5" t="s">
        <v>185</v>
      </c>
      <c r="T61" s="5" t="s">
        <v>63</v>
      </c>
      <c r="U61" s="5" t="s">
        <v>86</v>
      </c>
      <c r="V61" s="5" t="s">
        <v>200</v>
      </c>
      <c r="W61" s="5" t="s">
        <v>433</v>
      </c>
      <c r="X61" s="5" t="s">
        <v>434</v>
      </c>
      <c r="Y61" s="5" t="s">
        <v>435</v>
      </c>
      <c r="Z61" s="9">
        <v>46220</v>
      </c>
      <c r="AA61" s="8">
        <v>3</v>
      </c>
      <c r="AB61" s="9">
        <f t="shared" si="1"/>
        <v>46312</v>
      </c>
      <c r="AC61" s="10">
        <v>18</v>
      </c>
      <c r="AD61" s="7">
        <f t="shared" si="2"/>
        <v>2469</v>
      </c>
      <c r="AE61" s="7">
        <f>IF(F61="Bullet",H61*AD61,MIN(MAX(I61,1),Assumptions!$B$6)*AD61)</f>
        <v>4938</v>
      </c>
      <c r="AF61" s="8">
        <f>IF(F61="Bullet",MAX(0,Assumptions!$B$4-AB61),MAX(0,Assumptions!$B$4-L61))</f>
        <v>0</v>
      </c>
      <c r="AG61" s="9"/>
      <c r="AH61" s="8" t="str">
        <f>IF(AG61="","",Assumptions!$B$4-AG61)</f>
        <v/>
      </c>
      <c r="AI61" s="5" t="s">
        <v>80</v>
      </c>
      <c r="AJ61" s="8"/>
      <c r="AK61" s="8">
        <v>0</v>
      </c>
      <c r="AL61" s="8">
        <v>616</v>
      </c>
      <c r="AM61" s="8">
        <v>0</v>
      </c>
      <c r="AN61" s="5" t="s">
        <v>63</v>
      </c>
      <c r="AO61" s="10">
        <v>72.5</v>
      </c>
      <c r="AP61" s="8">
        <v>38</v>
      </c>
      <c r="AQ61" s="9">
        <v>46292</v>
      </c>
      <c r="AR61" s="5" t="s">
        <v>70</v>
      </c>
      <c r="AS61" s="5" t="s">
        <v>64</v>
      </c>
    </row>
    <row r="62" spans="1:45" x14ac:dyDescent="0.35">
      <c r="A62" s="5" t="s">
        <v>436</v>
      </c>
      <c r="B62" s="5" t="s">
        <v>437</v>
      </c>
      <c r="C62" s="6" t="s">
        <v>438</v>
      </c>
      <c r="D62" s="7">
        <v>125700</v>
      </c>
      <c r="E62" s="5" t="s">
        <v>48</v>
      </c>
      <c r="F62" s="5" t="s">
        <v>49</v>
      </c>
      <c r="G62" s="8"/>
      <c r="H62" s="8" t="str">
        <f>IF(F62="Bullet",MIN(G62,Assumptions!$B$6),"")</f>
        <v/>
      </c>
      <c r="I62" s="8">
        <v>1</v>
      </c>
      <c r="J62" s="8">
        <f>IF(F62="Monthly interest",MAX(0,Assumptions!$B$5-I62),"")</f>
        <v>2</v>
      </c>
      <c r="K62" s="7">
        <f t="shared" si="0"/>
        <v>2095</v>
      </c>
      <c r="L62" s="9">
        <v>46292</v>
      </c>
      <c r="M62" s="5" t="s">
        <v>50</v>
      </c>
      <c r="N62" s="5" t="s">
        <v>51</v>
      </c>
      <c r="O62" s="5" t="s">
        <v>52</v>
      </c>
      <c r="P62" s="5" t="s">
        <v>53</v>
      </c>
      <c r="Q62" s="5" t="s">
        <v>54</v>
      </c>
      <c r="R62" s="5" t="s">
        <v>55</v>
      </c>
      <c r="S62" s="5" t="s">
        <v>85</v>
      </c>
      <c r="T62" s="5" t="s">
        <v>57</v>
      </c>
      <c r="U62" s="5" t="s">
        <v>104</v>
      </c>
      <c r="V62" s="5" t="s">
        <v>96</v>
      </c>
      <c r="W62" s="5" t="s">
        <v>265</v>
      </c>
      <c r="X62" s="5" t="s">
        <v>439</v>
      </c>
      <c r="Y62" s="5" t="s">
        <v>440</v>
      </c>
      <c r="Z62" s="9">
        <v>46108</v>
      </c>
      <c r="AA62" s="8">
        <v>12</v>
      </c>
      <c r="AB62" s="9">
        <f t="shared" si="1"/>
        <v>46473</v>
      </c>
      <c r="AC62" s="10">
        <v>20</v>
      </c>
      <c r="AD62" s="7">
        <f t="shared" si="2"/>
        <v>2095</v>
      </c>
      <c r="AE62" s="7">
        <f>IF(F62="Bullet",H62*AD62,MIN(MAX(I62,1),Assumptions!$B$6)*AD62)</f>
        <v>2095</v>
      </c>
      <c r="AF62" s="8">
        <f>IF(F62="Bullet",MAX(0,Assumptions!$B$4-AB62),MAX(0,Assumptions!$B$4-L62))</f>
        <v>6</v>
      </c>
      <c r="AG62" s="9">
        <v>46264</v>
      </c>
      <c r="AH62" s="8">
        <f>IF(AG62="","",Assumptions!$B$4-AG62)</f>
        <v>34</v>
      </c>
      <c r="AI62" s="5" t="s">
        <v>57</v>
      </c>
      <c r="AJ62" s="8">
        <v>1</v>
      </c>
      <c r="AK62" s="8">
        <v>0</v>
      </c>
      <c r="AL62" s="8">
        <v>681</v>
      </c>
      <c r="AM62" s="8">
        <v>2</v>
      </c>
      <c r="AN62" s="5" t="s">
        <v>63</v>
      </c>
      <c r="AO62" s="10">
        <v>64.7</v>
      </c>
      <c r="AP62" s="8">
        <v>23</v>
      </c>
      <c r="AQ62" s="9">
        <v>46276</v>
      </c>
      <c r="AR62" s="5" t="s">
        <v>53</v>
      </c>
      <c r="AS62" s="5" t="s">
        <v>81</v>
      </c>
    </row>
    <row r="63" spans="1:45" x14ac:dyDescent="0.35">
      <c r="A63" s="5" t="s">
        <v>441</v>
      </c>
      <c r="B63" s="5" t="s">
        <v>442</v>
      </c>
      <c r="C63" s="6" t="s">
        <v>443</v>
      </c>
      <c r="D63" s="7">
        <v>53400</v>
      </c>
      <c r="E63" s="5" t="s">
        <v>48</v>
      </c>
      <c r="F63" s="5" t="s">
        <v>68</v>
      </c>
      <c r="G63" s="8">
        <v>4</v>
      </c>
      <c r="H63" s="8">
        <f>IF(F63="Bullet",MIN(G63,Assumptions!$B$6),"")</f>
        <v>2</v>
      </c>
      <c r="I63" s="8"/>
      <c r="J63" s="8" t="str">
        <f>IF(F63="Monthly interest",MAX(0,Assumptions!$B$5-I63),"")</f>
        <v/>
      </c>
      <c r="K63" s="7">
        <f t="shared" si="0"/>
        <v>3204</v>
      </c>
      <c r="L63" s="9">
        <v>46158</v>
      </c>
      <c r="M63" s="5" t="s">
        <v>69</v>
      </c>
      <c r="N63" s="5" t="s">
        <v>53</v>
      </c>
      <c r="O63" s="5" t="s">
        <v>71</v>
      </c>
      <c r="P63" s="5" t="s">
        <v>70</v>
      </c>
      <c r="Q63" s="5" t="s">
        <v>73</v>
      </c>
      <c r="R63" s="5" t="s">
        <v>74</v>
      </c>
      <c r="S63" s="5" t="s">
        <v>75</v>
      </c>
      <c r="T63" s="5" t="s">
        <v>57</v>
      </c>
      <c r="U63" s="5" t="s">
        <v>86</v>
      </c>
      <c r="V63" s="5" t="s">
        <v>76</v>
      </c>
      <c r="W63" s="5" t="s">
        <v>444</v>
      </c>
      <c r="X63" s="5" t="s">
        <v>445</v>
      </c>
      <c r="Y63" s="5" t="s">
        <v>446</v>
      </c>
      <c r="Z63" s="9">
        <v>46158</v>
      </c>
      <c r="AA63" s="8">
        <v>3</v>
      </c>
      <c r="AB63" s="9">
        <f t="shared" si="1"/>
        <v>46250</v>
      </c>
      <c r="AC63" s="10">
        <v>18</v>
      </c>
      <c r="AD63" s="7">
        <f t="shared" si="2"/>
        <v>801</v>
      </c>
      <c r="AE63" s="7">
        <f>IF(F63="Bullet",H63*AD63,MIN(MAX(I63,1),Assumptions!$B$6)*AD63)</f>
        <v>1602</v>
      </c>
      <c r="AF63" s="8">
        <f>IF(F63="Bullet",MAX(0,Assumptions!$B$4-AB63),MAX(0,Assumptions!$B$4-L63))</f>
        <v>48</v>
      </c>
      <c r="AG63" s="9"/>
      <c r="AH63" s="8" t="str">
        <f>IF(AG63="","",Assumptions!$B$4-AG63)</f>
        <v/>
      </c>
      <c r="AI63" s="5" t="s">
        <v>80</v>
      </c>
      <c r="AJ63" s="8"/>
      <c r="AK63" s="8">
        <v>0</v>
      </c>
      <c r="AL63" s="8">
        <v>644</v>
      </c>
      <c r="AM63" s="8">
        <v>0</v>
      </c>
      <c r="AN63" s="5" t="s">
        <v>63</v>
      </c>
      <c r="AO63" s="10">
        <v>68</v>
      </c>
      <c r="AP63" s="8">
        <v>40</v>
      </c>
      <c r="AQ63" s="9">
        <v>46287</v>
      </c>
      <c r="AR63" s="5" t="s">
        <v>70</v>
      </c>
      <c r="AS63" s="5" t="s">
        <v>81</v>
      </c>
    </row>
    <row r="64" spans="1:45" x14ac:dyDescent="0.35">
      <c r="A64" s="5" t="s">
        <v>447</v>
      </c>
      <c r="B64" s="5" t="s">
        <v>448</v>
      </c>
      <c r="C64" s="6" t="s">
        <v>449</v>
      </c>
      <c r="D64" s="7">
        <v>16900</v>
      </c>
      <c r="E64" s="5" t="s">
        <v>48</v>
      </c>
      <c r="F64" s="5" t="s">
        <v>49</v>
      </c>
      <c r="G64" s="8"/>
      <c r="H64" s="8" t="str">
        <f>IF(F64="Bullet",MIN(G64,Assumptions!$B$6),"")</f>
        <v/>
      </c>
      <c r="I64" s="8">
        <v>2</v>
      </c>
      <c r="J64" s="8">
        <f>IF(F64="Monthly interest",MAX(0,Assumptions!$B$5-I64),"")</f>
        <v>1</v>
      </c>
      <c r="K64" s="7">
        <f t="shared" si="0"/>
        <v>422</v>
      </c>
      <c r="L64" s="9">
        <v>46267</v>
      </c>
      <c r="M64" s="5" t="s">
        <v>116</v>
      </c>
      <c r="N64" s="5" t="s">
        <v>117</v>
      </c>
      <c r="O64" s="5" t="s">
        <v>450</v>
      </c>
      <c r="P64" s="5" t="s">
        <v>72</v>
      </c>
      <c r="Q64" s="5" t="s">
        <v>154</v>
      </c>
      <c r="R64" s="5" t="s">
        <v>155</v>
      </c>
      <c r="S64" s="5" t="s">
        <v>56</v>
      </c>
      <c r="T64" s="5" t="s">
        <v>57</v>
      </c>
      <c r="U64" s="5" t="s">
        <v>86</v>
      </c>
      <c r="V64" s="5" t="s">
        <v>59</v>
      </c>
      <c r="W64" s="5" t="s">
        <v>156</v>
      </c>
      <c r="X64" s="5" t="s">
        <v>451</v>
      </c>
      <c r="Y64" s="5" t="s">
        <v>452</v>
      </c>
      <c r="Z64" s="9">
        <v>45993</v>
      </c>
      <c r="AA64" s="8">
        <v>12</v>
      </c>
      <c r="AB64" s="9">
        <f t="shared" si="1"/>
        <v>46358</v>
      </c>
      <c r="AC64" s="10">
        <v>15</v>
      </c>
      <c r="AD64" s="7">
        <f t="shared" si="2"/>
        <v>211</v>
      </c>
      <c r="AE64" s="7">
        <f>IF(F64="Bullet",H64*AD64,MIN(MAX(I64,1),Assumptions!$B$6)*AD64)</f>
        <v>422</v>
      </c>
      <c r="AF64" s="8">
        <f>IF(F64="Bullet",MAX(0,Assumptions!$B$4-AB64),MAX(0,Assumptions!$B$4-L64))</f>
        <v>31</v>
      </c>
      <c r="AG64" s="9">
        <v>46236</v>
      </c>
      <c r="AH64" s="8">
        <f>IF(AG64="","",Assumptions!$B$4-AG64)</f>
        <v>62</v>
      </c>
      <c r="AI64" s="5" t="s">
        <v>57</v>
      </c>
      <c r="AJ64" s="8">
        <v>2</v>
      </c>
      <c r="AK64" s="8">
        <v>1</v>
      </c>
      <c r="AL64" s="8">
        <v>673</v>
      </c>
      <c r="AM64" s="8">
        <v>0</v>
      </c>
      <c r="AN64" s="5" t="s">
        <v>63</v>
      </c>
      <c r="AO64" s="10">
        <v>70.5</v>
      </c>
      <c r="AP64" s="8">
        <v>51</v>
      </c>
      <c r="AQ64" s="9"/>
      <c r="AR64" s="5"/>
      <c r="AS64" s="5" t="s">
        <v>159</v>
      </c>
    </row>
    <row r="65" spans="1:45" x14ac:dyDescent="0.35">
      <c r="A65" s="5" t="s">
        <v>453</v>
      </c>
      <c r="B65" s="5" t="s">
        <v>454</v>
      </c>
      <c r="C65" s="6" t="s">
        <v>455</v>
      </c>
      <c r="D65" s="7">
        <v>197600</v>
      </c>
      <c r="E65" s="5" t="s">
        <v>48</v>
      </c>
      <c r="F65" s="5" t="s">
        <v>68</v>
      </c>
      <c r="G65" s="8">
        <v>4</v>
      </c>
      <c r="H65" s="8">
        <f>IF(F65="Bullet",MIN(G65,Assumptions!$B$6),"")</f>
        <v>2</v>
      </c>
      <c r="I65" s="8"/>
      <c r="J65" s="8" t="str">
        <f>IF(F65="Monthly interest",MAX(0,Assumptions!$B$5-I65),"")</f>
        <v/>
      </c>
      <c r="K65" s="7">
        <f t="shared" si="0"/>
        <v>11856</v>
      </c>
      <c r="L65" s="9">
        <v>46170</v>
      </c>
      <c r="M65" s="5" t="s">
        <v>69</v>
      </c>
      <c r="N65" s="5" t="s">
        <v>53</v>
      </c>
      <c r="O65" s="5" t="s">
        <v>71</v>
      </c>
      <c r="P65" s="5" t="s">
        <v>70</v>
      </c>
      <c r="Q65" s="5" t="s">
        <v>73</v>
      </c>
      <c r="R65" s="5" t="s">
        <v>74</v>
      </c>
      <c r="S65" s="5" t="s">
        <v>85</v>
      </c>
      <c r="T65" s="5" t="s">
        <v>57</v>
      </c>
      <c r="U65" s="5" t="s">
        <v>86</v>
      </c>
      <c r="V65" s="5" t="s">
        <v>177</v>
      </c>
      <c r="W65" s="5" t="s">
        <v>345</v>
      </c>
      <c r="X65" s="5" t="s">
        <v>456</v>
      </c>
      <c r="Y65" s="5" t="s">
        <v>457</v>
      </c>
      <c r="Z65" s="9">
        <v>46170</v>
      </c>
      <c r="AA65" s="8">
        <v>6</v>
      </c>
      <c r="AB65" s="9">
        <f t="shared" si="1"/>
        <v>46354</v>
      </c>
      <c r="AC65" s="10">
        <v>18</v>
      </c>
      <c r="AD65" s="7">
        <f t="shared" si="2"/>
        <v>2964</v>
      </c>
      <c r="AE65" s="7">
        <f>IF(F65="Bullet",H65*AD65,MIN(MAX(I65,1),Assumptions!$B$6)*AD65)</f>
        <v>5928</v>
      </c>
      <c r="AF65" s="8">
        <f>IF(F65="Bullet",MAX(0,Assumptions!$B$4-AB65),MAX(0,Assumptions!$B$4-L65))</f>
        <v>0</v>
      </c>
      <c r="AG65" s="9"/>
      <c r="AH65" s="8" t="str">
        <f>IF(AG65="","",Assumptions!$B$4-AG65)</f>
        <v/>
      </c>
      <c r="AI65" s="5" t="s">
        <v>80</v>
      </c>
      <c r="AJ65" s="8"/>
      <c r="AK65" s="8">
        <v>1</v>
      </c>
      <c r="AL65" s="8">
        <v>709</v>
      </c>
      <c r="AM65" s="8">
        <v>1</v>
      </c>
      <c r="AN65" s="5" t="s">
        <v>63</v>
      </c>
      <c r="AO65" s="10">
        <v>78.2</v>
      </c>
      <c r="AP65" s="8">
        <v>32</v>
      </c>
      <c r="AQ65" s="9">
        <v>46279</v>
      </c>
      <c r="AR65" s="5" t="s">
        <v>51</v>
      </c>
      <c r="AS65" s="5" t="s">
        <v>91</v>
      </c>
    </row>
    <row r="66" spans="1:45" x14ac:dyDescent="0.35">
      <c r="A66" s="5" t="s">
        <v>458</v>
      </c>
      <c r="B66" s="5" t="s">
        <v>459</v>
      </c>
      <c r="C66" s="6" t="s">
        <v>460</v>
      </c>
      <c r="D66" s="7">
        <v>49300</v>
      </c>
      <c r="E66" s="5" t="s">
        <v>48</v>
      </c>
      <c r="F66" s="5" t="s">
        <v>68</v>
      </c>
      <c r="G66" s="8">
        <v>6</v>
      </c>
      <c r="H66" s="8">
        <f>IF(F66="Bullet",MIN(G66,Assumptions!$B$6),"")</f>
        <v>2</v>
      </c>
      <c r="I66" s="8"/>
      <c r="J66" s="8" t="str">
        <f>IF(F66="Monthly interest",MAX(0,Assumptions!$B$5-I66),"")</f>
        <v/>
      </c>
      <c r="K66" s="7">
        <f t="shared" ref="K66:K129" si="3">IF(F66="Bullet",G66*AD66,MAX(I66,1)*AD66)</f>
        <v>3450</v>
      </c>
      <c r="L66" s="9">
        <v>46115</v>
      </c>
      <c r="M66" s="5" t="s">
        <v>116</v>
      </c>
      <c r="N66" s="5" t="s">
        <v>117</v>
      </c>
      <c r="O66" s="5" t="s">
        <v>461</v>
      </c>
      <c r="P66" s="5" t="s">
        <v>72</v>
      </c>
      <c r="Q66" s="5" t="s">
        <v>169</v>
      </c>
      <c r="R66" s="5" t="s">
        <v>170</v>
      </c>
      <c r="S66" s="5" t="s">
        <v>185</v>
      </c>
      <c r="T66" s="5" t="s">
        <v>57</v>
      </c>
      <c r="U66" s="5" t="s">
        <v>86</v>
      </c>
      <c r="V66" s="5" t="s">
        <v>186</v>
      </c>
      <c r="W66" s="5" t="s">
        <v>187</v>
      </c>
      <c r="X66" s="5" t="s">
        <v>462</v>
      </c>
      <c r="Y66" s="5" t="s">
        <v>463</v>
      </c>
      <c r="Z66" s="9">
        <v>46115</v>
      </c>
      <c r="AA66" s="8">
        <v>6</v>
      </c>
      <c r="AB66" s="9">
        <f t="shared" ref="AB66:AB129" si="4">EDATE(Z66,AA66)</f>
        <v>46298</v>
      </c>
      <c r="AC66" s="10">
        <v>14</v>
      </c>
      <c r="AD66" s="7">
        <f t="shared" ref="AD66:AD129" si="5">ROUND(D66*AC66/100/12,0)</f>
        <v>575</v>
      </c>
      <c r="AE66" s="7">
        <f>IF(F66="Bullet",H66*AD66,MIN(MAX(I66,1),Assumptions!$B$6)*AD66)</f>
        <v>1150</v>
      </c>
      <c r="AF66" s="8">
        <f>IF(F66="Bullet",MAX(0,Assumptions!$B$4-AB66),MAX(0,Assumptions!$B$4-L66))</f>
        <v>0</v>
      </c>
      <c r="AG66" s="9"/>
      <c r="AH66" s="8" t="str">
        <f>IF(AG66="","",Assumptions!$B$4-AG66)</f>
        <v/>
      </c>
      <c r="AI66" s="5" t="s">
        <v>80</v>
      </c>
      <c r="AJ66" s="8"/>
      <c r="AK66" s="8">
        <v>3</v>
      </c>
      <c r="AL66" s="8">
        <v>690</v>
      </c>
      <c r="AM66" s="8">
        <v>1</v>
      </c>
      <c r="AN66" s="5" t="s">
        <v>63</v>
      </c>
      <c r="AO66" s="10">
        <v>66.900000000000006</v>
      </c>
      <c r="AP66" s="8">
        <v>58</v>
      </c>
      <c r="AQ66" s="9">
        <v>46288</v>
      </c>
      <c r="AR66" s="5" t="s">
        <v>53</v>
      </c>
      <c r="AS66" s="5" t="s">
        <v>64</v>
      </c>
    </row>
    <row r="67" spans="1:45" x14ac:dyDescent="0.35">
      <c r="A67" s="5" t="s">
        <v>464</v>
      </c>
      <c r="B67" s="5" t="s">
        <v>465</v>
      </c>
      <c r="C67" s="6" t="s">
        <v>466</v>
      </c>
      <c r="D67" s="7">
        <v>791800</v>
      </c>
      <c r="E67" s="5" t="s">
        <v>48</v>
      </c>
      <c r="F67" s="5" t="s">
        <v>49</v>
      </c>
      <c r="G67" s="8"/>
      <c r="H67" s="8" t="str">
        <f>IF(F67="Bullet",MIN(G67,Assumptions!$B$6),"")</f>
        <v/>
      </c>
      <c r="I67" s="8">
        <v>1</v>
      </c>
      <c r="J67" s="8">
        <f>IF(F67="Monthly interest",MAX(0,Assumptions!$B$5-I67),"")</f>
        <v>2</v>
      </c>
      <c r="K67" s="7">
        <f t="shared" si="3"/>
        <v>9238</v>
      </c>
      <c r="L67" s="9">
        <v>46283</v>
      </c>
      <c r="M67" s="5" t="s">
        <v>116</v>
      </c>
      <c r="N67" s="5" t="s">
        <v>117</v>
      </c>
      <c r="O67" s="5" t="s">
        <v>118</v>
      </c>
      <c r="P67" s="5" t="s">
        <v>72</v>
      </c>
      <c r="Q67" s="5" t="s">
        <v>119</v>
      </c>
      <c r="R67" s="5" t="s">
        <v>120</v>
      </c>
      <c r="S67" s="5" t="s">
        <v>56</v>
      </c>
      <c r="T67" s="5" t="s">
        <v>57</v>
      </c>
      <c r="U67" s="5" t="s">
        <v>104</v>
      </c>
      <c r="V67" s="5" t="s">
        <v>59</v>
      </c>
      <c r="W67" s="5" t="s">
        <v>467</v>
      </c>
      <c r="X67" s="5" t="s">
        <v>468</v>
      </c>
      <c r="Y67" s="5" t="s">
        <v>469</v>
      </c>
      <c r="Z67" s="9">
        <v>46009</v>
      </c>
      <c r="AA67" s="8">
        <v>12</v>
      </c>
      <c r="AB67" s="9">
        <f t="shared" si="4"/>
        <v>46374</v>
      </c>
      <c r="AC67" s="10">
        <v>14</v>
      </c>
      <c r="AD67" s="7">
        <f t="shared" si="5"/>
        <v>9238</v>
      </c>
      <c r="AE67" s="7">
        <f>IF(F67="Bullet",H67*AD67,MIN(MAX(I67,1),Assumptions!$B$6)*AD67)</f>
        <v>9238</v>
      </c>
      <c r="AF67" s="8">
        <f>IF(F67="Bullet",MAX(0,Assumptions!$B$4-AB67),MAX(0,Assumptions!$B$4-L67))</f>
        <v>15</v>
      </c>
      <c r="AG67" s="9">
        <v>46256</v>
      </c>
      <c r="AH67" s="8">
        <f>IF(AG67="","",Assumptions!$B$4-AG67)</f>
        <v>42</v>
      </c>
      <c r="AI67" s="5" t="s">
        <v>63</v>
      </c>
      <c r="AJ67" s="8">
        <v>2</v>
      </c>
      <c r="AK67" s="8">
        <v>0</v>
      </c>
      <c r="AL67" s="8">
        <v>650</v>
      </c>
      <c r="AM67" s="8">
        <v>4</v>
      </c>
      <c r="AN67" s="5" t="s">
        <v>57</v>
      </c>
      <c r="AO67" s="10">
        <v>68.400000000000006</v>
      </c>
      <c r="AP67" s="8">
        <v>56</v>
      </c>
      <c r="AQ67" s="9">
        <v>46295</v>
      </c>
      <c r="AR67" s="5" t="s">
        <v>51</v>
      </c>
      <c r="AS67" s="5" t="s">
        <v>81</v>
      </c>
    </row>
    <row r="68" spans="1:45" x14ac:dyDescent="0.35">
      <c r="A68" s="5" t="s">
        <v>470</v>
      </c>
      <c r="B68" s="5" t="s">
        <v>471</v>
      </c>
      <c r="C68" s="6" t="s">
        <v>472</v>
      </c>
      <c r="D68" s="7">
        <v>64500</v>
      </c>
      <c r="E68" s="5" t="s">
        <v>48</v>
      </c>
      <c r="F68" s="5" t="s">
        <v>68</v>
      </c>
      <c r="G68" s="8">
        <v>5</v>
      </c>
      <c r="H68" s="8">
        <f>IF(F68="Bullet",MIN(G68,Assumptions!$B$6),"")</f>
        <v>2</v>
      </c>
      <c r="I68" s="8"/>
      <c r="J68" s="8" t="str">
        <f>IF(F68="Monthly interest",MAX(0,Assumptions!$B$5-I68),"")</f>
        <v/>
      </c>
      <c r="K68" s="7">
        <f t="shared" si="3"/>
        <v>4030</v>
      </c>
      <c r="L68" s="9">
        <v>46133</v>
      </c>
      <c r="M68" s="5" t="s">
        <v>116</v>
      </c>
      <c r="N68" s="5" t="s">
        <v>117</v>
      </c>
      <c r="O68" s="5" t="s">
        <v>461</v>
      </c>
      <c r="P68" s="5" t="s">
        <v>72</v>
      </c>
      <c r="Q68" s="5" t="s">
        <v>169</v>
      </c>
      <c r="R68" s="5" t="s">
        <v>170</v>
      </c>
      <c r="S68" s="5" t="s">
        <v>85</v>
      </c>
      <c r="T68" s="5" t="s">
        <v>57</v>
      </c>
      <c r="U68" s="5" t="s">
        <v>104</v>
      </c>
      <c r="V68" s="5" t="s">
        <v>133</v>
      </c>
      <c r="W68" s="5" t="s">
        <v>134</v>
      </c>
      <c r="X68" s="5" t="s">
        <v>135</v>
      </c>
      <c r="Y68" s="5" t="s">
        <v>473</v>
      </c>
      <c r="Z68" s="9">
        <v>46133</v>
      </c>
      <c r="AA68" s="8">
        <v>12</v>
      </c>
      <c r="AB68" s="9">
        <f t="shared" si="4"/>
        <v>46498</v>
      </c>
      <c r="AC68" s="10">
        <v>15</v>
      </c>
      <c r="AD68" s="7">
        <f t="shared" si="5"/>
        <v>806</v>
      </c>
      <c r="AE68" s="7">
        <f>IF(F68="Bullet",H68*AD68,MIN(MAX(I68,1),Assumptions!$B$6)*AD68)</f>
        <v>1612</v>
      </c>
      <c r="AF68" s="8">
        <f>IF(F68="Bullet",MAX(0,Assumptions!$B$4-AB68),MAX(0,Assumptions!$B$4-L68))</f>
        <v>0</v>
      </c>
      <c r="AG68" s="9"/>
      <c r="AH68" s="8" t="str">
        <f>IF(AG68="","",Assumptions!$B$4-AG68)</f>
        <v/>
      </c>
      <c r="AI68" s="5" t="s">
        <v>80</v>
      </c>
      <c r="AJ68" s="8"/>
      <c r="AK68" s="8">
        <v>1</v>
      </c>
      <c r="AL68" s="8">
        <v>651</v>
      </c>
      <c r="AM68" s="8">
        <v>1</v>
      </c>
      <c r="AN68" s="5" t="s">
        <v>57</v>
      </c>
      <c r="AO68" s="10">
        <v>72.7</v>
      </c>
      <c r="AP68" s="8">
        <v>54</v>
      </c>
      <c r="AQ68" s="9">
        <v>46281</v>
      </c>
      <c r="AR68" s="5" t="s">
        <v>51</v>
      </c>
      <c r="AS68" s="5" t="s">
        <v>64</v>
      </c>
    </row>
    <row r="69" spans="1:45" x14ac:dyDescent="0.35">
      <c r="A69" s="5" t="s">
        <v>474</v>
      </c>
      <c r="B69" s="5" t="s">
        <v>475</v>
      </c>
      <c r="C69" s="6" t="s">
        <v>476</v>
      </c>
      <c r="D69" s="7">
        <v>102800</v>
      </c>
      <c r="E69" s="5" t="s">
        <v>48</v>
      </c>
      <c r="F69" s="5" t="s">
        <v>68</v>
      </c>
      <c r="G69" s="8">
        <v>3</v>
      </c>
      <c r="H69" s="8">
        <f>IF(F69="Bullet",MIN(G69,Assumptions!$B$6),"")</f>
        <v>2</v>
      </c>
      <c r="I69" s="8"/>
      <c r="J69" s="8" t="str">
        <f>IF(F69="Monthly interest",MAX(0,Assumptions!$B$5-I69),"")</f>
        <v/>
      </c>
      <c r="K69" s="7">
        <f t="shared" si="3"/>
        <v>3855</v>
      </c>
      <c r="L69" s="9">
        <v>46193</v>
      </c>
      <c r="M69" s="5" t="s">
        <v>69</v>
      </c>
      <c r="N69" s="5" t="s">
        <v>70</v>
      </c>
      <c r="O69" s="5" t="s">
        <v>271</v>
      </c>
      <c r="P69" s="5" t="s">
        <v>72</v>
      </c>
      <c r="Q69" s="5" t="s">
        <v>73</v>
      </c>
      <c r="R69" s="5" t="s">
        <v>74</v>
      </c>
      <c r="S69" s="5" t="s">
        <v>214</v>
      </c>
      <c r="T69" s="5" t="s">
        <v>57</v>
      </c>
      <c r="U69" s="5" t="s">
        <v>86</v>
      </c>
      <c r="V69" s="5" t="s">
        <v>215</v>
      </c>
      <c r="W69" s="5" t="s">
        <v>232</v>
      </c>
      <c r="X69" s="5" t="s">
        <v>233</v>
      </c>
      <c r="Y69" s="5" t="s">
        <v>477</v>
      </c>
      <c r="Z69" s="9">
        <v>46193</v>
      </c>
      <c r="AA69" s="8">
        <v>6</v>
      </c>
      <c r="AB69" s="9">
        <f t="shared" si="4"/>
        <v>46376</v>
      </c>
      <c r="AC69" s="10">
        <v>15</v>
      </c>
      <c r="AD69" s="7">
        <f t="shared" si="5"/>
        <v>1285</v>
      </c>
      <c r="AE69" s="7">
        <f>IF(F69="Bullet",H69*AD69,MIN(MAX(I69,1),Assumptions!$B$6)*AD69)</f>
        <v>2570</v>
      </c>
      <c r="AF69" s="8">
        <f>IF(F69="Bullet",MAX(0,Assumptions!$B$4-AB69),MAX(0,Assumptions!$B$4-L69))</f>
        <v>0</v>
      </c>
      <c r="AG69" s="9"/>
      <c r="AH69" s="8" t="str">
        <f>IF(AG69="","",Assumptions!$B$4-AG69)</f>
        <v/>
      </c>
      <c r="AI69" s="5" t="s">
        <v>80</v>
      </c>
      <c r="AJ69" s="8"/>
      <c r="AK69" s="8">
        <v>2</v>
      </c>
      <c r="AL69" s="8" t="s">
        <v>80</v>
      </c>
      <c r="AM69" s="8">
        <v>1</v>
      </c>
      <c r="AN69" s="5" t="s">
        <v>63</v>
      </c>
      <c r="AO69" s="10">
        <v>78.099999999999994</v>
      </c>
      <c r="AP69" s="8">
        <v>42</v>
      </c>
      <c r="AQ69" s="9">
        <v>46280</v>
      </c>
      <c r="AR69" s="5" t="s">
        <v>53</v>
      </c>
      <c r="AS69" s="5" t="s">
        <v>274</v>
      </c>
    </row>
    <row r="70" spans="1:45" x14ac:dyDescent="0.35">
      <c r="A70" s="5" t="s">
        <v>478</v>
      </c>
      <c r="B70" s="5" t="s">
        <v>479</v>
      </c>
      <c r="C70" s="6" t="s">
        <v>480</v>
      </c>
      <c r="D70" s="7">
        <v>29000</v>
      </c>
      <c r="E70" s="5" t="s">
        <v>48</v>
      </c>
      <c r="F70" s="5" t="s">
        <v>68</v>
      </c>
      <c r="G70" s="8">
        <v>3</v>
      </c>
      <c r="H70" s="8">
        <f>IF(F70="Bullet",MIN(G70,Assumptions!$B$6),"")</f>
        <v>2</v>
      </c>
      <c r="I70" s="8"/>
      <c r="J70" s="8" t="str">
        <f>IF(F70="Monthly interest",MAX(0,Assumptions!$B$5-I70),"")</f>
        <v/>
      </c>
      <c r="K70" s="7">
        <f t="shared" si="3"/>
        <v>1089</v>
      </c>
      <c r="L70" s="9">
        <v>46202</v>
      </c>
      <c r="M70" s="5" t="s">
        <v>69</v>
      </c>
      <c r="N70" s="5" t="s">
        <v>53</v>
      </c>
      <c r="O70" s="5" t="s">
        <v>152</v>
      </c>
      <c r="P70" s="5" t="s">
        <v>153</v>
      </c>
      <c r="Q70" s="5" t="s">
        <v>154</v>
      </c>
      <c r="R70" s="5" t="s">
        <v>155</v>
      </c>
      <c r="S70" s="5" t="s">
        <v>185</v>
      </c>
      <c r="T70" s="5" t="s">
        <v>57</v>
      </c>
      <c r="U70" s="5" t="s">
        <v>86</v>
      </c>
      <c r="V70" s="5" t="s">
        <v>186</v>
      </c>
      <c r="W70" s="5" t="s">
        <v>187</v>
      </c>
      <c r="X70" s="5" t="s">
        <v>481</v>
      </c>
      <c r="Y70" s="5" t="s">
        <v>482</v>
      </c>
      <c r="Z70" s="9">
        <v>46202</v>
      </c>
      <c r="AA70" s="8">
        <v>6</v>
      </c>
      <c r="AB70" s="9">
        <f t="shared" si="4"/>
        <v>46385</v>
      </c>
      <c r="AC70" s="10">
        <v>15</v>
      </c>
      <c r="AD70" s="7">
        <f t="shared" si="5"/>
        <v>363</v>
      </c>
      <c r="AE70" s="7">
        <f>IF(F70="Bullet",H70*AD70,MIN(MAX(I70,1),Assumptions!$B$6)*AD70)</f>
        <v>726</v>
      </c>
      <c r="AF70" s="8">
        <f>IF(F70="Bullet",MAX(0,Assumptions!$B$4-AB70),MAX(0,Assumptions!$B$4-L70))</f>
        <v>0</v>
      </c>
      <c r="AG70" s="9"/>
      <c r="AH70" s="8" t="str">
        <f>IF(AG70="","",Assumptions!$B$4-AG70)</f>
        <v/>
      </c>
      <c r="AI70" s="5" t="s">
        <v>80</v>
      </c>
      <c r="AJ70" s="8"/>
      <c r="AK70" s="8">
        <v>1</v>
      </c>
      <c r="AL70" s="8">
        <v>627</v>
      </c>
      <c r="AM70" s="8">
        <v>0</v>
      </c>
      <c r="AN70" s="5" t="s">
        <v>63</v>
      </c>
      <c r="AO70" s="10">
        <v>64.099999999999994</v>
      </c>
      <c r="AP70" s="8">
        <v>33</v>
      </c>
      <c r="AQ70" s="9">
        <v>46289</v>
      </c>
      <c r="AR70" s="5" t="s">
        <v>53</v>
      </c>
      <c r="AS70" s="5" t="s">
        <v>81</v>
      </c>
    </row>
    <row r="71" spans="1:45" x14ac:dyDescent="0.35">
      <c r="A71" s="5" t="s">
        <v>483</v>
      </c>
      <c r="B71" s="5" t="s">
        <v>484</v>
      </c>
      <c r="C71" s="6" t="s">
        <v>485</v>
      </c>
      <c r="D71" s="7">
        <v>60600</v>
      </c>
      <c r="E71" s="5" t="s">
        <v>48</v>
      </c>
      <c r="F71" s="5" t="s">
        <v>49</v>
      </c>
      <c r="G71" s="8"/>
      <c r="H71" s="8" t="str">
        <f>IF(F71="Bullet",MIN(G71,Assumptions!$B$6),"")</f>
        <v/>
      </c>
      <c r="I71" s="8">
        <v>1</v>
      </c>
      <c r="J71" s="8">
        <f>IF(F71="Monthly interest",MAX(0,Assumptions!$B$5-I71),"")</f>
        <v>2</v>
      </c>
      <c r="K71" s="7">
        <f t="shared" si="3"/>
        <v>758</v>
      </c>
      <c r="L71" s="9">
        <v>46287</v>
      </c>
      <c r="M71" s="5" t="s">
        <v>50</v>
      </c>
      <c r="N71" s="5" t="s">
        <v>51</v>
      </c>
      <c r="O71" s="5" t="s">
        <v>52</v>
      </c>
      <c r="P71" s="5" t="s">
        <v>53</v>
      </c>
      <c r="Q71" s="5" t="s">
        <v>54</v>
      </c>
      <c r="R71" s="5" t="s">
        <v>55</v>
      </c>
      <c r="S71" s="5" t="s">
        <v>75</v>
      </c>
      <c r="T71" s="5" t="s">
        <v>57</v>
      </c>
      <c r="U71" s="5" t="s">
        <v>86</v>
      </c>
      <c r="V71" s="5" t="s">
        <v>76</v>
      </c>
      <c r="W71" s="5" t="s">
        <v>306</v>
      </c>
      <c r="X71" s="5" t="s">
        <v>413</v>
      </c>
      <c r="Y71" s="5" t="s">
        <v>486</v>
      </c>
      <c r="Z71" s="9">
        <v>46195</v>
      </c>
      <c r="AA71" s="8">
        <v>24</v>
      </c>
      <c r="AB71" s="9">
        <f t="shared" si="4"/>
        <v>46926</v>
      </c>
      <c r="AC71" s="10">
        <v>15</v>
      </c>
      <c r="AD71" s="7">
        <f t="shared" si="5"/>
        <v>758</v>
      </c>
      <c r="AE71" s="7">
        <f>IF(F71="Bullet",H71*AD71,MIN(MAX(I71,1),Assumptions!$B$6)*AD71)</f>
        <v>758</v>
      </c>
      <c r="AF71" s="8">
        <f>IF(F71="Bullet",MAX(0,Assumptions!$B$4-AB71),MAX(0,Assumptions!$B$4-L71))</f>
        <v>11</v>
      </c>
      <c r="AG71" s="9">
        <v>46256</v>
      </c>
      <c r="AH71" s="8">
        <f>IF(AG71="","",Assumptions!$B$4-AG71)</f>
        <v>42</v>
      </c>
      <c r="AI71" s="5" t="s">
        <v>57</v>
      </c>
      <c r="AJ71" s="8">
        <v>2</v>
      </c>
      <c r="AK71" s="8">
        <v>1</v>
      </c>
      <c r="AL71" s="8">
        <v>774</v>
      </c>
      <c r="AM71" s="8">
        <v>0</v>
      </c>
      <c r="AN71" s="5" t="s">
        <v>63</v>
      </c>
      <c r="AO71" s="10">
        <v>49.4</v>
      </c>
      <c r="AP71" s="8">
        <v>24</v>
      </c>
      <c r="AQ71" s="9">
        <v>46297</v>
      </c>
      <c r="AR71" s="5" t="s">
        <v>53</v>
      </c>
      <c r="AS71" s="5" t="s">
        <v>81</v>
      </c>
    </row>
    <row r="72" spans="1:45" x14ac:dyDescent="0.35">
      <c r="A72" s="5" t="s">
        <v>487</v>
      </c>
      <c r="B72" s="5" t="s">
        <v>488</v>
      </c>
      <c r="C72" s="6" t="s">
        <v>489</v>
      </c>
      <c r="D72" s="7">
        <v>146000</v>
      </c>
      <c r="E72" s="5" t="s">
        <v>48</v>
      </c>
      <c r="F72" s="5" t="s">
        <v>49</v>
      </c>
      <c r="G72" s="8"/>
      <c r="H72" s="8" t="str">
        <f>IF(F72="Bullet",MIN(G72,Assumptions!$B$6),"")</f>
        <v/>
      </c>
      <c r="I72" s="8">
        <v>2</v>
      </c>
      <c r="J72" s="8">
        <f>IF(F72="Monthly interest",MAX(0,Assumptions!$B$5-I72),"")</f>
        <v>1</v>
      </c>
      <c r="K72" s="7">
        <f t="shared" si="3"/>
        <v>4380</v>
      </c>
      <c r="L72" s="9">
        <v>46262</v>
      </c>
      <c r="M72" s="5" t="s">
        <v>116</v>
      </c>
      <c r="N72" s="5" t="s">
        <v>117</v>
      </c>
      <c r="O72" s="5" t="s">
        <v>118</v>
      </c>
      <c r="P72" s="5" t="s">
        <v>72</v>
      </c>
      <c r="Q72" s="5" t="s">
        <v>119</v>
      </c>
      <c r="R72" s="5" t="s">
        <v>120</v>
      </c>
      <c r="S72" s="5" t="s">
        <v>214</v>
      </c>
      <c r="T72" s="5" t="s">
        <v>57</v>
      </c>
      <c r="U72" s="5" t="s">
        <v>104</v>
      </c>
      <c r="V72" s="5" t="s">
        <v>215</v>
      </c>
      <c r="W72" s="5" t="s">
        <v>278</v>
      </c>
      <c r="X72" s="5" t="s">
        <v>490</v>
      </c>
      <c r="Y72" s="5" t="s">
        <v>491</v>
      </c>
      <c r="Z72" s="9">
        <v>46019</v>
      </c>
      <c r="AA72" s="8">
        <v>12</v>
      </c>
      <c r="AB72" s="9">
        <f t="shared" si="4"/>
        <v>46384</v>
      </c>
      <c r="AC72" s="10">
        <v>18</v>
      </c>
      <c r="AD72" s="7">
        <f t="shared" si="5"/>
        <v>2190</v>
      </c>
      <c r="AE72" s="7">
        <f>IF(F72="Bullet",H72*AD72,MIN(MAX(I72,1),Assumptions!$B$6)*AD72)</f>
        <v>4380</v>
      </c>
      <c r="AF72" s="8">
        <f>IF(F72="Bullet",MAX(0,Assumptions!$B$4-AB72),MAX(0,Assumptions!$B$4-L72))</f>
        <v>36</v>
      </c>
      <c r="AG72" s="9">
        <v>46231</v>
      </c>
      <c r="AH72" s="8">
        <f>IF(AG72="","",Assumptions!$B$4-AG72)</f>
        <v>67</v>
      </c>
      <c r="AI72" s="5" t="s">
        <v>63</v>
      </c>
      <c r="AJ72" s="8">
        <v>2</v>
      </c>
      <c r="AK72" s="8">
        <v>0</v>
      </c>
      <c r="AL72" s="8">
        <v>595</v>
      </c>
      <c r="AM72" s="8">
        <v>3</v>
      </c>
      <c r="AN72" s="5" t="s">
        <v>63</v>
      </c>
      <c r="AO72" s="10">
        <v>68.900000000000006</v>
      </c>
      <c r="AP72" s="8">
        <v>57</v>
      </c>
      <c r="AQ72" s="9">
        <v>46287</v>
      </c>
      <c r="AR72" s="5" t="s">
        <v>51</v>
      </c>
      <c r="AS72" s="5" t="s">
        <v>190</v>
      </c>
    </row>
    <row r="73" spans="1:45" x14ac:dyDescent="0.35">
      <c r="A73" s="5" t="s">
        <v>492</v>
      </c>
      <c r="B73" s="5" t="s">
        <v>493</v>
      </c>
      <c r="C73" s="6" t="s">
        <v>494</v>
      </c>
      <c r="D73" s="7">
        <v>239500</v>
      </c>
      <c r="E73" s="5" t="s">
        <v>48</v>
      </c>
      <c r="F73" s="5" t="s">
        <v>68</v>
      </c>
      <c r="G73" s="8">
        <v>5</v>
      </c>
      <c r="H73" s="8">
        <f>IF(F73="Bullet",MIN(G73,Assumptions!$B$6),"")</f>
        <v>2</v>
      </c>
      <c r="I73" s="8"/>
      <c r="J73" s="8" t="str">
        <f>IF(F73="Monthly interest",MAX(0,Assumptions!$B$5-I73),"")</f>
        <v/>
      </c>
      <c r="K73" s="7">
        <f t="shared" si="3"/>
        <v>14970</v>
      </c>
      <c r="L73" s="9">
        <v>46140</v>
      </c>
      <c r="M73" s="5" t="s">
        <v>116</v>
      </c>
      <c r="N73" s="5" t="s">
        <v>117</v>
      </c>
      <c r="O73" s="5" t="s">
        <v>461</v>
      </c>
      <c r="P73" s="5" t="s">
        <v>72</v>
      </c>
      <c r="Q73" s="5" t="s">
        <v>169</v>
      </c>
      <c r="R73" s="5" t="s">
        <v>170</v>
      </c>
      <c r="S73" s="5" t="s">
        <v>253</v>
      </c>
      <c r="T73" s="5" t="s">
        <v>57</v>
      </c>
      <c r="U73" s="5" t="s">
        <v>104</v>
      </c>
      <c r="V73" s="5" t="s">
        <v>186</v>
      </c>
      <c r="W73" s="5" t="s">
        <v>376</v>
      </c>
      <c r="X73" s="5" t="s">
        <v>495</v>
      </c>
      <c r="Y73" s="5" t="s">
        <v>496</v>
      </c>
      <c r="Z73" s="9">
        <v>46140</v>
      </c>
      <c r="AA73" s="8">
        <v>6</v>
      </c>
      <c r="AB73" s="9">
        <f t="shared" si="4"/>
        <v>46323</v>
      </c>
      <c r="AC73" s="10">
        <v>15</v>
      </c>
      <c r="AD73" s="7">
        <f t="shared" si="5"/>
        <v>2994</v>
      </c>
      <c r="AE73" s="7">
        <f>IF(F73="Bullet",H73*AD73,MIN(MAX(I73,1),Assumptions!$B$6)*AD73)</f>
        <v>5988</v>
      </c>
      <c r="AF73" s="8">
        <f>IF(F73="Bullet",MAX(0,Assumptions!$B$4-AB73),MAX(0,Assumptions!$B$4-L73))</f>
        <v>0</v>
      </c>
      <c r="AG73" s="9"/>
      <c r="AH73" s="8" t="str">
        <f>IF(AG73="","",Assumptions!$B$4-AG73)</f>
        <v/>
      </c>
      <c r="AI73" s="5" t="s">
        <v>80</v>
      </c>
      <c r="AJ73" s="8"/>
      <c r="AK73" s="8">
        <v>2</v>
      </c>
      <c r="AL73" s="8" t="s">
        <v>80</v>
      </c>
      <c r="AM73" s="8">
        <v>1</v>
      </c>
      <c r="AN73" s="5" t="s">
        <v>63</v>
      </c>
      <c r="AO73" s="10">
        <v>78.400000000000006</v>
      </c>
      <c r="AP73" s="8">
        <v>62</v>
      </c>
      <c r="AQ73" s="9">
        <v>46287</v>
      </c>
      <c r="AR73" s="5" t="s">
        <v>51</v>
      </c>
      <c r="AS73" s="5" t="s">
        <v>181</v>
      </c>
    </row>
    <row r="74" spans="1:45" x14ac:dyDescent="0.35">
      <c r="A74" s="5" t="s">
        <v>497</v>
      </c>
      <c r="B74" s="5" t="s">
        <v>498</v>
      </c>
      <c r="C74" s="6" t="s">
        <v>499</v>
      </c>
      <c r="D74" s="7">
        <v>234500</v>
      </c>
      <c r="E74" s="5" t="s">
        <v>48</v>
      </c>
      <c r="F74" s="5" t="s">
        <v>68</v>
      </c>
      <c r="G74" s="8">
        <v>4</v>
      </c>
      <c r="H74" s="8">
        <f>IF(F74="Bullet",MIN(G74,Assumptions!$B$6),"")</f>
        <v>2</v>
      </c>
      <c r="I74" s="8"/>
      <c r="J74" s="8" t="str">
        <f>IF(F74="Monthly interest",MAX(0,Assumptions!$B$5-I74),"")</f>
        <v/>
      </c>
      <c r="K74" s="7">
        <f t="shared" si="3"/>
        <v>9380</v>
      </c>
      <c r="L74" s="9">
        <v>46153</v>
      </c>
      <c r="M74" s="5" t="s">
        <v>69</v>
      </c>
      <c r="N74" s="5" t="s">
        <v>70</v>
      </c>
      <c r="O74" s="5" t="s">
        <v>71</v>
      </c>
      <c r="P74" s="5" t="s">
        <v>72</v>
      </c>
      <c r="Q74" s="5" t="s">
        <v>73</v>
      </c>
      <c r="R74" s="5" t="s">
        <v>74</v>
      </c>
      <c r="S74" s="5" t="s">
        <v>253</v>
      </c>
      <c r="T74" s="5" t="s">
        <v>57</v>
      </c>
      <c r="U74" s="5" t="s">
        <v>58</v>
      </c>
      <c r="V74" s="5" t="s">
        <v>200</v>
      </c>
      <c r="W74" s="5" t="s">
        <v>500</v>
      </c>
      <c r="X74" s="5" t="s">
        <v>501</v>
      </c>
      <c r="Y74" s="5" t="s">
        <v>502</v>
      </c>
      <c r="Z74" s="9">
        <v>46153</v>
      </c>
      <c r="AA74" s="8">
        <v>6</v>
      </c>
      <c r="AB74" s="9">
        <f t="shared" si="4"/>
        <v>46337</v>
      </c>
      <c r="AC74" s="10">
        <v>12</v>
      </c>
      <c r="AD74" s="7">
        <f t="shared" si="5"/>
        <v>2345</v>
      </c>
      <c r="AE74" s="7">
        <f>IF(F74="Bullet",H74*AD74,MIN(MAX(I74,1),Assumptions!$B$6)*AD74)</f>
        <v>4690</v>
      </c>
      <c r="AF74" s="8">
        <f>IF(F74="Bullet",MAX(0,Assumptions!$B$4-AB74),MAX(0,Assumptions!$B$4-L74))</f>
        <v>0</v>
      </c>
      <c r="AG74" s="9"/>
      <c r="AH74" s="8" t="str">
        <f>IF(AG74="","",Assumptions!$B$4-AG74)</f>
        <v/>
      </c>
      <c r="AI74" s="5" t="s">
        <v>80</v>
      </c>
      <c r="AJ74" s="8"/>
      <c r="AK74" s="8">
        <v>1</v>
      </c>
      <c r="AL74" s="8">
        <v>672</v>
      </c>
      <c r="AM74" s="8">
        <v>1</v>
      </c>
      <c r="AN74" s="5" t="s">
        <v>63</v>
      </c>
      <c r="AO74" s="10">
        <v>64</v>
      </c>
      <c r="AP74" s="8">
        <v>33</v>
      </c>
      <c r="AQ74" s="9">
        <v>46282</v>
      </c>
      <c r="AR74" s="5" t="s">
        <v>53</v>
      </c>
      <c r="AS74" s="5" t="s">
        <v>91</v>
      </c>
    </row>
    <row r="75" spans="1:45" x14ac:dyDescent="0.35">
      <c r="A75" s="5" t="s">
        <v>503</v>
      </c>
      <c r="B75" s="5" t="s">
        <v>504</v>
      </c>
      <c r="C75" s="6" t="s">
        <v>505</v>
      </c>
      <c r="D75" s="7">
        <v>66200</v>
      </c>
      <c r="E75" s="5" t="s">
        <v>48</v>
      </c>
      <c r="F75" s="5" t="s">
        <v>68</v>
      </c>
      <c r="G75" s="8">
        <v>3</v>
      </c>
      <c r="H75" s="8">
        <f>IF(F75="Bullet",MIN(G75,Assumptions!$B$6),"")</f>
        <v>2</v>
      </c>
      <c r="I75" s="8"/>
      <c r="J75" s="8" t="str">
        <f>IF(F75="Monthly interest",MAX(0,Assumptions!$B$5-I75),"")</f>
        <v/>
      </c>
      <c r="K75" s="7">
        <f t="shared" si="3"/>
        <v>2316</v>
      </c>
      <c r="L75" s="9">
        <v>46200</v>
      </c>
      <c r="M75" s="5" t="s">
        <v>69</v>
      </c>
      <c r="N75" s="5" t="s">
        <v>53</v>
      </c>
      <c r="O75" s="5" t="s">
        <v>71</v>
      </c>
      <c r="P75" s="5" t="s">
        <v>70</v>
      </c>
      <c r="Q75" s="5" t="s">
        <v>73</v>
      </c>
      <c r="R75" s="5" t="s">
        <v>74</v>
      </c>
      <c r="S75" s="5" t="s">
        <v>56</v>
      </c>
      <c r="T75" s="5" t="s">
        <v>57</v>
      </c>
      <c r="U75" s="5" t="s">
        <v>58</v>
      </c>
      <c r="V75" s="5" t="s">
        <v>59</v>
      </c>
      <c r="W75" s="5" t="s">
        <v>156</v>
      </c>
      <c r="X75" s="5" t="s">
        <v>506</v>
      </c>
      <c r="Y75" s="5" t="s">
        <v>507</v>
      </c>
      <c r="Z75" s="9">
        <v>46200</v>
      </c>
      <c r="AA75" s="8">
        <v>12</v>
      </c>
      <c r="AB75" s="9">
        <f t="shared" si="4"/>
        <v>46565</v>
      </c>
      <c r="AC75" s="10">
        <v>14</v>
      </c>
      <c r="AD75" s="7">
        <f t="shared" si="5"/>
        <v>772</v>
      </c>
      <c r="AE75" s="7">
        <f>IF(F75="Bullet",H75*AD75,MIN(MAX(I75,1),Assumptions!$B$6)*AD75)</f>
        <v>1544</v>
      </c>
      <c r="AF75" s="8">
        <f>IF(F75="Bullet",MAX(0,Assumptions!$B$4-AB75),MAX(0,Assumptions!$B$4-L75))</f>
        <v>0</v>
      </c>
      <c r="AG75" s="9"/>
      <c r="AH75" s="8" t="str">
        <f>IF(AG75="","",Assumptions!$B$4-AG75)</f>
        <v/>
      </c>
      <c r="AI75" s="5" t="s">
        <v>80</v>
      </c>
      <c r="AJ75" s="8"/>
      <c r="AK75" s="8">
        <v>0</v>
      </c>
      <c r="AL75" s="8">
        <v>737</v>
      </c>
      <c r="AM75" s="8">
        <v>2</v>
      </c>
      <c r="AN75" s="5" t="s">
        <v>57</v>
      </c>
      <c r="AO75" s="10">
        <v>80.400000000000006</v>
      </c>
      <c r="AP75" s="8">
        <v>40</v>
      </c>
      <c r="AQ75" s="9"/>
      <c r="AR75" s="5"/>
      <c r="AS75" s="5" t="s">
        <v>159</v>
      </c>
    </row>
    <row r="76" spans="1:45" x14ac:dyDescent="0.35">
      <c r="A76" s="5" t="s">
        <v>508</v>
      </c>
      <c r="B76" s="5" t="s">
        <v>509</v>
      </c>
      <c r="C76" s="6" t="s">
        <v>510</v>
      </c>
      <c r="D76" s="7">
        <v>37100</v>
      </c>
      <c r="E76" s="5" t="s">
        <v>48</v>
      </c>
      <c r="F76" s="5" t="s">
        <v>49</v>
      </c>
      <c r="G76" s="8"/>
      <c r="H76" s="8" t="str">
        <f>IF(F76="Bullet",MIN(G76,Assumptions!$B$6),"")</f>
        <v/>
      </c>
      <c r="I76" s="8">
        <v>2</v>
      </c>
      <c r="J76" s="8">
        <f>IF(F76="Monthly interest",MAX(0,Assumptions!$B$5-I76),"")</f>
        <v>1</v>
      </c>
      <c r="K76" s="7">
        <f t="shared" si="3"/>
        <v>928</v>
      </c>
      <c r="L76" s="9">
        <v>46243</v>
      </c>
      <c r="M76" s="5" t="s">
        <v>69</v>
      </c>
      <c r="N76" s="5" t="s">
        <v>53</v>
      </c>
      <c r="O76" s="5" t="s">
        <v>152</v>
      </c>
      <c r="P76" s="5" t="s">
        <v>153</v>
      </c>
      <c r="Q76" s="5" t="s">
        <v>154</v>
      </c>
      <c r="R76" s="5" t="s">
        <v>155</v>
      </c>
      <c r="S76" s="5" t="s">
        <v>56</v>
      </c>
      <c r="T76" s="5" t="s">
        <v>57</v>
      </c>
      <c r="U76" s="5" t="s">
        <v>104</v>
      </c>
      <c r="V76" s="5" t="s">
        <v>59</v>
      </c>
      <c r="W76" s="5" t="s">
        <v>300</v>
      </c>
      <c r="X76" s="5" t="s">
        <v>511</v>
      </c>
      <c r="Y76" s="5" t="s">
        <v>512</v>
      </c>
      <c r="Z76" s="9">
        <v>46000</v>
      </c>
      <c r="AA76" s="8">
        <v>12</v>
      </c>
      <c r="AB76" s="9">
        <f t="shared" si="4"/>
        <v>46365</v>
      </c>
      <c r="AC76" s="10">
        <v>15</v>
      </c>
      <c r="AD76" s="7">
        <f t="shared" si="5"/>
        <v>464</v>
      </c>
      <c r="AE76" s="7">
        <f>IF(F76="Bullet",H76*AD76,MIN(MAX(I76,1),Assumptions!$B$6)*AD76)</f>
        <v>928</v>
      </c>
      <c r="AF76" s="8">
        <f>IF(F76="Bullet",MAX(0,Assumptions!$B$4-AB76),MAX(0,Assumptions!$B$4-L76))</f>
        <v>55</v>
      </c>
      <c r="AG76" s="9">
        <v>46214</v>
      </c>
      <c r="AH76" s="8">
        <f>IF(AG76="","",Assumptions!$B$4-AG76)</f>
        <v>84</v>
      </c>
      <c r="AI76" s="5" t="s">
        <v>63</v>
      </c>
      <c r="AJ76" s="8">
        <v>2</v>
      </c>
      <c r="AK76" s="8">
        <v>2</v>
      </c>
      <c r="AL76" s="8">
        <v>781</v>
      </c>
      <c r="AM76" s="8">
        <v>0</v>
      </c>
      <c r="AN76" s="5" t="s">
        <v>63</v>
      </c>
      <c r="AO76" s="10">
        <v>68.099999999999994</v>
      </c>
      <c r="AP76" s="8">
        <v>42</v>
      </c>
      <c r="AQ76" s="9">
        <v>46289</v>
      </c>
      <c r="AR76" s="5" t="s">
        <v>70</v>
      </c>
      <c r="AS76" s="5" t="s">
        <v>64</v>
      </c>
    </row>
    <row r="77" spans="1:45" x14ac:dyDescent="0.35">
      <c r="A77" s="5" t="s">
        <v>513</v>
      </c>
      <c r="B77" s="5" t="s">
        <v>514</v>
      </c>
      <c r="C77" s="6" t="s">
        <v>515</v>
      </c>
      <c r="D77" s="7">
        <v>35800</v>
      </c>
      <c r="E77" s="5" t="s">
        <v>48</v>
      </c>
      <c r="F77" s="5" t="s">
        <v>68</v>
      </c>
      <c r="G77" s="8">
        <v>1</v>
      </c>
      <c r="H77" s="8">
        <f>IF(F77="Bullet",MIN(G77,Assumptions!$B$6),"")</f>
        <v>1</v>
      </c>
      <c r="I77" s="8"/>
      <c r="J77" s="8" t="str">
        <f>IF(F77="Monthly interest",MAX(0,Assumptions!$B$5-I77),"")</f>
        <v/>
      </c>
      <c r="K77" s="7">
        <f t="shared" si="3"/>
        <v>448</v>
      </c>
      <c r="L77" s="9">
        <v>46245</v>
      </c>
      <c r="M77" s="5" t="s">
        <v>50</v>
      </c>
      <c r="N77" s="5" t="s">
        <v>53</v>
      </c>
      <c r="O77" s="5" t="s">
        <v>103</v>
      </c>
      <c r="P77" s="5" t="s">
        <v>153</v>
      </c>
      <c r="Q77" s="5" t="s">
        <v>154</v>
      </c>
      <c r="R77" s="5" t="s">
        <v>155</v>
      </c>
      <c r="S77" s="5" t="s">
        <v>214</v>
      </c>
      <c r="T77" s="5" t="s">
        <v>57</v>
      </c>
      <c r="U77" s="5" t="s">
        <v>58</v>
      </c>
      <c r="V77" s="5" t="s">
        <v>215</v>
      </c>
      <c r="W77" s="5" t="s">
        <v>278</v>
      </c>
      <c r="X77" s="5" t="s">
        <v>516</v>
      </c>
      <c r="Y77" s="5" t="s">
        <v>517</v>
      </c>
      <c r="Z77" s="9">
        <v>46245</v>
      </c>
      <c r="AA77" s="8">
        <v>6</v>
      </c>
      <c r="AB77" s="9">
        <f t="shared" si="4"/>
        <v>46429</v>
      </c>
      <c r="AC77" s="10">
        <v>15</v>
      </c>
      <c r="AD77" s="7">
        <f t="shared" si="5"/>
        <v>448</v>
      </c>
      <c r="AE77" s="7">
        <f>IF(F77="Bullet",H77*AD77,MIN(MAX(I77,1),Assumptions!$B$6)*AD77)</f>
        <v>448</v>
      </c>
      <c r="AF77" s="8">
        <f>IF(F77="Bullet",MAX(0,Assumptions!$B$4-AB77),MAX(0,Assumptions!$B$4-L77))</f>
        <v>0</v>
      </c>
      <c r="AG77" s="9"/>
      <c r="AH77" s="8" t="str">
        <f>IF(AG77="","",Assumptions!$B$4-AG77)</f>
        <v/>
      </c>
      <c r="AI77" s="5" t="s">
        <v>80</v>
      </c>
      <c r="AJ77" s="8"/>
      <c r="AK77" s="8">
        <v>0</v>
      </c>
      <c r="AL77" s="8">
        <v>666</v>
      </c>
      <c r="AM77" s="8">
        <v>0</v>
      </c>
      <c r="AN77" s="5" t="s">
        <v>63</v>
      </c>
      <c r="AO77" s="10">
        <v>76.599999999999994</v>
      </c>
      <c r="AP77" s="8">
        <v>25</v>
      </c>
      <c r="AQ77" s="9">
        <v>46281</v>
      </c>
      <c r="AR77" s="5" t="s">
        <v>51</v>
      </c>
      <c r="AS77" s="5" t="s">
        <v>81</v>
      </c>
    </row>
    <row r="78" spans="1:45" x14ac:dyDescent="0.35">
      <c r="A78" s="5" t="s">
        <v>518</v>
      </c>
      <c r="B78" s="5" t="s">
        <v>519</v>
      </c>
      <c r="C78" s="6" t="s">
        <v>520</v>
      </c>
      <c r="D78" s="7">
        <v>214400</v>
      </c>
      <c r="E78" s="5" t="s">
        <v>48</v>
      </c>
      <c r="F78" s="5" t="s">
        <v>49</v>
      </c>
      <c r="G78" s="8"/>
      <c r="H78" s="8" t="str">
        <f>IF(F78="Bullet",MIN(G78,Assumptions!$B$6),"")</f>
        <v/>
      </c>
      <c r="I78" s="8">
        <v>1</v>
      </c>
      <c r="J78" s="8">
        <f>IF(F78="Monthly interest",MAX(0,Assumptions!$B$5-I78),"")</f>
        <v>2</v>
      </c>
      <c r="K78" s="7">
        <f t="shared" si="3"/>
        <v>4288</v>
      </c>
      <c r="L78" s="9">
        <v>46288</v>
      </c>
      <c r="M78" s="5" t="s">
        <v>50</v>
      </c>
      <c r="N78" s="5" t="s">
        <v>51</v>
      </c>
      <c r="O78" s="5" t="s">
        <v>52</v>
      </c>
      <c r="P78" s="5" t="s">
        <v>53</v>
      </c>
      <c r="Q78" s="5" t="s">
        <v>54</v>
      </c>
      <c r="R78" s="5" t="s">
        <v>55</v>
      </c>
      <c r="S78" s="5" t="s">
        <v>56</v>
      </c>
      <c r="T78" s="5" t="s">
        <v>57</v>
      </c>
      <c r="U78" s="5" t="s">
        <v>86</v>
      </c>
      <c r="V78" s="5" t="s">
        <v>59</v>
      </c>
      <c r="W78" s="5" t="s">
        <v>194</v>
      </c>
      <c r="X78" s="5" t="s">
        <v>521</v>
      </c>
      <c r="Y78" s="5" t="s">
        <v>522</v>
      </c>
      <c r="Z78" s="9">
        <v>46045</v>
      </c>
      <c r="AA78" s="8">
        <v>12</v>
      </c>
      <c r="AB78" s="9">
        <f t="shared" si="4"/>
        <v>46410</v>
      </c>
      <c r="AC78" s="10">
        <v>24</v>
      </c>
      <c r="AD78" s="7">
        <f t="shared" si="5"/>
        <v>4288</v>
      </c>
      <c r="AE78" s="7">
        <f>IF(F78="Bullet",H78*AD78,MIN(MAX(I78,1),Assumptions!$B$6)*AD78)</f>
        <v>4288</v>
      </c>
      <c r="AF78" s="8">
        <f>IF(F78="Bullet",MAX(0,Assumptions!$B$4-AB78),MAX(0,Assumptions!$B$4-L78))</f>
        <v>10</v>
      </c>
      <c r="AG78" s="9">
        <v>46258</v>
      </c>
      <c r="AH78" s="8">
        <f>IF(AG78="","",Assumptions!$B$4-AG78)</f>
        <v>40</v>
      </c>
      <c r="AI78" s="5" t="s">
        <v>63</v>
      </c>
      <c r="AJ78" s="8">
        <v>1</v>
      </c>
      <c r="AK78" s="8">
        <v>0</v>
      </c>
      <c r="AL78" s="8">
        <v>702</v>
      </c>
      <c r="AM78" s="8">
        <v>1</v>
      </c>
      <c r="AN78" s="5" t="s">
        <v>63</v>
      </c>
      <c r="AO78" s="10">
        <v>66.8</v>
      </c>
      <c r="AP78" s="8">
        <v>21</v>
      </c>
      <c r="AQ78" s="9">
        <v>46295</v>
      </c>
      <c r="AR78" s="5" t="s">
        <v>51</v>
      </c>
      <c r="AS78" s="5" t="s">
        <v>64</v>
      </c>
    </row>
    <row r="79" spans="1:45" x14ac:dyDescent="0.35">
      <c r="A79" s="5" t="s">
        <v>523</v>
      </c>
      <c r="B79" s="5" t="s">
        <v>524</v>
      </c>
      <c r="C79" s="6" t="s">
        <v>525</v>
      </c>
      <c r="D79" s="7">
        <v>251500</v>
      </c>
      <c r="E79" s="5" t="s">
        <v>48</v>
      </c>
      <c r="F79" s="5" t="s">
        <v>68</v>
      </c>
      <c r="G79" s="8">
        <v>1</v>
      </c>
      <c r="H79" s="8">
        <f>IF(F79="Bullet",MIN(G79,Assumptions!$B$6),"")</f>
        <v>1</v>
      </c>
      <c r="I79" s="8"/>
      <c r="J79" s="8" t="str">
        <f>IF(F79="Monthly interest",MAX(0,Assumptions!$B$5-I79),"")</f>
        <v/>
      </c>
      <c r="K79" s="7">
        <f t="shared" si="3"/>
        <v>2725</v>
      </c>
      <c r="L79" s="9">
        <v>46260</v>
      </c>
      <c r="M79" s="5" t="s">
        <v>50</v>
      </c>
      <c r="N79" s="5" t="s">
        <v>51</v>
      </c>
      <c r="O79" s="5" t="s">
        <v>71</v>
      </c>
      <c r="P79" s="5" t="s">
        <v>53</v>
      </c>
      <c r="Q79" s="5" t="s">
        <v>73</v>
      </c>
      <c r="R79" s="5" t="s">
        <v>74</v>
      </c>
      <c r="S79" s="5" t="s">
        <v>56</v>
      </c>
      <c r="T79" s="5" t="s">
        <v>57</v>
      </c>
      <c r="U79" s="5" t="s">
        <v>86</v>
      </c>
      <c r="V79" s="5" t="s">
        <v>59</v>
      </c>
      <c r="W79" s="5" t="s">
        <v>194</v>
      </c>
      <c r="X79" s="5" t="s">
        <v>526</v>
      </c>
      <c r="Y79" s="5" t="s">
        <v>527</v>
      </c>
      <c r="Z79" s="9">
        <v>46260</v>
      </c>
      <c r="AA79" s="8">
        <v>12</v>
      </c>
      <c r="AB79" s="9">
        <f t="shared" si="4"/>
        <v>46625</v>
      </c>
      <c r="AC79" s="10">
        <v>13</v>
      </c>
      <c r="AD79" s="7">
        <f t="shared" si="5"/>
        <v>2725</v>
      </c>
      <c r="AE79" s="7">
        <f>IF(F79="Bullet",H79*AD79,MIN(MAX(I79,1),Assumptions!$B$6)*AD79)</f>
        <v>2725</v>
      </c>
      <c r="AF79" s="8">
        <f>IF(F79="Bullet",MAX(0,Assumptions!$B$4-AB79),MAX(0,Assumptions!$B$4-L79))</f>
        <v>0</v>
      </c>
      <c r="AG79" s="9"/>
      <c r="AH79" s="8" t="str">
        <f>IF(AG79="","",Assumptions!$B$4-AG79)</f>
        <v/>
      </c>
      <c r="AI79" s="5" t="s">
        <v>80</v>
      </c>
      <c r="AJ79" s="8"/>
      <c r="AK79" s="8">
        <v>0</v>
      </c>
      <c r="AL79" s="8">
        <v>702</v>
      </c>
      <c r="AM79" s="8">
        <v>4</v>
      </c>
      <c r="AN79" s="5" t="s">
        <v>63</v>
      </c>
      <c r="AO79" s="10">
        <v>77.099999999999994</v>
      </c>
      <c r="AP79" s="8">
        <v>14</v>
      </c>
      <c r="AQ79" s="9"/>
      <c r="AR79" s="5"/>
      <c r="AS79" s="5" t="s">
        <v>159</v>
      </c>
    </row>
    <row r="80" spans="1:45" x14ac:dyDescent="0.35">
      <c r="A80" s="5" t="s">
        <v>528</v>
      </c>
      <c r="B80" s="5" t="s">
        <v>529</v>
      </c>
      <c r="C80" s="6" t="s">
        <v>530</v>
      </c>
      <c r="D80" s="7">
        <v>70100</v>
      </c>
      <c r="E80" s="5" t="s">
        <v>48</v>
      </c>
      <c r="F80" s="5" t="s">
        <v>49</v>
      </c>
      <c r="G80" s="8"/>
      <c r="H80" s="8" t="str">
        <f>IF(F80="Bullet",MIN(G80,Assumptions!$B$6),"")</f>
        <v/>
      </c>
      <c r="I80" s="8">
        <v>2</v>
      </c>
      <c r="J80" s="8">
        <f>IF(F80="Monthly interest",MAX(0,Assumptions!$B$5-I80),"")</f>
        <v>1</v>
      </c>
      <c r="K80" s="7">
        <f t="shared" si="3"/>
        <v>1870</v>
      </c>
      <c r="L80" s="9">
        <v>46266</v>
      </c>
      <c r="M80" s="5" t="s">
        <v>69</v>
      </c>
      <c r="N80" s="5" t="s">
        <v>70</v>
      </c>
      <c r="O80" s="5" t="s">
        <v>531</v>
      </c>
      <c r="P80" s="5" t="s">
        <v>72</v>
      </c>
      <c r="Q80" s="5" t="s">
        <v>73</v>
      </c>
      <c r="R80" s="5" t="s">
        <v>74</v>
      </c>
      <c r="S80" s="5" t="s">
        <v>214</v>
      </c>
      <c r="T80" s="5" t="s">
        <v>63</v>
      </c>
      <c r="U80" s="5" t="s">
        <v>104</v>
      </c>
      <c r="V80" s="5" t="s">
        <v>215</v>
      </c>
      <c r="W80" s="5" t="s">
        <v>232</v>
      </c>
      <c r="X80" s="5" t="s">
        <v>532</v>
      </c>
      <c r="Y80" s="5" t="s">
        <v>533</v>
      </c>
      <c r="Z80" s="9">
        <v>46174</v>
      </c>
      <c r="AA80" s="8">
        <v>12</v>
      </c>
      <c r="AB80" s="9">
        <f t="shared" si="4"/>
        <v>46539</v>
      </c>
      <c r="AC80" s="10">
        <v>16</v>
      </c>
      <c r="AD80" s="7">
        <f t="shared" si="5"/>
        <v>935</v>
      </c>
      <c r="AE80" s="7">
        <f>IF(F80="Bullet",H80*AD80,MIN(MAX(I80,1),Assumptions!$B$6)*AD80)</f>
        <v>1870</v>
      </c>
      <c r="AF80" s="8">
        <f>IF(F80="Bullet",MAX(0,Assumptions!$B$4-AB80),MAX(0,Assumptions!$B$4-L80))</f>
        <v>32</v>
      </c>
      <c r="AG80" s="9">
        <v>46239</v>
      </c>
      <c r="AH80" s="8">
        <f>IF(AG80="","",Assumptions!$B$4-AG80)</f>
        <v>59</v>
      </c>
      <c r="AI80" s="5" t="s">
        <v>63</v>
      </c>
      <c r="AJ80" s="8">
        <v>2</v>
      </c>
      <c r="AK80" s="8">
        <v>1</v>
      </c>
      <c r="AL80" s="8">
        <v>671</v>
      </c>
      <c r="AM80" s="8">
        <v>1</v>
      </c>
      <c r="AN80" s="5" t="s">
        <v>63</v>
      </c>
      <c r="AO80" s="10">
        <v>56.1</v>
      </c>
      <c r="AP80" s="8">
        <v>46</v>
      </c>
      <c r="AQ80" s="9">
        <v>46275</v>
      </c>
      <c r="AR80" s="5" t="s">
        <v>53</v>
      </c>
      <c r="AS80" s="5" t="s">
        <v>81</v>
      </c>
    </row>
    <row r="81" spans="1:45" x14ac:dyDescent="0.35">
      <c r="A81" s="5" t="s">
        <v>534</v>
      </c>
      <c r="B81" s="5" t="s">
        <v>535</v>
      </c>
      <c r="C81" s="6" t="s">
        <v>536</v>
      </c>
      <c r="D81" s="7">
        <v>63800</v>
      </c>
      <c r="E81" s="5" t="s">
        <v>48</v>
      </c>
      <c r="F81" s="5" t="s">
        <v>49</v>
      </c>
      <c r="G81" s="8"/>
      <c r="H81" s="8" t="str">
        <f>IF(F81="Bullet",MIN(G81,Assumptions!$B$6),"")</f>
        <v/>
      </c>
      <c r="I81" s="8">
        <v>1</v>
      </c>
      <c r="J81" s="8">
        <f>IF(F81="Monthly interest",MAX(0,Assumptions!$B$5-I81),"")</f>
        <v>2</v>
      </c>
      <c r="K81" s="7">
        <f t="shared" si="3"/>
        <v>851</v>
      </c>
      <c r="L81" s="9">
        <v>46285</v>
      </c>
      <c r="M81" s="5" t="s">
        <v>50</v>
      </c>
      <c r="N81" s="5" t="s">
        <v>53</v>
      </c>
      <c r="O81" s="5" t="s">
        <v>103</v>
      </c>
      <c r="P81" s="5" t="s">
        <v>51</v>
      </c>
      <c r="Q81" s="5" t="s">
        <v>54</v>
      </c>
      <c r="R81" s="5" t="s">
        <v>55</v>
      </c>
      <c r="S81" s="5" t="s">
        <v>185</v>
      </c>
      <c r="T81" s="5" t="s">
        <v>57</v>
      </c>
      <c r="U81" s="5" t="s">
        <v>58</v>
      </c>
      <c r="V81" s="5" t="s">
        <v>186</v>
      </c>
      <c r="W81" s="5" t="s">
        <v>329</v>
      </c>
      <c r="X81" s="5" t="s">
        <v>537</v>
      </c>
      <c r="Y81" s="5" t="s">
        <v>538</v>
      </c>
      <c r="Z81" s="9">
        <v>46073</v>
      </c>
      <c r="AA81" s="8">
        <v>18</v>
      </c>
      <c r="AB81" s="9">
        <f t="shared" si="4"/>
        <v>46619</v>
      </c>
      <c r="AC81" s="10">
        <v>16</v>
      </c>
      <c r="AD81" s="7">
        <f t="shared" si="5"/>
        <v>851</v>
      </c>
      <c r="AE81" s="7">
        <f>IF(F81="Bullet",H81*AD81,MIN(MAX(I81,1),Assumptions!$B$6)*AD81)</f>
        <v>851</v>
      </c>
      <c r="AF81" s="8">
        <f>IF(F81="Bullet",MAX(0,Assumptions!$B$4-AB81),MAX(0,Assumptions!$B$4-L81))</f>
        <v>13</v>
      </c>
      <c r="AG81" s="9">
        <v>46254</v>
      </c>
      <c r="AH81" s="8">
        <f>IF(AG81="","",Assumptions!$B$4-AG81)</f>
        <v>44</v>
      </c>
      <c r="AI81" s="5" t="s">
        <v>63</v>
      </c>
      <c r="AJ81" s="8">
        <v>2</v>
      </c>
      <c r="AK81" s="8">
        <v>0</v>
      </c>
      <c r="AL81" s="8">
        <v>782</v>
      </c>
      <c r="AM81" s="8">
        <v>0</v>
      </c>
      <c r="AN81" s="5" t="s">
        <v>63</v>
      </c>
      <c r="AO81" s="10">
        <v>57.9</v>
      </c>
      <c r="AP81" s="8">
        <v>19</v>
      </c>
      <c r="AQ81" s="9">
        <v>46283</v>
      </c>
      <c r="AR81" s="5" t="s">
        <v>51</v>
      </c>
      <c r="AS81" s="5" t="s">
        <v>81</v>
      </c>
    </row>
    <row r="82" spans="1:45" x14ac:dyDescent="0.35">
      <c r="A82" s="5" t="s">
        <v>539</v>
      </c>
      <c r="B82" s="5" t="s">
        <v>540</v>
      </c>
      <c r="C82" s="6" t="s">
        <v>541</v>
      </c>
      <c r="D82" s="7">
        <v>1391400</v>
      </c>
      <c r="E82" s="5" t="s">
        <v>48</v>
      </c>
      <c r="F82" s="5" t="s">
        <v>49</v>
      </c>
      <c r="G82" s="8"/>
      <c r="H82" s="8" t="str">
        <f>IF(F82="Bullet",MIN(G82,Assumptions!$B$6),"")</f>
        <v/>
      </c>
      <c r="I82" s="8">
        <v>1</v>
      </c>
      <c r="J82" s="8">
        <f>IF(F82="Monthly interest",MAX(0,Assumptions!$B$5-I82),"")</f>
        <v>2</v>
      </c>
      <c r="K82" s="7">
        <f t="shared" si="3"/>
        <v>27828</v>
      </c>
      <c r="L82" s="9">
        <v>46298</v>
      </c>
      <c r="M82" s="5" t="s">
        <v>69</v>
      </c>
      <c r="N82" s="5" t="s">
        <v>53</v>
      </c>
      <c r="O82" s="5" t="s">
        <v>95</v>
      </c>
      <c r="P82" s="5" t="s">
        <v>70</v>
      </c>
      <c r="Q82" s="5" t="s">
        <v>54</v>
      </c>
      <c r="R82" s="5" t="s">
        <v>55</v>
      </c>
      <c r="S82" s="5" t="s">
        <v>214</v>
      </c>
      <c r="T82" s="5" t="s">
        <v>63</v>
      </c>
      <c r="U82" s="5" t="s">
        <v>86</v>
      </c>
      <c r="V82" s="5" t="s">
        <v>215</v>
      </c>
      <c r="W82" s="5" t="s">
        <v>232</v>
      </c>
      <c r="X82" s="5" t="s">
        <v>542</v>
      </c>
      <c r="Y82" s="5" t="s">
        <v>543</v>
      </c>
      <c r="Z82" s="9">
        <v>46237</v>
      </c>
      <c r="AA82" s="8">
        <v>12</v>
      </c>
      <c r="AB82" s="9">
        <f t="shared" si="4"/>
        <v>46602</v>
      </c>
      <c r="AC82" s="10">
        <v>24</v>
      </c>
      <c r="AD82" s="7">
        <f t="shared" si="5"/>
        <v>27828</v>
      </c>
      <c r="AE82" s="7">
        <f>IF(F82="Bullet",H82*AD82,MIN(MAX(I82,1),Assumptions!$B$6)*AD82)</f>
        <v>27828</v>
      </c>
      <c r="AF82" s="8">
        <f>IF(F82="Bullet",MAX(0,Assumptions!$B$4-AB82),MAX(0,Assumptions!$B$4-L82))</f>
        <v>0</v>
      </c>
      <c r="AG82" s="9">
        <v>46272</v>
      </c>
      <c r="AH82" s="8">
        <f>IF(AG82="","",Assumptions!$B$4-AG82)</f>
        <v>26</v>
      </c>
      <c r="AI82" s="5" t="s">
        <v>63</v>
      </c>
      <c r="AJ82" s="8">
        <v>2</v>
      </c>
      <c r="AK82" s="8">
        <v>0</v>
      </c>
      <c r="AL82" s="8">
        <v>646</v>
      </c>
      <c r="AM82" s="8">
        <v>1</v>
      </c>
      <c r="AN82" s="5" t="s">
        <v>57</v>
      </c>
      <c r="AO82" s="10">
        <v>76.400000000000006</v>
      </c>
      <c r="AP82" s="8">
        <v>42</v>
      </c>
      <c r="AQ82" s="9">
        <v>46293</v>
      </c>
      <c r="AR82" s="5" t="s">
        <v>51</v>
      </c>
      <c r="AS82" s="5" t="s">
        <v>64</v>
      </c>
    </row>
    <row r="83" spans="1:45" x14ac:dyDescent="0.35">
      <c r="A83" s="5" t="s">
        <v>544</v>
      </c>
      <c r="B83" s="5" t="s">
        <v>545</v>
      </c>
      <c r="C83" s="6" t="s">
        <v>546</v>
      </c>
      <c r="D83" s="7">
        <v>70900</v>
      </c>
      <c r="E83" s="5" t="s">
        <v>48</v>
      </c>
      <c r="F83" s="5" t="s">
        <v>68</v>
      </c>
      <c r="G83" s="8">
        <v>3</v>
      </c>
      <c r="H83" s="8">
        <f>IF(F83="Bullet",MIN(G83,Assumptions!$B$6),"")</f>
        <v>2</v>
      </c>
      <c r="I83" s="8"/>
      <c r="J83" s="8" t="str">
        <f>IF(F83="Monthly interest",MAX(0,Assumptions!$B$5-I83),"")</f>
        <v/>
      </c>
      <c r="K83" s="7">
        <f t="shared" si="3"/>
        <v>2304</v>
      </c>
      <c r="L83" s="9">
        <v>46192</v>
      </c>
      <c r="M83" s="5" t="s">
        <v>69</v>
      </c>
      <c r="N83" s="5" t="s">
        <v>53</v>
      </c>
      <c r="O83" s="5" t="s">
        <v>71</v>
      </c>
      <c r="P83" s="5" t="s">
        <v>70</v>
      </c>
      <c r="Q83" s="5" t="s">
        <v>73</v>
      </c>
      <c r="R83" s="5" t="s">
        <v>74</v>
      </c>
      <c r="S83" s="5" t="s">
        <v>75</v>
      </c>
      <c r="T83" s="5" t="s">
        <v>57</v>
      </c>
      <c r="U83" s="5" t="s">
        <v>104</v>
      </c>
      <c r="V83" s="5" t="s">
        <v>76</v>
      </c>
      <c r="W83" s="5" t="s">
        <v>547</v>
      </c>
      <c r="X83" s="5" t="s">
        <v>548</v>
      </c>
      <c r="Y83" s="5" t="s">
        <v>549</v>
      </c>
      <c r="Z83" s="9">
        <v>46192</v>
      </c>
      <c r="AA83" s="8">
        <v>12</v>
      </c>
      <c r="AB83" s="9">
        <f t="shared" si="4"/>
        <v>46557</v>
      </c>
      <c r="AC83" s="10">
        <v>13</v>
      </c>
      <c r="AD83" s="7">
        <f t="shared" si="5"/>
        <v>768</v>
      </c>
      <c r="AE83" s="7">
        <f>IF(F83="Bullet",H83*AD83,MIN(MAX(I83,1),Assumptions!$B$6)*AD83)</f>
        <v>1536</v>
      </c>
      <c r="AF83" s="8">
        <f>IF(F83="Bullet",MAX(0,Assumptions!$B$4-AB83),MAX(0,Assumptions!$B$4-L83))</f>
        <v>0</v>
      </c>
      <c r="AG83" s="9"/>
      <c r="AH83" s="8" t="str">
        <f>IF(AG83="","",Assumptions!$B$4-AG83)</f>
        <v/>
      </c>
      <c r="AI83" s="5" t="s">
        <v>80</v>
      </c>
      <c r="AJ83" s="8"/>
      <c r="AK83" s="8">
        <v>2</v>
      </c>
      <c r="AL83" s="8">
        <v>626</v>
      </c>
      <c r="AM83" s="8">
        <v>1</v>
      </c>
      <c r="AN83" s="5" t="s">
        <v>63</v>
      </c>
      <c r="AO83" s="10">
        <v>61.8</v>
      </c>
      <c r="AP83" s="8">
        <v>44</v>
      </c>
      <c r="AQ83" s="9">
        <v>46284</v>
      </c>
      <c r="AR83" s="5" t="s">
        <v>70</v>
      </c>
      <c r="AS83" s="5" t="s">
        <v>81</v>
      </c>
    </row>
    <row r="84" spans="1:45" x14ac:dyDescent="0.35">
      <c r="A84" s="5" t="s">
        <v>550</v>
      </c>
      <c r="B84" s="5" t="s">
        <v>551</v>
      </c>
      <c r="C84" s="6" t="s">
        <v>552</v>
      </c>
      <c r="D84" s="7">
        <v>371900</v>
      </c>
      <c r="E84" s="5" t="s">
        <v>48</v>
      </c>
      <c r="F84" s="5" t="s">
        <v>68</v>
      </c>
      <c r="G84" s="8">
        <v>6</v>
      </c>
      <c r="H84" s="8">
        <f>IF(F84="Bullet",MIN(G84,Assumptions!$B$6),"")</f>
        <v>2</v>
      </c>
      <c r="I84" s="8"/>
      <c r="J84" s="8" t="str">
        <f>IF(F84="Monthly interest",MAX(0,Assumptions!$B$5-I84),"")</f>
        <v/>
      </c>
      <c r="K84" s="7">
        <f t="shared" si="3"/>
        <v>33474</v>
      </c>
      <c r="L84" s="9">
        <v>46094</v>
      </c>
      <c r="M84" s="5" t="s">
        <v>116</v>
      </c>
      <c r="N84" s="5" t="s">
        <v>117</v>
      </c>
      <c r="O84" s="5" t="s">
        <v>461</v>
      </c>
      <c r="P84" s="5" t="s">
        <v>72</v>
      </c>
      <c r="Q84" s="5" t="s">
        <v>169</v>
      </c>
      <c r="R84" s="5" t="s">
        <v>170</v>
      </c>
      <c r="S84" s="5" t="s">
        <v>85</v>
      </c>
      <c r="T84" s="5" t="s">
        <v>57</v>
      </c>
      <c r="U84" s="5" t="s">
        <v>104</v>
      </c>
      <c r="V84" s="5" t="s">
        <v>553</v>
      </c>
      <c r="W84" s="5" t="s">
        <v>554</v>
      </c>
      <c r="X84" s="5" t="s">
        <v>555</v>
      </c>
      <c r="Y84" s="5" t="s">
        <v>556</v>
      </c>
      <c r="Z84" s="9">
        <v>46094</v>
      </c>
      <c r="AA84" s="8">
        <v>6</v>
      </c>
      <c r="AB84" s="9">
        <f t="shared" si="4"/>
        <v>46278</v>
      </c>
      <c r="AC84" s="10">
        <v>18</v>
      </c>
      <c r="AD84" s="7">
        <f t="shared" si="5"/>
        <v>5579</v>
      </c>
      <c r="AE84" s="7">
        <f>IF(F84="Bullet",H84*AD84,MIN(MAX(I84,1),Assumptions!$B$6)*AD84)</f>
        <v>11158</v>
      </c>
      <c r="AF84" s="8">
        <f>IF(F84="Bullet",MAX(0,Assumptions!$B$4-AB84),MAX(0,Assumptions!$B$4-L84))</f>
        <v>20</v>
      </c>
      <c r="AG84" s="9"/>
      <c r="AH84" s="8" t="str">
        <f>IF(AG84="","",Assumptions!$B$4-AG84)</f>
        <v/>
      </c>
      <c r="AI84" s="5" t="s">
        <v>80</v>
      </c>
      <c r="AJ84" s="8"/>
      <c r="AK84" s="8">
        <v>1</v>
      </c>
      <c r="AL84" s="8">
        <v>583</v>
      </c>
      <c r="AM84" s="8">
        <v>4</v>
      </c>
      <c r="AN84" s="5" t="s">
        <v>63</v>
      </c>
      <c r="AO84" s="10">
        <v>73.8</v>
      </c>
      <c r="AP84" s="8">
        <v>80</v>
      </c>
      <c r="AQ84" s="9">
        <v>46291</v>
      </c>
      <c r="AR84" s="5" t="s">
        <v>72</v>
      </c>
      <c r="AS84" s="5" t="s">
        <v>91</v>
      </c>
    </row>
    <row r="85" spans="1:45" x14ac:dyDescent="0.35">
      <c r="A85" s="5" t="s">
        <v>557</v>
      </c>
      <c r="B85" s="5" t="s">
        <v>558</v>
      </c>
      <c r="C85" s="6" t="s">
        <v>559</v>
      </c>
      <c r="D85" s="7">
        <v>69700</v>
      </c>
      <c r="E85" s="5" t="s">
        <v>48</v>
      </c>
      <c r="F85" s="5" t="s">
        <v>49</v>
      </c>
      <c r="G85" s="8"/>
      <c r="H85" s="8" t="str">
        <f>IF(F85="Bullet",MIN(G85,Assumptions!$B$6),"")</f>
        <v/>
      </c>
      <c r="I85" s="8">
        <v>1</v>
      </c>
      <c r="J85" s="8">
        <f>IF(F85="Monthly interest",MAX(0,Assumptions!$B$5-I85),"")</f>
        <v>2</v>
      </c>
      <c r="K85" s="7">
        <f t="shared" si="3"/>
        <v>1394</v>
      </c>
      <c r="L85" s="9">
        <v>46283</v>
      </c>
      <c r="M85" s="5" t="s">
        <v>116</v>
      </c>
      <c r="N85" s="5" t="s">
        <v>117</v>
      </c>
      <c r="O85" s="5" t="s">
        <v>118</v>
      </c>
      <c r="P85" s="5" t="s">
        <v>72</v>
      </c>
      <c r="Q85" s="5" t="s">
        <v>119</v>
      </c>
      <c r="R85" s="5" t="s">
        <v>120</v>
      </c>
      <c r="S85" s="5" t="s">
        <v>185</v>
      </c>
      <c r="T85" s="5" t="s">
        <v>63</v>
      </c>
      <c r="U85" s="5" t="s">
        <v>58</v>
      </c>
      <c r="V85" s="5" t="s">
        <v>200</v>
      </c>
      <c r="W85" s="5" t="s">
        <v>500</v>
      </c>
      <c r="X85" s="5" t="s">
        <v>560</v>
      </c>
      <c r="Y85" s="5" t="s">
        <v>561</v>
      </c>
      <c r="Z85" s="9">
        <v>46221</v>
      </c>
      <c r="AA85" s="8">
        <v>18</v>
      </c>
      <c r="AB85" s="9">
        <f t="shared" si="4"/>
        <v>46770</v>
      </c>
      <c r="AC85" s="10">
        <v>24</v>
      </c>
      <c r="AD85" s="7">
        <f t="shared" si="5"/>
        <v>1394</v>
      </c>
      <c r="AE85" s="7">
        <f>IF(F85="Bullet",H85*AD85,MIN(MAX(I85,1),Assumptions!$B$6)*AD85)</f>
        <v>1394</v>
      </c>
      <c r="AF85" s="8">
        <f>IF(F85="Bullet",MAX(0,Assumptions!$B$4-AB85),MAX(0,Assumptions!$B$4-L85))</f>
        <v>15</v>
      </c>
      <c r="AG85" s="9">
        <v>46252</v>
      </c>
      <c r="AH85" s="8">
        <f>IF(AG85="","",Assumptions!$B$4-AG85)</f>
        <v>46</v>
      </c>
      <c r="AI85" s="5" t="s">
        <v>63</v>
      </c>
      <c r="AJ85" s="8">
        <v>2</v>
      </c>
      <c r="AK85" s="8">
        <v>0</v>
      </c>
      <c r="AL85" s="8">
        <v>615</v>
      </c>
      <c r="AM85" s="8">
        <v>1</v>
      </c>
      <c r="AN85" s="5" t="s">
        <v>57</v>
      </c>
      <c r="AO85" s="10">
        <v>56.7</v>
      </c>
      <c r="AP85" s="8">
        <v>51</v>
      </c>
      <c r="AQ85" s="9">
        <v>46285</v>
      </c>
      <c r="AR85" s="5" t="s">
        <v>51</v>
      </c>
      <c r="AS85" s="5" t="s">
        <v>64</v>
      </c>
    </row>
    <row r="86" spans="1:45" x14ac:dyDescent="0.35">
      <c r="A86" s="5" t="s">
        <v>562</v>
      </c>
      <c r="B86" s="5" t="s">
        <v>563</v>
      </c>
      <c r="C86" s="6" t="s">
        <v>564</v>
      </c>
      <c r="D86" s="7">
        <v>271700</v>
      </c>
      <c r="E86" s="5" t="s">
        <v>48</v>
      </c>
      <c r="F86" s="5" t="s">
        <v>68</v>
      </c>
      <c r="G86" s="8">
        <v>4</v>
      </c>
      <c r="H86" s="8">
        <f>IF(F86="Bullet",MIN(G86,Assumptions!$B$6),"")</f>
        <v>2</v>
      </c>
      <c r="I86" s="8"/>
      <c r="J86" s="8" t="str">
        <f>IF(F86="Monthly interest",MAX(0,Assumptions!$B$5-I86),"")</f>
        <v/>
      </c>
      <c r="K86" s="7">
        <f t="shared" si="3"/>
        <v>16304</v>
      </c>
      <c r="L86" s="9">
        <v>46166</v>
      </c>
      <c r="M86" s="5" t="s">
        <v>50</v>
      </c>
      <c r="N86" s="5" t="s">
        <v>53</v>
      </c>
      <c r="O86" s="5" t="s">
        <v>71</v>
      </c>
      <c r="P86" s="5" t="s">
        <v>70</v>
      </c>
      <c r="Q86" s="5" t="s">
        <v>73</v>
      </c>
      <c r="R86" s="5" t="s">
        <v>74</v>
      </c>
      <c r="S86" s="5" t="s">
        <v>75</v>
      </c>
      <c r="T86" s="5" t="s">
        <v>63</v>
      </c>
      <c r="U86" s="5" t="s">
        <v>58</v>
      </c>
      <c r="V86" s="5" t="s">
        <v>76</v>
      </c>
      <c r="W86" s="5" t="s">
        <v>105</v>
      </c>
      <c r="X86" s="5" t="s">
        <v>565</v>
      </c>
      <c r="Y86" s="5" t="s">
        <v>566</v>
      </c>
      <c r="Z86" s="9">
        <v>46166</v>
      </c>
      <c r="AA86" s="8">
        <v>12</v>
      </c>
      <c r="AB86" s="9">
        <f t="shared" si="4"/>
        <v>46531</v>
      </c>
      <c r="AC86" s="10">
        <v>18</v>
      </c>
      <c r="AD86" s="7">
        <f t="shared" si="5"/>
        <v>4076</v>
      </c>
      <c r="AE86" s="7">
        <f>IF(F86="Bullet",H86*AD86,MIN(MAX(I86,1),Assumptions!$B$6)*AD86)</f>
        <v>8152</v>
      </c>
      <c r="AF86" s="8">
        <f>IF(F86="Bullet",MAX(0,Assumptions!$B$4-AB86),MAX(0,Assumptions!$B$4-L86))</f>
        <v>0</v>
      </c>
      <c r="AG86" s="9"/>
      <c r="AH86" s="8" t="str">
        <f>IF(AG86="","",Assumptions!$B$4-AG86)</f>
        <v/>
      </c>
      <c r="AI86" s="5" t="s">
        <v>80</v>
      </c>
      <c r="AJ86" s="8"/>
      <c r="AK86" s="8">
        <v>0</v>
      </c>
      <c r="AL86" s="8">
        <v>723</v>
      </c>
      <c r="AM86" s="8">
        <v>4</v>
      </c>
      <c r="AN86" s="5" t="s">
        <v>63</v>
      </c>
      <c r="AO86" s="10">
        <v>60.6</v>
      </c>
      <c r="AP86" s="8">
        <v>29</v>
      </c>
      <c r="AQ86" s="9">
        <v>46284</v>
      </c>
      <c r="AR86" s="5" t="s">
        <v>72</v>
      </c>
      <c r="AS86" s="5" t="s">
        <v>181</v>
      </c>
    </row>
    <row r="87" spans="1:45" x14ac:dyDescent="0.35">
      <c r="A87" s="5" t="s">
        <v>567</v>
      </c>
      <c r="B87" s="5" t="s">
        <v>568</v>
      </c>
      <c r="C87" s="6" t="s">
        <v>569</v>
      </c>
      <c r="D87" s="7">
        <v>155100</v>
      </c>
      <c r="E87" s="5" t="s">
        <v>48</v>
      </c>
      <c r="F87" s="5" t="s">
        <v>49</v>
      </c>
      <c r="G87" s="8"/>
      <c r="H87" s="8" t="str">
        <f>IF(F87="Bullet",MIN(G87,Assumptions!$B$6),"")</f>
        <v/>
      </c>
      <c r="I87" s="8">
        <v>1</v>
      </c>
      <c r="J87" s="8">
        <f>IF(F87="Monthly interest",MAX(0,Assumptions!$B$5-I87),"")</f>
        <v>2</v>
      </c>
      <c r="K87" s="7">
        <f t="shared" si="3"/>
        <v>2585</v>
      </c>
      <c r="L87" s="9">
        <v>46281</v>
      </c>
      <c r="M87" s="5" t="s">
        <v>69</v>
      </c>
      <c r="N87" s="5" t="s">
        <v>51</v>
      </c>
      <c r="O87" s="5" t="s">
        <v>52</v>
      </c>
      <c r="P87" s="5" t="s">
        <v>53</v>
      </c>
      <c r="Q87" s="5" t="s">
        <v>54</v>
      </c>
      <c r="R87" s="5" t="s">
        <v>55</v>
      </c>
      <c r="S87" s="5" t="s">
        <v>253</v>
      </c>
      <c r="T87" s="5" t="s">
        <v>57</v>
      </c>
      <c r="U87" s="5" t="s">
        <v>104</v>
      </c>
      <c r="V87" s="5" t="s">
        <v>200</v>
      </c>
      <c r="W87" s="5" t="s">
        <v>500</v>
      </c>
      <c r="X87" s="5" t="s">
        <v>570</v>
      </c>
      <c r="Y87" s="5" t="s">
        <v>571</v>
      </c>
      <c r="Z87" s="9">
        <v>46069</v>
      </c>
      <c r="AA87" s="8">
        <v>24</v>
      </c>
      <c r="AB87" s="9">
        <f t="shared" si="4"/>
        <v>46799</v>
      </c>
      <c r="AC87" s="10">
        <v>20</v>
      </c>
      <c r="AD87" s="7">
        <f t="shared" si="5"/>
        <v>2585</v>
      </c>
      <c r="AE87" s="7">
        <f>IF(F87="Bullet",H87*AD87,MIN(MAX(I87,1),Assumptions!$B$6)*AD87)</f>
        <v>2585</v>
      </c>
      <c r="AF87" s="8">
        <f>IF(F87="Bullet",MAX(0,Assumptions!$B$4-AB87),MAX(0,Assumptions!$B$4-L87))</f>
        <v>17</v>
      </c>
      <c r="AG87" s="9">
        <v>46252</v>
      </c>
      <c r="AH87" s="8">
        <f>IF(AG87="","",Assumptions!$B$4-AG87)</f>
        <v>46</v>
      </c>
      <c r="AI87" s="5" t="s">
        <v>63</v>
      </c>
      <c r="AJ87" s="8">
        <v>1</v>
      </c>
      <c r="AK87" s="8">
        <v>0</v>
      </c>
      <c r="AL87" s="8" t="s">
        <v>80</v>
      </c>
      <c r="AM87" s="8">
        <v>1</v>
      </c>
      <c r="AN87" s="5" t="s">
        <v>57</v>
      </c>
      <c r="AO87" s="10">
        <v>65.400000000000006</v>
      </c>
      <c r="AP87" s="8">
        <v>37</v>
      </c>
      <c r="AQ87" s="9">
        <v>46274</v>
      </c>
      <c r="AR87" s="5" t="s">
        <v>70</v>
      </c>
      <c r="AS87" s="5" t="s">
        <v>64</v>
      </c>
    </row>
    <row r="88" spans="1:45" x14ac:dyDescent="0.35">
      <c r="A88" s="5" t="s">
        <v>572</v>
      </c>
      <c r="B88" s="5" t="s">
        <v>573</v>
      </c>
      <c r="C88" s="6" t="s">
        <v>574</v>
      </c>
      <c r="D88" s="7">
        <v>49300</v>
      </c>
      <c r="E88" s="5" t="s">
        <v>48</v>
      </c>
      <c r="F88" s="5" t="s">
        <v>49</v>
      </c>
      <c r="G88" s="8"/>
      <c r="H88" s="8" t="str">
        <f>IF(F88="Bullet",MIN(G88,Assumptions!$B$6),"")</f>
        <v/>
      </c>
      <c r="I88" s="8">
        <v>2</v>
      </c>
      <c r="J88" s="8">
        <f>IF(F88="Monthly interest",MAX(0,Assumptions!$B$5-I88),"")</f>
        <v>1</v>
      </c>
      <c r="K88" s="7">
        <f t="shared" si="3"/>
        <v>1314</v>
      </c>
      <c r="L88" s="9">
        <v>46258</v>
      </c>
      <c r="M88" s="5" t="s">
        <v>116</v>
      </c>
      <c r="N88" s="5" t="s">
        <v>117</v>
      </c>
      <c r="O88" s="5" t="s">
        <v>450</v>
      </c>
      <c r="P88" s="5" t="s">
        <v>72</v>
      </c>
      <c r="Q88" s="5" t="s">
        <v>154</v>
      </c>
      <c r="R88" s="5" t="s">
        <v>155</v>
      </c>
      <c r="S88" s="5" t="s">
        <v>75</v>
      </c>
      <c r="T88" s="5" t="s">
        <v>57</v>
      </c>
      <c r="U88" s="5" t="s">
        <v>58</v>
      </c>
      <c r="V88" s="5" t="s">
        <v>76</v>
      </c>
      <c r="W88" s="5" t="s">
        <v>382</v>
      </c>
      <c r="X88" s="5" t="s">
        <v>575</v>
      </c>
      <c r="Y88" s="5" t="s">
        <v>576</v>
      </c>
      <c r="Z88" s="9">
        <v>46136</v>
      </c>
      <c r="AA88" s="8">
        <v>12</v>
      </c>
      <c r="AB88" s="9">
        <f t="shared" si="4"/>
        <v>46501</v>
      </c>
      <c r="AC88" s="10">
        <v>16</v>
      </c>
      <c r="AD88" s="7">
        <f t="shared" si="5"/>
        <v>657</v>
      </c>
      <c r="AE88" s="7">
        <f>IF(F88="Bullet",H88*AD88,MIN(MAX(I88,1),Assumptions!$B$6)*AD88)</f>
        <v>1314</v>
      </c>
      <c r="AF88" s="8">
        <f>IF(F88="Bullet",MAX(0,Assumptions!$B$4-AB88),MAX(0,Assumptions!$B$4-L88))</f>
        <v>40</v>
      </c>
      <c r="AG88" s="9">
        <v>46228</v>
      </c>
      <c r="AH88" s="8">
        <f>IF(AG88="","",Assumptions!$B$4-AG88)</f>
        <v>70</v>
      </c>
      <c r="AI88" s="5" t="s">
        <v>63</v>
      </c>
      <c r="AJ88" s="8">
        <v>2</v>
      </c>
      <c r="AK88" s="8">
        <v>3</v>
      </c>
      <c r="AL88" s="8">
        <v>686</v>
      </c>
      <c r="AM88" s="8">
        <v>1</v>
      </c>
      <c r="AN88" s="5" t="s">
        <v>63</v>
      </c>
      <c r="AO88" s="10">
        <v>68.099999999999994</v>
      </c>
      <c r="AP88" s="8">
        <v>57</v>
      </c>
      <c r="AQ88" s="9">
        <v>46287</v>
      </c>
      <c r="AR88" s="5" t="s">
        <v>53</v>
      </c>
      <c r="AS88" s="5" t="s">
        <v>274</v>
      </c>
    </row>
    <row r="89" spans="1:45" x14ac:dyDescent="0.35">
      <c r="A89" s="5" t="s">
        <v>577</v>
      </c>
      <c r="B89" s="5" t="s">
        <v>578</v>
      </c>
      <c r="C89" s="6" t="s">
        <v>579</v>
      </c>
      <c r="D89" s="7">
        <v>105500</v>
      </c>
      <c r="E89" s="5" t="s">
        <v>48</v>
      </c>
      <c r="F89" s="5" t="s">
        <v>68</v>
      </c>
      <c r="G89" s="8">
        <v>2</v>
      </c>
      <c r="H89" s="8">
        <f>IF(F89="Bullet",MIN(G89,Assumptions!$B$6),"")</f>
        <v>2</v>
      </c>
      <c r="I89" s="8"/>
      <c r="J89" s="8" t="str">
        <f>IF(F89="Monthly interest",MAX(0,Assumptions!$B$5-I89),"")</f>
        <v/>
      </c>
      <c r="K89" s="7">
        <f t="shared" si="3"/>
        <v>2638</v>
      </c>
      <c r="L89" s="9">
        <v>46222</v>
      </c>
      <c r="M89" s="5" t="s">
        <v>69</v>
      </c>
      <c r="N89" s="5" t="s">
        <v>53</v>
      </c>
      <c r="O89" s="5" t="s">
        <v>71</v>
      </c>
      <c r="P89" s="5" t="s">
        <v>70</v>
      </c>
      <c r="Q89" s="5" t="s">
        <v>73</v>
      </c>
      <c r="R89" s="5" t="s">
        <v>74</v>
      </c>
      <c r="S89" s="5" t="s">
        <v>56</v>
      </c>
      <c r="T89" s="5" t="s">
        <v>57</v>
      </c>
      <c r="U89" s="5" t="s">
        <v>86</v>
      </c>
      <c r="V89" s="5" t="s">
        <v>59</v>
      </c>
      <c r="W89" s="5" t="s">
        <v>194</v>
      </c>
      <c r="X89" s="5" t="s">
        <v>580</v>
      </c>
      <c r="Y89" s="5" t="s">
        <v>581</v>
      </c>
      <c r="Z89" s="9">
        <v>46222</v>
      </c>
      <c r="AA89" s="8">
        <v>12</v>
      </c>
      <c r="AB89" s="9">
        <f t="shared" si="4"/>
        <v>46587</v>
      </c>
      <c r="AC89" s="10">
        <v>15</v>
      </c>
      <c r="AD89" s="7">
        <f t="shared" si="5"/>
        <v>1319</v>
      </c>
      <c r="AE89" s="7">
        <f>IF(F89="Bullet",H89*AD89,MIN(MAX(I89,1),Assumptions!$B$6)*AD89)</f>
        <v>2638</v>
      </c>
      <c r="AF89" s="8">
        <f>IF(F89="Bullet",MAX(0,Assumptions!$B$4-AB89),MAX(0,Assumptions!$B$4-L89))</f>
        <v>0</v>
      </c>
      <c r="AG89" s="9"/>
      <c r="AH89" s="8" t="str">
        <f>IF(AG89="","",Assumptions!$B$4-AG89)</f>
        <v/>
      </c>
      <c r="AI89" s="5" t="s">
        <v>80</v>
      </c>
      <c r="AJ89" s="8"/>
      <c r="AK89" s="8">
        <v>2</v>
      </c>
      <c r="AL89" s="8">
        <v>707</v>
      </c>
      <c r="AM89" s="8">
        <v>3</v>
      </c>
      <c r="AN89" s="5" t="s">
        <v>63</v>
      </c>
      <c r="AO89" s="10">
        <v>80.599999999999994</v>
      </c>
      <c r="AP89" s="8">
        <v>35</v>
      </c>
      <c r="AQ89" s="9">
        <v>46286</v>
      </c>
      <c r="AR89" s="5" t="s">
        <v>53</v>
      </c>
      <c r="AS89" s="5" t="s">
        <v>190</v>
      </c>
    </row>
    <row r="90" spans="1:45" x14ac:dyDescent="0.35">
      <c r="A90" s="5" t="s">
        <v>582</v>
      </c>
      <c r="B90" s="5" t="s">
        <v>583</v>
      </c>
      <c r="C90" s="6" t="s">
        <v>584</v>
      </c>
      <c r="D90" s="7">
        <v>17000</v>
      </c>
      <c r="E90" s="5" t="s">
        <v>48</v>
      </c>
      <c r="F90" s="5" t="s">
        <v>49</v>
      </c>
      <c r="G90" s="8"/>
      <c r="H90" s="8" t="str">
        <f>IF(F90="Bullet",MIN(G90,Assumptions!$B$6),"")</f>
        <v/>
      </c>
      <c r="I90" s="8">
        <v>2</v>
      </c>
      <c r="J90" s="8">
        <f>IF(F90="Monthly interest",MAX(0,Assumptions!$B$5-I90),"")</f>
        <v>1</v>
      </c>
      <c r="K90" s="7">
        <f t="shared" si="3"/>
        <v>680</v>
      </c>
      <c r="L90" s="9">
        <v>46255</v>
      </c>
      <c r="M90" s="5" t="s">
        <v>116</v>
      </c>
      <c r="N90" s="5" t="s">
        <v>117</v>
      </c>
      <c r="O90" s="5" t="s">
        <v>450</v>
      </c>
      <c r="P90" s="5" t="s">
        <v>72</v>
      </c>
      <c r="Q90" s="5" t="s">
        <v>154</v>
      </c>
      <c r="R90" s="5" t="s">
        <v>155</v>
      </c>
      <c r="S90" s="5" t="s">
        <v>75</v>
      </c>
      <c r="T90" s="5" t="s">
        <v>57</v>
      </c>
      <c r="U90" s="5" t="s">
        <v>86</v>
      </c>
      <c r="V90" s="5" t="s">
        <v>76</v>
      </c>
      <c r="W90" s="5" t="s">
        <v>105</v>
      </c>
      <c r="X90" s="5" t="s">
        <v>585</v>
      </c>
      <c r="Y90" s="5" t="s">
        <v>586</v>
      </c>
      <c r="Z90" s="9">
        <v>46074</v>
      </c>
      <c r="AA90" s="8">
        <v>12</v>
      </c>
      <c r="AB90" s="9">
        <f t="shared" si="4"/>
        <v>46439</v>
      </c>
      <c r="AC90" s="10">
        <v>24</v>
      </c>
      <c r="AD90" s="7">
        <f t="shared" si="5"/>
        <v>340</v>
      </c>
      <c r="AE90" s="7">
        <f>IF(F90="Bullet",H90*AD90,MIN(MAX(I90,1),Assumptions!$B$6)*AD90)</f>
        <v>680</v>
      </c>
      <c r="AF90" s="8">
        <f>IF(F90="Bullet",MAX(0,Assumptions!$B$4-AB90),MAX(0,Assumptions!$B$4-L90))</f>
        <v>43</v>
      </c>
      <c r="AG90" s="9">
        <v>46225</v>
      </c>
      <c r="AH90" s="8">
        <f>IF(AG90="","",Assumptions!$B$4-AG90)</f>
        <v>73</v>
      </c>
      <c r="AI90" s="5" t="s">
        <v>57</v>
      </c>
      <c r="AJ90" s="8">
        <v>4</v>
      </c>
      <c r="AK90" s="8">
        <v>1</v>
      </c>
      <c r="AL90" s="8" t="s">
        <v>80</v>
      </c>
      <c r="AM90" s="8">
        <v>2</v>
      </c>
      <c r="AN90" s="5" t="s">
        <v>63</v>
      </c>
      <c r="AO90" s="10">
        <v>79.5</v>
      </c>
      <c r="AP90" s="8">
        <v>62</v>
      </c>
      <c r="AQ90" s="9"/>
      <c r="AR90" s="5"/>
      <c r="AS90" s="5" t="s">
        <v>159</v>
      </c>
    </row>
    <row r="91" spans="1:45" x14ac:dyDescent="0.35">
      <c r="A91" s="5" t="s">
        <v>587</v>
      </c>
      <c r="B91" s="5" t="s">
        <v>588</v>
      </c>
      <c r="C91" s="6" t="s">
        <v>589</v>
      </c>
      <c r="D91" s="7">
        <v>151100</v>
      </c>
      <c r="E91" s="5" t="s">
        <v>48</v>
      </c>
      <c r="F91" s="5" t="s">
        <v>68</v>
      </c>
      <c r="G91" s="8">
        <v>5</v>
      </c>
      <c r="H91" s="8">
        <f>IF(F91="Bullet",MIN(G91,Assumptions!$B$6),"")</f>
        <v>2</v>
      </c>
      <c r="I91" s="8"/>
      <c r="J91" s="8" t="str">
        <f>IF(F91="Monthly interest",MAX(0,Assumptions!$B$5-I91),"")</f>
        <v/>
      </c>
      <c r="K91" s="7">
        <f t="shared" si="3"/>
        <v>8185</v>
      </c>
      <c r="L91" s="9">
        <v>46132</v>
      </c>
      <c r="M91" s="5" t="s">
        <v>116</v>
      </c>
      <c r="N91" s="5" t="s">
        <v>117</v>
      </c>
      <c r="O91" s="5" t="s">
        <v>461</v>
      </c>
      <c r="P91" s="5" t="s">
        <v>72</v>
      </c>
      <c r="Q91" s="5" t="s">
        <v>169</v>
      </c>
      <c r="R91" s="5" t="s">
        <v>170</v>
      </c>
      <c r="S91" s="5" t="s">
        <v>56</v>
      </c>
      <c r="T91" s="5" t="s">
        <v>57</v>
      </c>
      <c r="U91" s="5" t="s">
        <v>86</v>
      </c>
      <c r="V91" s="5" t="s">
        <v>59</v>
      </c>
      <c r="W91" s="5" t="s">
        <v>60</v>
      </c>
      <c r="X91" s="5" t="s">
        <v>335</v>
      </c>
      <c r="Y91" s="5" t="s">
        <v>590</v>
      </c>
      <c r="Z91" s="9">
        <v>46132</v>
      </c>
      <c r="AA91" s="8">
        <v>6</v>
      </c>
      <c r="AB91" s="9">
        <f t="shared" si="4"/>
        <v>46315</v>
      </c>
      <c r="AC91" s="10">
        <v>13</v>
      </c>
      <c r="AD91" s="7">
        <f t="shared" si="5"/>
        <v>1637</v>
      </c>
      <c r="AE91" s="7">
        <f>IF(F91="Bullet",H91*AD91,MIN(MAX(I91,1),Assumptions!$B$6)*AD91)</f>
        <v>3274</v>
      </c>
      <c r="AF91" s="8">
        <f>IF(F91="Bullet",MAX(0,Assumptions!$B$4-AB91),MAX(0,Assumptions!$B$4-L91))</f>
        <v>0</v>
      </c>
      <c r="AG91" s="9"/>
      <c r="AH91" s="8" t="str">
        <f>IF(AG91="","",Assumptions!$B$4-AG91)</f>
        <v/>
      </c>
      <c r="AI91" s="5" t="s">
        <v>80</v>
      </c>
      <c r="AJ91" s="8"/>
      <c r="AK91" s="8">
        <v>1</v>
      </c>
      <c r="AL91" s="8">
        <v>671</v>
      </c>
      <c r="AM91" s="8">
        <v>1</v>
      </c>
      <c r="AN91" s="5" t="s">
        <v>63</v>
      </c>
      <c r="AO91" s="10">
        <v>65.5</v>
      </c>
      <c r="AP91" s="8">
        <v>49</v>
      </c>
      <c r="AQ91" s="9">
        <v>46274</v>
      </c>
      <c r="AR91" s="5" t="s">
        <v>53</v>
      </c>
      <c r="AS91" s="5" t="s">
        <v>64</v>
      </c>
    </row>
    <row r="92" spans="1:45" x14ac:dyDescent="0.35">
      <c r="A92" s="5" t="s">
        <v>591</v>
      </c>
      <c r="B92" s="5" t="s">
        <v>592</v>
      </c>
      <c r="C92" s="6" t="s">
        <v>593</v>
      </c>
      <c r="D92" s="7">
        <v>125900</v>
      </c>
      <c r="E92" s="5" t="s">
        <v>48</v>
      </c>
      <c r="F92" s="5" t="s">
        <v>49</v>
      </c>
      <c r="G92" s="8"/>
      <c r="H92" s="8" t="str">
        <f>IF(F92="Bullet",MIN(G92,Assumptions!$B$6),"")</f>
        <v/>
      </c>
      <c r="I92" s="8">
        <v>1</v>
      </c>
      <c r="J92" s="8">
        <f>IF(F92="Monthly interest",MAX(0,Assumptions!$B$5-I92),"")</f>
        <v>2</v>
      </c>
      <c r="K92" s="7">
        <f t="shared" si="3"/>
        <v>1574</v>
      </c>
      <c r="L92" s="9">
        <v>46288</v>
      </c>
      <c r="M92" s="5" t="s">
        <v>69</v>
      </c>
      <c r="N92" s="5" t="s">
        <v>51</v>
      </c>
      <c r="O92" s="5" t="s">
        <v>52</v>
      </c>
      <c r="P92" s="5" t="s">
        <v>53</v>
      </c>
      <c r="Q92" s="5" t="s">
        <v>54</v>
      </c>
      <c r="R92" s="5" t="s">
        <v>55</v>
      </c>
      <c r="S92" s="5" t="s">
        <v>85</v>
      </c>
      <c r="T92" s="5" t="s">
        <v>57</v>
      </c>
      <c r="U92" s="5" t="s">
        <v>86</v>
      </c>
      <c r="V92" s="5" t="s">
        <v>133</v>
      </c>
      <c r="W92" s="5" t="s">
        <v>594</v>
      </c>
      <c r="X92" s="5" t="s">
        <v>595</v>
      </c>
      <c r="Y92" s="5" t="s">
        <v>596</v>
      </c>
      <c r="Z92" s="9">
        <v>46196</v>
      </c>
      <c r="AA92" s="8">
        <v>12</v>
      </c>
      <c r="AB92" s="9">
        <f t="shared" si="4"/>
        <v>46561</v>
      </c>
      <c r="AC92" s="10">
        <v>15</v>
      </c>
      <c r="AD92" s="7">
        <f t="shared" si="5"/>
        <v>1574</v>
      </c>
      <c r="AE92" s="7">
        <f>IF(F92="Bullet",H92*AD92,MIN(MAX(I92,1),Assumptions!$B$6)*AD92)</f>
        <v>1574</v>
      </c>
      <c r="AF92" s="8">
        <f>IF(F92="Bullet",MAX(0,Assumptions!$B$4-AB92),MAX(0,Assumptions!$B$4-L92))</f>
        <v>10</v>
      </c>
      <c r="AG92" s="9">
        <v>46258</v>
      </c>
      <c r="AH92" s="8">
        <f>IF(AG92="","",Assumptions!$B$4-AG92)</f>
        <v>40</v>
      </c>
      <c r="AI92" s="5" t="s">
        <v>63</v>
      </c>
      <c r="AJ92" s="8">
        <v>1</v>
      </c>
      <c r="AK92" s="8">
        <v>0</v>
      </c>
      <c r="AL92" s="8">
        <v>731</v>
      </c>
      <c r="AM92" s="8">
        <v>1</v>
      </c>
      <c r="AN92" s="5" t="s">
        <v>57</v>
      </c>
      <c r="AO92" s="10">
        <v>61.1</v>
      </c>
      <c r="AP92" s="8">
        <v>31</v>
      </c>
      <c r="AQ92" s="9"/>
      <c r="AR92" s="5"/>
      <c r="AS92" s="5" t="s">
        <v>159</v>
      </c>
    </row>
    <row r="93" spans="1:45" x14ac:dyDescent="0.35">
      <c r="A93" s="5" t="s">
        <v>597</v>
      </c>
      <c r="B93" s="5" t="s">
        <v>598</v>
      </c>
      <c r="C93" s="6" t="s">
        <v>599</v>
      </c>
      <c r="D93" s="7">
        <v>427700</v>
      </c>
      <c r="E93" s="5" t="s">
        <v>48</v>
      </c>
      <c r="F93" s="5" t="s">
        <v>68</v>
      </c>
      <c r="G93" s="8">
        <v>5</v>
      </c>
      <c r="H93" s="8">
        <f>IF(F93="Bullet",MIN(G93,Assumptions!$B$6),"")</f>
        <v>2</v>
      </c>
      <c r="I93" s="8"/>
      <c r="J93" s="8" t="str">
        <f>IF(F93="Monthly interest",MAX(0,Assumptions!$B$5-I93),"")</f>
        <v/>
      </c>
      <c r="K93" s="7">
        <f t="shared" si="3"/>
        <v>24950</v>
      </c>
      <c r="L93" s="9">
        <v>46140</v>
      </c>
      <c r="M93" s="5" t="s">
        <v>116</v>
      </c>
      <c r="N93" s="5" t="s">
        <v>117</v>
      </c>
      <c r="O93" s="5" t="s">
        <v>461</v>
      </c>
      <c r="P93" s="5" t="s">
        <v>72</v>
      </c>
      <c r="Q93" s="5" t="s">
        <v>169</v>
      </c>
      <c r="R93" s="5" t="s">
        <v>170</v>
      </c>
      <c r="S93" s="5" t="s">
        <v>214</v>
      </c>
      <c r="T93" s="5" t="s">
        <v>57</v>
      </c>
      <c r="U93" s="5" t="s">
        <v>104</v>
      </c>
      <c r="V93" s="5" t="s">
        <v>215</v>
      </c>
      <c r="W93" s="5" t="s">
        <v>600</v>
      </c>
      <c r="X93" s="5" t="s">
        <v>601</v>
      </c>
      <c r="Y93" s="5" t="s">
        <v>602</v>
      </c>
      <c r="Z93" s="9">
        <v>46140</v>
      </c>
      <c r="AA93" s="8">
        <v>6</v>
      </c>
      <c r="AB93" s="9">
        <f t="shared" si="4"/>
        <v>46323</v>
      </c>
      <c r="AC93" s="10">
        <v>14</v>
      </c>
      <c r="AD93" s="7">
        <f t="shared" si="5"/>
        <v>4990</v>
      </c>
      <c r="AE93" s="7">
        <f>IF(F93="Bullet",H93*AD93,MIN(MAX(I93,1),Assumptions!$B$6)*AD93)</f>
        <v>9980</v>
      </c>
      <c r="AF93" s="8">
        <f>IF(F93="Bullet",MAX(0,Assumptions!$B$4-AB93),MAX(0,Assumptions!$B$4-L93))</f>
        <v>0</v>
      </c>
      <c r="AG93" s="9"/>
      <c r="AH93" s="8" t="str">
        <f>IF(AG93="","",Assumptions!$B$4-AG93)</f>
        <v/>
      </c>
      <c r="AI93" s="5" t="s">
        <v>80</v>
      </c>
      <c r="AJ93" s="8"/>
      <c r="AK93" s="8">
        <v>1</v>
      </c>
      <c r="AL93" s="8">
        <v>699</v>
      </c>
      <c r="AM93" s="8">
        <v>1</v>
      </c>
      <c r="AN93" s="5" t="s">
        <v>63</v>
      </c>
      <c r="AO93" s="10">
        <v>77.900000000000006</v>
      </c>
      <c r="AP93" s="8">
        <v>51</v>
      </c>
      <c r="AQ93" s="9">
        <v>46293</v>
      </c>
      <c r="AR93" s="5" t="s">
        <v>70</v>
      </c>
      <c r="AS93" s="5" t="s">
        <v>274</v>
      </c>
    </row>
    <row r="94" spans="1:45" x14ac:dyDescent="0.35">
      <c r="A94" s="5" t="s">
        <v>603</v>
      </c>
      <c r="B94" s="5" t="s">
        <v>604</v>
      </c>
      <c r="C94" s="6" t="s">
        <v>605</v>
      </c>
      <c r="D94" s="7">
        <v>104900</v>
      </c>
      <c r="E94" s="5" t="s">
        <v>48</v>
      </c>
      <c r="F94" s="5" t="s">
        <v>49</v>
      </c>
      <c r="G94" s="8"/>
      <c r="H94" s="8" t="str">
        <f>IF(F94="Bullet",MIN(G94,Assumptions!$B$6),"")</f>
        <v/>
      </c>
      <c r="I94" s="8">
        <v>2</v>
      </c>
      <c r="J94" s="8">
        <f>IF(F94="Monthly interest",MAX(0,Assumptions!$B$5-I94),"")</f>
        <v>1</v>
      </c>
      <c r="K94" s="7">
        <f t="shared" si="3"/>
        <v>4196</v>
      </c>
      <c r="L94" s="9">
        <v>46247</v>
      </c>
      <c r="M94" s="5" t="s">
        <v>116</v>
      </c>
      <c r="N94" s="5" t="s">
        <v>117</v>
      </c>
      <c r="O94" s="5" t="s">
        <v>118</v>
      </c>
      <c r="P94" s="5" t="s">
        <v>72</v>
      </c>
      <c r="Q94" s="5" t="s">
        <v>119</v>
      </c>
      <c r="R94" s="5" t="s">
        <v>120</v>
      </c>
      <c r="S94" s="5" t="s">
        <v>56</v>
      </c>
      <c r="T94" s="5" t="s">
        <v>57</v>
      </c>
      <c r="U94" s="5" t="s">
        <v>104</v>
      </c>
      <c r="V94" s="5" t="s">
        <v>59</v>
      </c>
      <c r="W94" s="5" t="s">
        <v>126</v>
      </c>
      <c r="X94" s="5" t="s">
        <v>606</v>
      </c>
      <c r="Y94" s="5" t="s">
        <v>607</v>
      </c>
      <c r="Z94" s="9">
        <v>46004</v>
      </c>
      <c r="AA94" s="8">
        <v>12</v>
      </c>
      <c r="AB94" s="9">
        <f t="shared" si="4"/>
        <v>46369</v>
      </c>
      <c r="AC94" s="10">
        <v>24</v>
      </c>
      <c r="AD94" s="7">
        <f t="shared" si="5"/>
        <v>2098</v>
      </c>
      <c r="AE94" s="7">
        <f>IF(F94="Bullet",H94*AD94,MIN(MAX(I94,1),Assumptions!$B$6)*AD94)</f>
        <v>4196</v>
      </c>
      <c r="AF94" s="8">
        <f>IF(F94="Bullet",MAX(0,Assumptions!$B$4-AB94),MAX(0,Assumptions!$B$4-L94))</f>
        <v>51</v>
      </c>
      <c r="AG94" s="9">
        <v>46217</v>
      </c>
      <c r="AH94" s="8">
        <f>IF(AG94="","",Assumptions!$B$4-AG94)</f>
        <v>81</v>
      </c>
      <c r="AI94" s="5" t="s">
        <v>63</v>
      </c>
      <c r="AJ94" s="8">
        <v>2</v>
      </c>
      <c r="AK94" s="8">
        <v>0</v>
      </c>
      <c r="AL94" s="8">
        <v>619</v>
      </c>
      <c r="AM94" s="8">
        <v>2</v>
      </c>
      <c r="AN94" s="5" t="s">
        <v>63</v>
      </c>
      <c r="AO94" s="10">
        <v>53.6</v>
      </c>
      <c r="AP94" s="8">
        <v>56</v>
      </c>
      <c r="AQ94" s="9">
        <v>46285</v>
      </c>
      <c r="AR94" s="5" t="s">
        <v>51</v>
      </c>
      <c r="AS94" s="5" t="s">
        <v>274</v>
      </c>
    </row>
    <row r="95" spans="1:45" x14ac:dyDescent="0.35">
      <c r="A95" s="5" t="s">
        <v>608</v>
      </c>
      <c r="B95" s="5" t="s">
        <v>609</v>
      </c>
      <c r="C95" s="6" t="s">
        <v>610</v>
      </c>
      <c r="D95" s="7">
        <v>57600</v>
      </c>
      <c r="E95" s="5" t="s">
        <v>48</v>
      </c>
      <c r="F95" s="5" t="s">
        <v>49</v>
      </c>
      <c r="G95" s="8"/>
      <c r="H95" s="8" t="str">
        <f>IF(F95="Bullet",MIN(G95,Assumptions!$B$6),"")</f>
        <v/>
      </c>
      <c r="I95" s="8">
        <v>1</v>
      </c>
      <c r="J95" s="8">
        <f>IF(F95="Monthly interest",MAX(0,Assumptions!$B$5-I95),"")</f>
        <v>2</v>
      </c>
      <c r="K95" s="7">
        <f t="shared" si="3"/>
        <v>864</v>
      </c>
      <c r="L95" s="9">
        <v>46282</v>
      </c>
      <c r="M95" s="5" t="s">
        <v>69</v>
      </c>
      <c r="N95" s="5" t="s">
        <v>51</v>
      </c>
      <c r="O95" s="5" t="s">
        <v>52</v>
      </c>
      <c r="P95" s="5" t="s">
        <v>53</v>
      </c>
      <c r="Q95" s="5" t="s">
        <v>54</v>
      </c>
      <c r="R95" s="5" t="s">
        <v>55</v>
      </c>
      <c r="S95" s="5" t="s">
        <v>56</v>
      </c>
      <c r="T95" s="5" t="s">
        <v>57</v>
      </c>
      <c r="U95" s="5" t="s">
        <v>104</v>
      </c>
      <c r="V95" s="5" t="s">
        <v>59</v>
      </c>
      <c r="W95" s="5" t="s">
        <v>323</v>
      </c>
      <c r="X95" s="5" t="s">
        <v>611</v>
      </c>
      <c r="Y95" s="5" t="s">
        <v>612</v>
      </c>
      <c r="Z95" s="9">
        <v>46070</v>
      </c>
      <c r="AA95" s="8">
        <v>12</v>
      </c>
      <c r="AB95" s="9">
        <f t="shared" si="4"/>
        <v>46435</v>
      </c>
      <c r="AC95" s="10">
        <v>18</v>
      </c>
      <c r="AD95" s="7">
        <f t="shared" si="5"/>
        <v>864</v>
      </c>
      <c r="AE95" s="7">
        <f>IF(F95="Bullet",H95*AD95,MIN(MAX(I95,1),Assumptions!$B$6)*AD95)</f>
        <v>864</v>
      </c>
      <c r="AF95" s="8">
        <f>IF(F95="Bullet",MAX(0,Assumptions!$B$4-AB95),MAX(0,Assumptions!$B$4-L95))</f>
        <v>16</v>
      </c>
      <c r="AG95" s="9">
        <v>46256</v>
      </c>
      <c r="AH95" s="8">
        <f>IF(AG95="","",Assumptions!$B$4-AG95)</f>
        <v>42</v>
      </c>
      <c r="AI95" s="5" t="s">
        <v>57</v>
      </c>
      <c r="AJ95" s="8">
        <v>3</v>
      </c>
      <c r="AK95" s="8">
        <v>0</v>
      </c>
      <c r="AL95" s="8">
        <v>700</v>
      </c>
      <c r="AM95" s="8">
        <v>1</v>
      </c>
      <c r="AN95" s="5" t="s">
        <v>57</v>
      </c>
      <c r="AO95" s="10">
        <v>67.8</v>
      </c>
      <c r="AP95" s="8">
        <v>37</v>
      </c>
      <c r="AQ95" s="9">
        <v>46296</v>
      </c>
      <c r="AR95" s="5" t="s">
        <v>70</v>
      </c>
      <c r="AS95" s="5" t="s">
        <v>190</v>
      </c>
    </row>
    <row r="96" spans="1:45" x14ac:dyDescent="0.35">
      <c r="A96" s="5" t="s">
        <v>613</v>
      </c>
      <c r="B96" s="5" t="s">
        <v>614</v>
      </c>
      <c r="C96" s="6" t="s">
        <v>615</v>
      </c>
      <c r="D96" s="7">
        <v>351400</v>
      </c>
      <c r="E96" s="5" t="s">
        <v>48</v>
      </c>
      <c r="F96" s="5" t="s">
        <v>68</v>
      </c>
      <c r="G96" s="8">
        <v>6</v>
      </c>
      <c r="H96" s="8">
        <f>IF(F96="Bullet",MIN(G96,Assumptions!$B$6),"")</f>
        <v>2</v>
      </c>
      <c r="I96" s="8"/>
      <c r="J96" s="8" t="str">
        <f>IF(F96="Monthly interest",MAX(0,Assumptions!$B$5-I96),"")</f>
        <v/>
      </c>
      <c r="K96" s="7">
        <f t="shared" si="3"/>
        <v>24600</v>
      </c>
      <c r="L96" s="9">
        <v>46101</v>
      </c>
      <c r="M96" s="5" t="s">
        <v>69</v>
      </c>
      <c r="N96" s="5" t="s">
        <v>53</v>
      </c>
      <c r="O96" s="5" t="s">
        <v>168</v>
      </c>
      <c r="P96" s="5" t="s">
        <v>70</v>
      </c>
      <c r="Q96" s="5" t="s">
        <v>169</v>
      </c>
      <c r="R96" s="5" t="s">
        <v>170</v>
      </c>
      <c r="S96" s="5" t="s">
        <v>214</v>
      </c>
      <c r="T96" s="5" t="s">
        <v>57</v>
      </c>
      <c r="U96" s="5" t="s">
        <v>86</v>
      </c>
      <c r="V96" s="5" t="s">
        <v>215</v>
      </c>
      <c r="W96" s="5" t="s">
        <v>278</v>
      </c>
      <c r="X96" s="5" t="s">
        <v>616</v>
      </c>
      <c r="Y96" s="5" t="s">
        <v>617</v>
      </c>
      <c r="Z96" s="9">
        <v>46101</v>
      </c>
      <c r="AA96" s="8">
        <v>12</v>
      </c>
      <c r="AB96" s="9">
        <f t="shared" si="4"/>
        <v>46466</v>
      </c>
      <c r="AC96" s="10">
        <v>14</v>
      </c>
      <c r="AD96" s="7">
        <f t="shared" si="5"/>
        <v>4100</v>
      </c>
      <c r="AE96" s="7">
        <f>IF(F96="Bullet",H96*AD96,MIN(MAX(I96,1),Assumptions!$B$6)*AD96)</f>
        <v>8200</v>
      </c>
      <c r="AF96" s="8">
        <f>IF(F96="Bullet",MAX(0,Assumptions!$B$4-AB96),MAX(0,Assumptions!$B$4-L96))</f>
        <v>0</v>
      </c>
      <c r="AG96" s="9"/>
      <c r="AH96" s="8" t="str">
        <f>IF(AG96="","",Assumptions!$B$4-AG96)</f>
        <v/>
      </c>
      <c r="AI96" s="5" t="s">
        <v>80</v>
      </c>
      <c r="AJ96" s="8"/>
      <c r="AK96" s="8">
        <v>2</v>
      </c>
      <c r="AL96" s="8">
        <v>736</v>
      </c>
      <c r="AM96" s="8">
        <v>1</v>
      </c>
      <c r="AN96" s="5" t="s">
        <v>63</v>
      </c>
      <c r="AO96" s="10">
        <v>76.8</v>
      </c>
      <c r="AP96" s="8">
        <v>47</v>
      </c>
      <c r="AQ96" s="9">
        <v>46282</v>
      </c>
      <c r="AR96" s="5" t="s">
        <v>70</v>
      </c>
      <c r="AS96" s="5" t="s">
        <v>81</v>
      </c>
    </row>
    <row r="97" spans="1:45" x14ac:dyDescent="0.35">
      <c r="A97" s="5" t="s">
        <v>618</v>
      </c>
      <c r="B97" s="5" t="s">
        <v>619</v>
      </c>
      <c r="C97" s="6" t="s">
        <v>620</v>
      </c>
      <c r="D97" s="7">
        <v>137600</v>
      </c>
      <c r="E97" s="5" t="s">
        <v>48</v>
      </c>
      <c r="F97" s="5" t="s">
        <v>49</v>
      </c>
      <c r="G97" s="8"/>
      <c r="H97" s="8" t="str">
        <f>IF(F97="Bullet",MIN(G97,Assumptions!$B$6),"")</f>
        <v/>
      </c>
      <c r="I97" s="8">
        <v>1</v>
      </c>
      <c r="J97" s="8">
        <f>IF(F97="Monthly interest",MAX(0,Assumptions!$B$5-I97),"")</f>
        <v>2</v>
      </c>
      <c r="K97" s="7">
        <f t="shared" si="3"/>
        <v>1835</v>
      </c>
      <c r="L97" s="9">
        <v>46274</v>
      </c>
      <c r="M97" s="5" t="s">
        <v>50</v>
      </c>
      <c r="N97" s="5" t="s">
        <v>53</v>
      </c>
      <c r="O97" s="5" t="s">
        <v>103</v>
      </c>
      <c r="P97" s="5" t="s">
        <v>51</v>
      </c>
      <c r="Q97" s="5" t="s">
        <v>54</v>
      </c>
      <c r="R97" s="5" t="s">
        <v>55</v>
      </c>
      <c r="S97" s="5" t="s">
        <v>75</v>
      </c>
      <c r="T97" s="5" t="s">
        <v>57</v>
      </c>
      <c r="U97" s="5" t="s">
        <v>86</v>
      </c>
      <c r="V97" s="5" t="s">
        <v>76</v>
      </c>
      <c r="W97" s="5" t="s">
        <v>306</v>
      </c>
      <c r="X97" s="5" t="s">
        <v>621</v>
      </c>
      <c r="Y97" s="5" t="s">
        <v>622</v>
      </c>
      <c r="Z97" s="9">
        <v>46121</v>
      </c>
      <c r="AA97" s="8">
        <v>12</v>
      </c>
      <c r="AB97" s="9">
        <f t="shared" si="4"/>
        <v>46486</v>
      </c>
      <c r="AC97" s="10">
        <v>16</v>
      </c>
      <c r="AD97" s="7">
        <f t="shared" si="5"/>
        <v>1835</v>
      </c>
      <c r="AE97" s="7">
        <f>IF(F97="Bullet",H97*AD97,MIN(MAX(I97,1),Assumptions!$B$6)*AD97)</f>
        <v>1835</v>
      </c>
      <c r="AF97" s="8">
        <f>IF(F97="Bullet",MAX(0,Assumptions!$B$4-AB97),MAX(0,Assumptions!$B$4-L97))</f>
        <v>24</v>
      </c>
      <c r="AG97" s="9">
        <v>46248</v>
      </c>
      <c r="AH97" s="8">
        <f>IF(AG97="","",Assumptions!$B$4-AG97)</f>
        <v>50</v>
      </c>
      <c r="AI97" s="5" t="s">
        <v>57</v>
      </c>
      <c r="AJ97" s="8">
        <v>1</v>
      </c>
      <c r="AK97" s="8">
        <v>1</v>
      </c>
      <c r="AL97" s="8" t="s">
        <v>80</v>
      </c>
      <c r="AM97" s="8">
        <v>0</v>
      </c>
      <c r="AN97" s="5" t="s">
        <v>63</v>
      </c>
      <c r="AO97" s="10">
        <v>65.900000000000006</v>
      </c>
      <c r="AP97" s="8">
        <v>22</v>
      </c>
      <c r="AQ97" s="9">
        <v>46291</v>
      </c>
      <c r="AR97" s="5" t="s">
        <v>51</v>
      </c>
      <c r="AS97" s="5" t="s">
        <v>81</v>
      </c>
    </row>
    <row r="98" spans="1:45" x14ac:dyDescent="0.35">
      <c r="A98" s="5" t="s">
        <v>623</v>
      </c>
      <c r="B98" s="5" t="s">
        <v>624</v>
      </c>
      <c r="C98" s="6" t="s">
        <v>625</v>
      </c>
      <c r="D98" s="7">
        <v>216400</v>
      </c>
      <c r="E98" s="5" t="s">
        <v>48</v>
      </c>
      <c r="F98" s="5" t="s">
        <v>68</v>
      </c>
      <c r="G98" s="8">
        <v>1</v>
      </c>
      <c r="H98" s="8">
        <f>IF(F98="Bullet",MIN(G98,Assumptions!$B$6),"")</f>
        <v>1</v>
      </c>
      <c r="I98" s="8"/>
      <c r="J98" s="8" t="str">
        <f>IF(F98="Monthly interest",MAX(0,Assumptions!$B$5-I98),"")</f>
        <v/>
      </c>
      <c r="K98" s="7">
        <f t="shared" si="3"/>
        <v>2344</v>
      </c>
      <c r="L98" s="9">
        <v>46263</v>
      </c>
      <c r="M98" s="5" t="s">
        <v>50</v>
      </c>
      <c r="N98" s="5" t="s">
        <v>51</v>
      </c>
      <c r="O98" s="5" t="s">
        <v>71</v>
      </c>
      <c r="P98" s="5" t="s">
        <v>53</v>
      </c>
      <c r="Q98" s="5" t="s">
        <v>73</v>
      </c>
      <c r="R98" s="5" t="s">
        <v>74</v>
      </c>
      <c r="S98" s="5" t="s">
        <v>185</v>
      </c>
      <c r="T98" s="5" t="s">
        <v>57</v>
      </c>
      <c r="U98" s="5" t="s">
        <v>104</v>
      </c>
      <c r="V98" s="5" t="s">
        <v>186</v>
      </c>
      <c r="W98" s="5" t="s">
        <v>329</v>
      </c>
      <c r="X98" s="5" t="s">
        <v>626</v>
      </c>
      <c r="Y98" s="5" t="s">
        <v>627</v>
      </c>
      <c r="Z98" s="9">
        <v>46263</v>
      </c>
      <c r="AA98" s="8">
        <v>6</v>
      </c>
      <c r="AB98" s="9">
        <f t="shared" si="4"/>
        <v>46446</v>
      </c>
      <c r="AC98" s="10">
        <v>13</v>
      </c>
      <c r="AD98" s="7">
        <f t="shared" si="5"/>
        <v>2344</v>
      </c>
      <c r="AE98" s="7">
        <f>IF(F98="Bullet",H98*AD98,MIN(MAX(I98,1),Assumptions!$B$6)*AD98)</f>
        <v>2344</v>
      </c>
      <c r="AF98" s="8">
        <f>IF(F98="Bullet",MAX(0,Assumptions!$B$4-AB98),MAX(0,Assumptions!$B$4-L98))</f>
        <v>0</v>
      </c>
      <c r="AG98" s="9"/>
      <c r="AH98" s="8" t="str">
        <f>IF(AG98="","",Assumptions!$B$4-AG98)</f>
        <v/>
      </c>
      <c r="AI98" s="5" t="s">
        <v>80</v>
      </c>
      <c r="AJ98" s="8"/>
      <c r="AK98" s="8">
        <v>1</v>
      </c>
      <c r="AL98" s="8">
        <v>623</v>
      </c>
      <c r="AM98" s="8">
        <v>1</v>
      </c>
      <c r="AN98" s="5" t="s">
        <v>63</v>
      </c>
      <c r="AO98" s="10">
        <v>61.3</v>
      </c>
      <c r="AP98" s="8">
        <v>14</v>
      </c>
      <c r="AQ98" s="9">
        <v>46276</v>
      </c>
      <c r="AR98" s="5" t="s">
        <v>70</v>
      </c>
      <c r="AS98" s="5" t="s">
        <v>81</v>
      </c>
    </row>
    <row r="99" spans="1:45" x14ac:dyDescent="0.35">
      <c r="A99" s="5" t="s">
        <v>628</v>
      </c>
      <c r="B99" s="5" t="s">
        <v>629</v>
      </c>
      <c r="C99" s="6" t="s">
        <v>630</v>
      </c>
      <c r="D99" s="7">
        <v>66800</v>
      </c>
      <c r="E99" s="5" t="s">
        <v>48</v>
      </c>
      <c r="F99" s="5" t="s">
        <v>68</v>
      </c>
      <c r="G99" s="8">
        <v>4</v>
      </c>
      <c r="H99" s="8">
        <f>IF(F99="Bullet",MIN(G99,Assumptions!$B$6),"")</f>
        <v>2</v>
      </c>
      <c r="I99" s="8"/>
      <c r="J99" s="8" t="str">
        <f>IF(F99="Monthly interest",MAX(0,Assumptions!$B$5-I99),"")</f>
        <v/>
      </c>
      <c r="K99" s="7">
        <f t="shared" si="3"/>
        <v>3116</v>
      </c>
      <c r="L99" s="9">
        <v>46170</v>
      </c>
      <c r="M99" s="5" t="s">
        <v>69</v>
      </c>
      <c r="N99" s="5" t="s">
        <v>53</v>
      </c>
      <c r="O99" s="5" t="s">
        <v>71</v>
      </c>
      <c r="P99" s="5" t="s">
        <v>70</v>
      </c>
      <c r="Q99" s="5" t="s">
        <v>73</v>
      </c>
      <c r="R99" s="5" t="s">
        <v>74</v>
      </c>
      <c r="S99" s="5" t="s">
        <v>75</v>
      </c>
      <c r="T99" s="5" t="s">
        <v>57</v>
      </c>
      <c r="U99" s="5" t="s">
        <v>104</v>
      </c>
      <c r="V99" s="5" t="s">
        <v>76</v>
      </c>
      <c r="W99" s="5" t="s">
        <v>444</v>
      </c>
      <c r="X99" s="5" t="s">
        <v>631</v>
      </c>
      <c r="Y99" s="5" t="s">
        <v>632</v>
      </c>
      <c r="Z99" s="9">
        <v>46170</v>
      </c>
      <c r="AA99" s="8">
        <v>12</v>
      </c>
      <c r="AB99" s="9">
        <f t="shared" si="4"/>
        <v>46535</v>
      </c>
      <c r="AC99" s="10">
        <v>14</v>
      </c>
      <c r="AD99" s="7">
        <f t="shared" si="5"/>
        <v>779</v>
      </c>
      <c r="AE99" s="7">
        <f>IF(F99="Bullet",H99*AD99,MIN(MAX(I99,1),Assumptions!$B$6)*AD99)</f>
        <v>1558</v>
      </c>
      <c r="AF99" s="8">
        <f>IF(F99="Bullet",MAX(0,Assumptions!$B$4-AB99),MAX(0,Assumptions!$B$4-L99))</f>
        <v>0</v>
      </c>
      <c r="AG99" s="9"/>
      <c r="AH99" s="8" t="str">
        <f>IF(AG99="","",Assumptions!$B$4-AG99)</f>
        <v/>
      </c>
      <c r="AI99" s="5" t="s">
        <v>80</v>
      </c>
      <c r="AJ99" s="8"/>
      <c r="AK99" s="8">
        <v>2</v>
      </c>
      <c r="AL99" s="8">
        <v>719</v>
      </c>
      <c r="AM99" s="8">
        <v>1</v>
      </c>
      <c r="AN99" s="5" t="s">
        <v>63</v>
      </c>
      <c r="AO99" s="10">
        <v>65.099999999999994</v>
      </c>
      <c r="AP99" s="8">
        <v>31</v>
      </c>
      <c r="AQ99" s="9">
        <v>46293</v>
      </c>
      <c r="AR99" s="5" t="s">
        <v>53</v>
      </c>
      <c r="AS99" s="5" t="s">
        <v>64</v>
      </c>
    </row>
    <row r="100" spans="1:45" x14ac:dyDescent="0.35">
      <c r="A100" s="5" t="s">
        <v>633</v>
      </c>
      <c r="B100" s="5" t="s">
        <v>634</v>
      </c>
      <c r="C100" s="6" t="s">
        <v>635</v>
      </c>
      <c r="D100" s="7">
        <v>229800</v>
      </c>
      <c r="E100" s="5" t="s">
        <v>48</v>
      </c>
      <c r="F100" s="5" t="s">
        <v>49</v>
      </c>
      <c r="G100" s="8"/>
      <c r="H100" s="8" t="str">
        <f>IF(F100="Bullet",MIN(G100,Assumptions!$B$6),"")</f>
        <v/>
      </c>
      <c r="I100" s="8">
        <v>2</v>
      </c>
      <c r="J100" s="8">
        <f>IF(F100="Monthly interest",MAX(0,Assumptions!$B$5-I100),"")</f>
        <v>1</v>
      </c>
      <c r="K100" s="7">
        <f t="shared" si="3"/>
        <v>9192</v>
      </c>
      <c r="L100" s="9">
        <v>46262</v>
      </c>
      <c r="M100" s="5" t="s">
        <v>69</v>
      </c>
      <c r="N100" s="5" t="s">
        <v>70</v>
      </c>
      <c r="O100" s="5" t="s">
        <v>71</v>
      </c>
      <c r="P100" s="5" t="s">
        <v>72</v>
      </c>
      <c r="Q100" s="5" t="s">
        <v>73</v>
      </c>
      <c r="R100" s="5" t="s">
        <v>74</v>
      </c>
      <c r="S100" s="5" t="s">
        <v>85</v>
      </c>
      <c r="T100" s="5" t="s">
        <v>57</v>
      </c>
      <c r="U100" s="5" t="s">
        <v>58</v>
      </c>
      <c r="V100" s="5" t="s">
        <v>96</v>
      </c>
      <c r="W100" s="5" t="s">
        <v>171</v>
      </c>
      <c r="X100" s="5" t="s">
        <v>636</v>
      </c>
      <c r="Y100" s="5" t="s">
        <v>637</v>
      </c>
      <c r="Z100" s="9">
        <v>46140</v>
      </c>
      <c r="AA100" s="8">
        <v>12</v>
      </c>
      <c r="AB100" s="9">
        <f t="shared" si="4"/>
        <v>46505</v>
      </c>
      <c r="AC100" s="10">
        <v>24</v>
      </c>
      <c r="AD100" s="7">
        <f t="shared" si="5"/>
        <v>4596</v>
      </c>
      <c r="AE100" s="7">
        <f>IF(F100="Bullet",H100*AD100,MIN(MAX(I100,1),Assumptions!$B$6)*AD100)</f>
        <v>9192</v>
      </c>
      <c r="AF100" s="8">
        <f>IF(F100="Bullet",MAX(0,Assumptions!$B$4-AB100),MAX(0,Assumptions!$B$4-L100))</f>
        <v>36</v>
      </c>
      <c r="AG100" s="9">
        <v>46235</v>
      </c>
      <c r="AH100" s="8">
        <f>IF(AG100="","",Assumptions!$B$4-AG100)</f>
        <v>63</v>
      </c>
      <c r="AI100" s="5" t="s">
        <v>63</v>
      </c>
      <c r="AJ100" s="8">
        <v>3</v>
      </c>
      <c r="AK100" s="8">
        <v>1</v>
      </c>
      <c r="AL100" s="8">
        <v>735</v>
      </c>
      <c r="AM100" s="8">
        <v>0</v>
      </c>
      <c r="AN100" s="5" t="s">
        <v>63</v>
      </c>
      <c r="AO100" s="10">
        <v>73.900000000000006</v>
      </c>
      <c r="AP100" s="8">
        <v>43</v>
      </c>
      <c r="AQ100" s="9">
        <v>46284</v>
      </c>
      <c r="AR100" s="5" t="s">
        <v>51</v>
      </c>
      <c r="AS100" s="5" t="s">
        <v>81</v>
      </c>
    </row>
    <row r="101" spans="1:45" x14ac:dyDescent="0.35">
      <c r="A101" s="5" t="s">
        <v>638</v>
      </c>
      <c r="B101" s="5" t="s">
        <v>639</v>
      </c>
      <c r="C101" s="6" t="s">
        <v>640</v>
      </c>
      <c r="D101" s="7">
        <v>480000</v>
      </c>
      <c r="E101" s="5" t="s">
        <v>48</v>
      </c>
      <c r="F101" s="5" t="s">
        <v>68</v>
      </c>
      <c r="G101" s="8">
        <v>4</v>
      </c>
      <c r="H101" s="8">
        <f>IF(F101="Bullet",MIN(G101,Assumptions!$B$6),"")</f>
        <v>2</v>
      </c>
      <c r="I101" s="8"/>
      <c r="J101" s="8" t="str">
        <f>IF(F101="Monthly interest",MAX(0,Assumptions!$B$5-I101),"")</f>
        <v/>
      </c>
      <c r="K101" s="7">
        <f t="shared" si="3"/>
        <v>22400</v>
      </c>
      <c r="L101" s="9">
        <v>46175</v>
      </c>
      <c r="M101" s="5" t="s">
        <v>69</v>
      </c>
      <c r="N101" s="5" t="s">
        <v>70</v>
      </c>
      <c r="O101" s="5" t="s">
        <v>71</v>
      </c>
      <c r="P101" s="5" t="s">
        <v>72</v>
      </c>
      <c r="Q101" s="5" t="s">
        <v>73</v>
      </c>
      <c r="R101" s="5" t="s">
        <v>74</v>
      </c>
      <c r="S101" s="5" t="s">
        <v>75</v>
      </c>
      <c r="T101" s="5" t="s">
        <v>63</v>
      </c>
      <c r="U101" s="5" t="s">
        <v>86</v>
      </c>
      <c r="V101" s="5" t="s">
        <v>76</v>
      </c>
      <c r="W101" s="5" t="s">
        <v>382</v>
      </c>
      <c r="X101" s="5" t="s">
        <v>641</v>
      </c>
      <c r="Y101" s="5" t="s">
        <v>642</v>
      </c>
      <c r="Z101" s="9">
        <v>46175</v>
      </c>
      <c r="AA101" s="8">
        <v>6</v>
      </c>
      <c r="AB101" s="9">
        <f t="shared" si="4"/>
        <v>46358</v>
      </c>
      <c r="AC101" s="10">
        <v>14</v>
      </c>
      <c r="AD101" s="7">
        <f t="shared" si="5"/>
        <v>5600</v>
      </c>
      <c r="AE101" s="7">
        <f>IF(F101="Bullet",H101*AD101,MIN(MAX(I101,1),Assumptions!$B$6)*AD101)</f>
        <v>11200</v>
      </c>
      <c r="AF101" s="8">
        <f>IF(F101="Bullet",MAX(0,Assumptions!$B$4-AB101),MAX(0,Assumptions!$B$4-L101))</f>
        <v>0</v>
      </c>
      <c r="AG101" s="9"/>
      <c r="AH101" s="8" t="str">
        <f>IF(AG101="","",Assumptions!$B$4-AG101)</f>
        <v/>
      </c>
      <c r="AI101" s="5" t="s">
        <v>80</v>
      </c>
      <c r="AJ101" s="8"/>
      <c r="AK101" s="8">
        <v>2</v>
      </c>
      <c r="AL101" s="8">
        <v>739</v>
      </c>
      <c r="AM101" s="8">
        <v>2</v>
      </c>
      <c r="AN101" s="5" t="s">
        <v>63</v>
      </c>
      <c r="AO101" s="10">
        <v>72.099999999999994</v>
      </c>
      <c r="AP101" s="8">
        <v>35</v>
      </c>
      <c r="AQ101" s="9">
        <v>46297</v>
      </c>
      <c r="AR101" s="5" t="s">
        <v>70</v>
      </c>
      <c r="AS101" s="5" t="s">
        <v>81</v>
      </c>
    </row>
    <row r="102" spans="1:45" x14ac:dyDescent="0.35">
      <c r="A102" s="5" t="s">
        <v>643</v>
      </c>
      <c r="B102" s="5" t="s">
        <v>644</v>
      </c>
      <c r="C102" s="6" t="s">
        <v>645</v>
      </c>
      <c r="D102" s="7">
        <v>98600</v>
      </c>
      <c r="E102" s="5" t="s">
        <v>48</v>
      </c>
      <c r="F102" s="5" t="s">
        <v>68</v>
      </c>
      <c r="G102" s="8">
        <v>5</v>
      </c>
      <c r="H102" s="8">
        <f>IF(F102="Bullet",MIN(G102,Assumptions!$B$6),"")</f>
        <v>2</v>
      </c>
      <c r="I102" s="8"/>
      <c r="J102" s="8" t="str">
        <f>IF(F102="Monthly interest",MAX(0,Assumptions!$B$5-I102),"")</f>
        <v/>
      </c>
      <c r="K102" s="7">
        <f t="shared" si="3"/>
        <v>5750</v>
      </c>
      <c r="L102" s="9">
        <v>46123</v>
      </c>
      <c r="M102" s="5" t="s">
        <v>116</v>
      </c>
      <c r="N102" s="5" t="s">
        <v>117</v>
      </c>
      <c r="O102" s="5" t="s">
        <v>461</v>
      </c>
      <c r="P102" s="5" t="s">
        <v>72</v>
      </c>
      <c r="Q102" s="5" t="s">
        <v>169</v>
      </c>
      <c r="R102" s="5" t="s">
        <v>170</v>
      </c>
      <c r="S102" s="5" t="s">
        <v>85</v>
      </c>
      <c r="T102" s="5" t="s">
        <v>63</v>
      </c>
      <c r="U102" s="5" t="s">
        <v>104</v>
      </c>
      <c r="V102" s="5" t="s">
        <v>87</v>
      </c>
      <c r="W102" s="5" t="s">
        <v>361</v>
      </c>
      <c r="X102" s="5" t="s">
        <v>646</v>
      </c>
      <c r="Y102" s="5" t="s">
        <v>647</v>
      </c>
      <c r="Z102" s="9">
        <v>46123</v>
      </c>
      <c r="AA102" s="8">
        <v>6</v>
      </c>
      <c r="AB102" s="9">
        <f t="shared" si="4"/>
        <v>46306</v>
      </c>
      <c r="AC102" s="10">
        <v>14</v>
      </c>
      <c r="AD102" s="7">
        <f t="shared" si="5"/>
        <v>1150</v>
      </c>
      <c r="AE102" s="7">
        <f>IF(F102="Bullet",H102*AD102,MIN(MAX(I102,1),Assumptions!$B$6)*AD102)</f>
        <v>2300</v>
      </c>
      <c r="AF102" s="8">
        <f>IF(F102="Bullet",MAX(0,Assumptions!$B$4-AB102),MAX(0,Assumptions!$B$4-L102))</f>
        <v>0</v>
      </c>
      <c r="AG102" s="9"/>
      <c r="AH102" s="8" t="str">
        <f>IF(AG102="","",Assumptions!$B$4-AG102)</f>
        <v/>
      </c>
      <c r="AI102" s="5" t="s">
        <v>80</v>
      </c>
      <c r="AJ102" s="8"/>
      <c r="AK102" s="8">
        <v>3</v>
      </c>
      <c r="AL102" s="8">
        <v>588</v>
      </c>
      <c r="AM102" s="8">
        <v>2</v>
      </c>
      <c r="AN102" s="5" t="s">
        <v>57</v>
      </c>
      <c r="AO102" s="10">
        <v>71.5</v>
      </c>
      <c r="AP102" s="8">
        <v>75</v>
      </c>
      <c r="AQ102" s="9">
        <v>46285</v>
      </c>
      <c r="AR102" s="5" t="s">
        <v>70</v>
      </c>
      <c r="AS102" s="5" t="s">
        <v>181</v>
      </c>
    </row>
    <row r="103" spans="1:45" x14ac:dyDescent="0.35">
      <c r="A103" s="5" t="s">
        <v>648</v>
      </c>
      <c r="B103" s="5" t="s">
        <v>649</v>
      </c>
      <c r="C103" s="6" t="s">
        <v>650</v>
      </c>
      <c r="D103" s="7">
        <v>278600</v>
      </c>
      <c r="E103" s="5" t="s">
        <v>48</v>
      </c>
      <c r="F103" s="5" t="s">
        <v>68</v>
      </c>
      <c r="G103" s="8">
        <v>5</v>
      </c>
      <c r="H103" s="8">
        <f>IF(F103="Bullet",MIN(G103,Assumptions!$B$6),"")</f>
        <v>2</v>
      </c>
      <c r="I103" s="8"/>
      <c r="J103" s="8" t="str">
        <f>IF(F103="Monthly interest",MAX(0,Assumptions!$B$5-I103),"")</f>
        <v/>
      </c>
      <c r="K103" s="7">
        <f t="shared" si="3"/>
        <v>13930</v>
      </c>
      <c r="L103" s="9">
        <v>46139</v>
      </c>
      <c r="M103" s="5" t="s">
        <v>69</v>
      </c>
      <c r="N103" s="5" t="s">
        <v>53</v>
      </c>
      <c r="O103" s="5" t="s">
        <v>168</v>
      </c>
      <c r="P103" s="5" t="s">
        <v>70</v>
      </c>
      <c r="Q103" s="5" t="s">
        <v>169</v>
      </c>
      <c r="R103" s="5" t="s">
        <v>170</v>
      </c>
      <c r="S103" s="5" t="s">
        <v>56</v>
      </c>
      <c r="T103" s="5" t="s">
        <v>57</v>
      </c>
      <c r="U103" s="5" t="s">
        <v>104</v>
      </c>
      <c r="V103" s="5" t="s">
        <v>59</v>
      </c>
      <c r="W103" s="5" t="s">
        <v>323</v>
      </c>
      <c r="X103" s="5" t="s">
        <v>651</v>
      </c>
      <c r="Y103" s="5" t="s">
        <v>652</v>
      </c>
      <c r="Z103" s="9">
        <v>46139</v>
      </c>
      <c r="AA103" s="8">
        <v>6</v>
      </c>
      <c r="AB103" s="9">
        <f t="shared" si="4"/>
        <v>46322</v>
      </c>
      <c r="AC103" s="10">
        <v>12</v>
      </c>
      <c r="AD103" s="7">
        <f t="shared" si="5"/>
        <v>2786</v>
      </c>
      <c r="AE103" s="7">
        <f>IF(F103="Bullet",H103*AD103,MIN(MAX(I103,1),Assumptions!$B$6)*AD103)</f>
        <v>5572</v>
      </c>
      <c r="AF103" s="8">
        <f>IF(F103="Bullet",MAX(0,Assumptions!$B$4-AB103),MAX(0,Assumptions!$B$4-L103))</f>
        <v>0</v>
      </c>
      <c r="AG103" s="9"/>
      <c r="AH103" s="8" t="str">
        <f>IF(AG103="","",Assumptions!$B$4-AG103)</f>
        <v/>
      </c>
      <c r="AI103" s="5" t="s">
        <v>80</v>
      </c>
      <c r="AJ103" s="8"/>
      <c r="AK103" s="8">
        <v>1</v>
      </c>
      <c r="AL103" s="8">
        <v>762</v>
      </c>
      <c r="AM103" s="8">
        <v>1</v>
      </c>
      <c r="AN103" s="5" t="s">
        <v>63</v>
      </c>
      <c r="AO103" s="10">
        <v>64.099999999999994</v>
      </c>
      <c r="AP103" s="8">
        <v>43</v>
      </c>
      <c r="AQ103" s="9">
        <v>46276</v>
      </c>
      <c r="AR103" s="5" t="s">
        <v>70</v>
      </c>
      <c r="AS103" s="5" t="s">
        <v>91</v>
      </c>
    </row>
    <row r="104" spans="1:45" x14ac:dyDescent="0.35">
      <c r="A104" s="5" t="s">
        <v>653</v>
      </c>
      <c r="B104" s="5" t="s">
        <v>654</v>
      </c>
      <c r="C104" s="6" t="s">
        <v>655</v>
      </c>
      <c r="D104" s="7">
        <v>246300</v>
      </c>
      <c r="E104" s="5" t="s">
        <v>48</v>
      </c>
      <c r="F104" s="5" t="s">
        <v>68</v>
      </c>
      <c r="G104" s="8">
        <v>4</v>
      </c>
      <c r="H104" s="8">
        <f>IF(F104="Bullet",MIN(G104,Assumptions!$B$6),"")</f>
        <v>2</v>
      </c>
      <c r="I104" s="8"/>
      <c r="J104" s="8" t="str">
        <f>IF(F104="Monthly interest",MAX(0,Assumptions!$B$5-I104),"")</f>
        <v/>
      </c>
      <c r="K104" s="7">
        <f t="shared" si="3"/>
        <v>9852</v>
      </c>
      <c r="L104" s="9">
        <v>46175</v>
      </c>
      <c r="M104" s="5" t="s">
        <v>69</v>
      </c>
      <c r="N104" s="5" t="s">
        <v>70</v>
      </c>
      <c r="O104" s="5" t="s">
        <v>71</v>
      </c>
      <c r="P104" s="5" t="s">
        <v>72</v>
      </c>
      <c r="Q104" s="5" t="s">
        <v>73</v>
      </c>
      <c r="R104" s="5" t="s">
        <v>74</v>
      </c>
      <c r="S104" s="5" t="s">
        <v>56</v>
      </c>
      <c r="T104" s="5" t="s">
        <v>57</v>
      </c>
      <c r="U104" s="5" t="s">
        <v>104</v>
      </c>
      <c r="V104" s="5" t="s">
        <v>59</v>
      </c>
      <c r="W104" s="5" t="s">
        <v>467</v>
      </c>
      <c r="X104" s="5" t="s">
        <v>656</v>
      </c>
      <c r="Y104" s="5" t="s">
        <v>657</v>
      </c>
      <c r="Z104" s="9">
        <v>46175</v>
      </c>
      <c r="AA104" s="8">
        <v>6</v>
      </c>
      <c r="AB104" s="9">
        <f t="shared" si="4"/>
        <v>46358</v>
      </c>
      <c r="AC104" s="10">
        <v>12</v>
      </c>
      <c r="AD104" s="7">
        <f t="shared" si="5"/>
        <v>2463</v>
      </c>
      <c r="AE104" s="7">
        <f>IF(F104="Bullet",H104*AD104,MIN(MAX(I104,1),Assumptions!$B$6)*AD104)</f>
        <v>4926</v>
      </c>
      <c r="AF104" s="8">
        <f>IF(F104="Bullet",MAX(0,Assumptions!$B$4-AB104),MAX(0,Assumptions!$B$4-L104))</f>
        <v>0</v>
      </c>
      <c r="AG104" s="9"/>
      <c r="AH104" s="8" t="str">
        <f>IF(AG104="","",Assumptions!$B$4-AG104)</f>
        <v/>
      </c>
      <c r="AI104" s="5" t="s">
        <v>80</v>
      </c>
      <c r="AJ104" s="8"/>
      <c r="AK104" s="8">
        <v>1</v>
      </c>
      <c r="AL104" s="8">
        <v>669</v>
      </c>
      <c r="AM104" s="8">
        <v>0</v>
      </c>
      <c r="AN104" s="5" t="s">
        <v>63</v>
      </c>
      <c r="AO104" s="10">
        <v>67.599999999999994</v>
      </c>
      <c r="AP104" s="8">
        <v>36</v>
      </c>
      <c r="AQ104" s="9">
        <v>46278</v>
      </c>
      <c r="AR104" s="5" t="s">
        <v>53</v>
      </c>
      <c r="AS104" s="5" t="s">
        <v>64</v>
      </c>
    </row>
    <row r="105" spans="1:45" x14ac:dyDescent="0.35">
      <c r="A105" s="5" t="s">
        <v>658</v>
      </c>
      <c r="B105" s="5" t="s">
        <v>659</v>
      </c>
      <c r="C105" s="6" t="s">
        <v>660</v>
      </c>
      <c r="D105" s="7">
        <v>140600</v>
      </c>
      <c r="E105" s="5" t="s">
        <v>48</v>
      </c>
      <c r="F105" s="5" t="s">
        <v>68</v>
      </c>
      <c r="G105" s="8">
        <v>1</v>
      </c>
      <c r="H105" s="8">
        <f>IF(F105="Bullet",MIN(G105,Assumptions!$B$6),"")</f>
        <v>1</v>
      </c>
      <c r="I105" s="8"/>
      <c r="J105" s="8" t="str">
        <f>IF(F105="Monthly interest",MAX(0,Assumptions!$B$5-I105),"")</f>
        <v/>
      </c>
      <c r="K105" s="7">
        <f t="shared" si="3"/>
        <v>1758</v>
      </c>
      <c r="L105" s="9">
        <v>46268</v>
      </c>
      <c r="M105" s="5" t="s">
        <v>50</v>
      </c>
      <c r="N105" s="5" t="s">
        <v>53</v>
      </c>
      <c r="O105" s="5" t="s">
        <v>103</v>
      </c>
      <c r="P105" s="5" t="s">
        <v>70</v>
      </c>
      <c r="Q105" s="5" t="s">
        <v>73</v>
      </c>
      <c r="R105" s="5" t="s">
        <v>74</v>
      </c>
      <c r="S105" s="5" t="s">
        <v>75</v>
      </c>
      <c r="T105" s="5" t="s">
        <v>63</v>
      </c>
      <c r="U105" s="5" t="s">
        <v>58</v>
      </c>
      <c r="V105" s="5" t="s">
        <v>76</v>
      </c>
      <c r="W105" s="5" t="s">
        <v>444</v>
      </c>
      <c r="X105" s="5" t="s">
        <v>661</v>
      </c>
      <c r="Y105" s="5" t="s">
        <v>662</v>
      </c>
      <c r="Z105" s="9">
        <v>46268</v>
      </c>
      <c r="AA105" s="8">
        <v>12</v>
      </c>
      <c r="AB105" s="9">
        <f t="shared" si="4"/>
        <v>46633</v>
      </c>
      <c r="AC105" s="10">
        <v>15</v>
      </c>
      <c r="AD105" s="7">
        <f t="shared" si="5"/>
        <v>1758</v>
      </c>
      <c r="AE105" s="7">
        <f>IF(F105="Bullet",H105*AD105,MIN(MAX(I105,1),Assumptions!$B$6)*AD105)</f>
        <v>1758</v>
      </c>
      <c r="AF105" s="8">
        <f>IF(F105="Bullet",MAX(0,Assumptions!$B$4-AB105),MAX(0,Assumptions!$B$4-L105))</f>
        <v>0</v>
      </c>
      <c r="AG105" s="9"/>
      <c r="AH105" s="8" t="str">
        <f>IF(AG105="","",Assumptions!$B$4-AG105)</f>
        <v/>
      </c>
      <c r="AI105" s="5" t="s">
        <v>80</v>
      </c>
      <c r="AJ105" s="8"/>
      <c r="AK105" s="8">
        <v>1</v>
      </c>
      <c r="AL105" s="8">
        <v>635</v>
      </c>
      <c r="AM105" s="8">
        <v>0</v>
      </c>
      <c r="AN105" s="5" t="s">
        <v>57</v>
      </c>
      <c r="AO105" s="10">
        <v>55.4</v>
      </c>
      <c r="AP105" s="8">
        <v>23</v>
      </c>
      <c r="AQ105" s="9">
        <v>46283</v>
      </c>
      <c r="AR105" s="5" t="s">
        <v>51</v>
      </c>
      <c r="AS105" s="5" t="s">
        <v>81</v>
      </c>
    </row>
    <row r="106" spans="1:45" x14ac:dyDescent="0.35">
      <c r="A106" s="5" t="s">
        <v>663</v>
      </c>
      <c r="B106" s="5" t="s">
        <v>263</v>
      </c>
      <c r="C106" s="6" t="s">
        <v>664</v>
      </c>
      <c r="D106" s="7">
        <v>81800</v>
      </c>
      <c r="E106" s="5" t="s">
        <v>48</v>
      </c>
      <c r="F106" s="5" t="s">
        <v>49</v>
      </c>
      <c r="G106" s="8"/>
      <c r="H106" s="8" t="str">
        <f>IF(F106="Bullet",MIN(G106,Assumptions!$B$6),"")</f>
        <v/>
      </c>
      <c r="I106" s="8">
        <v>1</v>
      </c>
      <c r="J106" s="8">
        <f>IF(F106="Monthly interest",MAX(0,Assumptions!$B$5-I106),"")</f>
        <v>2</v>
      </c>
      <c r="K106" s="7">
        <f t="shared" si="3"/>
        <v>1363</v>
      </c>
      <c r="L106" s="9">
        <v>46281</v>
      </c>
      <c r="M106" s="5" t="s">
        <v>69</v>
      </c>
      <c r="N106" s="5" t="s">
        <v>51</v>
      </c>
      <c r="O106" s="5" t="s">
        <v>52</v>
      </c>
      <c r="P106" s="5" t="s">
        <v>53</v>
      </c>
      <c r="Q106" s="5" t="s">
        <v>54</v>
      </c>
      <c r="R106" s="5" t="s">
        <v>55</v>
      </c>
      <c r="S106" s="5" t="s">
        <v>85</v>
      </c>
      <c r="T106" s="5" t="s">
        <v>57</v>
      </c>
      <c r="U106" s="5" t="s">
        <v>104</v>
      </c>
      <c r="V106" s="5" t="s">
        <v>177</v>
      </c>
      <c r="W106" s="5" t="s">
        <v>345</v>
      </c>
      <c r="X106" s="5" t="s">
        <v>665</v>
      </c>
      <c r="Y106" s="5" t="s">
        <v>666</v>
      </c>
      <c r="Z106" s="9">
        <v>46128</v>
      </c>
      <c r="AA106" s="8">
        <v>18</v>
      </c>
      <c r="AB106" s="9">
        <f t="shared" si="4"/>
        <v>46676</v>
      </c>
      <c r="AC106" s="10">
        <v>20</v>
      </c>
      <c r="AD106" s="7">
        <f t="shared" si="5"/>
        <v>1363</v>
      </c>
      <c r="AE106" s="7">
        <f>IF(F106="Bullet",H106*AD106,MIN(MAX(I106,1),Assumptions!$B$6)*AD106)</f>
        <v>1363</v>
      </c>
      <c r="AF106" s="8">
        <f>IF(F106="Bullet",MAX(0,Assumptions!$B$4-AB106),MAX(0,Assumptions!$B$4-L106))</f>
        <v>17</v>
      </c>
      <c r="AG106" s="9">
        <v>46250</v>
      </c>
      <c r="AH106" s="8">
        <f>IF(AG106="","",Assumptions!$B$4-AG106)</f>
        <v>48</v>
      </c>
      <c r="AI106" s="5" t="s">
        <v>63</v>
      </c>
      <c r="AJ106" s="8">
        <v>3</v>
      </c>
      <c r="AK106" s="8">
        <v>0</v>
      </c>
      <c r="AL106" s="8">
        <v>721</v>
      </c>
      <c r="AM106" s="8">
        <v>3</v>
      </c>
      <c r="AN106" s="5" t="s">
        <v>63</v>
      </c>
      <c r="AO106" s="10">
        <v>81.900000000000006</v>
      </c>
      <c r="AP106" s="8">
        <v>42</v>
      </c>
      <c r="AQ106" s="9">
        <v>46295</v>
      </c>
      <c r="AR106" s="5" t="s">
        <v>53</v>
      </c>
      <c r="AS106" s="5" t="s">
        <v>64</v>
      </c>
    </row>
    <row r="107" spans="1:45" x14ac:dyDescent="0.35">
      <c r="A107" s="5" t="s">
        <v>667</v>
      </c>
      <c r="B107" s="5" t="s">
        <v>668</v>
      </c>
      <c r="C107" s="6" t="s">
        <v>669</v>
      </c>
      <c r="D107" s="7">
        <v>202500</v>
      </c>
      <c r="E107" s="5" t="s">
        <v>48</v>
      </c>
      <c r="F107" s="5" t="s">
        <v>49</v>
      </c>
      <c r="G107" s="8"/>
      <c r="H107" s="8" t="str">
        <f>IF(F107="Bullet",MIN(G107,Assumptions!$B$6),"")</f>
        <v/>
      </c>
      <c r="I107" s="8">
        <v>2</v>
      </c>
      <c r="J107" s="8">
        <f>IF(F107="Monthly interest",MAX(0,Assumptions!$B$5-I107),"")</f>
        <v>1</v>
      </c>
      <c r="K107" s="7">
        <f t="shared" si="3"/>
        <v>4726</v>
      </c>
      <c r="L107" s="9">
        <v>46256</v>
      </c>
      <c r="M107" s="5" t="s">
        <v>69</v>
      </c>
      <c r="N107" s="5" t="s">
        <v>70</v>
      </c>
      <c r="O107" s="5" t="s">
        <v>71</v>
      </c>
      <c r="P107" s="5" t="s">
        <v>72</v>
      </c>
      <c r="Q107" s="5" t="s">
        <v>73</v>
      </c>
      <c r="R107" s="5" t="s">
        <v>74</v>
      </c>
      <c r="S107" s="5" t="s">
        <v>56</v>
      </c>
      <c r="T107" s="5" t="s">
        <v>57</v>
      </c>
      <c r="U107" s="5" t="s">
        <v>86</v>
      </c>
      <c r="V107" s="5" t="s">
        <v>59</v>
      </c>
      <c r="W107" s="5" t="s">
        <v>156</v>
      </c>
      <c r="X107" s="5" t="s">
        <v>670</v>
      </c>
      <c r="Y107" s="5" t="s">
        <v>671</v>
      </c>
      <c r="Z107" s="9">
        <v>46044</v>
      </c>
      <c r="AA107" s="8">
        <v>12</v>
      </c>
      <c r="AB107" s="9">
        <f t="shared" si="4"/>
        <v>46409</v>
      </c>
      <c r="AC107" s="10">
        <v>14</v>
      </c>
      <c r="AD107" s="7">
        <f t="shared" si="5"/>
        <v>2363</v>
      </c>
      <c r="AE107" s="7">
        <f>IF(F107="Bullet",H107*AD107,MIN(MAX(I107,1),Assumptions!$B$6)*AD107)</f>
        <v>4726</v>
      </c>
      <c r="AF107" s="8">
        <f>IF(F107="Bullet",MAX(0,Assumptions!$B$4-AB107),MAX(0,Assumptions!$B$4-L107))</f>
        <v>42</v>
      </c>
      <c r="AG107" s="9">
        <v>46225</v>
      </c>
      <c r="AH107" s="8">
        <f>IF(AG107="","",Assumptions!$B$4-AG107)</f>
        <v>73</v>
      </c>
      <c r="AI107" s="5" t="s">
        <v>63</v>
      </c>
      <c r="AJ107" s="8">
        <v>2</v>
      </c>
      <c r="AK107" s="8">
        <v>0</v>
      </c>
      <c r="AL107" s="8">
        <v>696</v>
      </c>
      <c r="AM107" s="8">
        <v>1</v>
      </c>
      <c r="AN107" s="5" t="s">
        <v>63</v>
      </c>
      <c r="AO107" s="10">
        <v>77.5</v>
      </c>
      <c r="AP107" s="8">
        <v>39</v>
      </c>
      <c r="AQ107" s="9">
        <v>46278</v>
      </c>
      <c r="AR107" s="5" t="s">
        <v>51</v>
      </c>
      <c r="AS107" s="5" t="s">
        <v>91</v>
      </c>
    </row>
    <row r="108" spans="1:45" x14ac:dyDescent="0.35">
      <c r="A108" s="5" t="s">
        <v>672</v>
      </c>
      <c r="B108" s="5" t="s">
        <v>673</v>
      </c>
      <c r="C108" s="6" t="s">
        <v>674</v>
      </c>
      <c r="D108" s="7">
        <v>131600</v>
      </c>
      <c r="E108" s="5" t="s">
        <v>48</v>
      </c>
      <c r="F108" s="5" t="s">
        <v>68</v>
      </c>
      <c r="G108" s="8">
        <v>4</v>
      </c>
      <c r="H108" s="8">
        <f>IF(F108="Bullet",MIN(G108,Assumptions!$B$6),"")</f>
        <v>2</v>
      </c>
      <c r="I108" s="8"/>
      <c r="J108" s="8" t="str">
        <f>IF(F108="Monthly interest",MAX(0,Assumptions!$B$5-I108),"")</f>
        <v/>
      </c>
      <c r="K108" s="7">
        <f t="shared" si="3"/>
        <v>5704</v>
      </c>
      <c r="L108" s="9">
        <v>46159</v>
      </c>
      <c r="M108" s="5" t="s">
        <v>116</v>
      </c>
      <c r="N108" s="5" t="s">
        <v>117</v>
      </c>
      <c r="O108" s="5" t="s">
        <v>207</v>
      </c>
      <c r="P108" s="5" t="s">
        <v>72</v>
      </c>
      <c r="Q108" s="5" t="s">
        <v>73</v>
      </c>
      <c r="R108" s="5" t="s">
        <v>74</v>
      </c>
      <c r="S108" s="5" t="s">
        <v>56</v>
      </c>
      <c r="T108" s="5" t="s">
        <v>57</v>
      </c>
      <c r="U108" s="5" t="s">
        <v>58</v>
      </c>
      <c r="V108" s="5" t="s">
        <v>59</v>
      </c>
      <c r="W108" s="5" t="s">
        <v>467</v>
      </c>
      <c r="X108" s="5" t="s">
        <v>675</v>
      </c>
      <c r="Y108" s="5" t="s">
        <v>676</v>
      </c>
      <c r="Z108" s="9">
        <v>46159</v>
      </c>
      <c r="AA108" s="8">
        <v>3</v>
      </c>
      <c r="AB108" s="9">
        <f t="shared" si="4"/>
        <v>46251</v>
      </c>
      <c r="AC108" s="10">
        <v>13</v>
      </c>
      <c r="AD108" s="7">
        <f t="shared" si="5"/>
        <v>1426</v>
      </c>
      <c r="AE108" s="7">
        <f>IF(F108="Bullet",H108*AD108,MIN(MAX(I108,1),Assumptions!$B$6)*AD108)</f>
        <v>2852</v>
      </c>
      <c r="AF108" s="8">
        <f>IF(F108="Bullet",MAX(0,Assumptions!$B$4-AB108),MAX(0,Assumptions!$B$4-L108))</f>
        <v>47</v>
      </c>
      <c r="AG108" s="9"/>
      <c r="AH108" s="8" t="str">
        <f>IF(AG108="","",Assumptions!$B$4-AG108)</f>
        <v/>
      </c>
      <c r="AI108" s="5" t="s">
        <v>80</v>
      </c>
      <c r="AJ108" s="8"/>
      <c r="AK108" s="8">
        <v>1</v>
      </c>
      <c r="AL108" s="8">
        <v>687</v>
      </c>
      <c r="AM108" s="8">
        <v>0</v>
      </c>
      <c r="AN108" s="5" t="s">
        <v>63</v>
      </c>
      <c r="AO108" s="10">
        <v>79.900000000000006</v>
      </c>
      <c r="AP108" s="8">
        <v>52</v>
      </c>
      <c r="AQ108" s="9">
        <v>46273</v>
      </c>
      <c r="AR108" s="5" t="s">
        <v>51</v>
      </c>
      <c r="AS108" s="5" t="s">
        <v>81</v>
      </c>
    </row>
    <row r="109" spans="1:45" x14ac:dyDescent="0.35">
      <c r="A109" s="5" t="s">
        <v>677</v>
      </c>
      <c r="B109" s="5" t="s">
        <v>678</v>
      </c>
      <c r="C109" s="6" t="s">
        <v>679</v>
      </c>
      <c r="D109" s="7">
        <v>85700</v>
      </c>
      <c r="E109" s="5" t="s">
        <v>48</v>
      </c>
      <c r="F109" s="5" t="s">
        <v>68</v>
      </c>
      <c r="G109" s="8">
        <v>6</v>
      </c>
      <c r="H109" s="8">
        <f>IF(F109="Bullet",MIN(G109,Assumptions!$B$6),"")</f>
        <v>2</v>
      </c>
      <c r="I109" s="8"/>
      <c r="J109" s="8" t="str">
        <f>IF(F109="Monthly interest",MAX(0,Assumptions!$B$5-I109),"")</f>
        <v/>
      </c>
      <c r="K109" s="7">
        <f t="shared" si="3"/>
        <v>6426</v>
      </c>
      <c r="L109" s="9">
        <v>46113</v>
      </c>
      <c r="M109" s="5" t="s">
        <v>116</v>
      </c>
      <c r="N109" s="5" t="s">
        <v>117</v>
      </c>
      <c r="O109" s="5" t="s">
        <v>461</v>
      </c>
      <c r="P109" s="5" t="s">
        <v>72</v>
      </c>
      <c r="Q109" s="5" t="s">
        <v>169</v>
      </c>
      <c r="R109" s="5" t="s">
        <v>170</v>
      </c>
      <c r="S109" s="5" t="s">
        <v>185</v>
      </c>
      <c r="T109" s="5" t="s">
        <v>57</v>
      </c>
      <c r="U109" s="5" t="s">
        <v>58</v>
      </c>
      <c r="V109" s="5" t="s">
        <v>200</v>
      </c>
      <c r="W109" s="5" t="s">
        <v>433</v>
      </c>
      <c r="X109" s="5" t="s">
        <v>434</v>
      </c>
      <c r="Y109" s="5" t="s">
        <v>680</v>
      </c>
      <c r="Z109" s="9">
        <v>46113</v>
      </c>
      <c r="AA109" s="8">
        <v>6</v>
      </c>
      <c r="AB109" s="9">
        <f t="shared" si="4"/>
        <v>46296</v>
      </c>
      <c r="AC109" s="10">
        <v>15</v>
      </c>
      <c r="AD109" s="7">
        <f t="shared" si="5"/>
        <v>1071</v>
      </c>
      <c r="AE109" s="7">
        <f>IF(F109="Bullet",H109*AD109,MIN(MAX(I109,1),Assumptions!$B$6)*AD109)</f>
        <v>2142</v>
      </c>
      <c r="AF109" s="8">
        <f>IF(F109="Bullet",MAX(0,Assumptions!$B$4-AB109),MAX(0,Assumptions!$B$4-L109))</f>
        <v>2</v>
      </c>
      <c r="AG109" s="9"/>
      <c r="AH109" s="8" t="str">
        <f>IF(AG109="","",Assumptions!$B$4-AG109)</f>
        <v/>
      </c>
      <c r="AI109" s="5" t="s">
        <v>80</v>
      </c>
      <c r="AJ109" s="8"/>
      <c r="AK109" s="8">
        <v>2</v>
      </c>
      <c r="AL109" s="8">
        <v>626</v>
      </c>
      <c r="AM109" s="8">
        <v>0</v>
      </c>
      <c r="AN109" s="5" t="s">
        <v>63</v>
      </c>
      <c r="AO109" s="10">
        <v>63.4</v>
      </c>
      <c r="AP109" s="8">
        <v>80</v>
      </c>
      <c r="AQ109" s="9">
        <v>46288</v>
      </c>
      <c r="AR109" s="5" t="s">
        <v>70</v>
      </c>
      <c r="AS109" s="5" t="s">
        <v>81</v>
      </c>
    </row>
    <row r="110" spans="1:45" x14ac:dyDescent="0.35">
      <c r="A110" s="5" t="s">
        <v>681</v>
      </c>
      <c r="B110" s="5" t="s">
        <v>682</v>
      </c>
      <c r="C110" s="6" t="s">
        <v>683</v>
      </c>
      <c r="D110" s="7">
        <v>54400</v>
      </c>
      <c r="E110" s="5" t="s">
        <v>48</v>
      </c>
      <c r="F110" s="5" t="s">
        <v>68</v>
      </c>
      <c r="G110" s="8">
        <v>2</v>
      </c>
      <c r="H110" s="8">
        <f>IF(F110="Bullet",MIN(G110,Assumptions!$B$6),"")</f>
        <v>2</v>
      </c>
      <c r="I110" s="8"/>
      <c r="J110" s="8" t="str">
        <f>IF(F110="Monthly interest",MAX(0,Assumptions!$B$5-I110),"")</f>
        <v/>
      </c>
      <c r="K110" s="7">
        <f t="shared" si="3"/>
        <v>1088</v>
      </c>
      <c r="L110" s="9">
        <v>46230</v>
      </c>
      <c r="M110" s="5" t="s">
        <v>50</v>
      </c>
      <c r="N110" s="5" t="s">
        <v>53</v>
      </c>
      <c r="O110" s="5" t="s">
        <v>132</v>
      </c>
      <c r="P110" s="5" t="s">
        <v>70</v>
      </c>
      <c r="Q110" s="5" t="s">
        <v>73</v>
      </c>
      <c r="R110" s="5" t="s">
        <v>74</v>
      </c>
      <c r="S110" s="5" t="s">
        <v>85</v>
      </c>
      <c r="T110" s="5" t="s">
        <v>63</v>
      </c>
      <c r="U110" s="5" t="s">
        <v>58</v>
      </c>
      <c r="V110" s="5" t="s">
        <v>177</v>
      </c>
      <c r="W110" s="5" t="s">
        <v>345</v>
      </c>
      <c r="X110" s="5" t="s">
        <v>684</v>
      </c>
      <c r="Y110" s="5" t="s">
        <v>685</v>
      </c>
      <c r="Z110" s="9">
        <v>46230</v>
      </c>
      <c r="AA110" s="8">
        <v>12</v>
      </c>
      <c r="AB110" s="9">
        <f t="shared" si="4"/>
        <v>46595</v>
      </c>
      <c r="AC110" s="10">
        <v>12</v>
      </c>
      <c r="AD110" s="7">
        <f t="shared" si="5"/>
        <v>544</v>
      </c>
      <c r="AE110" s="7">
        <f>IF(F110="Bullet",H110*AD110,MIN(MAX(I110,1),Assumptions!$B$6)*AD110)</f>
        <v>1088</v>
      </c>
      <c r="AF110" s="8">
        <f>IF(F110="Bullet",MAX(0,Assumptions!$B$4-AB110),MAX(0,Assumptions!$B$4-L110))</f>
        <v>0</v>
      </c>
      <c r="AG110" s="9"/>
      <c r="AH110" s="8" t="str">
        <f>IF(AG110="","",Assumptions!$B$4-AG110)</f>
        <v/>
      </c>
      <c r="AI110" s="5" t="s">
        <v>80</v>
      </c>
      <c r="AJ110" s="8"/>
      <c r="AK110" s="8">
        <v>1</v>
      </c>
      <c r="AL110" s="8">
        <v>808</v>
      </c>
      <c r="AM110" s="8">
        <v>1</v>
      </c>
      <c r="AN110" s="5" t="s">
        <v>63</v>
      </c>
      <c r="AO110" s="10">
        <v>78</v>
      </c>
      <c r="AP110" s="8">
        <v>13</v>
      </c>
      <c r="AQ110" s="9">
        <v>46291</v>
      </c>
      <c r="AR110" s="5" t="s">
        <v>51</v>
      </c>
      <c r="AS110" s="5" t="s">
        <v>91</v>
      </c>
    </row>
    <row r="111" spans="1:45" x14ac:dyDescent="0.35">
      <c r="A111" s="5" t="s">
        <v>686</v>
      </c>
      <c r="B111" s="5" t="s">
        <v>687</v>
      </c>
      <c r="C111" s="6" t="s">
        <v>688</v>
      </c>
      <c r="D111" s="7">
        <v>21700</v>
      </c>
      <c r="E111" s="5" t="s">
        <v>48</v>
      </c>
      <c r="F111" s="5" t="s">
        <v>68</v>
      </c>
      <c r="G111" s="8">
        <v>3</v>
      </c>
      <c r="H111" s="8">
        <f>IF(F111="Bullet",MIN(G111,Assumptions!$B$6),"")</f>
        <v>2</v>
      </c>
      <c r="I111" s="8"/>
      <c r="J111" s="8" t="str">
        <f>IF(F111="Monthly interest",MAX(0,Assumptions!$B$5-I111),"")</f>
        <v/>
      </c>
      <c r="K111" s="7">
        <f t="shared" si="3"/>
        <v>705</v>
      </c>
      <c r="L111" s="9">
        <v>46203</v>
      </c>
      <c r="M111" s="5" t="s">
        <v>116</v>
      </c>
      <c r="N111" s="5" t="s">
        <v>117</v>
      </c>
      <c r="O111" s="5" t="s">
        <v>450</v>
      </c>
      <c r="P111" s="5" t="s">
        <v>72</v>
      </c>
      <c r="Q111" s="5" t="s">
        <v>154</v>
      </c>
      <c r="R111" s="5" t="s">
        <v>155</v>
      </c>
      <c r="S111" s="5" t="s">
        <v>214</v>
      </c>
      <c r="T111" s="5" t="s">
        <v>57</v>
      </c>
      <c r="U111" s="5" t="s">
        <v>58</v>
      </c>
      <c r="V111" s="5" t="s">
        <v>215</v>
      </c>
      <c r="W111" s="5" t="s">
        <v>284</v>
      </c>
      <c r="X111" s="5" t="s">
        <v>689</v>
      </c>
      <c r="Y111" s="5" t="s">
        <v>690</v>
      </c>
      <c r="Z111" s="9">
        <v>46203</v>
      </c>
      <c r="AA111" s="8">
        <v>3</v>
      </c>
      <c r="AB111" s="9">
        <f t="shared" si="4"/>
        <v>46295</v>
      </c>
      <c r="AC111" s="10">
        <v>13</v>
      </c>
      <c r="AD111" s="7">
        <f t="shared" si="5"/>
        <v>235</v>
      </c>
      <c r="AE111" s="7">
        <f>IF(F111="Bullet",H111*AD111,MIN(MAX(I111,1),Assumptions!$B$6)*AD111)</f>
        <v>470</v>
      </c>
      <c r="AF111" s="8">
        <f>IF(F111="Bullet",MAX(0,Assumptions!$B$4-AB111),MAX(0,Assumptions!$B$4-L111))</f>
        <v>3</v>
      </c>
      <c r="AG111" s="9"/>
      <c r="AH111" s="8" t="str">
        <f>IF(AG111="","",Assumptions!$B$4-AG111)</f>
        <v/>
      </c>
      <c r="AI111" s="5" t="s">
        <v>80</v>
      </c>
      <c r="AJ111" s="8"/>
      <c r="AK111" s="8">
        <v>1</v>
      </c>
      <c r="AL111" s="8">
        <v>741</v>
      </c>
      <c r="AM111" s="8">
        <v>0</v>
      </c>
      <c r="AN111" s="5" t="s">
        <v>57</v>
      </c>
      <c r="AO111" s="10">
        <v>84.4</v>
      </c>
      <c r="AP111" s="8">
        <v>60</v>
      </c>
      <c r="AQ111" s="9">
        <v>46284</v>
      </c>
      <c r="AR111" s="5" t="s">
        <v>53</v>
      </c>
      <c r="AS111" s="5" t="s">
        <v>274</v>
      </c>
    </row>
    <row r="112" spans="1:45" x14ac:dyDescent="0.35">
      <c r="A112" s="5" t="s">
        <v>691</v>
      </c>
      <c r="B112" s="5" t="s">
        <v>692</v>
      </c>
      <c r="C112" s="6" t="s">
        <v>693</v>
      </c>
      <c r="D112" s="7">
        <v>141700</v>
      </c>
      <c r="E112" s="5" t="s">
        <v>48</v>
      </c>
      <c r="F112" s="5" t="s">
        <v>49</v>
      </c>
      <c r="G112" s="8"/>
      <c r="H112" s="8" t="str">
        <f>IF(F112="Bullet",MIN(G112,Assumptions!$B$6),"")</f>
        <v/>
      </c>
      <c r="I112" s="8">
        <v>2</v>
      </c>
      <c r="J112" s="8">
        <f>IF(F112="Monthly interest",MAX(0,Assumptions!$B$5-I112),"")</f>
        <v>1</v>
      </c>
      <c r="K112" s="7">
        <f t="shared" si="3"/>
        <v>5196</v>
      </c>
      <c r="L112" s="9">
        <v>46250</v>
      </c>
      <c r="M112" s="5" t="s">
        <v>69</v>
      </c>
      <c r="N112" s="5" t="s">
        <v>53</v>
      </c>
      <c r="O112" s="5" t="s">
        <v>71</v>
      </c>
      <c r="P112" s="5" t="s">
        <v>70</v>
      </c>
      <c r="Q112" s="5" t="s">
        <v>73</v>
      </c>
      <c r="R112" s="5" t="s">
        <v>74</v>
      </c>
      <c r="S112" s="5" t="s">
        <v>185</v>
      </c>
      <c r="T112" s="5" t="s">
        <v>57</v>
      </c>
      <c r="U112" s="5" t="s">
        <v>86</v>
      </c>
      <c r="V112" s="5" t="s">
        <v>186</v>
      </c>
      <c r="W112" s="5" t="s">
        <v>694</v>
      </c>
      <c r="X112" s="5" t="s">
        <v>695</v>
      </c>
      <c r="Y112" s="5" t="s">
        <v>696</v>
      </c>
      <c r="Z112" s="9">
        <v>46069</v>
      </c>
      <c r="AA112" s="8">
        <v>12</v>
      </c>
      <c r="AB112" s="9">
        <f t="shared" si="4"/>
        <v>46434</v>
      </c>
      <c r="AC112" s="10">
        <v>22</v>
      </c>
      <c r="AD112" s="7">
        <f t="shared" si="5"/>
        <v>2598</v>
      </c>
      <c r="AE112" s="7">
        <f>IF(F112="Bullet",H112*AD112,MIN(MAX(I112,1),Assumptions!$B$6)*AD112)</f>
        <v>5196</v>
      </c>
      <c r="AF112" s="8">
        <f>IF(F112="Bullet",MAX(0,Assumptions!$B$4-AB112),MAX(0,Assumptions!$B$4-L112))</f>
        <v>48</v>
      </c>
      <c r="AG112" s="9">
        <v>46224</v>
      </c>
      <c r="AH112" s="8">
        <f>IF(AG112="","",Assumptions!$B$4-AG112)</f>
        <v>74</v>
      </c>
      <c r="AI112" s="5" t="s">
        <v>63</v>
      </c>
      <c r="AJ112" s="8">
        <v>2</v>
      </c>
      <c r="AK112" s="8">
        <v>0</v>
      </c>
      <c r="AL112" s="8">
        <v>753</v>
      </c>
      <c r="AM112" s="8">
        <v>0</v>
      </c>
      <c r="AN112" s="5" t="s">
        <v>63</v>
      </c>
      <c r="AO112" s="10">
        <v>76.3</v>
      </c>
      <c r="AP112" s="8">
        <v>32</v>
      </c>
      <c r="AQ112" s="9">
        <v>46287</v>
      </c>
      <c r="AR112" s="5" t="s">
        <v>70</v>
      </c>
      <c r="AS112" s="5" t="s">
        <v>190</v>
      </c>
    </row>
    <row r="113" spans="1:45" x14ac:dyDescent="0.35">
      <c r="A113" s="5" t="s">
        <v>697</v>
      </c>
      <c r="B113" s="5" t="s">
        <v>698</v>
      </c>
      <c r="C113" s="6" t="s">
        <v>699</v>
      </c>
      <c r="D113" s="7">
        <v>1001100</v>
      </c>
      <c r="E113" s="5" t="s">
        <v>48</v>
      </c>
      <c r="F113" s="5" t="s">
        <v>49</v>
      </c>
      <c r="G113" s="8"/>
      <c r="H113" s="8" t="str">
        <f>IF(F113="Bullet",MIN(G113,Assumptions!$B$6),"")</f>
        <v/>
      </c>
      <c r="I113" s="8">
        <v>2</v>
      </c>
      <c r="J113" s="8">
        <f>IF(F113="Monthly interest",MAX(0,Assumptions!$B$5-I113),"")</f>
        <v>1</v>
      </c>
      <c r="K113" s="7">
        <f t="shared" si="3"/>
        <v>25028</v>
      </c>
      <c r="L113" s="9">
        <v>46252</v>
      </c>
      <c r="M113" s="5" t="s">
        <v>116</v>
      </c>
      <c r="N113" s="5" t="s">
        <v>117</v>
      </c>
      <c r="O113" s="5" t="s">
        <v>118</v>
      </c>
      <c r="P113" s="5" t="s">
        <v>72</v>
      </c>
      <c r="Q113" s="5" t="s">
        <v>119</v>
      </c>
      <c r="R113" s="5" t="s">
        <v>120</v>
      </c>
      <c r="S113" s="5" t="s">
        <v>75</v>
      </c>
      <c r="T113" s="5" t="s">
        <v>57</v>
      </c>
      <c r="U113" s="5" t="s">
        <v>104</v>
      </c>
      <c r="V113" s="5" t="s">
        <v>76</v>
      </c>
      <c r="W113" s="5" t="s">
        <v>306</v>
      </c>
      <c r="X113" s="5" t="s">
        <v>700</v>
      </c>
      <c r="Y113" s="5" t="s">
        <v>701</v>
      </c>
      <c r="Z113" s="9">
        <v>46191</v>
      </c>
      <c r="AA113" s="8">
        <v>18</v>
      </c>
      <c r="AB113" s="9">
        <f t="shared" si="4"/>
        <v>46739</v>
      </c>
      <c r="AC113" s="10">
        <v>15</v>
      </c>
      <c r="AD113" s="7">
        <f t="shared" si="5"/>
        <v>12514</v>
      </c>
      <c r="AE113" s="7">
        <f>IF(F113="Bullet",H113*AD113,MIN(MAX(I113,1),Assumptions!$B$6)*AD113)</f>
        <v>25028</v>
      </c>
      <c r="AF113" s="8">
        <f>IF(F113="Bullet",MAX(0,Assumptions!$B$4-AB113),MAX(0,Assumptions!$B$4-L113))</f>
        <v>46</v>
      </c>
      <c r="AG113" s="9">
        <v>46224</v>
      </c>
      <c r="AH113" s="8">
        <f>IF(AG113="","",Assumptions!$B$4-AG113)</f>
        <v>74</v>
      </c>
      <c r="AI113" s="5" t="s">
        <v>63</v>
      </c>
      <c r="AJ113" s="8">
        <v>4</v>
      </c>
      <c r="AK113" s="8">
        <v>0</v>
      </c>
      <c r="AL113" s="8">
        <v>682</v>
      </c>
      <c r="AM113" s="8">
        <v>2</v>
      </c>
      <c r="AN113" s="5" t="s">
        <v>63</v>
      </c>
      <c r="AO113" s="10">
        <v>57</v>
      </c>
      <c r="AP113" s="8">
        <v>53</v>
      </c>
      <c r="AQ113" s="9">
        <v>46294</v>
      </c>
      <c r="AR113" s="5" t="s">
        <v>70</v>
      </c>
      <c r="AS113" s="5" t="s">
        <v>81</v>
      </c>
    </row>
    <row r="114" spans="1:45" x14ac:dyDescent="0.35">
      <c r="A114" s="5" t="s">
        <v>702</v>
      </c>
      <c r="B114" s="5" t="s">
        <v>703</v>
      </c>
      <c r="C114" s="6" t="s">
        <v>704</v>
      </c>
      <c r="D114" s="7">
        <v>196800</v>
      </c>
      <c r="E114" s="5" t="s">
        <v>48</v>
      </c>
      <c r="F114" s="5" t="s">
        <v>49</v>
      </c>
      <c r="G114" s="8"/>
      <c r="H114" s="8" t="str">
        <f>IF(F114="Bullet",MIN(G114,Assumptions!$B$6),"")</f>
        <v/>
      </c>
      <c r="I114" s="8">
        <v>2</v>
      </c>
      <c r="J114" s="8">
        <f>IF(F114="Monthly interest",MAX(0,Assumptions!$B$5-I114),"")</f>
        <v>1</v>
      </c>
      <c r="K114" s="7">
        <f t="shared" si="3"/>
        <v>4592</v>
      </c>
      <c r="L114" s="9">
        <v>46256</v>
      </c>
      <c r="M114" s="5" t="s">
        <v>116</v>
      </c>
      <c r="N114" s="5" t="s">
        <v>117</v>
      </c>
      <c r="O114" s="5" t="s">
        <v>118</v>
      </c>
      <c r="P114" s="5" t="s">
        <v>72</v>
      </c>
      <c r="Q114" s="5" t="s">
        <v>119</v>
      </c>
      <c r="R114" s="5" t="s">
        <v>120</v>
      </c>
      <c r="S114" s="5" t="s">
        <v>56</v>
      </c>
      <c r="T114" s="5" t="s">
        <v>57</v>
      </c>
      <c r="U114" s="5" t="s">
        <v>86</v>
      </c>
      <c r="V114" s="5" t="s">
        <v>59</v>
      </c>
      <c r="W114" s="5" t="s">
        <v>156</v>
      </c>
      <c r="X114" s="5" t="s">
        <v>705</v>
      </c>
      <c r="Y114" s="5" t="s">
        <v>706</v>
      </c>
      <c r="Z114" s="9">
        <v>46013</v>
      </c>
      <c r="AA114" s="8">
        <v>12</v>
      </c>
      <c r="AB114" s="9">
        <f t="shared" si="4"/>
        <v>46378</v>
      </c>
      <c r="AC114" s="10">
        <v>14</v>
      </c>
      <c r="AD114" s="7">
        <f t="shared" si="5"/>
        <v>2296</v>
      </c>
      <c r="AE114" s="7">
        <f>IF(F114="Bullet",H114*AD114,MIN(MAX(I114,1),Assumptions!$B$6)*AD114)</f>
        <v>4592</v>
      </c>
      <c r="AF114" s="8">
        <f>IF(F114="Bullet",MAX(0,Assumptions!$B$4-AB114),MAX(0,Assumptions!$B$4-L114))</f>
        <v>42</v>
      </c>
      <c r="AG114" s="9">
        <v>46227</v>
      </c>
      <c r="AH114" s="8">
        <f>IF(AG114="","",Assumptions!$B$4-AG114)</f>
        <v>71</v>
      </c>
      <c r="AI114" s="5" t="s">
        <v>63</v>
      </c>
      <c r="AJ114" s="8">
        <v>2</v>
      </c>
      <c r="AK114" s="8">
        <v>0</v>
      </c>
      <c r="AL114" s="8">
        <v>629</v>
      </c>
      <c r="AM114" s="8">
        <v>0</v>
      </c>
      <c r="AN114" s="5" t="s">
        <v>63</v>
      </c>
      <c r="AO114" s="10">
        <v>49.1</v>
      </c>
      <c r="AP114" s="8">
        <v>49</v>
      </c>
      <c r="AQ114" s="9"/>
      <c r="AR114" s="5"/>
      <c r="AS114" s="5" t="s">
        <v>159</v>
      </c>
    </row>
    <row r="115" spans="1:45" x14ac:dyDescent="0.35">
      <c r="A115" s="5" t="s">
        <v>707</v>
      </c>
      <c r="B115" s="5" t="s">
        <v>708</v>
      </c>
      <c r="C115" s="6" t="s">
        <v>709</v>
      </c>
      <c r="D115" s="7">
        <v>67300</v>
      </c>
      <c r="E115" s="5" t="s">
        <v>48</v>
      </c>
      <c r="F115" s="5" t="s">
        <v>49</v>
      </c>
      <c r="G115" s="8"/>
      <c r="H115" s="8" t="str">
        <f>IF(F115="Bullet",MIN(G115,Assumptions!$B$6),"")</f>
        <v/>
      </c>
      <c r="I115" s="8">
        <v>1</v>
      </c>
      <c r="J115" s="8">
        <f>IF(F115="Monthly interest",MAX(0,Assumptions!$B$5-I115),"")</f>
        <v>2</v>
      </c>
      <c r="K115" s="7">
        <f t="shared" si="3"/>
        <v>841</v>
      </c>
      <c r="L115" s="9">
        <v>46272</v>
      </c>
      <c r="M115" s="5" t="s">
        <v>69</v>
      </c>
      <c r="N115" s="5" t="s">
        <v>51</v>
      </c>
      <c r="O115" s="5" t="s">
        <v>52</v>
      </c>
      <c r="P115" s="5" t="s">
        <v>53</v>
      </c>
      <c r="Q115" s="5" t="s">
        <v>54</v>
      </c>
      <c r="R115" s="5" t="s">
        <v>55</v>
      </c>
      <c r="S115" s="5" t="s">
        <v>214</v>
      </c>
      <c r="T115" s="5" t="s">
        <v>57</v>
      </c>
      <c r="U115" s="5" t="s">
        <v>86</v>
      </c>
      <c r="V115" s="5" t="s">
        <v>215</v>
      </c>
      <c r="W115" s="5" t="s">
        <v>216</v>
      </c>
      <c r="X115" s="5" t="s">
        <v>710</v>
      </c>
      <c r="Y115" s="5" t="s">
        <v>711</v>
      </c>
      <c r="Z115" s="9">
        <v>46119</v>
      </c>
      <c r="AA115" s="8">
        <v>12</v>
      </c>
      <c r="AB115" s="9">
        <f t="shared" si="4"/>
        <v>46484</v>
      </c>
      <c r="AC115" s="10">
        <v>15</v>
      </c>
      <c r="AD115" s="7">
        <f t="shared" si="5"/>
        <v>841</v>
      </c>
      <c r="AE115" s="7">
        <f>IF(F115="Bullet",H115*AD115,MIN(MAX(I115,1),Assumptions!$B$6)*AD115)</f>
        <v>841</v>
      </c>
      <c r="AF115" s="8">
        <f>IF(F115="Bullet",MAX(0,Assumptions!$B$4-AB115),MAX(0,Assumptions!$B$4-L115))</f>
        <v>26</v>
      </c>
      <c r="AG115" s="9">
        <v>46246</v>
      </c>
      <c r="AH115" s="8">
        <f>IF(AG115="","",Assumptions!$B$4-AG115)</f>
        <v>52</v>
      </c>
      <c r="AI115" s="5" t="s">
        <v>63</v>
      </c>
      <c r="AJ115" s="8">
        <v>1</v>
      </c>
      <c r="AK115" s="8">
        <v>0</v>
      </c>
      <c r="AL115" s="8">
        <v>615</v>
      </c>
      <c r="AM115" s="8">
        <v>0</v>
      </c>
      <c r="AN115" s="5" t="s">
        <v>57</v>
      </c>
      <c r="AO115" s="10">
        <v>82</v>
      </c>
      <c r="AP115" s="8">
        <v>46</v>
      </c>
      <c r="AQ115" s="9">
        <v>46278</v>
      </c>
      <c r="AR115" s="5" t="s">
        <v>70</v>
      </c>
      <c r="AS115" s="5" t="s">
        <v>81</v>
      </c>
    </row>
    <row r="116" spans="1:45" x14ac:dyDescent="0.35">
      <c r="A116" s="5" t="s">
        <v>712</v>
      </c>
      <c r="B116" s="5" t="s">
        <v>713</v>
      </c>
      <c r="C116" s="6" t="s">
        <v>714</v>
      </c>
      <c r="D116" s="7">
        <v>40500</v>
      </c>
      <c r="E116" s="5" t="s">
        <v>48</v>
      </c>
      <c r="F116" s="5" t="s">
        <v>68</v>
      </c>
      <c r="G116" s="8">
        <v>2</v>
      </c>
      <c r="H116" s="8">
        <f>IF(F116="Bullet",MIN(G116,Assumptions!$B$6),"")</f>
        <v>2</v>
      </c>
      <c r="I116" s="8"/>
      <c r="J116" s="8" t="str">
        <f>IF(F116="Monthly interest",MAX(0,Assumptions!$B$5-I116),"")</f>
        <v/>
      </c>
      <c r="K116" s="7">
        <f t="shared" si="3"/>
        <v>878</v>
      </c>
      <c r="L116" s="9">
        <v>46229</v>
      </c>
      <c r="M116" s="5" t="s">
        <v>69</v>
      </c>
      <c r="N116" s="5" t="s">
        <v>53</v>
      </c>
      <c r="O116" s="5" t="s">
        <v>152</v>
      </c>
      <c r="P116" s="5" t="s">
        <v>153</v>
      </c>
      <c r="Q116" s="5" t="s">
        <v>154</v>
      </c>
      <c r="R116" s="5" t="s">
        <v>155</v>
      </c>
      <c r="S116" s="5" t="s">
        <v>185</v>
      </c>
      <c r="T116" s="5" t="s">
        <v>63</v>
      </c>
      <c r="U116" s="5" t="s">
        <v>104</v>
      </c>
      <c r="V116" s="5" t="s">
        <v>186</v>
      </c>
      <c r="W116" s="5" t="s">
        <v>694</v>
      </c>
      <c r="X116" s="5" t="s">
        <v>715</v>
      </c>
      <c r="Y116" s="5" t="s">
        <v>716</v>
      </c>
      <c r="Z116" s="9">
        <v>46229</v>
      </c>
      <c r="AA116" s="8">
        <v>6</v>
      </c>
      <c r="AB116" s="9">
        <f t="shared" si="4"/>
        <v>46413</v>
      </c>
      <c r="AC116" s="10">
        <v>13</v>
      </c>
      <c r="AD116" s="7">
        <f t="shared" si="5"/>
        <v>439</v>
      </c>
      <c r="AE116" s="7">
        <f>IF(F116="Bullet",H116*AD116,MIN(MAX(I116,1),Assumptions!$B$6)*AD116)</f>
        <v>878</v>
      </c>
      <c r="AF116" s="8">
        <f>IF(F116="Bullet",MAX(0,Assumptions!$B$4-AB116),MAX(0,Assumptions!$B$4-L116))</f>
        <v>0</v>
      </c>
      <c r="AG116" s="9"/>
      <c r="AH116" s="8" t="str">
        <f>IF(AG116="","",Assumptions!$B$4-AG116)</f>
        <v/>
      </c>
      <c r="AI116" s="5" t="s">
        <v>80</v>
      </c>
      <c r="AJ116" s="8"/>
      <c r="AK116" s="8">
        <v>0</v>
      </c>
      <c r="AL116" s="8">
        <v>542</v>
      </c>
      <c r="AM116" s="8">
        <v>0</v>
      </c>
      <c r="AN116" s="5" t="s">
        <v>63</v>
      </c>
      <c r="AO116" s="10">
        <v>67.2</v>
      </c>
      <c r="AP116" s="8">
        <v>35</v>
      </c>
      <c r="AQ116" s="9"/>
      <c r="AR116" s="5"/>
      <c r="AS116" s="5" t="s">
        <v>159</v>
      </c>
    </row>
    <row r="117" spans="1:45" x14ac:dyDescent="0.35">
      <c r="A117" s="5" t="s">
        <v>717</v>
      </c>
      <c r="B117" s="5" t="s">
        <v>718</v>
      </c>
      <c r="C117" s="6" t="s">
        <v>719</v>
      </c>
      <c r="D117" s="7">
        <v>115100</v>
      </c>
      <c r="E117" s="5" t="s">
        <v>48</v>
      </c>
      <c r="F117" s="5" t="s">
        <v>49</v>
      </c>
      <c r="G117" s="8"/>
      <c r="H117" s="8" t="str">
        <f>IF(F117="Bullet",MIN(G117,Assumptions!$B$6),"")</f>
        <v/>
      </c>
      <c r="I117" s="8">
        <v>2</v>
      </c>
      <c r="J117" s="8">
        <f>IF(F117="Monthly interest",MAX(0,Assumptions!$B$5-I117),"")</f>
        <v>1</v>
      </c>
      <c r="K117" s="7">
        <f t="shared" si="3"/>
        <v>2878</v>
      </c>
      <c r="L117" s="9">
        <v>46249</v>
      </c>
      <c r="M117" s="5" t="s">
        <v>69</v>
      </c>
      <c r="N117" s="5" t="s">
        <v>70</v>
      </c>
      <c r="O117" s="5" t="s">
        <v>531</v>
      </c>
      <c r="P117" s="5" t="s">
        <v>72</v>
      </c>
      <c r="Q117" s="5" t="s">
        <v>73</v>
      </c>
      <c r="R117" s="5" t="s">
        <v>74</v>
      </c>
      <c r="S117" s="5" t="s">
        <v>56</v>
      </c>
      <c r="T117" s="5" t="s">
        <v>57</v>
      </c>
      <c r="U117" s="5" t="s">
        <v>104</v>
      </c>
      <c r="V117" s="5" t="s">
        <v>59</v>
      </c>
      <c r="W117" s="5" t="s">
        <v>60</v>
      </c>
      <c r="X117" s="5" t="s">
        <v>121</v>
      </c>
      <c r="Y117" s="5" t="s">
        <v>720</v>
      </c>
      <c r="Z117" s="9">
        <v>46096</v>
      </c>
      <c r="AA117" s="8">
        <v>12</v>
      </c>
      <c r="AB117" s="9">
        <f t="shared" si="4"/>
        <v>46461</v>
      </c>
      <c r="AC117" s="10">
        <v>15</v>
      </c>
      <c r="AD117" s="7">
        <f t="shared" si="5"/>
        <v>1439</v>
      </c>
      <c r="AE117" s="7">
        <f>IF(F117="Bullet",H117*AD117,MIN(MAX(I117,1),Assumptions!$B$6)*AD117)</f>
        <v>2878</v>
      </c>
      <c r="AF117" s="8">
        <f>IF(F117="Bullet",MAX(0,Assumptions!$B$4-AB117),MAX(0,Assumptions!$B$4-L117))</f>
        <v>49</v>
      </c>
      <c r="AG117" s="9">
        <v>46218</v>
      </c>
      <c r="AH117" s="8">
        <f>IF(AG117="","",Assumptions!$B$4-AG117)</f>
        <v>80</v>
      </c>
      <c r="AI117" s="5" t="s">
        <v>63</v>
      </c>
      <c r="AJ117" s="8">
        <v>2</v>
      </c>
      <c r="AK117" s="8">
        <v>1</v>
      </c>
      <c r="AL117" s="8">
        <v>760</v>
      </c>
      <c r="AM117" s="8">
        <v>2</v>
      </c>
      <c r="AN117" s="5" t="s">
        <v>63</v>
      </c>
      <c r="AO117" s="10">
        <v>65.3</v>
      </c>
      <c r="AP117" s="8">
        <v>44</v>
      </c>
      <c r="AQ117" s="9">
        <v>46273</v>
      </c>
      <c r="AR117" s="5" t="s">
        <v>53</v>
      </c>
      <c r="AS117" s="5" t="s">
        <v>81</v>
      </c>
    </row>
    <row r="118" spans="1:45" x14ac:dyDescent="0.35">
      <c r="A118" s="5" t="s">
        <v>721</v>
      </c>
      <c r="B118" s="5" t="s">
        <v>722</v>
      </c>
      <c r="C118" s="6" t="s">
        <v>723</v>
      </c>
      <c r="D118" s="7">
        <v>52600</v>
      </c>
      <c r="E118" s="5" t="s">
        <v>48</v>
      </c>
      <c r="F118" s="5" t="s">
        <v>49</v>
      </c>
      <c r="G118" s="8"/>
      <c r="H118" s="8" t="str">
        <f>IF(F118="Bullet",MIN(G118,Assumptions!$B$6),"")</f>
        <v/>
      </c>
      <c r="I118" s="8">
        <v>2</v>
      </c>
      <c r="J118" s="8">
        <f>IF(F118="Monthly interest",MAX(0,Assumptions!$B$5-I118),"")</f>
        <v>1</v>
      </c>
      <c r="K118" s="7">
        <f t="shared" si="3"/>
        <v>1228</v>
      </c>
      <c r="L118" s="9">
        <v>46239</v>
      </c>
      <c r="M118" s="5" t="s">
        <v>69</v>
      </c>
      <c r="N118" s="5" t="s">
        <v>53</v>
      </c>
      <c r="O118" s="5" t="s">
        <v>71</v>
      </c>
      <c r="P118" s="5" t="s">
        <v>70</v>
      </c>
      <c r="Q118" s="5" t="s">
        <v>73</v>
      </c>
      <c r="R118" s="5" t="s">
        <v>74</v>
      </c>
      <c r="S118" s="5" t="s">
        <v>85</v>
      </c>
      <c r="T118" s="5" t="s">
        <v>57</v>
      </c>
      <c r="U118" s="5" t="s">
        <v>86</v>
      </c>
      <c r="V118" s="5" t="s">
        <v>133</v>
      </c>
      <c r="W118" s="5" t="s">
        <v>594</v>
      </c>
      <c r="X118" s="5" t="s">
        <v>724</v>
      </c>
      <c r="Y118" s="5" t="s">
        <v>725</v>
      </c>
      <c r="Z118" s="9">
        <v>46027</v>
      </c>
      <c r="AA118" s="8">
        <v>18</v>
      </c>
      <c r="AB118" s="9">
        <f t="shared" si="4"/>
        <v>46573</v>
      </c>
      <c r="AC118" s="10">
        <v>14</v>
      </c>
      <c r="AD118" s="7">
        <f t="shared" si="5"/>
        <v>614</v>
      </c>
      <c r="AE118" s="7">
        <f>IF(F118="Bullet",H118*AD118,MIN(MAX(I118,1),Assumptions!$B$6)*AD118)</f>
        <v>1228</v>
      </c>
      <c r="AF118" s="8">
        <f>IF(F118="Bullet",MAX(0,Assumptions!$B$4-AB118),MAX(0,Assumptions!$B$4-L118))</f>
        <v>59</v>
      </c>
      <c r="AG118" s="9">
        <v>46209</v>
      </c>
      <c r="AH118" s="8">
        <f>IF(AG118="","",Assumptions!$B$4-AG118)</f>
        <v>89</v>
      </c>
      <c r="AI118" s="5" t="s">
        <v>63</v>
      </c>
      <c r="AJ118" s="8">
        <v>2</v>
      </c>
      <c r="AK118" s="8">
        <v>1</v>
      </c>
      <c r="AL118" s="8">
        <v>696</v>
      </c>
      <c r="AM118" s="8">
        <v>0</v>
      </c>
      <c r="AN118" s="5" t="s">
        <v>63</v>
      </c>
      <c r="AO118" s="10">
        <v>65</v>
      </c>
      <c r="AP118" s="8">
        <v>47</v>
      </c>
      <c r="AQ118" s="9">
        <v>46288</v>
      </c>
      <c r="AR118" s="5" t="s">
        <v>70</v>
      </c>
      <c r="AS118" s="5" t="s">
        <v>181</v>
      </c>
    </row>
    <row r="119" spans="1:45" x14ac:dyDescent="0.35">
      <c r="A119" s="5" t="s">
        <v>726</v>
      </c>
      <c r="B119" s="5" t="s">
        <v>727</v>
      </c>
      <c r="C119" s="6" t="s">
        <v>728</v>
      </c>
      <c r="D119" s="7">
        <v>159200</v>
      </c>
      <c r="E119" s="5" t="s">
        <v>48</v>
      </c>
      <c r="F119" s="5" t="s">
        <v>49</v>
      </c>
      <c r="G119" s="8"/>
      <c r="H119" s="8" t="str">
        <f>IF(F119="Bullet",MIN(G119,Assumptions!$B$6),"")</f>
        <v/>
      </c>
      <c r="I119" s="8">
        <v>1</v>
      </c>
      <c r="J119" s="8">
        <f>IF(F119="Monthly interest",MAX(0,Assumptions!$B$5-I119),"")</f>
        <v>2</v>
      </c>
      <c r="K119" s="7">
        <f t="shared" si="3"/>
        <v>2123</v>
      </c>
      <c r="L119" s="9">
        <v>46278</v>
      </c>
      <c r="M119" s="5" t="s">
        <v>50</v>
      </c>
      <c r="N119" s="5" t="s">
        <v>51</v>
      </c>
      <c r="O119" s="5" t="s">
        <v>52</v>
      </c>
      <c r="P119" s="5" t="s">
        <v>53</v>
      </c>
      <c r="Q119" s="5" t="s">
        <v>54</v>
      </c>
      <c r="R119" s="5" t="s">
        <v>55</v>
      </c>
      <c r="S119" s="5" t="s">
        <v>85</v>
      </c>
      <c r="T119" s="5" t="s">
        <v>57</v>
      </c>
      <c r="U119" s="5" t="s">
        <v>104</v>
      </c>
      <c r="V119" s="5" t="s">
        <v>133</v>
      </c>
      <c r="W119" s="5" t="s">
        <v>317</v>
      </c>
      <c r="X119" s="5" t="s">
        <v>729</v>
      </c>
      <c r="Y119" s="5" t="s">
        <v>730</v>
      </c>
      <c r="Z119" s="9">
        <v>46066</v>
      </c>
      <c r="AA119" s="8">
        <v>24</v>
      </c>
      <c r="AB119" s="9">
        <f t="shared" si="4"/>
        <v>46796</v>
      </c>
      <c r="AC119" s="10">
        <v>16</v>
      </c>
      <c r="AD119" s="7">
        <f t="shared" si="5"/>
        <v>2123</v>
      </c>
      <c r="AE119" s="7">
        <f>IF(F119="Bullet",H119*AD119,MIN(MAX(I119,1),Assumptions!$B$6)*AD119)</f>
        <v>2123</v>
      </c>
      <c r="AF119" s="8">
        <f>IF(F119="Bullet",MAX(0,Assumptions!$B$4-AB119),MAX(0,Assumptions!$B$4-L119))</f>
        <v>20</v>
      </c>
      <c r="AG119" s="9">
        <v>46252</v>
      </c>
      <c r="AH119" s="8">
        <f>IF(AG119="","",Assumptions!$B$4-AG119)</f>
        <v>46</v>
      </c>
      <c r="AI119" s="5" t="s">
        <v>63</v>
      </c>
      <c r="AJ119" s="8">
        <v>1</v>
      </c>
      <c r="AK119" s="8">
        <v>0</v>
      </c>
      <c r="AL119" s="8">
        <v>709</v>
      </c>
      <c r="AM119" s="8">
        <v>1</v>
      </c>
      <c r="AN119" s="5" t="s">
        <v>63</v>
      </c>
      <c r="AO119" s="10">
        <v>74.8</v>
      </c>
      <c r="AP119" s="8">
        <v>23</v>
      </c>
      <c r="AQ119" s="9">
        <v>46288</v>
      </c>
      <c r="AR119" s="5" t="s">
        <v>51</v>
      </c>
      <c r="AS119" s="5" t="s">
        <v>64</v>
      </c>
    </row>
    <row r="120" spans="1:45" x14ac:dyDescent="0.35">
      <c r="A120" s="5" t="s">
        <v>731</v>
      </c>
      <c r="B120" s="5" t="s">
        <v>732</v>
      </c>
      <c r="C120" s="6" t="s">
        <v>733</v>
      </c>
      <c r="D120" s="7">
        <v>21800</v>
      </c>
      <c r="E120" s="5" t="s">
        <v>48</v>
      </c>
      <c r="F120" s="5" t="s">
        <v>49</v>
      </c>
      <c r="G120" s="8"/>
      <c r="H120" s="8" t="str">
        <f>IF(F120="Bullet",MIN(G120,Assumptions!$B$6),"")</f>
        <v/>
      </c>
      <c r="I120" s="8">
        <v>2</v>
      </c>
      <c r="J120" s="8">
        <f>IF(F120="Monthly interest",MAX(0,Assumptions!$B$5-I120),"")</f>
        <v>1</v>
      </c>
      <c r="K120" s="7">
        <f t="shared" si="3"/>
        <v>872</v>
      </c>
      <c r="L120" s="9">
        <v>46257</v>
      </c>
      <c r="M120" s="5" t="s">
        <v>69</v>
      </c>
      <c r="N120" s="5" t="s">
        <v>53</v>
      </c>
      <c r="O120" s="5" t="s">
        <v>152</v>
      </c>
      <c r="P120" s="5" t="s">
        <v>153</v>
      </c>
      <c r="Q120" s="5" t="s">
        <v>154</v>
      </c>
      <c r="R120" s="5" t="s">
        <v>155</v>
      </c>
      <c r="S120" s="5" t="s">
        <v>185</v>
      </c>
      <c r="T120" s="5" t="s">
        <v>63</v>
      </c>
      <c r="U120" s="5" t="s">
        <v>58</v>
      </c>
      <c r="V120" s="5" t="s">
        <v>186</v>
      </c>
      <c r="W120" s="5" t="s">
        <v>187</v>
      </c>
      <c r="X120" s="5" t="s">
        <v>734</v>
      </c>
      <c r="Y120" s="5" t="s">
        <v>735</v>
      </c>
      <c r="Z120" s="9">
        <v>46014</v>
      </c>
      <c r="AA120" s="8">
        <v>18</v>
      </c>
      <c r="AB120" s="9">
        <f t="shared" si="4"/>
        <v>46561</v>
      </c>
      <c r="AC120" s="10">
        <v>24</v>
      </c>
      <c r="AD120" s="7">
        <f t="shared" si="5"/>
        <v>436</v>
      </c>
      <c r="AE120" s="7">
        <f>IF(F120="Bullet",H120*AD120,MIN(MAX(I120,1),Assumptions!$B$6)*AD120)</f>
        <v>872</v>
      </c>
      <c r="AF120" s="8">
        <f>IF(F120="Bullet",MAX(0,Assumptions!$B$4-AB120),MAX(0,Assumptions!$B$4-L120))</f>
        <v>41</v>
      </c>
      <c r="AG120" s="9">
        <v>46228</v>
      </c>
      <c r="AH120" s="8">
        <f>IF(AG120="","",Assumptions!$B$4-AG120)</f>
        <v>70</v>
      </c>
      <c r="AI120" s="5" t="s">
        <v>57</v>
      </c>
      <c r="AJ120" s="8">
        <v>3</v>
      </c>
      <c r="AK120" s="8">
        <v>0</v>
      </c>
      <c r="AL120" s="8" t="s">
        <v>80</v>
      </c>
      <c r="AM120" s="8">
        <v>1</v>
      </c>
      <c r="AN120" s="5" t="s">
        <v>63</v>
      </c>
      <c r="AO120" s="10">
        <v>58.3</v>
      </c>
      <c r="AP120" s="8">
        <v>45</v>
      </c>
      <c r="AQ120" s="9">
        <v>46297</v>
      </c>
      <c r="AR120" s="5" t="s">
        <v>72</v>
      </c>
      <c r="AS120" s="5" t="s">
        <v>91</v>
      </c>
    </row>
    <row r="121" spans="1:45" x14ac:dyDescent="0.35">
      <c r="A121" s="5" t="s">
        <v>736</v>
      </c>
      <c r="B121" s="5" t="s">
        <v>737</v>
      </c>
      <c r="C121" s="6" t="s">
        <v>738</v>
      </c>
      <c r="D121" s="7">
        <v>81900</v>
      </c>
      <c r="E121" s="5" t="s">
        <v>48</v>
      </c>
      <c r="F121" s="5" t="s">
        <v>68</v>
      </c>
      <c r="G121" s="8">
        <v>4</v>
      </c>
      <c r="H121" s="8">
        <f>IF(F121="Bullet",MIN(G121,Assumptions!$B$6),"")</f>
        <v>2</v>
      </c>
      <c r="I121" s="8"/>
      <c r="J121" s="8" t="str">
        <f>IF(F121="Monthly interest",MAX(0,Assumptions!$B$5-I121),"")</f>
        <v/>
      </c>
      <c r="K121" s="7">
        <f t="shared" si="3"/>
        <v>4916</v>
      </c>
      <c r="L121" s="9">
        <v>46155</v>
      </c>
      <c r="M121" s="5" t="s">
        <v>50</v>
      </c>
      <c r="N121" s="5" t="s">
        <v>53</v>
      </c>
      <c r="O121" s="5" t="s">
        <v>71</v>
      </c>
      <c r="P121" s="5" t="s">
        <v>51</v>
      </c>
      <c r="Q121" s="5" t="s">
        <v>73</v>
      </c>
      <c r="R121" s="5" t="s">
        <v>74</v>
      </c>
      <c r="S121" s="5" t="s">
        <v>214</v>
      </c>
      <c r="T121" s="5" t="s">
        <v>57</v>
      </c>
      <c r="U121" s="5" t="s">
        <v>58</v>
      </c>
      <c r="V121" s="5" t="s">
        <v>215</v>
      </c>
      <c r="W121" s="5" t="s">
        <v>284</v>
      </c>
      <c r="X121" s="5" t="s">
        <v>689</v>
      </c>
      <c r="Y121" s="5" t="s">
        <v>739</v>
      </c>
      <c r="Z121" s="9">
        <v>46155</v>
      </c>
      <c r="AA121" s="8">
        <v>12</v>
      </c>
      <c r="AB121" s="9">
        <f t="shared" si="4"/>
        <v>46520</v>
      </c>
      <c r="AC121" s="10">
        <v>18</v>
      </c>
      <c r="AD121" s="7">
        <f t="shared" si="5"/>
        <v>1229</v>
      </c>
      <c r="AE121" s="7">
        <f>IF(F121="Bullet",H121*AD121,MIN(MAX(I121,1),Assumptions!$B$6)*AD121)</f>
        <v>2458</v>
      </c>
      <c r="AF121" s="8">
        <f>IF(F121="Bullet",MAX(0,Assumptions!$B$4-AB121),MAX(0,Assumptions!$B$4-L121))</f>
        <v>0</v>
      </c>
      <c r="AG121" s="9"/>
      <c r="AH121" s="8" t="str">
        <f>IF(AG121="","",Assumptions!$B$4-AG121)</f>
        <v/>
      </c>
      <c r="AI121" s="5" t="s">
        <v>80</v>
      </c>
      <c r="AJ121" s="8"/>
      <c r="AK121" s="8">
        <v>2</v>
      </c>
      <c r="AL121" s="8">
        <v>724</v>
      </c>
      <c r="AM121" s="8">
        <v>0</v>
      </c>
      <c r="AN121" s="5" t="s">
        <v>63</v>
      </c>
      <c r="AO121" s="10">
        <v>74.3</v>
      </c>
      <c r="AP121" s="8">
        <v>26</v>
      </c>
      <c r="AQ121" s="9">
        <v>46289</v>
      </c>
      <c r="AR121" s="5" t="s">
        <v>70</v>
      </c>
      <c r="AS121" s="5" t="s">
        <v>190</v>
      </c>
    </row>
    <row r="122" spans="1:45" x14ac:dyDescent="0.35">
      <c r="A122" s="5" t="s">
        <v>740</v>
      </c>
      <c r="B122" s="5" t="s">
        <v>741</v>
      </c>
      <c r="C122" s="6" t="s">
        <v>742</v>
      </c>
      <c r="D122" s="7">
        <v>171200</v>
      </c>
      <c r="E122" s="5" t="s">
        <v>48</v>
      </c>
      <c r="F122" s="5" t="s">
        <v>49</v>
      </c>
      <c r="G122" s="8"/>
      <c r="H122" s="8" t="str">
        <f>IF(F122="Bullet",MIN(G122,Assumptions!$B$6),"")</f>
        <v/>
      </c>
      <c r="I122" s="8">
        <v>2</v>
      </c>
      <c r="J122" s="8">
        <f>IF(F122="Monthly interest",MAX(0,Assumptions!$B$5-I122),"")</f>
        <v>1</v>
      </c>
      <c r="K122" s="7">
        <f t="shared" si="3"/>
        <v>6278</v>
      </c>
      <c r="L122" s="9">
        <v>46268</v>
      </c>
      <c r="M122" s="5" t="s">
        <v>116</v>
      </c>
      <c r="N122" s="5" t="s">
        <v>117</v>
      </c>
      <c r="O122" s="5" t="s">
        <v>118</v>
      </c>
      <c r="P122" s="5" t="s">
        <v>72</v>
      </c>
      <c r="Q122" s="5" t="s">
        <v>119</v>
      </c>
      <c r="R122" s="5" t="s">
        <v>120</v>
      </c>
      <c r="S122" s="5" t="s">
        <v>56</v>
      </c>
      <c r="T122" s="5" t="s">
        <v>57</v>
      </c>
      <c r="U122" s="5" t="s">
        <v>104</v>
      </c>
      <c r="V122" s="5" t="s">
        <v>59</v>
      </c>
      <c r="W122" s="5" t="s">
        <v>418</v>
      </c>
      <c r="X122" s="5" t="s">
        <v>743</v>
      </c>
      <c r="Y122" s="5" t="s">
        <v>744</v>
      </c>
      <c r="Z122" s="9">
        <v>46115</v>
      </c>
      <c r="AA122" s="8">
        <v>12</v>
      </c>
      <c r="AB122" s="9">
        <f t="shared" si="4"/>
        <v>46480</v>
      </c>
      <c r="AC122" s="10">
        <v>22</v>
      </c>
      <c r="AD122" s="7">
        <f t="shared" si="5"/>
        <v>3139</v>
      </c>
      <c r="AE122" s="7">
        <f>IF(F122="Bullet",H122*AD122,MIN(MAX(I122,1),Assumptions!$B$6)*AD122)</f>
        <v>6278</v>
      </c>
      <c r="AF122" s="8">
        <f>IF(F122="Bullet",MAX(0,Assumptions!$B$4-AB122),MAX(0,Assumptions!$B$4-L122))</f>
        <v>30</v>
      </c>
      <c r="AG122" s="9">
        <v>46240</v>
      </c>
      <c r="AH122" s="8">
        <f>IF(AG122="","",Assumptions!$B$4-AG122)</f>
        <v>58</v>
      </c>
      <c r="AI122" s="5" t="s">
        <v>63</v>
      </c>
      <c r="AJ122" s="8">
        <v>2</v>
      </c>
      <c r="AK122" s="8">
        <v>0</v>
      </c>
      <c r="AL122" s="8">
        <v>677</v>
      </c>
      <c r="AM122" s="8">
        <v>1</v>
      </c>
      <c r="AN122" s="5" t="s">
        <v>63</v>
      </c>
      <c r="AO122" s="10">
        <v>67.5</v>
      </c>
      <c r="AP122" s="8">
        <v>51</v>
      </c>
      <c r="AQ122" s="9">
        <v>46287</v>
      </c>
      <c r="AR122" s="5" t="s">
        <v>51</v>
      </c>
      <c r="AS122" s="5" t="s">
        <v>190</v>
      </c>
    </row>
    <row r="123" spans="1:45" x14ac:dyDescent="0.35">
      <c r="A123" s="5" t="s">
        <v>745</v>
      </c>
      <c r="B123" s="5" t="s">
        <v>746</v>
      </c>
      <c r="C123" s="6" t="s">
        <v>747</v>
      </c>
      <c r="D123" s="7">
        <v>360600</v>
      </c>
      <c r="E123" s="5" t="s">
        <v>48</v>
      </c>
      <c r="F123" s="5" t="s">
        <v>68</v>
      </c>
      <c r="G123" s="8">
        <v>5</v>
      </c>
      <c r="H123" s="8">
        <f>IF(F123="Bullet",MIN(G123,Assumptions!$B$6),"")</f>
        <v>2</v>
      </c>
      <c r="I123" s="8"/>
      <c r="J123" s="8" t="str">
        <f>IF(F123="Monthly interest",MAX(0,Assumptions!$B$5-I123),"")</f>
        <v/>
      </c>
      <c r="K123" s="7">
        <f t="shared" si="3"/>
        <v>18030</v>
      </c>
      <c r="L123" s="9">
        <v>46127</v>
      </c>
      <c r="M123" s="5" t="s">
        <v>116</v>
      </c>
      <c r="N123" s="5" t="s">
        <v>117</v>
      </c>
      <c r="O123" s="5" t="s">
        <v>461</v>
      </c>
      <c r="P123" s="5" t="s">
        <v>72</v>
      </c>
      <c r="Q123" s="5" t="s">
        <v>169</v>
      </c>
      <c r="R123" s="5" t="s">
        <v>170</v>
      </c>
      <c r="S123" s="5" t="s">
        <v>75</v>
      </c>
      <c r="T123" s="5" t="s">
        <v>57</v>
      </c>
      <c r="U123" s="5" t="s">
        <v>86</v>
      </c>
      <c r="V123" s="5" t="s">
        <v>76</v>
      </c>
      <c r="W123" s="5" t="s">
        <v>547</v>
      </c>
      <c r="X123" s="5" t="s">
        <v>748</v>
      </c>
      <c r="Y123" s="5" t="s">
        <v>749</v>
      </c>
      <c r="Z123" s="9">
        <v>46127</v>
      </c>
      <c r="AA123" s="8">
        <v>3</v>
      </c>
      <c r="AB123" s="9">
        <f t="shared" si="4"/>
        <v>46218</v>
      </c>
      <c r="AC123" s="10">
        <v>12</v>
      </c>
      <c r="AD123" s="7">
        <f t="shared" si="5"/>
        <v>3606</v>
      </c>
      <c r="AE123" s="7">
        <f>IF(F123="Bullet",H123*AD123,MIN(MAX(I123,1),Assumptions!$B$6)*AD123)</f>
        <v>7212</v>
      </c>
      <c r="AF123" s="8">
        <f>IF(F123="Bullet",MAX(0,Assumptions!$B$4-AB123),MAX(0,Assumptions!$B$4-L123))</f>
        <v>80</v>
      </c>
      <c r="AG123" s="9"/>
      <c r="AH123" s="8" t="str">
        <f>IF(AG123="","",Assumptions!$B$4-AG123)</f>
        <v/>
      </c>
      <c r="AI123" s="5" t="s">
        <v>80</v>
      </c>
      <c r="AJ123" s="8"/>
      <c r="AK123" s="8">
        <v>1</v>
      </c>
      <c r="AL123" s="8">
        <v>647</v>
      </c>
      <c r="AM123" s="8">
        <v>1</v>
      </c>
      <c r="AN123" s="5" t="s">
        <v>63</v>
      </c>
      <c r="AO123" s="10">
        <v>64.099999999999994</v>
      </c>
      <c r="AP123" s="8">
        <v>59</v>
      </c>
      <c r="AQ123" s="9">
        <v>46277</v>
      </c>
      <c r="AR123" s="5" t="s">
        <v>51</v>
      </c>
      <c r="AS123" s="5" t="s">
        <v>81</v>
      </c>
    </row>
    <row r="124" spans="1:45" x14ac:dyDescent="0.35">
      <c r="A124" s="5" t="s">
        <v>750</v>
      </c>
      <c r="B124" s="5" t="s">
        <v>751</v>
      </c>
      <c r="C124" s="6" t="s">
        <v>752</v>
      </c>
      <c r="D124" s="7">
        <v>130800</v>
      </c>
      <c r="E124" s="5" t="s">
        <v>48</v>
      </c>
      <c r="F124" s="5" t="s">
        <v>68</v>
      </c>
      <c r="G124" s="8">
        <v>5</v>
      </c>
      <c r="H124" s="8">
        <f>IF(F124="Bullet",MIN(G124,Assumptions!$B$6),"")</f>
        <v>2</v>
      </c>
      <c r="I124" s="8"/>
      <c r="J124" s="8" t="str">
        <f>IF(F124="Monthly interest",MAX(0,Assumptions!$B$5-I124),"")</f>
        <v/>
      </c>
      <c r="K124" s="7">
        <f t="shared" si="3"/>
        <v>7085</v>
      </c>
      <c r="L124" s="9">
        <v>46130</v>
      </c>
      <c r="M124" s="5" t="s">
        <v>116</v>
      </c>
      <c r="N124" s="5" t="s">
        <v>117</v>
      </c>
      <c r="O124" s="5" t="s">
        <v>461</v>
      </c>
      <c r="P124" s="5" t="s">
        <v>72</v>
      </c>
      <c r="Q124" s="5" t="s">
        <v>169</v>
      </c>
      <c r="R124" s="5" t="s">
        <v>170</v>
      </c>
      <c r="S124" s="5" t="s">
        <v>56</v>
      </c>
      <c r="T124" s="5" t="s">
        <v>57</v>
      </c>
      <c r="U124" s="5" t="s">
        <v>86</v>
      </c>
      <c r="V124" s="5" t="s">
        <v>59</v>
      </c>
      <c r="W124" s="5" t="s">
        <v>194</v>
      </c>
      <c r="X124" s="5" t="s">
        <v>195</v>
      </c>
      <c r="Y124" s="5" t="s">
        <v>753</v>
      </c>
      <c r="Z124" s="9">
        <v>46130</v>
      </c>
      <c r="AA124" s="8">
        <v>12</v>
      </c>
      <c r="AB124" s="9">
        <f t="shared" si="4"/>
        <v>46495</v>
      </c>
      <c r="AC124" s="10">
        <v>13</v>
      </c>
      <c r="AD124" s="7">
        <f t="shared" si="5"/>
        <v>1417</v>
      </c>
      <c r="AE124" s="7">
        <f>IF(F124="Bullet",H124*AD124,MIN(MAX(I124,1),Assumptions!$B$6)*AD124)</f>
        <v>2834</v>
      </c>
      <c r="AF124" s="8">
        <f>IF(F124="Bullet",MAX(0,Assumptions!$B$4-AB124),MAX(0,Assumptions!$B$4-L124))</f>
        <v>0</v>
      </c>
      <c r="AG124" s="9"/>
      <c r="AH124" s="8" t="str">
        <f>IF(AG124="","",Assumptions!$B$4-AG124)</f>
        <v/>
      </c>
      <c r="AI124" s="5" t="s">
        <v>80</v>
      </c>
      <c r="AJ124" s="8"/>
      <c r="AK124" s="8">
        <v>1</v>
      </c>
      <c r="AL124" s="8">
        <v>620</v>
      </c>
      <c r="AM124" s="8">
        <v>5</v>
      </c>
      <c r="AN124" s="5" t="s">
        <v>57</v>
      </c>
      <c r="AO124" s="10">
        <v>84.4</v>
      </c>
      <c r="AP124" s="8">
        <v>75</v>
      </c>
      <c r="AQ124" s="9">
        <v>46280</v>
      </c>
      <c r="AR124" s="5" t="s">
        <v>51</v>
      </c>
      <c r="AS124" s="5" t="s">
        <v>81</v>
      </c>
    </row>
    <row r="125" spans="1:45" x14ac:dyDescent="0.35">
      <c r="A125" s="5" t="s">
        <v>754</v>
      </c>
      <c r="B125" s="5" t="s">
        <v>755</v>
      </c>
      <c r="C125" s="6" t="s">
        <v>756</v>
      </c>
      <c r="D125" s="7">
        <v>715700</v>
      </c>
      <c r="E125" s="5" t="s">
        <v>48</v>
      </c>
      <c r="F125" s="5" t="s">
        <v>68</v>
      </c>
      <c r="G125" s="8">
        <v>3</v>
      </c>
      <c r="H125" s="8">
        <f>IF(F125="Bullet",MIN(G125,Assumptions!$B$6),"")</f>
        <v>2</v>
      </c>
      <c r="I125" s="8"/>
      <c r="J125" s="8" t="str">
        <f>IF(F125="Monthly interest",MAX(0,Assumptions!$B$5-I125),"")</f>
        <v/>
      </c>
      <c r="K125" s="7">
        <f t="shared" si="3"/>
        <v>32208</v>
      </c>
      <c r="L125" s="9">
        <v>46195</v>
      </c>
      <c r="M125" s="5" t="s">
        <v>69</v>
      </c>
      <c r="N125" s="5" t="s">
        <v>70</v>
      </c>
      <c r="O125" s="5" t="s">
        <v>71</v>
      </c>
      <c r="P125" s="5" t="s">
        <v>72</v>
      </c>
      <c r="Q125" s="5" t="s">
        <v>73</v>
      </c>
      <c r="R125" s="5" t="s">
        <v>74</v>
      </c>
      <c r="S125" s="5" t="s">
        <v>85</v>
      </c>
      <c r="T125" s="5" t="s">
        <v>57</v>
      </c>
      <c r="U125" s="5" t="s">
        <v>86</v>
      </c>
      <c r="V125" s="5" t="s">
        <v>133</v>
      </c>
      <c r="W125" s="5" t="s">
        <v>317</v>
      </c>
      <c r="X125" s="5" t="s">
        <v>757</v>
      </c>
      <c r="Y125" s="5" t="s">
        <v>758</v>
      </c>
      <c r="Z125" s="9">
        <v>46195</v>
      </c>
      <c r="AA125" s="8">
        <v>6</v>
      </c>
      <c r="AB125" s="9">
        <f t="shared" si="4"/>
        <v>46378</v>
      </c>
      <c r="AC125" s="10">
        <v>18</v>
      </c>
      <c r="AD125" s="7">
        <f t="shared" si="5"/>
        <v>10736</v>
      </c>
      <c r="AE125" s="7">
        <f>IF(F125="Bullet",H125*AD125,MIN(MAX(I125,1),Assumptions!$B$6)*AD125)</f>
        <v>21472</v>
      </c>
      <c r="AF125" s="8">
        <f>IF(F125="Bullet",MAX(0,Assumptions!$B$4-AB125),MAX(0,Assumptions!$B$4-L125))</f>
        <v>0</v>
      </c>
      <c r="AG125" s="9"/>
      <c r="AH125" s="8" t="str">
        <f>IF(AG125="","",Assumptions!$B$4-AG125)</f>
        <v/>
      </c>
      <c r="AI125" s="5" t="s">
        <v>80</v>
      </c>
      <c r="AJ125" s="8"/>
      <c r="AK125" s="8">
        <v>3</v>
      </c>
      <c r="AL125" s="8">
        <v>689</v>
      </c>
      <c r="AM125" s="8">
        <v>1</v>
      </c>
      <c r="AN125" s="5" t="s">
        <v>63</v>
      </c>
      <c r="AO125" s="10">
        <v>73.099999999999994</v>
      </c>
      <c r="AP125" s="8">
        <v>38</v>
      </c>
      <c r="AQ125" s="9">
        <v>46293</v>
      </c>
      <c r="AR125" s="5" t="s">
        <v>53</v>
      </c>
      <c r="AS125" s="5" t="s">
        <v>274</v>
      </c>
    </row>
    <row r="126" spans="1:45" x14ac:dyDescent="0.35">
      <c r="A126" s="5" t="s">
        <v>759</v>
      </c>
      <c r="B126" s="5" t="s">
        <v>760</v>
      </c>
      <c r="C126" s="6" t="s">
        <v>761</v>
      </c>
      <c r="D126" s="7">
        <v>66000</v>
      </c>
      <c r="E126" s="5" t="s">
        <v>48</v>
      </c>
      <c r="F126" s="5" t="s">
        <v>68</v>
      </c>
      <c r="G126" s="8">
        <v>5</v>
      </c>
      <c r="H126" s="8">
        <f>IF(F126="Bullet",MIN(G126,Assumptions!$B$6),"")</f>
        <v>2</v>
      </c>
      <c r="I126" s="8"/>
      <c r="J126" s="8" t="str">
        <f>IF(F126="Monthly interest",MAX(0,Assumptions!$B$5-I126),"")</f>
        <v/>
      </c>
      <c r="K126" s="7">
        <f t="shared" si="3"/>
        <v>4125</v>
      </c>
      <c r="L126" s="9">
        <v>46131</v>
      </c>
      <c r="M126" s="5" t="s">
        <v>69</v>
      </c>
      <c r="N126" s="5" t="s">
        <v>53</v>
      </c>
      <c r="O126" s="5" t="s">
        <v>168</v>
      </c>
      <c r="P126" s="5" t="s">
        <v>70</v>
      </c>
      <c r="Q126" s="5" t="s">
        <v>169</v>
      </c>
      <c r="R126" s="5" t="s">
        <v>170</v>
      </c>
      <c r="S126" s="5" t="s">
        <v>75</v>
      </c>
      <c r="T126" s="5" t="s">
        <v>57</v>
      </c>
      <c r="U126" s="5" t="s">
        <v>86</v>
      </c>
      <c r="V126" s="5" t="s">
        <v>76</v>
      </c>
      <c r="W126" s="5" t="s">
        <v>105</v>
      </c>
      <c r="X126" s="5" t="s">
        <v>762</v>
      </c>
      <c r="Y126" s="5" t="s">
        <v>763</v>
      </c>
      <c r="Z126" s="9">
        <v>46131</v>
      </c>
      <c r="AA126" s="8">
        <v>6</v>
      </c>
      <c r="AB126" s="9">
        <f t="shared" si="4"/>
        <v>46314</v>
      </c>
      <c r="AC126" s="10">
        <v>15</v>
      </c>
      <c r="AD126" s="7">
        <f t="shared" si="5"/>
        <v>825</v>
      </c>
      <c r="AE126" s="7">
        <f>IF(F126="Bullet",H126*AD126,MIN(MAX(I126,1),Assumptions!$B$6)*AD126)</f>
        <v>1650</v>
      </c>
      <c r="AF126" s="8">
        <f>IF(F126="Bullet",MAX(0,Assumptions!$B$4-AB126),MAX(0,Assumptions!$B$4-L126))</f>
        <v>0</v>
      </c>
      <c r="AG126" s="9"/>
      <c r="AH126" s="8" t="str">
        <f>IF(AG126="","",Assumptions!$B$4-AG126)</f>
        <v/>
      </c>
      <c r="AI126" s="5" t="s">
        <v>80</v>
      </c>
      <c r="AJ126" s="8"/>
      <c r="AK126" s="8">
        <v>2</v>
      </c>
      <c r="AL126" s="8" t="s">
        <v>80</v>
      </c>
      <c r="AM126" s="8">
        <v>1</v>
      </c>
      <c r="AN126" s="5" t="s">
        <v>63</v>
      </c>
      <c r="AO126" s="10">
        <v>60</v>
      </c>
      <c r="AP126" s="8">
        <v>45</v>
      </c>
      <c r="AQ126" s="9">
        <v>46276</v>
      </c>
      <c r="AR126" s="5" t="s">
        <v>70</v>
      </c>
      <c r="AS126" s="5" t="s">
        <v>64</v>
      </c>
    </row>
    <row r="127" spans="1:45" x14ac:dyDescent="0.35">
      <c r="A127" s="5" t="s">
        <v>764</v>
      </c>
      <c r="B127" s="5" t="s">
        <v>765</v>
      </c>
      <c r="C127" s="6" t="s">
        <v>766</v>
      </c>
      <c r="D127" s="7">
        <v>75800</v>
      </c>
      <c r="E127" s="5" t="s">
        <v>48</v>
      </c>
      <c r="F127" s="5" t="s">
        <v>49</v>
      </c>
      <c r="G127" s="8"/>
      <c r="H127" s="8" t="str">
        <f>IF(F127="Bullet",MIN(G127,Assumptions!$B$6),"")</f>
        <v/>
      </c>
      <c r="I127" s="8">
        <v>1</v>
      </c>
      <c r="J127" s="8">
        <f>IF(F127="Monthly interest",MAX(0,Assumptions!$B$5-I127),"")</f>
        <v>2</v>
      </c>
      <c r="K127" s="7">
        <f t="shared" si="3"/>
        <v>884</v>
      </c>
      <c r="L127" s="9">
        <v>46274</v>
      </c>
      <c r="M127" s="5" t="s">
        <v>69</v>
      </c>
      <c r="N127" s="5" t="s">
        <v>51</v>
      </c>
      <c r="O127" s="5" t="s">
        <v>52</v>
      </c>
      <c r="P127" s="5" t="s">
        <v>53</v>
      </c>
      <c r="Q127" s="5" t="s">
        <v>54</v>
      </c>
      <c r="R127" s="5" t="s">
        <v>55</v>
      </c>
      <c r="S127" s="5" t="s">
        <v>185</v>
      </c>
      <c r="T127" s="5" t="s">
        <v>57</v>
      </c>
      <c r="U127" s="5" t="s">
        <v>86</v>
      </c>
      <c r="V127" s="5" t="s">
        <v>200</v>
      </c>
      <c r="W127" s="5" t="s">
        <v>767</v>
      </c>
      <c r="X127" s="5" t="s">
        <v>768</v>
      </c>
      <c r="Y127" s="5" t="s">
        <v>769</v>
      </c>
      <c r="Z127" s="9">
        <v>46151</v>
      </c>
      <c r="AA127" s="8">
        <v>24</v>
      </c>
      <c r="AB127" s="9">
        <f t="shared" si="4"/>
        <v>46882</v>
      </c>
      <c r="AC127" s="10">
        <v>14</v>
      </c>
      <c r="AD127" s="7">
        <f t="shared" si="5"/>
        <v>884</v>
      </c>
      <c r="AE127" s="7">
        <f>IF(F127="Bullet",H127*AD127,MIN(MAX(I127,1),Assumptions!$B$6)*AD127)</f>
        <v>884</v>
      </c>
      <c r="AF127" s="8">
        <f>IF(F127="Bullet",MAX(0,Assumptions!$B$4-AB127),MAX(0,Assumptions!$B$4-L127))</f>
        <v>24</v>
      </c>
      <c r="AG127" s="9">
        <v>46244</v>
      </c>
      <c r="AH127" s="8">
        <f>IF(AG127="","",Assumptions!$B$4-AG127)</f>
        <v>54</v>
      </c>
      <c r="AI127" s="5" t="s">
        <v>57</v>
      </c>
      <c r="AJ127" s="8">
        <v>1</v>
      </c>
      <c r="AK127" s="8">
        <v>0</v>
      </c>
      <c r="AL127" s="8">
        <v>671</v>
      </c>
      <c r="AM127" s="8">
        <v>4</v>
      </c>
      <c r="AN127" s="5" t="s">
        <v>63</v>
      </c>
      <c r="AO127" s="10">
        <v>78.3</v>
      </c>
      <c r="AP127" s="8">
        <v>39</v>
      </c>
      <c r="AQ127" s="9"/>
      <c r="AR127" s="5"/>
      <c r="AS127" s="5" t="s">
        <v>159</v>
      </c>
    </row>
    <row r="128" spans="1:45" x14ac:dyDescent="0.35">
      <c r="A128" s="5" t="s">
        <v>770</v>
      </c>
      <c r="B128" s="5" t="s">
        <v>771</v>
      </c>
      <c r="C128" s="6" t="s">
        <v>772</v>
      </c>
      <c r="D128" s="7">
        <v>453500</v>
      </c>
      <c r="E128" s="5" t="s">
        <v>48</v>
      </c>
      <c r="F128" s="5" t="s">
        <v>68</v>
      </c>
      <c r="G128" s="8">
        <v>4</v>
      </c>
      <c r="H128" s="8">
        <f>IF(F128="Bullet",MIN(G128,Assumptions!$B$6),"")</f>
        <v>2</v>
      </c>
      <c r="I128" s="8"/>
      <c r="J128" s="8" t="str">
        <f>IF(F128="Monthly interest",MAX(0,Assumptions!$B$5-I128),"")</f>
        <v/>
      </c>
      <c r="K128" s="7">
        <f t="shared" si="3"/>
        <v>22676</v>
      </c>
      <c r="L128" s="9">
        <v>46171</v>
      </c>
      <c r="M128" s="5" t="s">
        <v>50</v>
      </c>
      <c r="N128" s="5" t="s">
        <v>53</v>
      </c>
      <c r="O128" s="5" t="s">
        <v>71</v>
      </c>
      <c r="P128" s="5" t="s">
        <v>70</v>
      </c>
      <c r="Q128" s="5" t="s">
        <v>73</v>
      </c>
      <c r="R128" s="5" t="s">
        <v>74</v>
      </c>
      <c r="S128" s="5" t="s">
        <v>185</v>
      </c>
      <c r="T128" s="5" t="s">
        <v>63</v>
      </c>
      <c r="U128" s="5" t="s">
        <v>58</v>
      </c>
      <c r="V128" s="5" t="s">
        <v>186</v>
      </c>
      <c r="W128" s="5" t="s">
        <v>694</v>
      </c>
      <c r="X128" s="5" t="s">
        <v>773</v>
      </c>
      <c r="Y128" s="5" t="s">
        <v>774</v>
      </c>
      <c r="Z128" s="9">
        <v>46171</v>
      </c>
      <c r="AA128" s="8">
        <v>12</v>
      </c>
      <c r="AB128" s="9">
        <f t="shared" si="4"/>
        <v>46536</v>
      </c>
      <c r="AC128" s="10">
        <v>15</v>
      </c>
      <c r="AD128" s="7">
        <f t="shared" si="5"/>
        <v>5669</v>
      </c>
      <c r="AE128" s="7">
        <f>IF(F128="Bullet",H128*AD128,MIN(MAX(I128,1),Assumptions!$B$6)*AD128)</f>
        <v>11338</v>
      </c>
      <c r="AF128" s="8">
        <f>IF(F128="Bullet",MAX(0,Assumptions!$B$4-AB128),MAX(0,Assumptions!$B$4-L128))</f>
        <v>0</v>
      </c>
      <c r="AG128" s="9"/>
      <c r="AH128" s="8" t="str">
        <f>IF(AG128="","",Assumptions!$B$4-AG128)</f>
        <v/>
      </c>
      <c r="AI128" s="5" t="s">
        <v>80</v>
      </c>
      <c r="AJ128" s="8"/>
      <c r="AK128" s="8">
        <v>1</v>
      </c>
      <c r="AL128" s="8" t="s">
        <v>80</v>
      </c>
      <c r="AM128" s="8">
        <v>1</v>
      </c>
      <c r="AN128" s="5" t="s">
        <v>63</v>
      </c>
      <c r="AO128" s="10">
        <v>72.7</v>
      </c>
      <c r="AP128" s="8">
        <v>29</v>
      </c>
      <c r="AQ128" s="9">
        <v>46273</v>
      </c>
      <c r="AR128" s="5" t="s">
        <v>70</v>
      </c>
      <c r="AS128" s="5" t="s">
        <v>81</v>
      </c>
    </row>
    <row r="129" spans="1:45" x14ac:dyDescent="0.35">
      <c r="A129" s="5" t="s">
        <v>775</v>
      </c>
      <c r="B129" s="5" t="s">
        <v>776</v>
      </c>
      <c r="C129" s="6" t="s">
        <v>777</v>
      </c>
      <c r="D129" s="7">
        <v>206200</v>
      </c>
      <c r="E129" s="5" t="s">
        <v>48</v>
      </c>
      <c r="F129" s="5" t="s">
        <v>68</v>
      </c>
      <c r="G129" s="8">
        <v>3</v>
      </c>
      <c r="H129" s="8">
        <f>IF(F129="Bullet",MIN(G129,Assumptions!$B$6),"")</f>
        <v>2</v>
      </c>
      <c r="I129" s="8"/>
      <c r="J129" s="8" t="str">
        <f>IF(F129="Monthly interest",MAX(0,Assumptions!$B$5-I129),"")</f>
        <v/>
      </c>
      <c r="K129" s="7">
        <f t="shared" si="3"/>
        <v>6186</v>
      </c>
      <c r="L129" s="9">
        <v>46201</v>
      </c>
      <c r="M129" s="5" t="s">
        <v>69</v>
      </c>
      <c r="N129" s="5" t="s">
        <v>70</v>
      </c>
      <c r="O129" s="5" t="s">
        <v>71</v>
      </c>
      <c r="P129" s="5" t="s">
        <v>72</v>
      </c>
      <c r="Q129" s="5" t="s">
        <v>73</v>
      </c>
      <c r="R129" s="5" t="s">
        <v>74</v>
      </c>
      <c r="S129" s="5" t="s">
        <v>56</v>
      </c>
      <c r="T129" s="5" t="s">
        <v>57</v>
      </c>
      <c r="U129" s="5" t="s">
        <v>104</v>
      </c>
      <c r="V129" s="5" t="s">
        <v>59</v>
      </c>
      <c r="W129" s="5" t="s">
        <v>156</v>
      </c>
      <c r="X129" s="5" t="s">
        <v>506</v>
      </c>
      <c r="Y129" s="5" t="s">
        <v>778</v>
      </c>
      <c r="Z129" s="9">
        <v>46201</v>
      </c>
      <c r="AA129" s="8">
        <v>12</v>
      </c>
      <c r="AB129" s="9">
        <f t="shared" si="4"/>
        <v>46566</v>
      </c>
      <c r="AC129" s="10">
        <v>12</v>
      </c>
      <c r="AD129" s="7">
        <f t="shared" si="5"/>
        <v>2062</v>
      </c>
      <c r="AE129" s="7">
        <f>IF(F129="Bullet",H129*AD129,MIN(MAX(I129,1),Assumptions!$B$6)*AD129)</f>
        <v>4124</v>
      </c>
      <c r="AF129" s="8">
        <f>IF(F129="Bullet",MAX(0,Assumptions!$B$4-AB129),MAX(0,Assumptions!$B$4-L129))</f>
        <v>0</v>
      </c>
      <c r="AG129" s="9"/>
      <c r="AH129" s="8" t="str">
        <f>IF(AG129="","",Assumptions!$B$4-AG129)</f>
        <v/>
      </c>
      <c r="AI129" s="5" t="s">
        <v>80</v>
      </c>
      <c r="AJ129" s="8"/>
      <c r="AK129" s="8">
        <v>3</v>
      </c>
      <c r="AL129" s="8">
        <v>690</v>
      </c>
      <c r="AM129" s="8">
        <v>1</v>
      </c>
      <c r="AN129" s="5" t="s">
        <v>63</v>
      </c>
      <c r="AO129" s="10">
        <v>74.099999999999994</v>
      </c>
      <c r="AP129" s="8">
        <v>38</v>
      </c>
      <c r="AQ129" s="9">
        <v>46286</v>
      </c>
      <c r="AR129" s="5" t="s">
        <v>51</v>
      </c>
      <c r="AS129" s="5" t="s">
        <v>64</v>
      </c>
    </row>
    <row r="130" spans="1:45" x14ac:dyDescent="0.35">
      <c r="A130" s="5" t="s">
        <v>779</v>
      </c>
      <c r="B130" s="5" t="s">
        <v>780</v>
      </c>
      <c r="C130" s="6" t="s">
        <v>781</v>
      </c>
      <c r="D130" s="7">
        <v>132900</v>
      </c>
      <c r="E130" s="5" t="s">
        <v>48</v>
      </c>
      <c r="F130" s="5" t="s">
        <v>49</v>
      </c>
      <c r="G130" s="8"/>
      <c r="H130" s="8" t="str">
        <f>IF(F130="Bullet",MIN(G130,Assumptions!$B$6),"")</f>
        <v/>
      </c>
      <c r="I130" s="8">
        <v>2</v>
      </c>
      <c r="J130" s="8">
        <f>IF(F130="Monthly interest",MAX(0,Assumptions!$B$5-I130),"")</f>
        <v>1</v>
      </c>
      <c r="K130" s="7">
        <f t="shared" ref="K130:K193" si="6">IF(F130="Bullet",G130*AD130,MAX(I130,1)*AD130)</f>
        <v>4430</v>
      </c>
      <c r="L130" s="9">
        <v>46256</v>
      </c>
      <c r="M130" s="5" t="s">
        <v>116</v>
      </c>
      <c r="N130" s="5" t="s">
        <v>117</v>
      </c>
      <c r="O130" s="5" t="s">
        <v>118</v>
      </c>
      <c r="P130" s="5" t="s">
        <v>72</v>
      </c>
      <c r="Q130" s="5" t="s">
        <v>119</v>
      </c>
      <c r="R130" s="5" t="s">
        <v>120</v>
      </c>
      <c r="S130" s="5" t="s">
        <v>85</v>
      </c>
      <c r="T130" s="5" t="s">
        <v>57</v>
      </c>
      <c r="U130" s="5" t="s">
        <v>104</v>
      </c>
      <c r="V130" s="5" t="s">
        <v>133</v>
      </c>
      <c r="W130" s="5" t="s">
        <v>134</v>
      </c>
      <c r="X130" s="5" t="s">
        <v>782</v>
      </c>
      <c r="Y130" s="5" t="s">
        <v>783</v>
      </c>
      <c r="Z130" s="9">
        <v>46013</v>
      </c>
      <c r="AA130" s="8">
        <v>12</v>
      </c>
      <c r="AB130" s="9">
        <f t="shared" ref="AB130:AB193" si="7">EDATE(Z130,AA130)</f>
        <v>46378</v>
      </c>
      <c r="AC130" s="10">
        <v>20</v>
      </c>
      <c r="AD130" s="7">
        <f t="shared" ref="AD130:AD193" si="8">ROUND(D130*AC130/100/12,0)</f>
        <v>2215</v>
      </c>
      <c r="AE130" s="7">
        <f>IF(F130="Bullet",H130*AD130,MIN(MAX(I130,1),Assumptions!$B$6)*AD130)</f>
        <v>4430</v>
      </c>
      <c r="AF130" s="8">
        <f>IF(F130="Bullet",MAX(0,Assumptions!$B$4-AB130),MAX(0,Assumptions!$B$4-L130))</f>
        <v>42</v>
      </c>
      <c r="AG130" s="9">
        <v>46228</v>
      </c>
      <c r="AH130" s="8">
        <f>IF(AG130="","",Assumptions!$B$4-AG130)</f>
        <v>70</v>
      </c>
      <c r="AI130" s="5" t="s">
        <v>63</v>
      </c>
      <c r="AJ130" s="8">
        <v>2</v>
      </c>
      <c r="AK130" s="8">
        <v>0</v>
      </c>
      <c r="AL130" s="8" t="s">
        <v>80</v>
      </c>
      <c r="AM130" s="8">
        <v>1</v>
      </c>
      <c r="AN130" s="5" t="s">
        <v>57</v>
      </c>
      <c r="AO130" s="10">
        <v>71.099999999999994</v>
      </c>
      <c r="AP130" s="8">
        <v>51</v>
      </c>
      <c r="AQ130" s="9">
        <v>46281</v>
      </c>
      <c r="AR130" s="5" t="s">
        <v>53</v>
      </c>
      <c r="AS130" s="5" t="s">
        <v>81</v>
      </c>
    </row>
    <row r="131" spans="1:45" x14ac:dyDescent="0.35">
      <c r="A131" s="5" t="s">
        <v>784</v>
      </c>
      <c r="B131" s="5" t="s">
        <v>785</v>
      </c>
      <c r="C131" s="6" t="s">
        <v>786</v>
      </c>
      <c r="D131" s="7">
        <v>32900</v>
      </c>
      <c r="E131" s="5" t="s">
        <v>48</v>
      </c>
      <c r="F131" s="5" t="s">
        <v>68</v>
      </c>
      <c r="G131" s="8">
        <v>6</v>
      </c>
      <c r="H131" s="8">
        <f>IF(F131="Bullet",MIN(G131,Assumptions!$B$6),"")</f>
        <v>2</v>
      </c>
      <c r="I131" s="8"/>
      <c r="J131" s="8" t="str">
        <f>IF(F131="Monthly interest",MAX(0,Assumptions!$B$5-I131),"")</f>
        <v/>
      </c>
      <c r="K131" s="7">
        <f t="shared" si="6"/>
        <v>1974</v>
      </c>
      <c r="L131" s="9">
        <v>46111</v>
      </c>
      <c r="M131" s="5" t="s">
        <v>69</v>
      </c>
      <c r="N131" s="5" t="s">
        <v>70</v>
      </c>
      <c r="O131" s="5" t="s">
        <v>531</v>
      </c>
      <c r="P131" s="5" t="s">
        <v>72</v>
      </c>
      <c r="Q131" s="5" t="s">
        <v>169</v>
      </c>
      <c r="R131" s="5" t="s">
        <v>170</v>
      </c>
      <c r="S131" s="5" t="s">
        <v>75</v>
      </c>
      <c r="T131" s="5" t="s">
        <v>57</v>
      </c>
      <c r="U131" s="5" t="s">
        <v>86</v>
      </c>
      <c r="V131" s="5" t="s">
        <v>76</v>
      </c>
      <c r="W131" s="5" t="s">
        <v>444</v>
      </c>
      <c r="X131" s="5" t="s">
        <v>787</v>
      </c>
      <c r="Y131" s="5" t="s">
        <v>788</v>
      </c>
      <c r="Z131" s="9">
        <v>46111</v>
      </c>
      <c r="AA131" s="8">
        <v>12</v>
      </c>
      <c r="AB131" s="9">
        <f t="shared" si="7"/>
        <v>46476</v>
      </c>
      <c r="AC131" s="10">
        <v>12</v>
      </c>
      <c r="AD131" s="7">
        <f t="shared" si="8"/>
        <v>329</v>
      </c>
      <c r="AE131" s="7">
        <f>IF(F131="Bullet",H131*AD131,MIN(MAX(I131,1),Assumptions!$B$6)*AD131)</f>
        <v>658</v>
      </c>
      <c r="AF131" s="8">
        <f>IF(F131="Bullet",MAX(0,Assumptions!$B$4-AB131),MAX(0,Assumptions!$B$4-L131))</f>
        <v>0</v>
      </c>
      <c r="AG131" s="9"/>
      <c r="AH131" s="8" t="str">
        <f>IF(AG131="","",Assumptions!$B$4-AG131)</f>
        <v/>
      </c>
      <c r="AI131" s="5" t="s">
        <v>80</v>
      </c>
      <c r="AJ131" s="8"/>
      <c r="AK131" s="8">
        <v>1</v>
      </c>
      <c r="AL131" s="8" t="s">
        <v>80</v>
      </c>
      <c r="AM131" s="8">
        <v>1</v>
      </c>
      <c r="AN131" s="5" t="s">
        <v>63</v>
      </c>
      <c r="AO131" s="10">
        <v>76.5</v>
      </c>
      <c r="AP131" s="8">
        <v>44</v>
      </c>
      <c r="AQ131" s="9">
        <v>46295</v>
      </c>
      <c r="AR131" s="5" t="s">
        <v>53</v>
      </c>
      <c r="AS131" s="5" t="s">
        <v>81</v>
      </c>
    </row>
    <row r="132" spans="1:45" x14ac:dyDescent="0.35">
      <c r="A132" s="5" t="s">
        <v>789</v>
      </c>
      <c r="B132" s="5" t="s">
        <v>790</v>
      </c>
      <c r="C132" s="6" t="s">
        <v>791</v>
      </c>
      <c r="D132" s="7">
        <v>245500</v>
      </c>
      <c r="E132" s="5" t="s">
        <v>48</v>
      </c>
      <c r="F132" s="5" t="s">
        <v>68</v>
      </c>
      <c r="G132" s="8">
        <v>3</v>
      </c>
      <c r="H132" s="8">
        <f>IF(F132="Bullet",MIN(G132,Assumptions!$B$6),"")</f>
        <v>2</v>
      </c>
      <c r="I132" s="8"/>
      <c r="J132" s="8" t="str">
        <f>IF(F132="Monthly interest",MAX(0,Assumptions!$B$5-I132),"")</f>
        <v/>
      </c>
      <c r="K132" s="7">
        <f t="shared" si="6"/>
        <v>9819</v>
      </c>
      <c r="L132" s="9">
        <v>46198</v>
      </c>
      <c r="M132" s="5" t="s">
        <v>69</v>
      </c>
      <c r="N132" s="5" t="s">
        <v>70</v>
      </c>
      <c r="O132" s="5" t="s">
        <v>71</v>
      </c>
      <c r="P132" s="5" t="s">
        <v>72</v>
      </c>
      <c r="Q132" s="5" t="s">
        <v>73</v>
      </c>
      <c r="R132" s="5" t="s">
        <v>74</v>
      </c>
      <c r="S132" s="5" t="s">
        <v>75</v>
      </c>
      <c r="T132" s="5" t="s">
        <v>57</v>
      </c>
      <c r="U132" s="5" t="s">
        <v>58</v>
      </c>
      <c r="V132" s="5" t="s">
        <v>76</v>
      </c>
      <c r="W132" s="5" t="s">
        <v>140</v>
      </c>
      <c r="X132" s="5" t="s">
        <v>792</v>
      </c>
      <c r="Y132" s="5" t="s">
        <v>793</v>
      </c>
      <c r="Z132" s="9">
        <v>46198</v>
      </c>
      <c r="AA132" s="8">
        <v>6</v>
      </c>
      <c r="AB132" s="9">
        <f t="shared" si="7"/>
        <v>46381</v>
      </c>
      <c r="AC132" s="10">
        <v>16</v>
      </c>
      <c r="AD132" s="7">
        <f t="shared" si="8"/>
        <v>3273</v>
      </c>
      <c r="AE132" s="7">
        <f>IF(F132="Bullet",H132*AD132,MIN(MAX(I132,1),Assumptions!$B$6)*AD132)</f>
        <v>6546</v>
      </c>
      <c r="AF132" s="8">
        <f>IF(F132="Bullet",MAX(0,Assumptions!$B$4-AB132),MAX(0,Assumptions!$B$4-L132))</f>
        <v>0</v>
      </c>
      <c r="AG132" s="9"/>
      <c r="AH132" s="8" t="str">
        <f>IF(AG132="","",Assumptions!$B$4-AG132)</f>
        <v/>
      </c>
      <c r="AI132" s="5" t="s">
        <v>80</v>
      </c>
      <c r="AJ132" s="8"/>
      <c r="AK132" s="8">
        <v>2</v>
      </c>
      <c r="AL132" s="8">
        <v>674</v>
      </c>
      <c r="AM132" s="8">
        <v>1</v>
      </c>
      <c r="AN132" s="5" t="s">
        <v>63</v>
      </c>
      <c r="AO132" s="10">
        <v>75.400000000000006</v>
      </c>
      <c r="AP132" s="8">
        <v>41</v>
      </c>
      <c r="AQ132" s="9">
        <v>46290</v>
      </c>
      <c r="AR132" s="5" t="s">
        <v>70</v>
      </c>
      <c r="AS132" s="5" t="s">
        <v>190</v>
      </c>
    </row>
    <row r="133" spans="1:45" x14ac:dyDescent="0.35">
      <c r="A133" s="5" t="s">
        <v>794</v>
      </c>
      <c r="B133" s="5" t="s">
        <v>795</v>
      </c>
      <c r="C133" s="6" t="s">
        <v>796</v>
      </c>
      <c r="D133" s="7">
        <v>215500</v>
      </c>
      <c r="E133" s="5" t="s">
        <v>48</v>
      </c>
      <c r="F133" s="5" t="s">
        <v>49</v>
      </c>
      <c r="G133" s="8"/>
      <c r="H133" s="8" t="str">
        <f>IF(F133="Bullet",MIN(G133,Assumptions!$B$6),"")</f>
        <v/>
      </c>
      <c r="I133" s="8">
        <v>1</v>
      </c>
      <c r="J133" s="8">
        <f>IF(F133="Monthly interest",MAX(0,Assumptions!$B$5-I133),"")</f>
        <v>2</v>
      </c>
      <c r="K133" s="7">
        <f t="shared" si="6"/>
        <v>3951</v>
      </c>
      <c r="L133" s="9">
        <v>46272</v>
      </c>
      <c r="M133" s="5" t="s">
        <v>50</v>
      </c>
      <c r="N133" s="5" t="s">
        <v>53</v>
      </c>
      <c r="O133" s="5" t="s">
        <v>103</v>
      </c>
      <c r="P133" s="5" t="s">
        <v>51</v>
      </c>
      <c r="Q133" s="5" t="s">
        <v>54</v>
      </c>
      <c r="R133" s="5" t="s">
        <v>55</v>
      </c>
      <c r="S133" s="5" t="s">
        <v>214</v>
      </c>
      <c r="T133" s="5" t="s">
        <v>57</v>
      </c>
      <c r="U133" s="5" t="s">
        <v>104</v>
      </c>
      <c r="V133" s="5" t="s">
        <v>215</v>
      </c>
      <c r="W133" s="5" t="s">
        <v>242</v>
      </c>
      <c r="X133" s="5" t="s">
        <v>797</v>
      </c>
      <c r="Y133" s="5" t="s">
        <v>798</v>
      </c>
      <c r="Z133" s="9">
        <v>46060</v>
      </c>
      <c r="AA133" s="8">
        <v>24</v>
      </c>
      <c r="AB133" s="9">
        <f t="shared" si="7"/>
        <v>46790</v>
      </c>
      <c r="AC133" s="10">
        <v>22</v>
      </c>
      <c r="AD133" s="7">
        <f t="shared" si="8"/>
        <v>3951</v>
      </c>
      <c r="AE133" s="7">
        <f>IF(F133="Bullet",H133*AD133,MIN(MAX(I133,1),Assumptions!$B$6)*AD133)</f>
        <v>3951</v>
      </c>
      <c r="AF133" s="8">
        <f>IF(F133="Bullet",MAX(0,Assumptions!$B$4-AB133),MAX(0,Assumptions!$B$4-L133))</f>
        <v>26</v>
      </c>
      <c r="AG133" s="9">
        <v>46245</v>
      </c>
      <c r="AH133" s="8">
        <f>IF(AG133="","",Assumptions!$B$4-AG133)</f>
        <v>53</v>
      </c>
      <c r="AI133" s="5" t="s">
        <v>63</v>
      </c>
      <c r="AJ133" s="8">
        <v>1</v>
      </c>
      <c r="AK133" s="8">
        <v>0</v>
      </c>
      <c r="AL133" s="8" t="s">
        <v>80</v>
      </c>
      <c r="AM133" s="8">
        <v>1</v>
      </c>
      <c r="AN133" s="5" t="s">
        <v>63</v>
      </c>
      <c r="AO133" s="10">
        <v>60.3</v>
      </c>
      <c r="AP133" s="8">
        <v>21</v>
      </c>
      <c r="AQ133" s="9">
        <v>46286</v>
      </c>
      <c r="AR133" s="5" t="s">
        <v>51</v>
      </c>
      <c r="AS133" s="5" t="s">
        <v>81</v>
      </c>
    </row>
    <row r="134" spans="1:45" x14ac:dyDescent="0.35">
      <c r="A134" s="5" t="s">
        <v>799</v>
      </c>
      <c r="B134" s="5" t="s">
        <v>800</v>
      </c>
      <c r="C134" s="6" t="s">
        <v>801</v>
      </c>
      <c r="D134" s="7">
        <v>208200</v>
      </c>
      <c r="E134" s="5" t="s">
        <v>48</v>
      </c>
      <c r="F134" s="5" t="s">
        <v>49</v>
      </c>
      <c r="G134" s="8"/>
      <c r="H134" s="8" t="str">
        <f>IF(F134="Bullet",MIN(G134,Assumptions!$B$6),"")</f>
        <v/>
      </c>
      <c r="I134" s="8">
        <v>2</v>
      </c>
      <c r="J134" s="8">
        <f>IF(F134="Monthly interest",MAX(0,Assumptions!$B$5-I134),"")</f>
        <v>1</v>
      </c>
      <c r="K134" s="7">
        <f t="shared" si="6"/>
        <v>8328</v>
      </c>
      <c r="L134" s="9">
        <v>46261</v>
      </c>
      <c r="M134" s="5" t="s">
        <v>116</v>
      </c>
      <c r="N134" s="5" t="s">
        <v>117</v>
      </c>
      <c r="O134" s="5" t="s">
        <v>118</v>
      </c>
      <c r="P134" s="5" t="s">
        <v>72</v>
      </c>
      <c r="Q134" s="5" t="s">
        <v>119</v>
      </c>
      <c r="R134" s="5" t="s">
        <v>120</v>
      </c>
      <c r="S134" s="5" t="s">
        <v>85</v>
      </c>
      <c r="T134" s="5" t="s">
        <v>57</v>
      </c>
      <c r="U134" s="5" t="s">
        <v>86</v>
      </c>
      <c r="V134" s="5" t="s">
        <v>177</v>
      </c>
      <c r="W134" s="5" t="s">
        <v>345</v>
      </c>
      <c r="X134" s="5" t="s">
        <v>802</v>
      </c>
      <c r="Y134" s="5" t="s">
        <v>803</v>
      </c>
      <c r="Z134" s="9">
        <v>46139</v>
      </c>
      <c r="AA134" s="8">
        <v>12</v>
      </c>
      <c r="AB134" s="9">
        <f t="shared" si="7"/>
        <v>46504</v>
      </c>
      <c r="AC134" s="10">
        <v>24</v>
      </c>
      <c r="AD134" s="7">
        <f t="shared" si="8"/>
        <v>4164</v>
      </c>
      <c r="AE134" s="7">
        <f>IF(F134="Bullet",H134*AD134,MIN(MAX(I134,1),Assumptions!$B$6)*AD134)</f>
        <v>8328</v>
      </c>
      <c r="AF134" s="8">
        <f>IF(F134="Bullet",MAX(0,Assumptions!$B$4-AB134),MAX(0,Assumptions!$B$4-L134))</f>
        <v>37</v>
      </c>
      <c r="AG134" s="9">
        <v>46235</v>
      </c>
      <c r="AH134" s="8">
        <f>IF(AG134="","",Assumptions!$B$4-AG134)</f>
        <v>63</v>
      </c>
      <c r="AI134" s="5" t="s">
        <v>63</v>
      </c>
      <c r="AJ134" s="8">
        <v>2</v>
      </c>
      <c r="AK134" s="8">
        <v>0</v>
      </c>
      <c r="AL134" s="8">
        <v>597</v>
      </c>
      <c r="AM134" s="8">
        <v>2</v>
      </c>
      <c r="AN134" s="5" t="s">
        <v>63</v>
      </c>
      <c r="AO134" s="10">
        <v>88</v>
      </c>
      <c r="AP134" s="8">
        <v>70</v>
      </c>
      <c r="AQ134" s="9">
        <v>46284</v>
      </c>
      <c r="AR134" s="5" t="s">
        <v>53</v>
      </c>
      <c r="AS134" s="5" t="s">
        <v>64</v>
      </c>
    </row>
    <row r="135" spans="1:45" x14ac:dyDescent="0.35">
      <c r="A135" s="5" t="s">
        <v>804</v>
      </c>
      <c r="B135" s="5" t="s">
        <v>805</v>
      </c>
      <c r="C135" s="6" t="s">
        <v>806</v>
      </c>
      <c r="D135" s="7">
        <v>219900</v>
      </c>
      <c r="E135" s="5" t="s">
        <v>48</v>
      </c>
      <c r="F135" s="5" t="s">
        <v>68</v>
      </c>
      <c r="G135" s="8">
        <v>2</v>
      </c>
      <c r="H135" s="8">
        <f>IF(F135="Bullet",MIN(G135,Assumptions!$B$6),"")</f>
        <v>2</v>
      </c>
      <c r="I135" s="8"/>
      <c r="J135" s="8" t="str">
        <f>IF(F135="Monthly interest",MAX(0,Assumptions!$B$5-I135),"")</f>
        <v/>
      </c>
      <c r="K135" s="7">
        <f t="shared" si="6"/>
        <v>5132</v>
      </c>
      <c r="L135" s="9">
        <v>46225</v>
      </c>
      <c r="M135" s="5" t="s">
        <v>50</v>
      </c>
      <c r="N135" s="5" t="s">
        <v>51</v>
      </c>
      <c r="O135" s="5" t="s">
        <v>71</v>
      </c>
      <c r="P135" s="5" t="s">
        <v>53</v>
      </c>
      <c r="Q135" s="5" t="s">
        <v>73</v>
      </c>
      <c r="R135" s="5" t="s">
        <v>74</v>
      </c>
      <c r="S135" s="5" t="s">
        <v>56</v>
      </c>
      <c r="T135" s="5" t="s">
        <v>57</v>
      </c>
      <c r="U135" s="5" t="s">
        <v>86</v>
      </c>
      <c r="V135" s="5" t="s">
        <v>59</v>
      </c>
      <c r="W135" s="5" t="s">
        <v>126</v>
      </c>
      <c r="X135" s="5" t="s">
        <v>423</v>
      </c>
      <c r="Y135" s="5" t="s">
        <v>807</v>
      </c>
      <c r="Z135" s="9">
        <v>46225</v>
      </c>
      <c r="AA135" s="8">
        <v>6</v>
      </c>
      <c r="AB135" s="9">
        <f t="shared" si="7"/>
        <v>46409</v>
      </c>
      <c r="AC135" s="10">
        <v>14</v>
      </c>
      <c r="AD135" s="7">
        <f t="shared" si="8"/>
        <v>2566</v>
      </c>
      <c r="AE135" s="7">
        <f>IF(F135="Bullet",H135*AD135,MIN(MAX(I135,1),Assumptions!$B$6)*AD135)</f>
        <v>5132</v>
      </c>
      <c r="AF135" s="8">
        <f>IF(F135="Bullet",MAX(0,Assumptions!$B$4-AB135),MAX(0,Assumptions!$B$4-L135))</f>
        <v>0</v>
      </c>
      <c r="AG135" s="9"/>
      <c r="AH135" s="8" t="str">
        <f>IF(AG135="","",Assumptions!$B$4-AG135)</f>
        <v/>
      </c>
      <c r="AI135" s="5" t="s">
        <v>80</v>
      </c>
      <c r="AJ135" s="8"/>
      <c r="AK135" s="8">
        <v>0</v>
      </c>
      <c r="AL135" s="8">
        <v>678</v>
      </c>
      <c r="AM135" s="8">
        <v>1</v>
      </c>
      <c r="AN135" s="5" t="s">
        <v>63</v>
      </c>
      <c r="AO135" s="10">
        <v>73.3</v>
      </c>
      <c r="AP135" s="8">
        <v>18</v>
      </c>
      <c r="AQ135" s="9">
        <v>46275</v>
      </c>
      <c r="AR135" s="5" t="s">
        <v>70</v>
      </c>
      <c r="AS135" s="5" t="s">
        <v>91</v>
      </c>
    </row>
    <row r="136" spans="1:45" x14ac:dyDescent="0.35">
      <c r="A136" s="5" t="s">
        <v>808</v>
      </c>
      <c r="B136" s="5" t="s">
        <v>809</v>
      </c>
      <c r="C136" s="6" t="s">
        <v>810</v>
      </c>
      <c r="D136" s="7">
        <v>49700</v>
      </c>
      <c r="E136" s="5" t="s">
        <v>48</v>
      </c>
      <c r="F136" s="5" t="s">
        <v>49</v>
      </c>
      <c r="G136" s="8"/>
      <c r="H136" s="8" t="str">
        <f>IF(F136="Bullet",MIN(G136,Assumptions!$B$6),"")</f>
        <v/>
      </c>
      <c r="I136" s="8">
        <v>1</v>
      </c>
      <c r="J136" s="8">
        <f>IF(F136="Monthly interest",MAX(0,Assumptions!$B$5-I136),"")</f>
        <v>2</v>
      </c>
      <c r="K136" s="7">
        <f t="shared" si="6"/>
        <v>663</v>
      </c>
      <c r="L136" s="9">
        <v>46297</v>
      </c>
      <c r="M136" s="5" t="s">
        <v>69</v>
      </c>
      <c r="N136" s="5" t="s">
        <v>51</v>
      </c>
      <c r="O136" s="5" t="s">
        <v>152</v>
      </c>
      <c r="P136" s="5" t="s">
        <v>53</v>
      </c>
      <c r="Q136" s="5" t="s">
        <v>154</v>
      </c>
      <c r="R136" s="5" t="s">
        <v>155</v>
      </c>
      <c r="S136" s="5" t="s">
        <v>214</v>
      </c>
      <c r="T136" s="5" t="s">
        <v>57</v>
      </c>
      <c r="U136" s="5" t="s">
        <v>86</v>
      </c>
      <c r="V136" s="5" t="s">
        <v>215</v>
      </c>
      <c r="W136" s="5" t="s">
        <v>278</v>
      </c>
      <c r="X136" s="5" t="s">
        <v>279</v>
      </c>
      <c r="Y136" s="5" t="s">
        <v>811</v>
      </c>
      <c r="Z136" s="9">
        <v>46055</v>
      </c>
      <c r="AA136" s="8">
        <v>12</v>
      </c>
      <c r="AB136" s="9">
        <f t="shared" si="7"/>
        <v>46420</v>
      </c>
      <c r="AC136" s="10">
        <v>16</v>
      </c>
      <c r="AD136" s="7">
        <f t="shared" si="8"/>
        <v>663</v>
      </c>
      <c r="AE136" s="7">
        <f>IF(F136="Bullet",H136*AD136,MIN(MAX(I136,1),Assumptions!$B$6)*AD136)</f>
        <v>663</v>
      </c>
      <c r="AF136" s="8">
        <f>IF(F136="Bullet",MAX(0,Assumptions!$B$4-AB136),MAX(0,Assumptions!$B$4-L136))</f>
        <v>1</v>
      </c>
      <c r="AG136" s="9">
        <v>46268</v>
      </c>
      <c r="AH136" s="8">
        <f>IF(AG136="","",Assumptions!$B$4-AG136)</f>
        <v>30</v>
      </c>
      <c r="AI136" s="5" t="s">
        <v>63</v>
      </c>
      <c r="AJ136" s="8">
        <v>1</v>
      </c>
      <c r="AK136" s="8">
        <v>0</v>
      </c>
      <c r="AL136" s="8">
        <v>596</v>
      </c>
      <c r="AM136" s="8">
        <v>3</v>
      </c>
      <c r="AN136" s="5" t="s">
        <v>63</v>
      </c>
      <c r="AO136" s="10">
        <v>73.099999999999994</v>
      </c>
      <c r="AP136" s="8">
        <v>41</v>
      </c>
      <c r="AQ136" s="9"/>
      <c r="AR136" s="5"/>
      <c r="AS136" s="5" t="s">
        <v>159</v>
      </c>
    </row>
    <row r="137" spans="1:45" x14ac:dyDescent="0.35">
      <c r="A137" s="5" t="s">
        <v>812</v>
      </c>
      <c r="B137" s="5" t="s">
        <v>813</v>
      </c>
      <c r="C137" s="6" t="s">
        <v>814</v>
      </c>
      <c r="D137" s="7">
        <v>138200</v>
      </c>
      <c r="E137" s="5" t="s">
        <v>48</v>
      </c>
      <c r="F137" s="5" t="s">
        <v>49</v>
      </c>
      <c r="G137" s="8"/>
      <c r="H137" s="8" t="str">
        <f>IF(F137="Bullet",MIN(G137,Assumptions!$B$6),"")</f>
        <v/>
      </c>
      <c r="I137" s="8">
        <v>1</v>
      </c>
      <c r="J137" s="8">
        <f>IF(F137="Monthly interest",MAX(0,Assumptions!$B$5-I137),"")</f>
        <v>2</v>
      </c>
      <c r="K137" s="7">
        <f t="shared" si="6"/>
        <v>2303</v>
      </c>
      <c r="L137" s="9">
        <v>46277</v>
      </c>
      <c r="M137" s="5" t="s">
        <v>50</v>
      </c>
      <c r="N137" s="5" t="s">
        <v>51</v>
      </c>
      <c r="O137" s="5" t="s">
        <v>52</v>
      </c>
      <c r="P137" s="5" t="s">
        <v>53</v>
      </c>
      <c r="Q137" s="5" t="s">
        <v>54</v>
      </c>
      <c r="R137" s="5" t="s">
        <v>55</v>
      </c>
      <c r="S137" s="5" t="s">
        <v>85</v>
      </c>
      <c r="T137" s="5" t="s">
        <v>57</v>
      </c>
      <c r="U137" s="5" t="s">
        <v>86</v>
      </c>
      <c r="V137" s="5" t="s">
        <v>133</v>
      </c>
      <c r="W137" s="5" t="s">
        <v>134</v>
      </c>
      <c r="X137" s="5" t="s">
        <v>815</v>
      </c>
      <c r="Y137" s="5" t="s">
        <v>816</v>
      </c>
      <c r="Z137" s="9">
        <v>46093</v>
      </c>
      <c r="AA137" s="8">
        <v>12</v>
      </c>
      <c r="AB137" s="9">
        <f t="shared" si="7"/>
        <v>46458</v>
      </c>
      <c r="AC137" s="10">
        <v>20</v>
      </c>
      <c r="AD137" s="7">
        <f t="shared" si="8"/>
        <v>2303</v>
      </c>
      <c r="AE137" s="7">
        <f>IF(F137="Bullet",H137*AD137,MIN(MAX(I137,1),Assumptions!$B$6)*AD137)</f>
        <v>2303</v>
      </c>
      <c r="AF137" s="8">
        <f>IF(F137="Bullet",MAX(0,Assumptions!$B$4-AB137),MAX(0,Assumptions!$B$4-L137))</f>
        <v>21</v>
      </c>
      <c r="AG137" s="9">
        <v>46250</v>
      </c>
      <c r="AH137" s="8">
        <f>IF(AG137="","",Assumptions!$B$4-AG137)</f>
        <v>48</v>
      </c>
      <c r="AI137" s="5" t="s">
        <v>57</v>
      </c>
      <c r="AJ137" s="8">
        <v>1</v>
      </c>
      <c r="AK137" s="8">
        <v>0</v>
      </c>
      <c r="AL137" s="8">
        <v>692</v>
      </c>
      <c r="AM137" s="8">
        <v>1</v>
      </c>
      <c r="AN137" s="5" t="s">
        <v>63</v>
      </c>
      <c r="AO137" s="10">
        <v>62.4</v>
      </c>
      <c r="AP137" s="8">
        <v>22</v>
      </c>
      <c r="AQ137" s="9"/>
      <c r="AR137" s="5"/>
      <c r="AS137" s="5" t="s">
        <v>159</v>
      </c>
    </row>
    <row r="138" spans="1:45" x14ac:dyDescent="0.35">
      <c r="A138" s="5" t="s">
        <v>817</v>
      </c>
      <c r="B138" s="5" t="s">
        <v>551</v>
      </c>
      <c r="C138" s="6" t="s">
        <v>818</v>
      </c>
      <c r="D138" s="7">
        <v>233500</v>
      </c>
      <c r="E138" s="5" t="s">
        <v>48</v>
      </c>
      <c r="F138" s="5" t="s">
        <v>68</v>
      </c>
      <c r="G138" s="8">
        <v>5</v>
      </c>
      <c r="H138" s="8">
        <f>IF(F138="Bullet",MIN(G138,Assumptions!$B$6),"")</f>
        <v>2</v>
      </c>
      <c r="I138" s="8"/>
      <c r="J138" s="8" t="str">
        <f>IF(F138="Monthly interest",MAX(0,Assumptions!$B$5-I138),"")</f>
        <v/>
      </c>
      <c r="K138" s="7">
        <f t="shared" si="6"/>
        <v>14595</v>
      </c>
      <c r="L138" s="9">
        <v>46126</v>
      </c>
      <c r="M138" s="5" t="s">
        <v>116</v>
      </c>
      <c r="N138" s="5" t="s">
        <v>117</v>
      </c>
      <c r="O138" s="5" t="s">
        <v>461</v>
      </c>
      <c r="P138" s="5" t="s">
        <v>72</v>
      </c>
      <c r="Q138" s="5" t="s">
        <v>169</v>
      </c>
      <c r="R138" s="5" t="s">
        <v>170</v>
      </c>
      <c r="S138" s="5" t="s">
        <v>85</v>
      </c>
      <c r="T138" s="5" t="s">
        <v>57</v>
      </c>
      <c r="U138" s="5" t="s">
        <v>86</v>
      </c>
      <c r="V138" s="5" t="s">
        <v>96</v>
      </c>
      <c r="W138" s="5" t="s">
        <v>819</v>
      </c>
      <c r="X138" s="5" t="s">
        <v>820</v>
      </c>
      <c r="Y138" s="5" t="s">
        <v>821</v>
      </c>
      <c r="Z138" s="9">
        <v>46126</v>
      </c>
      <c r="AA138" s="8">
        <v>6</v>
      </c>
      <c r="AB138" s="9">
        <f t="shared" si="7"/>
        <v>46309</v>
      </c>
      <c r="AC138" s="10">
        <v>15</v>
      </c>
      <c r="AD138" s="7">
        <f t="shared" si="8"/>
        <v>2919</v>
      </c>
      <c r="AE138" s="7">
        <f>IF(F138="Bullet",H138*AD138,MIN(MAX(I138,1),Assumptions!$B$6)*AD138)</f>
        <v>5838</v>
      </c>
      <c r="AF138" s="8">
        <f>IF(F138="Bullet",MAX(0,Assumptions!$B$4-AB138),MAX(0,Assumptions!$B$4-L138))</f>
        <v>0</v>
      </c>
      <c r="AG138" s="9"/>
      <c r="AH138" s="8" t="str">
        <f>IF(AG138="","",Assumptions!$B$4-AG138)</f>
        <v/>
      </c>
      <c r="AI138" s="5" t="s">
        <v>80</v>
      </c>
      <c r="AJ138" s="8"/>
      <c r="AK138" s="8">
        <v>3</v>
      </c>
      <c r="AL138" s="8">
        <v>730</v>
      </c>
      <c r="AM138" s="8">
        <v>1</v>
      </c>
      <c r="AN138" s="5" t="s">
        <v>63</v>
      </c>
      <c r="AO138" s="10">
        <v>77.099999999999994</v>
      </c>
      <c r="AP138" s="8">
        <v>53</v>
      </c>
      <c r="AQ138" s="9">
        <v>46277</v>
      </c>
      <c r="AR138" s="5" t="s">
        <v>70</v>
      </c>
      <c r="AS138" s="5" t="s">
        <v>64</v>
      </c>
    </row>
    <row r="139" spans="1:45" x14ac:dyDescent="0.35">
      <c r="A139" s="5" t="s">
        <v>822</v>
      </c>
      <c r="B139" s="5" t="s">
        <v>823</v>
      </c>
      <c r="C139" s="6" t="s">
        <v>824</v>
      </c>
      <c r="D139" s="7">
        <v>39200</v>
      </c>
      <c r="E139" s="5" t="s">
        <v>48</v>
      </c>
      <c r="F139" s="5" t="s">
        <v>49</v>
      </c>
      <c r="G139" s="8"/>
      <c r="H139" s="8" t="str">
        <f>IF(F139="Bullet",MIN(G139,Assumptions!$B$6),"")</f>
        <v/>
      </c>
      <c r="I139" s="8">
        <v>1</v>
      </c>
      <c r="J139" s="8">
        <f>IF(F139="Monthly interest",MAX(0,Assumptions!$B$5-I139),"")</f>
        <v>2</v>
      </c>
      <c r="K139" s="7">
        <f t="shared" si="6"/>
        <v>784</v>
      </c>
      <c r="L139" s="9">
        <v>46286</v>
      </c>
      <c r="M139" s="5" t="s">
        <v>50</v>
      </c>
      <c r="N139" s="5" t="s">
        <v>51</v>
      </c>
      <c r="O139" s="5" t="s">
        <v>152</v>
      </c>
      <c r="P139" s="5" t="s">
        <v>53</v>
      </c>
      <c r="Q139" s="5" t="s">
        <v>154</v>
      </c>
      <c r="R139" s="5" t="s">
        <v>155</v>
      </c>
      <c r="S139" s="5" t="s">
        <v>75</v>
      </c>
      <c r="T139" s="5" t="s">
        <v>57</v>
      </c>
      <c r="U139" s="5" t="s">
        <v>86</v>
      </c>
      <c r="V139" s="5" t="s">
        <v>76</v>
      </c>
      <c r="W139" s="5" t="s">
        <v>105</v>
      </c>
      <c r="X139" s="5" t="s">
        <v>106</v>
      </c>
      <c r="Y139" s="5" t="s">
        <v>825</v>
      </c>
      <c r="Z139" s="9">
        <v>46163</v>
      </c>
      <c r="AA139" s="8">
        <v>12</v>
      </c>
      <c r="AB139" s="9">
        <f t="shared" si="7"/>
        <v>46528</v>
      </c>
      <c r="AC139" s="10">
        <v>24</v>
      </c>
      <c r="AD139" s="7">
        <f t="shared" si="8"/>
        <v>784</v>
      </c>
      <c r="AE139" s="7">
        <f>IF(F139="Bullet",H139*AD139,MIN(MAX(I139,1),Assumptions!$B$6)*AD139)</f>
        <v>784</v>
      </c>
      <c r="AF139" s="8">
        <f>IF(F139="Bullet",MAX(0,Assumptions!$B$4-AB139),MAX(0,Assumptions!$B$4-L139))</f>
        <v>12</v>
      </c>
      <c r="AG139" s="9">
        <v>46260</v>
      </c>
      <c r="AH139" s="8">
        <f>IF(AG139="","",Assumptions!$B$4-AG139)</f>
        <v>38</v>
      </c>
      <c r="AI139" s="5" t="s">
        <v>63</v>
      </c>
      <c r="AJ139" s="8">
        <v>2</v>
      </c>
      <c r="AK139" s="8">
        <v>0</v>
      </c>
      <c r="AL139" s="8">
        <v>774</v>
      </c>
      <c r="AM139" s="8">
        <v>0</v>
      </c>
      <c r="AN139" s="5" t="s">
        <v>63</v>
      </c>
      <c r="AO139" s="10">
        <v>64.8</v>
      </c>
      <c r="AP139" s="8">
        <v>16</v>
      </c>
      <c r="AQ139" s="9"/>
      <c r="AR139" s="5"/>
      <c r="AS139" s="5" t="s">
        <v>159</v>
      </c>
    </row>
    <row r="140" spans="1:45" x14ac:dyDescent="0.35">
      <c r="A140" s="5" t="s">
        <v>826</v>
      </c>
      <c r="B140" s="5" t="s">
        <v>827</v>
      </c>
      <c r="C140" s="6" t="s">
        <v>828</v>
      </c>
      <c r="D140" s="7">
        <v>86200</v>
      </c>
      <c r="E140" s="5" t="s">
        <v>48</v>
      </c>
      <c r="F140" s="5" t="s">
        <v>68</v>
      </c>
      <c r="G140" s="8">
        <v>5</v>
      </c>
      <c r="H140" s="8">
        <f>IF(F140="Bullet",MIN(G140,Assumptions!$B$6),"")</f>
        <v>2</v>
      </c>
      <c r="I140" s="8"/>
      <c r="J140" s="8" t="str">
        <f>IF(F140="Monthly interest",MAX(0,Assumptions!$B$5-I140),"")</f>
        <v/>
      </c>
      <c r="K140" s="7">
        <f t="shared" si="6"/>
        <v>6465</v>
      </c>
      <c r="L140" s="9">
        <v>46143</v>
      </c>
      <c r="M140" s="5" t="s">
        <v>69</v>
      </c>
      <c r="N140" s="5" t="s">
        <v>53</v>
      </c>
      <c r="O140" s="5" t="s">
        <v>168</v>
      </c>
      <c r="P140" s="5" t="s">
        <v>70</v>
      </c>
      <c r="Q140" s="5" t="s">
        <v>169</v>
      </c>
      <c r="R140" s="5" t="s">
        <v>170</v>
      </c>
      <c r="S140" s="5" t="s">
        <v>75</v>
      </c>
      <c r="T140" s="5" t="s">
        <v>57</v>
      </c>
      <c r="U140" s="5" t="s">
        <v>86</v>
      </c>
      <c r="V140" s="5" t="s">
        <v>76</v>
      </c>
      <c r="W140" s="5" t="s">
        <v>140</v>
      </c>
      <c r="X140" s="5" t="s">
        <v>829</v>
      </c>
      <c r="Y140" s="5" t="s">
        <v>830</v>
      </c>
      <c r="Z140" s="9">
        <v>46143</v>
      </c>
      <c r="AA140" s="8">
        <v>6</v>
      </c>
      <c r="AB140" s="9">
        <f t="shared" si="7"/>
        <v>46327</v>
      </c>
      <c r="AC140" s="10">
        <v>18</v>
      </c>
      <c r="AD140" s="7">
        <f t="shared" si="8"/>
        <v>1293</v>
      </c>
      <c r="AE140" s="7">
        <f>IF(F140="Bullet",H140*AD140,MIN(MAX(I140,1),Assumptions!$B$6)*AD140)</f>
        <v>2586</v>
      </c>
      <c r="AF140" s="8">
        <f>IF(F140="Bullet",MAX(0,Assumptions!$B$4-AB140),MAX(0,Assumptions!$B$4-L140))</f>
        <v>0</v>
      </c>
      <c r="AG140" s="9"/>
      <c r="AH140" s="8" t="str">
        <f>IF(AG140="","",Assumptions!$B$4-AG140)</f>
        <v/>
      </c>
      <c r="AI140" s="5" t="s">
        <v>80</v>
      </c>
      <c r="AJ140" s="8"/>
      <c r="AK140" s="8">
        <v>0</v>
      </c>
      <c r="AL140" s="8">
        <v>750</v>
      </c>
      <c r="AM140" s="8">
        <v>1</v>
      </c>
      <c r="AN140" s="5" t="s">
        <v>63</v>
      </c>
      <c r="AO140" s="10">
        <v>69</v>
      </c>
      <c r="AP140" s="8">
        <v>34</v>
      </c>
      <c r="AQ140" s="9"/>
      <c r="AR140" s="5"/>
      <c r="AS140" s="5" t="s">
        <v>159</v>
      </c>
    </row>
    <row r="141" spans="1:45" x14ac:dyDescent="0.35">
      <c r="A141" s="5" t="s">
        <v>831</v>
      </c>
      <c r="B141" s="5" t="s">
        <v>832</v>
      </c>
      <c r="C141" s="6" t="s">
        <v>833</v>
      </c>
      <c r="D141" s="7">
        <v>99900</v>
      </c>
      <c r="E141" s="5" t="s">
        <v>48</v>
      </c>
      <c r="F141" s="5" t="s">
        <v>49</v>
      </c>
      <c r="G141" s="8"/>
      <c r="H141" s="8" t="str">
        <f>IF(F141="Bullet",MIN(G141,Assumptions!$B$6),"")</f>
        <v/>
      </c>
      <c r="I141" s="8">
        <v>1</v>
      </c>
      <c r="J141" s="8">
        <f>IF(F141="Monthly interest",MAX(0,Assumptions!$B$5-I141),"")</f>
        <v>2</v>
      </c>
      <c r="K141" s="7">
        <f t="shared" si="6"/>
        <v>1832</v>
      </c>
      <c r="L141" s="9">
        <v>46269</v>
      </c>
      <c r="M141" s="5" t="s">
        <v>69</v>
      </c>
      <c r="N141" s="5" t="s">
        <v>53</v>
      </c>
      <c r="O141" s="5" t="s">
        <v>103</v>
      </c>
      <c r="P141" s="5" t="s">
        <v>70</v>
      </c>
      <c r="Q141" s="5" t="s">
        <v>54</v>
      </c>
      <c r="R141" s="5" t="s">
        <v>55</v>
      </c>
      <c r="S141" s="5" t="s">
        <v>185</v>
      </c>
      <c r="T141" s="5" t="s">
        <v>57</v>
      </c>
      <c r="U141" s="5" t="s">
        <v>104</v>
      </c>
      <c r="V141" s="5" t="s">
        <v>186</v>
      </c>
      <c r="W141" s="5" t="s">
        <v>694</v>
      </c>
      <c r="X141" s="5" t="s">
        <v>773</v>
      </c>
      <c r="Y141" s="5" t="s">
        <v>834</v>
      </c>
      <c r="Z141" s="9">
        <v>46026</v>
      </c>
      <c r="AA141" s="8">
        <v>18</v>
      </c>
      <c r="AB141" s="9">
        <f t="shared" si="7"/>
        <v>46572</v>
      </c>
      <c r="AC141" s="10">
        <v>22</v>
      </c>
      <c r="AD141" s="7">
        <f t="shared" si="8"/>
        <v>1832</v>
      </c>
      <c r="AE141" s="7">
        <f>IF(F141="Bullet",H141*AD141,MIN(MAX(I141,1),Assumptions!$B$6)*AD141)</f>
        <v>1832</v>
      </c>
      <c r="AF141" s="8">
        <f>IF(F141="Bullet",MAX(0,Assumptions!$B$4-AB141),MAX(0,Assumptions!$B$4-L141))</f>
        <v>29</v>
      </c>
      <c r="AG141" s="9">
        <v>46238</v>
      </c>
      <c r="AH141" s="8">
        <f>IF(AG141="","",Assumptions!$B$4-AG141)</f>
        <v>60</v>
      </c>
      <c r="AI141" s="5" t="s">
        <v>63</v>
      </c>
      <c r="AJ141" s="8">
        <v>2</v>
      </c>
      <c r="AK141" s="8">
        <v>0</v>
      </c>
      <c r="AL141" s="8">
        <v>705</v>
      </c>
      <c r="AM141" s="8">
        <v>0</v>
      </c>
      <c r="AN141" s="5" t="s">
        <v>57</v>
      </c>
      <c r="AO141" s="10">
        <v>78.7</v>
      </c>
      <c r="AP141" s="8">
        <v>38</v>
      </c>
      <c r="AQ141" s="9">
        <v>46289</v>
      </c>
      <c r="AR141" s="5" t="s">
        <v>51</v>
      </c>
      <c r="AS141" s="5" t="s">
        <v>81</v>
      </c>
    </row>
    <row r="142" spans="1:45" x14ac:dyDescent="0.35">
      <c r="A142" s="5" t="s">
        <v>835</v>
      </c>
      <c r="B142" s="5" t="s">
        <v>836</v>
      </c>
      <c r="C142" s="6" t="s">
        <v>837</v>
      </c>
      <c r="D142" s="7">
        <v>614400</v>
      </c>
      <c r="E142" s="5" t="s">
        <v>48</v>
      </c>
      <c r="F142" s="5" t="s">
        <v>49</v>
      </c>
      <c r="G142" s="8"/>
      <c r="H142" s="8" t="str">
        <f>IF(F142="Bullet",MIN(G142,Assumptions!$B$6),"")</f>
        <v/>
      </c>
      <c r="I142" s="8">
        <v>2</v>
      </c>
      <c r="J142" s="8">
        <f>IF(F142="Monthly interest",MAX(0,Assumptions!$B$5-I142),"")</f>
        <v>1</v>
      </c>
      <c r="K142" s="7">
        <f t="shared" si="6"/>
        <v>16384</v>
      </c>
      <c r="L142" s="9">
        <v>46262</v>
      </c>
      <c r="M142" s="5" t="s">
        <v>69</v>
      </c>
      <c r="N142" s="5" t="s">
        <v>70</v>
      </c>
      <c r="O142" s="5" t="s">
        <v>71</v>
      </c>
      <c r="P142" s="5" t="s">
        <v>72</v>
      </c>
      <c r="Q142" s="5" t="s">
        <v>73</v>
      </c>
      <c r="R142" s="5" t="s">
        <v>74</v>
      </c>
      <c r="S142" s="5" t="s">
        <v>85</v>
      </c>
      <c r="T142" s="5" t="s">
        <v>57</v>
      </c>
      <c r="U142" s="5" t="s">
        <v>104</v>
      </c>
      <c r="V142" s="5" t="s">
        <v>96</v>
      </c>
      <c r="W142" s="5" t="s">
        <v>97</v>
      </c>
      <c r="X142" s="5" t="s">
        <v>838</v>
      </c>
      <c r="Y142" s="5" t="s">
        <v>839</v>
      </c>
      <c r="Z142" s="9">
        <v>46050</v>
      </c>
      <c r="AA142" s="8">
        <v>24</v>
      </c>
      <c r="AB142" s="9">
        <f t="shared" si="7"/>
        <v>46780</v>
      </c>
      <c r="AC142" s="10">
        <v>16</v>
      </c>
      <c r="AD142" s="7">
        <f t="shared" si="8"/>
        <v>8192</v>
      </c>
      <c r="AE142" s="7">
        <f>IF(F142="Bullet",H142*AD142,MIN(MAX(I142,1),Assumptions!$B$6)*AD142)</f>
        <v>16384</v>
      </c>
      <c r="AF142" s="8">
        <f>IF(F142="Bullet",MAX(0,Assumptions!$B$4-AB142),MAX(0,Assumptions!$B$4-L142))</f>
        <v>36</v>
      </c>
      <c r="AG142" s="9">
        <v>46232</v>
      </c>
      <c r="AH142" s="8">
        <f>IF(AG142="","",Assumptions!$B$4-AG142)</f>
        <v>66</v>
      </c>
      <c r="AI142" s="5" t="s">
        <v>63</v>
      </c>
      <c r="AJ142" s="8">
        <v>2</v>
      </c>
      <c r="AK142" s="8">
        <v>0</v>
      </c>
      <c r="AL142" s="8">
        <v>668</v>
      </c>
      <c r="AM142" s="8">
        <v>1</v>
      </c>
      <c r="AN142" s="5" t="s">
        <v>63</v>
      </c>
      <c r="AO142" s="10">
        <v>70.5</v>
      </c>
      <c r="AP142" s="8">
        <v>43</v>
      </c>
      <c r="AQ142" s="9"/>
      <c r="AR142" s="5"/>
      <c r="AS142" s="5" t="s">
        <v>159</v>
      </c>
    </row>
    <row r="143" spans="1:45" x14ac:dyDescent="0.35">
      <c r="A143" s="5" t="s">
        <v>840</v>
      </c>
      <c r="B143" s="5" t="s">
        <v>841</v>
      </c>
      <c r="C143" s="6" t="s">
        <v>842</v>
      </c>
      <c r="D143" s="7">
        <v>51900</v>
      </c>
      <c r="E143" s="5" t="s">
        <v>48</v>
      </c>
      <c r="F143" s="5" t="s">
        <v>68</v>
      </c>
      <c r="G143" s="8">
        <v>5</v>
      </c>
      <c r="H143" s="8">
        <f>IF(F143="Bullet",MIN(G143,Assumptions!$B$6),"")</f>
        <v>2</v>
      </c>
      <c r="I143" s="8"/>
      <c r="J143" s="8" t="str">
        <f>IF(F143="Monthly interest",MAX(0,Assumptions!$B$5-I143),"")</f>
        <v/>
      </c>
      <c r="K143" s="7">
        <f t="shared" si="6"/>
        <v>3895</v>
      </c>
      <c r="L143" s="9">
        <v>46122</v>
      </c>
      <c r="M143" s="5" t="s">
        <v>116</v>
      </c>
      <c r="N143" s="5" t="s">
        <v>117</v>
      </c>
      <c r="O143" s="5" t="s">
        <v>461</v>
      </c>
      <c r="P143" s="5" t="s">
        <v>72</v>
      </c>
      <c r="Q143" s="5" t="s">
        <v>169</v>
      </c>
      <c r="R143" s="5" t="s">
        <v>170</v>
      </c>
      <c r="S143" s="5" t="s">
        <v>253</v>
      </c>
      <c r="T143" s="5" t="s">
        <v>57</v>
      </c>
      <c r="U143" s="5" t="s">
        <v>58</v>
      </c>
      <c r="V143" s="5" t="s">
        <v>186</v>
      </c>
      <c r="W143" s="5" t="s">
        <v>694</v>
      </c>
      <c r="X143" s="5" t="s">
        <v>843</v>
      </c>
      <c r="Y143" s="5" t="s">
        <v>844</v>
      </c>
      <c r="Z143" s="9">
        <v>46122</v>
      </c>
      <c r="AA143" s="8">
        <v>3</v>
      </c>
      <c r="AB143" s="9">
        <f t="shared" si="7"/>
        <v>46213</v>
      </c>
      <c r="AC143" s="10">
        <v>18</v>
      </c>
      <c r="AD143" s="7">
        <f t="shared" si="8"/>
        <v>779</v>
      </c>
      <c r="AE143" s="7">
        <f>IF(F143="Bullet",H143*AD143,MIN(MAX(I143,1),Assumptions!$B$6)*AD143)</f>
        <v>1558</v>
      </c>
      <c r="AF143" s="8">
        <f>IF(F143="Bullet",MAX(0,Assumptions!$B$4-AB143),MAX(0,Assumptions!$B$4-L143))</f>
        <v>85</v>
      </c>
      <c r="AG143" s="9"/>
      <c r="AH143" s="8" t="str">
        <f>IF(AG143="","",Assumptions!$B$4-AG143)</f>
        <v/>
      </c>
      <c r="AI143" s="5" t="s">
        <v>80</v>
      </c>
      <c r="AJ143" s="8"/>
      <c r="AK143" s="8">
        <v>0</v>
      </c>
      <c r="AL143" s="8">
        <v>641</v>
      </c>
      <c r="AM143" s="8">
        <v>2</v>
      </c>
      <c r="AN143" s="5" t="s">
        <v>63</v>
      </c>
      <c r="AO143" s="10">
        <v>59.7</v>
      </c>
      <c r="AP143" s="8">
        <v>58</v>
      </c>
      <c r="AQ143" s="9">
        <v>46288</v>
      </c>
      <c r="AR143" s="5" t="s">
        <v>51</v>
      </c>
      <c r="AS143" s="5" t="s">
        <v>81</v>
      </c>
    </row>
    <row r="144" spans="1:45" x14ac:dyDescent="0.35">
      <c r="A144" s="5" t="s">
        <v>845</v>
      </c>
      <c r="B144" s="5" t="s">
        <v>846</v>
      </c>
      <c r="C144" s="6" t="s">
        <v>847</v>
      </c>
      <c r="D144" s="7">
        <v>206600</v>
      </c>
      <c r="E144" s="5" t="s">
        <v>48</v>
      </c>
      <c r="F144" s="5" t="s">
        <v>49</v>
      </c>
      <c r="G144" s="8"/>
      <c r="H144" s="8" t="str">
        <f>IF(F144="Bullet",MIN(G144,Assumptions!$B$6),"")</f>
        <v/>
      </c>
      <c r="I144" s="8">
        <v>2</v>
      </c>
      <c r="J144" s="8">
        <f>IF(F144="Monthly interest",MAX(0,Assumptions!$B$5-I144),"")</f>
        <v>1</v>
      </c>
      <c r="K144" s="7">
        <f t="shared" si="6"/>
        <v>7576</v>
      </c>
      <c r="L144" s="9">
        <v>46261</v>
      </c>
      <c r="M144" s="5" t="s">
        <v>116</v>
      </c>
      <c r="N144" s="5" t="s">
        <v>117</v>
      </c>
      <c r="O144" s="5" t="s">
        <v>118</v>
      </c>
      <c r="P144" s="5" t="s">
        <v>72</v>
      </c>
      <c r="Q144" s="5" t="s">
        <v>119</v>
      </c>
      <c r="R144" s="5" t="s">
        <v>120</v>
      </c>
      <c r="S144" s="5" t="s">
        <v>85</v>
      </c>
      <c r="T144" s="5" t="s">
        <v>57</v>
      </c>
      <c r="U144" s="5" t="s">
        <v>86</v>
      </c>
      <c r="V144" s="5" t="s">
        <v>87</v>
      </c>
      <c r="W144" s="5" t="s">
        <v>254</v>
      </c>
      <c r="X144" s="5" t="s">
        <v>848</v>
      </c>
      <c r="Y144" s="5" t="s">
        <v>849</v>
      </c>
      <c r="Z144" s="9">
        <v>46169</v>
      </c>
      <c r="AA144" s="8">
        <v>24</v>
      </c>
      <c r="AB144" s="9">
        <f t="shared" si="7"/>
        <v>46900</v>
      </c>
      <c r="AC144" s="10">
        <v>22</v>
      </c>
      <c r="AD144" s="7">
        <f t="shared" si="8"/>
        <v>3788</v>
      </c>
      <c r="AE144" s="7">
        <f>IF(F144="Bullet",H144*AD144,MIN(MAX(I144,1),Assumptions!$B$6)*AD144)</f>
        <v>7576</v>
      </c>
      <c r="AF144" s="8">
        <f>IF(F144="Bullet",MAX(0,Assumptions!$B$4-AB144),MAX(0,Assumptions!$B$4-L144))</f>
        <v>37</v>
      </c>
      <c r="AG144" s="9">
        <v>46230</v>
      </c>
      <c r="AH144" s="8">
        <f>IF(AG144="","",Assumptions!$B$4-AG144)</f>
        <v>68</v>
      </c>
      <c r="AI144" s="5" t="s">
        <v>63</v>
      </c>
      <c r="AJ144" s="8">
        <v>3</v>
      </c>
      <c r="AK144" s="8">
        <v>2</v>
      </c>
      <c r="AL144" s="8" t="s">
        <v>80</v>
      </c>
      <c r="AM144" s="8">
        <v>1</v>
      </c>
      <c r="AN144" s="5" t="s">
        <v>63</v>
      </c>
      <c r="AO144" s="10">
        <v>73.7</v>
      </c>
      <c r="AP144" s="8">
        <v>54</v>
      </c>
      <c r="AQ144" s="9">
        <v>46287</v>
      </c>
      <c r="AR144" s="5" t="s">
        <v>53</v>
      </c>
      <c r="AS144" s="5" t="s">
        <v>190</v>
      </c>
    </row>
    <row r="145" spans="1:45" x14ac:dyDescent="0.35">
      <c r="A145" s="5" t="s">
        <v>850</v>
      </c>
      <c r="B145" s="5" t="s">
        <v>851</v>
      </c>
      <c r="C145" s="6" t="s">
        <v>852</v>
      </c>
      <c r="D145" s="7">
        <v>437600</v>
      </c>
      <c r="E145" s="5" t="s">
        <v>48</v>
      </c>
      <c r="F145" s="5" t="s">
        <v>49</v>
      </c>
      <c r="G145" s="8"/>
      <c r="H145" s="8" t="str">
        <f>IF(F145="Bullet",MIN(G145,Assumptions!$B$6),"")</f>
        <v/>
      </c>
      <c r="I145" s="8">
        <v>1</v>
      </c>
      <c r="J145" s="8">
        <f>IF(F145="Monthly interest",MAX(0,Assumptions!$B$5-I145),"")</f>
        <v>2</v>
      </c>
      <c r="K145" s="7">
        <f t="shared" si="6"/>
        <v>5835</v>
      </c>
      <c r="L145" s="9">
        <v>46270</v>
      </c>
      <c r="M145" s="5" t="s">
        <v>50</v>
      </c>
      <c r="N145" s="5" t="s">
        <v>51</v>
      </c>
      <c r="O145" s="5" t="s">
        <v>52</v>
      </c>
      <c r="P145" s="5" t="s">
        <v>53</v>
      </c>
      <c r="Q145" s="5" t="s">
        <v>54</v>
      </c>
      <c r="R145" s="5" t="s">
        <v>55</v>
      </c>
      <c r="S145" s="5" t="s">
        <v>253</v>
      </c>
      <c r="T145" s="5" t="s">
        <v>57</v>
      </c>
      <c r="U145" s="5" t="s">
        <v>86</v>
      </c>
      <c r="V145" s="5" t="s">
        <v>215</v>
      </c>
      <c r="W145" s="5" t="s">
        <v>216</v>
      </c>
      <c r="X145" s="5" t="s">
        <v>710</v>
      </c>
      <c r="Y145" s="5" t="s">
        <v>853</v>
      </c>
      <c r="Z145" s="9">
        <v>46058</v>
      </c>
      <c r="AA145" s="8">
        <v>12</v>
      </c>
      <c r="AB145" s="9">
        <f t="shared" si="7"/>
        <v>46423</v>
      </c>
      <c r="AC145" s="10">
        <v>16</v>
      </c>
      <c r="AD145" s="7">
        <f t="shared" si="8"/>
        <v>5835</v>
      </c>
      <c r="AE145" s="7">
        <f>IF(F145="Bullet",H145*AD145,MIN(MAX(I145,1),Assumptions!$B$6)*AD145)</f>
        <v>5835</v>
      </c>
      <c r="AF145" s="8">
        <f>IF(F145="Bullet",MAX(0,Assumptions!$B$4-AB145),MAX(0,Assumptions!$B$4-L145))</f>
        <v>28</v>
      </c>
      <c r="AG145" s="9">
        <v>46243</v>
      </c>
      <c r="AH145" s="8">
        <f>IF(AG145="","",Assumptions!$B$4-AG145)</f>
        <v>55</v>
      </c>
      <c r="AI145" s="5" t="s">
        <v>63</v>
      </c>
      <c r="AJ145" s="8">
        <v>2</v>
      </c>
      <c r="AK145" s="8">
        <v>0</v>
      </c>
      <c r="AL145" s="8">
        <v>696</v>
      </c>
      <c r="AM145" s="8">
        <v>2</v>
      </c>
      <c r="AN145" s="5" t="s">
        <v>63</v>
      </c>
      <c r="AO145" s="10">
        <v>70.7</v>
      </c>
      <c r="AP145" s="8">
        <v>29</v>
      </c>
      <c r="AQ145" s="9">
        <v>46292</v>
      </c>
      <c r="AR145" s="5" t="s">
        <v>51</v>
      </c>
      <c r="AS145" s="5" t="s">
        <v>190</v>
      </c>
    </row>
    <row r="146" spans="1:45" x14ac:dyDescent="0.35">
      <c r="A146" s="5" t="s">
        <v>854</v>
      </c>
      <c r="B146" s="5" t="s">
        <v>855</v>
      </c>
      <c r="C146" s="6" t="s">
        <v>856</v>
      </c>
      <c r="D146" s="7">
        <v>90700</v>
      </c>
      <c r="E146" s="5" t="s">
        <v>48</v>
      </c>
      <c r="F146" s="5" t="s">
        <v>49</v>
      </c>
      <c r="G146" s="8"/>
      <c r="H146" s="8" t="str">
        <f>IF(F146="Bullet",MIN(G146,Assumptions!$B$6),"")</f>
        <v/>
      </c>
      <c r="I146" s="8">
        <v>1</v>
      </c>
      <c r="J146" s="8">
        <f>IF(F146="Monthly interest",MAX(0,Assumptions!$B$5-I146),"")</f>
        <v>2</v>
      </c>
      <c r="K146" s="7">
        <f t="shared" si="6"/>
        <v>1209</v>
      </c>
      <c r="L146" s="9">
        <v>46286</v>
      </c>
      <c r="M146" s="5" t="s">
        <v>50</v>
      </c>
      <c r="N146" s="5" t="s">
        <v>53</v>
      </c>
      <c r="O146" s="5" t="s">
        <v>103</v>
      </c>
      <c r="P146" s="5" t="s">
        <v>51</v>
      </c>
      <c r="Q146" s="5" t="s">
        <v>54</v>
      </c>
      <c r="R146" s="5" t="s">
        <v>55</v>
      </c>
      <c r="S146" s="5" t="s">
        <v>214</v>
      </c>
      <c r="T146" s="5" t="s">
        <v>57</v>
      </c>
      <c r="U146" s="5" t="s">
        <v>86</v>
      </c>
      <c r="V146" s="5" t="s">
        <v>215</v>
      </c>
      <c r="W146" s="5" t="s">
        <v>278</v>
      </c>
      <c r="X146" s="5" t="s">
        <v>857</v>
      </c>
      <c r="Y146" s="5" t="s">
        <v>858</v>
      </c>
      <c r="Z146" s="9">
        <v>46102</v>
      </c>
      <c r="AA146" s="8">
        <v>12</v>
      </c>
      <c r="AB146" s="9">
        <f t="shared" si="7"/>
        <v>46467</v>
      </c>
      <c r="AC146" s="10">
        <v>16</v>
      </c>
      <c r="AD146" s="7">
        <f t="shared" si="8"/>
        <v>1209</v>
      </c>
      <c r="AE146" s="7">
        <f>IF(F146="Bullet",H146*AD146,MIN(MAX(I146,1),Assumptions!$B$6)*AD146)</f>
        <v>1209</v>
      </c>
      <c r="AF146" s="8">
        <f>IF(F146="Bullet",MAX(0,Assumptions!$B$4-AB146),MAX(0,Assumptions!$B$4-L146))</f>
        <v>12</v>
      </c>
      <c r="AG146" s="9">
        <v>46260</v>
      </c>
      <c r="AH146" s="8">
        <f>IF(AG146="","",Assumptions!$B$4-AG146)</f>
        <v>38</v>
      </c>
      <c r="AI146" s="5" t="s">
        <v>63</v>
      </c>
      <c r="AJ146" s="8">
        <v>2</v>
      </c>
      <c r="AK146" s="8">
        <v>0</v>
      </c>
      <c r="AL146" s="8">
        <v>657</v>
      </c>
      <c r="AM146" s="8">
        <v>1</v>
      </c>
      <c r="AN146" s="5" t="s">
        <v>63</v>
      </c>
      <c r="AO146" s="10">
        <v>55.6</v>
      </c>
      <c r="AP146" s="8">
        <v>26</v>
      </c>
      <c r="AQ146" s="9">
        <v>46289</v>
      </c>
      <c r="AR146" s="5" t="s">
        <v>51</v>
      </c>
      <c r="AS146" s="5" t="s">
        <v>81</v>
      </c>
    </row>
    <row r="147" spans="1:45" x14ac:dyDescent="0.35">
      <c r="A147" s="5" t="s">
        <v>859</v>
      </c>
      <c r="B147" s="5" t="s">
        <v>860</v>
      </c>
      <c r="C147" s="6" t="s">
        <v>861</v>
      </c>
      <c r="D147" s="7">
        <v>72300</v>
      </c>
      <c r="E147" s="5" t="s">
        <v>48</v>
      </c>
      <c r="F147" s="5" t="s">
        <v>68</v>
      </c>
      <c r="G147" s="8">
        <v>3</v>
      </c>
      <c r="H147" s="8">
        <f>IF(F147="Bullet",MIN(G147,Assumptions!$B$6),"")</f>
        <v>2</v>
      </c>
      <c r="I147" s="8"/>
      <c r="J147" s="8" t="str">
        <f>IF(F147="Monthly interest",MAX(0,Assumptions!$B$5-I147),"")</f>
        <v/>
      </c>
      <c r="K147" s="7">
        <f t="shared" si="6"/>
        <v>2892</v>
      </c>
      <c r="L147" s="9">
        <v>46189</v>
      </c>
      <c r="M147" s="5" t="s">
        <v>50</v>
      </c>
      <c r="N147" s="5" t="s">
        <v>53</v>
      </c>
      <c r="O147" s="5" t="s">
        <v>71</v>
      </c>
      <c r="P147" s="5" t="s">
        <v>51</v>
      </c>
      <c r="Q147" s="5" t="s">
        <v>73</v>
      </c>
      <c r="R147" s="5" t="s">
        <v>74</v>
      </c>
      <c r="S147" s="5" t="s">
        <v>214</v>
      </c>
      <c r="T147" s="5" t="s">
        <v>57</v>
      </c>
      <c r="U147" s="5" t="s">
        <v>86</v>
      </c>
      <c r="V147" s="5" t="s">
        <v>215</v>
      </c>
      <c r="W147" s="5" t="s">
        <v>216</v>
      </c>
      <c r="X147" s="5" t="s">
        <v>862</v>
      </c>
      <c r="Y147" s="5" t="s">
        <v>863</v>
      </c>
      <c r="Z147" s="9">
        <v>46189</v>
      </c>
      <c r="AA147" s="8">
        <v>6</v>
      </c>
      <c r="AB147" s="9">
        <f t="shared" si="7"/>
        <v>46372</v>
      </c>
      <c r="AC147" s="10">
        <v>16</v>
      </c>
      <c r="AD147" s="7">
        <f t="shared" si="8"/>
        <v>964</v>
      </c>
      <c r="AE147" s="7">
        <f>IF(F147="Bullet",H147*AD147,MIN(MAX(I147,1),Assumptions!$B$6)*AD147)</f>
        <v>1928</v>
      </c>
      <c r="AF147" s="8">
        <f>IF(F147="Bullet",MAX(0,Assumptions!$B$4-AB147),MAX(0,Assumptions!$B$4-L147))</f>
        <v>0</v>
      </c>
      <c r="AG147" s="9"/>
      <c r="AH147" s="8" t="str">
        <f>IF(AG147="","",Assumptions!$B$4-AG147)</f>
        <v/>
      </c>
      <c r="AI147" s="5" t="s">
        <v>80</v>
      </c>
      <c r="AJ147" s="8"/>
      <c r="AK147" s="8">
        <v>0</v>
      </c>
      <c r="AL147" s="8">
        <v>799</v>
      </c>
      <c r="AM147" s="8">
        <v>4</v>
      </c>
      <c r="AN147" s="5" t="s">
        <v>63</v>
      </c>
      <c r="AO147" s="10">
        <v>66</v>
      </c>
      <c r="AP147" s="8">
        <v>11</v>
      </c>
      <c r="AQ147" s="9">
        <v>46285</v>
      </c>
      <c r="AR147" s="5" t="s">
        <v>72</v>
      </c>
      <c r="AS147" s="5" t="s">
        <v>64</v>
      </c>
    </row>
    <row r="148" spans="1:45" x14ac:dyDescent="0.35">
      <c r="A148" s="5" t="s">
        <v>864</v>
      </c>
      <c r="B148" s="5" t="s">
        <v>865</v>
      </c>
      <c r="C148" s="6" t="s">
        <v>866</v>
      </c>
      <c r="D148" s="7">
        <v>68600</v>
      </c>
      <c r="E148" s="5" t="s">
        <v>48</v>
      </c>
      <c r="F148" s="5" t="s">
        <v>68</v>
      </c>
      <c r="G148" s="8">
        <v>6</v>
      </c>
      <c r="H148" s="8">
        <f>IF(F148="Bullet",MIN(G148,Assumptions!$B$6),"")</f>
        <v>2</v>
      </c>
      <c r="I148" s="8"/>
      <c r="J148" s="8" t="str">
        <f>IF(F148="Monthly interest",MAX(0,Assumptions!$B$5-I148),"")</f>
        <v/>
      </c>
      <c r="K148" s="7">
        <f t="shared" si="6"/>
        <v>4800</v>
      </c>
      <c r="L148" s="9">
        <v>46091</v>
      </c>
      <c r="M148" s="5" t="s">
        <v>116</v>
      </c>
      <c r="N148" s="5" t="s">
        <v>117</v>
      </c>
      <c r="O148" s="5" t="s">
        <v>461</v>
      </c>
      <c r="P148" s="5" t="s">
        <v>72</v>
      </c>
      <c r="Q148" s="5" t="s">
        <v>169</v>
      </c>
      <c r="R148" s="5" t="s">
        <v>170</v>
      </c>
      <c r="S148" s="5" t="s">
        <v>185</v>
      </c>
      <c r="T148" s="5" t="s">
        <v>63</v>
      </c>
      <c r="U148" s="5" t="s">
        <v>86</v>
      </c>
      <c r="V148" s="5" t="s">
        <v>186</v>
      </c>
      <c r="W148" s="5" t="s">
        <v>187</v>
      </c>
      <c r="X148" s="5" t="s">
        <v>867</v>
      </c>
      <c r="Y148" s="5" t="s">
        <v>868</v>
      </c>
      <c r="Z148" s="9">
        <v>46091</v>
      </c>
      <c r="AA148" s="8">
        <v>6</v>
      </c>
      <c r="AB148" s="9">
        <f t="shared" si="7"/>
        <v>46275</v>
      </c>
      <c r="AC148" s="10">
        <v>14</v>
      </c>
      <c r="AD148" s="7">
        <f t="shared" si="8"/>
        <v>800</v>
      </c>
      <c r="AE148" s="7">
        <f>IF(F148="Bullet",H148*AD148,MIN(MAX(I148,1),Assumptions!$B$6)*AD148)</f>
        <v>1600</v>
      </c>
      <c r="AF148" s="8">
        <f>IF(F148="Bullet",MAX(0,Assumptions!$B$4-AB148),MAX(0,Assumptions!$B$4-L148))</f>
        <v>23</v>
      </c>
      <c r="AG148" s="9"/>
      <c r="AH148" s="8" t="str">
        <f>IF(AG148="","",Assumptions!$B$4-AG148)</f>
        <v/>
      </c>
      <c r="AI148" s="5" t="s">
        <v>80</v>
      </c>
      <c r="AJ148" s="8"/>
      <c r="AK148" s="8">
        <v>1</v>
      </c>
      <c r="AL148" s="8">
        <v>682</v>
      </c>
      <c r="AM148" s="8">
        <v>1</v>
      </c>
      <c r="AN148" s="5" t="s">
        <v>63</v>
      </c>
      <c r="AO148" s="10">
        <v>67.3</v>
      </c>
      <c r="AP148" s="8">
        <v>65</v>
      </c>
      <c r="AQ148" s="9"/>
      <c r="AR148" s="5"/>
      <c r="AS148" s="5" t="s">
        <v>159</v>
      </c>
    </row>
    <row r="149" spans="1:45" x14ac:dyDescent="0.35">
      <c r="A149" s="5" t="s">
        <v>869</v>
      </c>
      <c r="B149" s="5" t="s">
        <v>870</v>
      </c>
      <c r="C149" s="6" t="s">
        <v>871</v>
      </c>
      <c r="D149" s="7">
        <v>51300</v>
      </c>
      <c r="E149" s="5" t="s">
        <v>48</v>
      </c>
      <c r="F149" s="5" t="s">
        <v>68</v>
      </c>
      <c r="G149" s="8">
        <v>3</v>
      </c>
      <c r="H149" s="8">
        <f>IF(F149="Bullet",MIN(G149,Assumptions!$B$6),"")</f>
        <v>2</v>
      </c>
      <c r="I149" s="8"/>
      <c r="J149" s="8" t="str">
        <f>IF(F149="Monthly interest",MAX(0,Assumptions!$B$5-I149),"")</f>
        <v/>
      </c>
      <c r="K149" s="7">
        <f t="shared" si="6"/>
        <v>1797</v>
      </c>
      <c r="L149" s="9">
        <v>46191</v>
      </c>
      <c r="M149" s="5" t="s">
        <v>50</v>
      </c>
      <c r="N149" s="5" t="s">
        <v>53</v>
      </c>
      <c r="O149" s="5" t="s">
        <v>71</v>
      </c>
      <c r="P149" s="5" t="s">
        <v>51</v>
      </c>
      <c r="Q149" s="5" t="s">
        <v>73</v>
      </c>
      <c r="R149" s="5" t="s">
        <v>74</v>
      </c>
      <c r="S149" s="5" t="s">
        <v>214</v>
      </c>
      <c r="T149" s="5" t="s">
        <v>57</v>
      </c>
      <c r="U149" s="5" t="s">
        <v>58</v>
      </c>
      <c r="V149" s="5" t="s">
        <v>215</v>
      </c>
      <c r="W149" s="5" t="s">
        <v>284</v>
      </c>
      <c r="X149" s="5" t="s">
        <v>872</v>
      </c>
      <c r="Y149" s="5" t="s">
        <v>873</v>
      </c>
      <c r="Z149" s="9">
        <v>46191</v>
      </c>
      <c r="AA149" s="8">
        <v>12</v>
      </c>
      <c r="AB149" s="9">
        <f t="shared" si="7"/>
        <v>46556</v>
      </c>
      <c r="AC149" s="10">
        <v>14</v>
      </c>
      <c r="AD149" s="7">
        <f t="shared" si="8"/>
        <v>599</v>
      </c>
      <c r="AE149" s="7">
        <f>IF(F149="Bullet",H149*AD149,MIN(MAX(I149,1),Assumptions!$B$6)*AD149)</f>
        <v>1198</v>
      </c>
      <c r="AF149" s="8">
        <f>IF(F149="Bullet",MAX(0,Assumptions!$B$4-AB149),MAX(0,Assumptions!$B$4-L149))</f>
        <v>0</v>
      </c>
      <c r="AG149" s="9"/>
      <c r="AH149" s="8" t="str">
        <f>IF(AG149="","",Assumptions!$B$4-AG149)</f>
        <v/>
      </c>
      <c r="AI149" s="5" t="s">
        <v>80</v>
      </c>
      <c r="AJ149" s="8"/>
      <c r="AK149" s="8">
        <v>0</v>
      </c>
      <c r="AL149" s="8">
        <v>727</v>
      </c>
      <c r="AM149" s="8">
        <v>0</v>
      </c>
      <c r="AN149" s="5" t="s">
        <v>63</v>
      </c>
      <c r="AO149" s="10">
        <v>77.7</v>
      </c>
      <c r="AP149" s="8">
        <v>21</v>
      </c>
      <c r="AQ149" s="9">
        <v>46293</v>
      </c>
      <c r="AR149" s="5" t="s">
        <v>70</v>
      </c>
      <c r="AS149" s="5" t="s">
        <v>91</v>
      </c>
    </row>
    <row r="150" spans="1:45" x14ac:dyDescent="0.35">
      <c r="A150" s="5" t="s">
        <v>874</v>
      </c>
      <c r="B150" s="5" t="s">
        <v>875</v>
      </c>
      <c r="C150" s="6" t="s">
        <v>876</v>
      </c>
      <c r="D150" s="7">
        <v>84500</v>
      </c>
      <c r="E150" s="5" t="s">
        <v>48</v>
      </c>
      <c r="F150" s="5" t="s">
        <v>68</v>
      </c>
      <c r="G150" s="8">
        <v>3</v>
      </c>
      <c r="H150" s="8">
        <f>IF(F150="Bullet",MIN(G150,Assumptions!$B$6),"")</f>
        <v>2</v>
      </c>
      <c r="I150" s="8"/>
      <c r="J150" s="8" t="str">
        <f>IF(F150="Monthly interest",MAX(0,Assumptions!$B$5-I150),"")</f>
        <v/>
      </c>
      <c r="K150" s="7">
        <f t="shared" si="6"/>
        <v>3381</v>
      </c>
      <c r="L150" s="9">
        <v>46203</v>
      </c>
      <c r="M150" s="5" t="s">
        <v>50</v>
      </c>
      <c r="N150" s="5" t="s">
        <v>53</v>
      </c>
      <c r="O150" s="5" t="s">
        <v>71</v>
      </c>
      <c r="P150" s="5" t="s">
        <v>51</v>
      </c>
      <c r="Q150" s="5" t="s">
        <v>73</v>
      </c>
      <c r="R150" s="5" t="s">
        <v>74</v>
      </c>
      <c r="S150" s="5" t="s">
        <v>75</v>
      </c>
      <c r="T150" s="5" t="s">
        <v>57</v>
      </c>
      <c r="U150" s="5" t="s">
        <v>104</v>
      </c>
      <c r="V150" s="5" t="s">
        <v>76</v>
      </c>
      <c r="W150" s="5" t="s">
        <v>444</v>
      </c>
      <c r="X150" s="5" t="s">
        <v>877</v>
      </c>
      <c r="Y150" s="5" t="s">
        <v>878</v>
      </c>
      <c r="Z150" s="9">
        <v>46203</v>
      </c>
      <c r="AA150" s="8">
        <v>6</v>
      </c>
      <c r="AB150" s="9">
        <f t="shared" si="7"/>
        <v>46386</v>
      </c>
      <c r="AC150" s="10">
        <v>16</v>
      </c>
      <c r="AD150" s="7">
        <f t="shared" si="8"/>
        <v>1127</v>
      </c>
      <c r="AE150" s="7">
        <f>IF(F150="Bullet",H150*AD150,MIN(MAX(I150,1),Assumptions!$B$6)*AD150)</f>
        <v>2254</v>
      </c>
      <c r="AF150" s="8">
        <f>IF(F150="Bullet",MAX(0,Assumptions!$B$4-AB150),MAX(0,Assumptions!$B$4-L150))</f>
        <v>0</v>
      </c>
      <c r="AG150" s="9"/>
      <c r="AH150" s="8" t="str">
        <f>IF(AG150="","",Assumptions!$B$4-AG150)</f>
        <v/>
      </c>
      <c r="AI150" s="5" t="s">
        <v>80</v>
      </c>
      <c r="AJ150" s="8"/>
      <c r="AK150" s="8">
        <v>1</v>
      </c>
      <c r="AL150" s="8">
        <v>747</v>
      </c>
      <c r="AM150" s="8">
        <v>1</v>
      </c>
      <c r="AN150" s="5" t="s">
        <v>63</v>
      </c>
      <c r="AO150" s="10">
        <v>77.400000000000006</v>
      </c>
      <c r="AP150" s="8">
        <v>27</v>
      </c>
      <c r="AQ150" s="9">
        <v>46293</v>
      </c>
      <c r="AR150" s="5" t="s">
        <v>70</v>
      </c>
      <c r="AS150" s="5" t="s">
        <v>190</v>
      </c>
    </row>
    <row r="151" spans="1:45" x14ac:dyDescent="0.35">
      <c r="A151" s="5" t="s">
        <v>879</v>
      </c>
      <c r="B151" s="5" t="s">
        <v>880</v>
      </c>
      <c r="C151" s="6" t="s">
        <v>881</v>
      </c>
      <c r="D151" s="7">
        <v>150300</v>
      </c>
      <c r="E151" s="5" t="s">
        <v>48</v>
      </c>
      <c r="F151" s="5" t="s">
        <v>68</v>
      </c>
      <c r="G151" s="8">
        <v>6</v>
      </c>
      <c r="H151" s="8">
        <f>IF(F151="Bullet",MIN(G151,Assumptions!$B$6),"")</f>
        <v>2</v>
      </c>
      <c r="I151" s="8"/>
      <c r="J151" s="8" t="str">
        <f>IF(F151="Monthly interest",MAX(0,Assumptions!$B$5-I151),"")</f>
        <v/>
      </c>
      <c r="K151" s="7">
        <f t="shared" si="6"/>
        <v>10524</v>
      </c>
      <c r="L151" s="9">
        <v>46093</v>
      </c>
      <c r="M151" s="5" t="s">
        <v>116</v>
      </c>
      <c r="N151" s="5" t="s">
        <v>117</v>
      </c>
      <c r="O151" s="5" t="s">
        <v>461</v>
      </c>
      <c r="P151" s="5" t="s">
        <v>72</v>
      </c>
      <c r="Q151" s="5" t="s">
        <v>169</v>
      </c>
      <c r="R151" s="5" t="s">
        <v>170</v>
      </c>
      <c r="S151" s="5" t="s">
        <v>185</v>
      </c>
      <c r="T151" s="5" t="s">
        <v>57</v>
      </c>
      <c r="U151" s="5" t="s">
        <v>104</v>
      </c>
      <c r="V151" s="5" t="s">
        <v>200</v>
      </c>
      <c r="W151" s="5" t="s">
        <v>767</v>
      </c>
      <c r="X151" s="5" t="s">
        <v>882</v>
      </c>
      <c r="Y151" s="5" t="s">
        <v>883</v>
      </c>
      <c r="Z151" s="9">
        <v>46093</v>
      </c>
      <c r="AA151" s="8">
        <v>6</v>
      </c>
      <c r="AB151" s="9">
        <f t="shared" si="7"/>
        <v>46277</v>
      </c>
      <c r="AC151" s="10">
        <v>14</v>
      </c>
      <c r="AD151" s="7">
        <f t="shared" si="8"/>
        <v>1754</v>
      </c>
      <c r="AE151" s="7">
        <f>IF(F151="Bullet",H151*AD151,MIN(MAX(I151,1),Assumptions!$B$6)*AD151)</f>
        <v>3508</v>
      </c>
      <c r="AF151" s="8">
        <f>IF(F151="Bullet",MAX(0,Assumptions!$B$4-AB151),MAX(0,Assumptions!$B$4-L151))</f>
        <v>21</v>
      </c>
      <c r="AG151" s="9"/>
      <c r="AH151" s="8" t="str">
        <f>IF(AG151="","",Assumptions!$B$4-AG151)</f>
        <v/>
      </c>
      <c r="AI151" s="5" t="s">
        <v>80</v>
      </c>
      <c r="AJ151" s="8"/>
      <c r="AK151" s="8">
        <v>1</v>
      </c>
      <c r="AL151" s="8">
        <v>753</v>
      </c>
      <c r="AM151" s="8">
        <v>1</v>
      </c>
      <c r="AN151" s="5" t="s">
        <v>63</v>
      </c>
      <c r="AO151" s="10">
        <v>88</v>
      </c>
      <c r="AP151" s="8">
        <v>69</v>
      </c>
      <c r="AQ151" s="9">
        <v>46282</v>
      </c>
      <c r="AR151" s="5" t="s">
        <v>70</v>
      </c>
      <c r="AS151" s="5" t="s">
        <v>274</v>
      </c>
    </row>
    <row r="152" spans="1:45" x14ac:dyDescent="0.35">
      <c r="A152" s="5" t="s">
        <v>884</v>
      </c>
      <c r="B152" s="5" t="s">
        <v>885</v>
      </c>
      <c r="C152" s="6" t="s">
        <v>886</v>
      </c>
      <c r="D152" s="7">
        <v>66300</v>
      </c>
      <c r="E152" s="5" t="s">
        <v>48</v>
      </c>
      <c r="F152" s="5" t="s">
        <v>49</v>
      </c>
      <c r="G152" s="8"/>
      <c r="H152" s="8" t="str">
        <f>IF(F152="Bullet",MIN(G152,Assumptions!$B$6),"")</f>
        <v/>
      </c>
      <c r="I152" s="8">
        <v>1</v>
      </c>
      <c r="J152" s="8">
        <f>IF(F152="Monthly interest",MAX(0,Assumptions!$B$5-I152),"")</f>
        <v>2</v>
      </c>
      <c r="K152" s="7">
        <f t="shared" si="6"/>
        <v>774</v>
      </c>
      <c r="L152" s="9">
        <v>46289</v>
      </c>
      <c r="M152" s="5" t="s">
        <v>50</v>
      </c>
      <c r="N152" s="5" t="s">
        <v>51</v>
      </c>
      <c r="O152" s="5" t="s">
        <v>52</v>
      </c>
      <c r="P152" s="5" t="s">
        <v>53</v>
      </c>
      <c r="Q152" s="5" t="s">
        <v>54</v>
      </c>
      <c r="R152" s="5" t="s">
        <v>55</v>
      </c>
      <c r="S152" s="5" t="s">
        <v>185</v>
      </c>
      <c r="T152" s="5" t="s">
        <v>57</v>
      </c>
      <c r="U152" s="5" t="s">
        <v>86</v>
      </c>
      <c r="V152" s="5" t="s">
        <v>200</v>
      </c>
      <c r="W152" s="5" t="s">
        <v>500</v>
      </c>
      <c r="X152" s="5" t="s">
        <v>560</v>
      </c>
      <c r="Y152" s="5" t="s">
        <v>887</v>
      </c>
      <c r="Z152" s="9">
        <v>46015</v>
      </c>
      <c r="AA152" s="8">
        <v>12</v>
      </c>
      <c r="AB152" s="9">
        <f t="shared" si="7"/>
        <v>46380</v>
      </c>
      <c r="AC152" s="10">
        <v>14</v>
      </c>
      <c r="AD152" s="7">
        <f t="shared" si="8"/>
        <v>774</v>
      </c>
      <c r="AE152" s="7">
        <f>IF(F152="Bullet",H152*AD152,MIN(MAX(I152,1),Assumptions!$B$6)*AD152)</f>
        <v>774</v>
      </c>
      <c r="AF152" s="8">
        <f>IF(F152="Bullet",MAX(0,Assumptions!$B$4-AB152),MAX(0,Assumptions!$B$4-L152))</f>
        <v>9</v>
      </c>
      <c r="AG152" s="9">
        <v>46260</v>
      </c>
      <c r="AH152" s="8">
        <f>IF(AG152="","",Assumptions!$B$4-AG152)</f>
        <v>38</v>
      </c>
      <c r="AI152" s="5" t="s">
        <v>63</v>
      </c>
      <c r="AJ152" s="8">
        <v>1</v>
      </c>
      <c r="AK152" s="8">
        <v>0</v>
      </c>
      <c r="AL152" s="8">
        <v>814</v>
      </c>
      <c r="AM152" s="8">
        <v>0</v>
      </c>
      <c r="AN152" s="5" t="s">
        <v>63</v>
      </c>
      <c r="AO152" s="10">
        <v>86.5</v>
      </c>
      <c r="AP152" s="8">
        <v>29</v>
      </c>
      <c r="AQ152" s="9">
        <v>46274</v>
      </c>
      <c r="AR152" s="5" t="s">
        <v>70</v>
      </c>
      <c r="AS152" s="5" t="s">
        <v>91</v>
      </c>
    </row>
    <row r="153" spans="1:45" x14ac:dyDescent="0.35">
      <c r="A153" s="5" t="s">
        <v>888</v>
      </c>
      <c r="B153" s="5" t="s">
        <v>889</v>
      </c>
      <c r="C153" s="6" t="s">
        <v>890</v>
      </c>
      <c r="D153" s="7">
        <v>123200</v>
      </c>
      <c r="E153" s="5" t="s">
        <v>48</v>
      </c>
      <c r="F153" s="5" t="s">
        <v>49</v>
      </c>
      <c r="G153" s="8"/>
      <c r="H153" s="8" t="str">
        <f>IF(F153="Bullet",MIN(G153,Assumptions!$B$6),"")</f>
        <v/>
      </c>
      <c r="I153" s="8">
        <v>1</v>
      </c>
      <c r="J153" s="8">
        <f>IF(F153="Monthly interest",MAX(0,Assumptions!$B$5-I153),"")</f>
        <v>2</v>
      </c>
      <c r="K153" s="7">
        <f t="shared" si="6"/>
        <v>1643</v>
      </c>
      <c r="L153" s="9">
        <v>46296</v>
      </c>
      <c r="M153" s="5" t="s">
        <v>69</v>
      </c>
      <c r="N153" s="5" t="s">
        <v>51</v>
      </c>
      <c r="O153" s="5" t="s">
        <v>52</v>
      </c>
      <c r="P153" s="5" t="s">
        <v>53</v>
      </c>
      <c r="Q153" s="5" t="s">
        <v>54</v>
      </c>
      <c r="R153" s="5" t="s">
        <v>55</v>
      </c>
      <c r="S153" s="5" t="s">
        <v>85</v>
      </c>
      <c r="T153" s="5" t="s">
        <v>57</v>
      </c>
      <c r="U153" s="5" t="s">
        <v>86</v>
      </c>
      <c r="V153" s="5" t="s">
        <v>133</v>
      </c>
      <c r="W153" s="5" t="s">
        <v>317</v>
      </c>
      <c r="X153" s="5" t="s">
        <v>891</v>
      </c>
      <c r="Y153" s="5" t="s">
        <v>892</v>
      </c>
      <c r="Z153" s="9">
        <v>46143</v>
      </c>
      <c r="AA153" s="8">
        <v>12</v>
      </c>
      <c r="AB153" s="9">
        <f t="shared" si="7"/>
        <v>46508</v>
      </c>
      <c r="AC153" s="10">
        <v>16</v>
      </c>
      <c r="AD153" s="7">
        <f t="shared" si="8"/>
        <v>1643</v>
      </c>
      <c r="AE153" s="7">
        <f>IF(F153="Bullet",H153*AD153,MIN(MAX(I153,1),Assumptions!$B$6)*AD153)</f>
        <v>1643</v>
      </c>
      <c r="AF153" s="8">
        <f>IF(F153="Bullet",MAX(0,Assumptions!$B$4-AB153),MAX(0,Assumptions!$B$4-L153))</f>
        <v>2</v>
      </c>
      <c r="AG153" s="9">
        <v>46270</v>
      </c>
      <c r="AH153" s="8">
        <f>IF(AG153="","",Assumptions!$B$4-AG153)</f>
        <v>28</v>
      </c>
      <c r="AI153" s="5" t="s">
        <v>63</v>
      </c>
      <c r="AJ153" s="8">
        <v>2</v>
      </c>
      <c r="AK153" s="8">
        <v>1</v>
      </c>
      <c r="AL153" s="8">
        <v>775</v>
      </c>
      <c r="AM153" s="8">
        <v>3</v>
      </c>
      <c r="AN153" s="5" t="s">
        <v>63</v>
      </c>
      <c r="AO153" s="10">
        <v>71.8</v>
      </c>
      <c r="AP153" s="8">
        <v>36</v>
      </c>
      <c r="AQ153" s="9">
        <v>46275</v>
      </c>
      <c r="AR153" s="5" t="s">
        <v>51</v>
      </c>
      <c r="AS153" s="5" t="s">
        <v>190</v>
      </c>
    </row>
    <row r="154" spans="1:45" x14ac:dyDescent="0.35">
      <c r="A154" s="5" t="s">
        <v>893</v>
      </c>
      <c r="B154" s="5" t="s">
        <v>894</v>
      </c>
      <c r="C154" s="6" t="s">
        <v>895</v>
      </c>
      <c r="D154" s="7">
        <v>36500</v>
      </c>
      <c r="E154" s="5" t="s">
        <v>48</v>
      </c>
      <c r="F154" s="5" t="s">
        <v>49</v>
      </c>
      <c r="G154" s="8"/>
      <c r="H154" s="8" t="str">
        <f>IF(F154="Bullet",MIN(G154,Assumptions!$B$6),"")</f>
        <v/>
      </c>
      <c r="I154" s="8">
        <v>1</v>
      </c>
      <c r="J154" s="8">
        <f>IF(F154="Monthly interest",MAX(0,Assumptions!$B$5-I154),"")</f>
        <v>2</v>
      </c>
      <c r="K154" s="7">
        <f t="shared" si="6"/>
        <v>669</v>
      </c>
      <c r="L154" s="9">
        <v>46291</v>
      </c>
      <c r="M154" s="5" t="s">
        <v>50</v>
      </c>
      <c r="N154" s="5" t="s">
        <v>51</v>
      </c>
      <c r="O154" s="5" t="s">
        <v>152</v>
      </c>
      <c r="P154" s="5" t="s">
        <v>53</v>
      </c>
      <c r="Q154" s="5" t="s">
        <v>154</v>
      </c>
      <c r="R154" s="5" t="s">
        <v>155</v>
      </c>
      <c r="S154" s="5" t="s">
        <v>253</v>
      </c>
      <c r="T154" s="5" t="s">
        <v>57</v>
      </c>
      <c r="U154" s="5" t="s">
        <v>86</v>
      </c>
      <c r="V154" s="5" t="s">
        <v>76</v>
      </c>
      <c r="W154" s="5" t="s">
        <v>444</v>
      </c>
      <c r="X154" s="5" t="s">
        <v>787</v>
      </c>
      <c r="Y154" s="5" t="s">
        <v>896</v>
      </c>
      <c r="Z154" s="9">
        <v>46138</v>
      </c>
      <c r="AA154" s="8">
        <v>12</v>
      </c>
      <c r="AB154" s="9">
        <f t="shared" si="7"/>
        <v>46503</v>
      </c>
      <c r="AC154" s="10">
        <v>22</v>
      </c>
      <c r="AD154" s="7">
        <f t="shared" si="8"/>
        <v>669</v>
      </c>
      <c r="AE154" s="7">
        <f>IF(F154="Bullet",H154*AD154,MIN(MAX(I154,1),Assumptions!$B$6)*AD154)</f>
        <v>669</v>
      </c>
      <c r="AF154" s="8">
        <f>IF(F154="Bullet",MAX(0,Assumptions!$B$4-AB154),MAX(0,Assumptions!$B$4-L154))</f>
        <v>7</v>
      </c>
      <c r="AG154" s="9">
        <v>46264</v>
      </c>
      <c r="AH154" s="8">
        <f>IF(AG154="","",Assumptions!$B$4-AG154)</f>
        <v>34</v>
      </c>
      <c r="AI154" s="5" t="s">
        <v>57</v>
      </c>
      <c r="AJ154" s="8">
        <v>1</v>
      </c>
      <c r="AK154" s="8">
        <v>0</v>
      </c>
      <c r="AL154" s="8">
        <v>730</v>
      </c>
      <c r="AM154" s="8">
        <v>0</v>
      </c>
      <c r="AN154" s="5" t="s">
        <v>63</v>
      </c>
      <c r="AO154" s="10">
        <v>61.5</v>
      </c>
      <c r="AP154" s="8">
        <v>17</v>
      </c>
      <c r="AQ154" s="9">
        <v>46288</v>
      </c>
      <c r="AR154" s="5" t="s">
        <v>53</v>
      </c>
      <c r="AS154" s="5" t="s">
        <v>64</v>
      </c>
    </row>
    <row r="155" spans="1:45" x14ac:dyDescent="0.35">
      <c r="A155" s="5" t="s">
        <v>897</v>
      </c>
      <c r="B155" s="5" t="s">
        <v>898</v>
      </c>
      <c r="C155" s="6" t="s">
        <v>899</v>
      </c>
      <c r="D155" s="7">
        <v>249800</v>
      </c>
      <c r="E155" s="5" t="s">
        <v>48</v>
      </c>
      <c r="F155" s="5" t="s">
        <v>68</v>
      </c>
      <c r="G155" s="8">
        <v>2</v>
      </c>
      <c r="H155" s="8">
        <f>IF(F155="Bullet",MIN(G155,Assumptions!$B$6),"")</f>
        <v>2</v>
      </c>
      <c r="I155" s="8"/>
      <c r="J155" s="8" t="str">
        <f>IF(F155="Monthly interest",MAX(0,Assumptions!$B$5-I155),"")</f>
        <v/>
      </c>
      <c r="K155" s="7">
        <f t="shared" si="6"/>
        <v>6246</v>
      </c>
      <c r="L155" s="9">
        <v>46227</v>
      </c>
      <c r="M155" s="5" t="s">
        <v>69</v>
      </c>
      <c r="N155" s="5" t="s">
        <v>53</v>
      </c>
      <c r="O155" s="5" t="s">
        <v>71</v>
      </c>
      <c r="P155" s="5" t="s">
        <v>70</v>
      </c>
      <c r="Q155" s="5" t="s">
        <v>73</v>
      </c>
      <c r="R155" s="5" t="s">
        <v>74</v>
      </c>
      <c r="S155" s="5" t="s">
        <v>85</v>
      </c>
      <c r="T155" s="5" t="s">
        <v>57</v>
      </c>
      <c r="U155" s="5" t="s">
        <v>86</v>
      </c>
      <c r="V155" s="5" t="s">
        <v>177</v>
      </c>
      <c r="W155" s="5" t="s">
        <v>345</v>
      </c>
      <c r="X155" s="5" t="s">
        <v>456</v>
      </c>
      <c r="Y155" s="5" t="s">
        <v>900</v>
      </c>
      <c r="Z155" s="9">
        <v>46227</v>
      </c>
      <c r="AA155" s="8">
        <v>6</v>
      </c>
      <c r="AB155" s="9">
        <f t="shared" si="7"/>
        <v>46411</v>
      </c>
      <c r="AC155" s="10">
        <v>15</v>
      </c>
      <c r="AD155" s="7">
        <f t="shared" si="8"/>
        <v>3123</v>
      </c>
      <c r="AE155" s="7">
        <f>IF(F155="Bullet",H155*AD155,MIN(MAX(I155,1),Assumptions!$B$6)*AD155)</f>
        <v>6246</v>
      </c>
      <c r="AF155" s="8">
        <f>IF(F155="Bullet",MAX(0,Assumptions!$B$4-AB155),MAX(0,Assumptions!$B$4-L155))</f>
        <v>0</v>
      </c>
      <c r="AG155" s="9"/>
      <c r="AH155" s="8" t="str">
        <f>IF(AG155="","",Assumptions!$B$4-AG155)</f>
        <v/>
      </c>
      <c r="AI155" s="5" t="s">
        <v>80</v>
      </c>
      <c r="AJ155" s="8"/>
      <c r="AK155" s="8">
        <v>2</v>
      </c>
      <c r="AL155" s="8">
        <v>644</v>
      </c>
      <c r="AM155" s="8">
        <v>0</v>
      </c>
      <c r="AN155" s="5" t="s">
        <v>63</v>
      </c>
      <c r="AO155" s="10">
        <v>78.5</v>
      </c>
      <c r="AP155" s="8">
        <v>40</v>
      </c>
      <c r="AQ155" s="9">
        <v>46284</v>
      </c>
      <c r="AR155" s="5" t="s">
        <v>72</v>
      </c>
      <c r="AS155" s="5" t="s">
        <v>64</v>
      </c>
    </row>
    <row r="156" spans="1:45" x14ac:dyDescent="0.35">
      <c r="A156" s="5" t="s">
        <v>901</v>
      </c>
      <c r="B156" s="5" t="s">
        <v>902</v>
      </c>
      <c r="C156" s="6" t="s">
        <v>903</v>
      </c>
      <c r="D156" s="7">
        <v>187200</v>
      </c>
      <c r="E156" s="5" t="s">
        <v>48</v>
      </c>
      <c r="F156" s="5" t="s">
        <v>68</v>
      </c>
      <c r="G156" s="8">
        <v>6</v>
      </c>
      <c r="H156" s="8">
        <f>IF(F156="Bullet",MIN(G156,Assumptions!$B$6),"")</f>
        <v>2</v>
      </c>
      <c r="I156" s="8"/>
      <c r="J156" s="8" t="str">
        <f>IF(F156="Monthly interest",MAX(0,Assumptions!$B$5-I156),"")</f>
        <v/>
      </c>
      <c r="K156" s="7">
        <f t="shared" si="6"/>
        <v>14976</v>
      </c>
      <c r="L156" s="9">
        <v>46108</v>
      </c>
      <c r="M156" s="5" t="s">
        <v>116</v>
      </c>
      <c r="N156" s="5" t="s">
        <v>117</v>
      </c>
      <c r="O156" s="5" t="s">
        <v>461</v>
      </c>
      <c r="P156" s="5" t="s">
        <v>72</v>
      </c>
      <c r="Q156" s="5" t="s">
        <v>169</v>
      </c>
      <c r="R156" s="5" t="s">
        <v>170</v>
      </c>
      <c r="S156" s="5" t="s">
        <v>85</v>
      </c>
      <c r="T156" s="5" t="s">
        <v>63</v>
      </c>
      <c r="U156" s="5" t="s">
        <v>86</v>
      </c>
      <c r="V156" s="5" t="s">
        <v>177</v>
      </c>
      <c r="W156" s="5" t="s">
        <v>208</v>
      </c>
      <c r="X156" s="5" t="s">
        <v>904</v>
      </c>
      <c r="Y156" s="5" t="s">
        <v>905</v>
      </c>
      <c r="Z156" s="9">
        <v>46108</v>
      </c>
      <c r="AA156" s="8">
        <v>6</v>
      </c>
      <c r="AB156" s="9">
        <f t="shared" si="7"/>
        <v>46292</v>
      </c>
      <c r="AC156" s="10">
        <v>16</v>
      </c>
      <c r="AD156" s="7">
        <f t="shared" si="8"/>
        <v>2496</v>
      </c>
      <c r="AE156" s="7">
        <f>IF(F156="Bullet",H156*AD156,MIN(MAX(I156,1),Assumptions!$B$6)*AD156)</f>
        <v>4992</v>
      </c>
      <c r="AF156" s="8">
        <f>IF(F156="Bullet",MAX(0,Assumptions!$B$4-AB156),MAX(0,Assumptions!$B$4-L156))</f>
        <v>6</v>
      </c>
      <c r="AG156" s="9"/>
      <c r="AH156" s="8" t="str">
        <f>IF(AG156="","",Assumptions!$B$4-AG156)</f>
        <v/>
      </c>
      <c r="AI156" s="5" t="s">
        <v>80</v>
      </c>
      <c r="AJ156" s="8"/>
      <c r="AK156" s="8">
        <v>2</v>
      </c>
      <c r="AL156" s="8">
        <v>712</v>
      </c>
      <c r="AM156" s="8">
        <v>2</v>
      </c>
      <c r="AN156" s="5" t="s">
        <v>63</v>
      </c>
      <c r="AO156" s="10">
        <v>78.099999999999994</v>
      </c>
      <c r="AP156" s="8">
        <v>61</v>
      </c>
      <c r="AQ156" s="9">
        <v>46286</v>
      </c>
      <c r="AR156" s="5" t="s">
        <v>70</v>
      </c>
      <c r="AS156" s="5" t="s">
        <v>81</v>
      </c>
    </row>
    <row r="157" spans="1:45" x14ac:dyDescent="0.35">
      <c r="A157" s="5" t="s">
        <v>906</v>
      </c>
      <c r="B157" s="5" t="s">
        <v>907</v>
      </c>
      <c r="C157" s="6" t="s">
        <v>908</v>
      </c>
      <c r="D157" s="7">
        <v>85600</v>
      </c>
      <c r="E157" s="5" t="s">
        <v>48</v>
      </c>
      <c r="F157" s="5" t="s">
        <v>68</v>
      </c>
      <c r="G157" s="8">
        <v>3</v>
      </c>
      <c r="H157" s="8">
        <f>IF(F157="Bullet",MIN(G157,Assumptions!$B$6),"")</f>
        <v>2</v>
      </c>
      <c r="I157" s="8"/>
      <c r="J157" s="8" t="str">
        <f>IF(F157="Monthly interest",MAX(0,Assumptions!$B$5-I157),"")</f>
        <v/>
      </c>
      <c r="K157" s="7">
        <f t="shared" si="6"/>
        <v>2997</v>
      </c>
      <c r="L157" s="9">
        <v>46201</v>
      </c>
      <c r="M157" s="5" t="s">
        <v>50</v>
      </c>
      <c r="N157" s="5" t="s">
        <v>70</v>
      </c>
      <c r="O157" s="5" t="s">
        <v>271</v>
      </c>
      <c r="P157" s="5" t="s">
        <v>72</v>
      </c>
      <c r="Q157" s="5" t="s">
        <v>73</v>
      </c>
      <c r="R157" s="5" t="s">
        <v>74</v>
      </c>
      <c r="S157" s="5" t="s">
        <v>85</v>
      </c>
      <c r="T157" s="5" t="s">
        <v>57</v>
      </c>
      <c r="U157" s="5" t="s">
        <v>104</v>
      </c>
      <c r="V157" s="5" t="s">
        <v>177</v>
      </c>
      <c r="W157" s="5" t="s">
        <v>208</v>
      </c>
      <c r="X157" s="5" t="s">
        <v>909</v>
      </c>
      <c r="Y157" s="5" t="s">
        <v>910</v>
      </c>
      <c r="Z157" s="9">
        <v>46201</v>
      </c>
      <c r="AA157" s="8">
        <v>6</v>
      </c>
      <c r="AB157" s="9">
        <f t="shared" si="7"/>
        <v>46384</v>
      </c>
      <c r="AC157" s="10">
        <v>14</v>
      </c>
      <c r="AD157" s="7">
        <f t="shared" si="8"/>
        <v>999</v>
      </c>
      <c r="AE157" s="7">
        <f>IF(F157="Bullet",H157*AD157,MIN(MAX(I157,1),Assumptions!$B$6)*AD157)</f>
        <v>1998</v>
      </c>
      <c r="AF157" s="8">
        <f>IF(F157="Bullet",MAX(0,Assumptions!$B$4-AB157),MAX(0,Assumptions!$B$4-L157))</f>
        <v>0</v>
      </c>
      <c r="AG157" s="9"/>
      <c r="AH157" s="8" t="str">
        <f>IF(AG157="","",Assumptions!$B$4-AG157)</f>
        <v/>
      </c>
      <c r="AI157" s="5" t="s">
        <v>80</v>
      </c>
      <c r="AJ157" s="8"/>
      <c r="AK157" s="8">
        <v>0</v>
      </c>
      <c r="AL157" s="8" t="s">
        <v>80</v>
      </c>
      <c r="AM157" s="8">
        <v>3</v>
      </c>
      <c r="AN157" s="5" t="s">
        <v>63</v>
      </c>
      <c r="AO157" s="10">
        <v>47.7</v>
      </c>
      <c r="AP157" s="8">
        <v>23</v>
      </c>
      <c r="AQ157" s="9">
        <v>46281</v>
      </c>
      <c r="AR157" s="5" t="s">
        <v>70</v>
      </c>
      <c r="AS157" s="5" t="s">
        <v>274</v>
      </c>
    </row>
    <row r="158" spans="1:45" x14ac:dyDescent="0.35">
      <c r="A158" s="5" t="s">
        <v>911</v>
      </c>
      <c r="B158" s="5" t="s">
        <v>912</v>
      </c>
      <c r="C158" s="6" t="s">
        <v>913</v>
      </c>
      <c r="D158" s="7">
        <v>245500</v>
      </c>
      <c r="E158" s="5" t="s">
        <v>48</v>
      </c>
      <c r="F158" s="5" t="s">
        <v>49</v>
      </c>
      <c r="G158" s="8"/>
      <c r="H158" s="8" t="str">
        <f>IF(F158="Bullet",MIN(G158,Assumptions!$B$6),"")</f>
        <v/>
      </c>
      <c r="I158" s="8">
        <v>2</v>
      </c>
      <c r="J158" s="8">
        <f>IF(F158="Monthly interest",MAX(0,Assumptions!$B$5-I158),"")</f>
        <v>1</v>
      </c>
      <c r="K158" s="7">
        <f t="shared" si="6"/>
        <v>6546</v>
      </c>
      <c r="L158" s="9">
        <v>46255</v>
      </c>
      <c r="M158" s="5" t="s">
        <v>116</v>
      </c>
      <c r="N158" s="5" t="s">
        <v>117</v>
      </c>
      <c r="O158" s="5" t="s">
        <v>118</v>
      </c>
      <c r="P158" s="5" t="s">
        <v>72</v>
      </c>
      <c r="Q158" s="5" t="s">
        <v>119</v>
      </c>
      <c r="R158" s="5" t="s">
        <v>120</v>
      </c>
      <c r="S158" s="5" t="s">
        <v>75</v>
      </c>
      <c r="T158" s="5" t="s">
        <v>57</v>
      </c>
      <c r="U158" s="5" t="s">
        <v>86</v>
      </c>
      <c r="V158" s="5" t="s">
        <v>76</v>
      </c>
      <c r="W158" s="5" t="s">
        <v>105</v>
      </c>
      <c r="X158" s="5" t="s">
        <v>914</v>
      </c>
      <c r="Y158" s="5" t="s">
        <v>915</v>
      </c>
      <c r="Z158" s="9">
        <v>46133</v>
      </c>
      <c r="AA158" s="8">
        <v>18</v>
      </c>
      <c r="AB158" s="9">
        <f t="shared" si="7"/>
        <v>46681</v>
      </c>
      <c r="AC158" s="10">
        <v>16</v>
      </c>
      <c r="AD158" s="7">
        <f t="shared" si="8"/>
        <v>3273</v>
      </c>
      <c r="AE158" s="7">
        <f>IF(F158="Bullet",H158*AD158,MIN(MAX(I158,1),Assumptions!$B$6)*AD158)</f>
        <v>6546</v>
      </c>
      <c r="AF158" s="8">
        <f>IF(F158="Bullet",MAX(0,Assumptions!$B$4-AB158),MAX(0,Assumptions!$B$4-L158))</f>
        <v>43</v>
      </c>
      <c r="AG158" s="9">
        <v>46224</v>
      </c>
      <c r="AH158" s="8">
        <f>IF(AG158="","",Assumptions!$B$4-AG158)</f>
        <v>74</v>
      </c>
      <c r="AI158" s="5" t="s">
        <v>63</v>
      </c>
      <c r="AJ158" s="8">
        <v>2</v>
      </c>
      <c r="AK158" s="8">
        <v>2</v>
      </c>
      <c r="AL158" s="8">
        <v>653</v>
      </c>
      <c r="AM158" s="8">
        <v>0</v>
      </c>
      <c r="AN158" s="5" t="s">
        <v>63</v>
      </c>
      <c r="AO158" s="10">
        <v>87.1</v>
      </c>
      <c r="AP158" s="8">
        <v>73</v>
      </c>
      <c r="AQ158" s="9">
        <v>46292</v>
      </c>
      <c r="AR158" s="5" t="s">
        <v>53</v>
      </c>
      <c r="AS158" s="5" t="s">
        <v>91</v>
      </c>
    </row>
    <row r="159" spans="1:45" x14ac:dyDescent="0.35">
      <c r="A159" s="5" t="s">
        <v>916</v>
      </c>
      <c r="B159" s="5" t="s">
        <v>917</v>
      </c>
      <c r="C159" s="6" t="s">
        <v>918</v>
      </c>
      <c r="D159" s="7">
        <v>67400</v>
      </c>
      <c r="E159" s="5" t="s">
        <v>48</v>
      </c>
      <c r="F159" s="5" t="s">
        <v>49</v>
      </c>
      <c r="G159" s="8"/>
      <c r="H159" s="8" t="str">
        <f>IF(F159="Bullet",MIN(G159,Assumptions!$B$6),"")</f>
        <v/>
      </c>
      <c r="I159" s="8">
        <v>1</v>
      </c>
      <c r="J159" s="8">
        <f>IF(F159="Monthly interest",MAX(0,Assumptions!$B$5-I159),"")</f>
        <v>2</v>
      </c>
      <c r="K159" s="7">
        <f t="shared" si="6"/>
        <v>843</v>
      </c>
      <c r="L159" s="9">
        <v>46297</v>
      </c>
      <c r="M159" s="5" t="s">
        <v>50</v>
      </c>
      <c r="N159" s="5" t="s">
        <v>53</v>
      </c>
      <c r="O159" s="5" t="s">
        <v>95</v>
      </c>
      <c r="P159" s="5" t="s">
        <v>70</v>
      </c>
      <c r="Q159" s="5" t="s">
        <v>54</v>
      </c>
      <c r="R159" s="5" t="s">
        <v>55</v>
      </c>
      <c r="S159" s="5" t="s">
        <v>56</v>
      </c>
      <c r="T159" s="5" t="s">
        <v>63</v>
      </c>
      <c r="U159" s="5" t="s">
        <v>86</v>
      </c>
      <c r="V159" s="5" t="s">
        <v>59</v>
      </c>
      <c r="W159" s="5" t="s">
        <v>418</v>
      </c>
      <c r="X159" s="5" t="s">
        <v>919</v>
      </c>
      <c r="Y159" s="5" t="s">
        <v>920</v>
      </c>
      <c r="Z159" s="9">
        <v>46205</v>
      </c>
      <c r="AA159" s="8">
        <v>24</v>
      </c>
      <c r="AB159" s="9">
        <f t="shared" si="7"/>
        <v>46936</v>
      </c>
      <c r="AC159" s="10">
        <v>15</v>
      </c>
      <c r="AD159" s="7">
        <f t="shared" si="8"/>
        <v>843</v>
      </c>
      <c r="AE159" s="7">
        <f>IF(F159="Bullet",H159*AD159,MIN(MAX(I159,1),Assumptions!$B$6)*AD159)</f>
        <v>843</v>
      </c>
      <c r="AF159" s="8">
        <f>IF(F159="Bullet",MAX(0,Assumptions!$B$4-AB159),MAX(0,Assumptions!$B$4-L159))</f>
        <v>1</v>
      </c>
      <c r="AG159" s="9">
        <v>46272</v>
      </c>
      <c r="AH159" s="8">
        <f>IF(AG159="","",Assumptions!$B$4-AG159)</f>
        <v>26</v>
      </c>
      <c r="AI159" s="5" t="s">
        <v>63</v>
      </c>
      <c r="AJ159" s="8">
        <v>2</v>
      </c>
      <c r="AK159" s="8">
        <v>1</v>
      </c>
      <c r="AL159" s="8">
        <v>806</v>
      </c>
      <c r="AM159" s="8">
        <v>2</v>
      </c>
      <c r="AN159" s="5" t="s">
        <v>63</v>
      </c>
      <c r="AO159" s="10">
        <v>76.5</v>
      </c>
      <c r="AP159" s="8">
        <v>22</v>
      </c>
      <c r="AQ159" s="9">
        <v>46287</v>
      </c>
      <c r="AR159" s="5" t="s">
        <v>51</v>
      </c>
      <c r="AS159" s="5" t="s">
        <v>190</v>
      </c>
    </row>
    <row r="160" spans="1:45" x14ac:dyDescent="0.35">
      <c r="A160" s="5" t="s">
        <v>921</v>
      </c>
      <c r="B160" s="5" t="s">
        <v>922</v>
      </c>
      <c r="C160" s="6" t="s">
        <v>923</v>
      </c>
      <c r="D160" s="7">
        <v>182900</v>
      </c>
      <c r="E160" s="5" t="s">
        <v>48</v>
      </c>
      <c r="F160" s="5" t="s">
        <v>49</v>
      </c>
      <c r="G160" s="8"/>
      <c r="H160" s="8" t="str">
        <f>IF(F160="Bullet",MIN(G160,Assumptions!$B$6),"")</f>
        <v/>
      </c>
      <c r="I160" s="8">
        <v>2</v>
      </c>
      <c r="J160" s="8">
        <f>IF(F160="Monthly interest",MAX(0,Assumptions!$B$5-I160),"")</f>
        <v>1</v>
      </c>
      <c r="K160" s="7">
        <f t="shared" si="6"/>
        <v>4878</v>
      </c>
      <c r="L160" s="9">
        <v>46251</v>
      </c>
      <c r="M160" s="5" t="s">
        <v>116</v>
      </c>
      <c r="N160" s="5" t="s">
        <v>117</v>
      </c>
      <c r="O160" s="5" t="s">
        <v>118</v>
      </c>
      <c r="P160" s="5" t="s">
        <v>72</v>
      </c>
      <c r="Q160" s="5" t="s">
        <v>119</v>
      </c>
      <c r="R160" s="5" t="s">
        <v>120</v>
      </c>
      <c r="S160" s="5" t="s">
        <v>85</v>
      </c>
      <c r="T160" s="5" t="s">
        <v>57</v>
      </c>
      <c r="U160" s="5" t="s">
        <v>86</v>
      </c>
      <c r="V160" s="5" t="s">
        <v>96</v>
      </c>
      <c r="W160" s="5" t="s">
        <v>97</v>
      </c>
      <c r="X160" s="5" t="s">
        <v>924</v>
      </c>
      <c r="Y160" s="5" t="s">
        <v>925</v>
      </c>
      <c r="Z160" s="9">
        <v>46098</v>
      </c>
      <c r="AA160" s="8">
        <v>12</v>
      </c>
      <c r="AB160" s="9">
        <f t="shared" si="7"/>
        <v>46463</v>
      </c>
      <c r="AC160" s="10">
        <v>16</v>
      </c>
      <c r="AD160" s="7">
        <f t="shared" si="8"/>
        <v>2439</v>
      </c>
      <c r="AE160" s="7">
        <f>IF(F160="Bullet",H160*AD160,MIN(MAX(I160,1),Assumptions!$B$6)*AD160)</f>
        <v>4878</v>
      </c>
      <c r="AF160" s="8">
        <f>IF(F160="Bullet",MAX(0,Assumptions!$B$4-AB160),MAX(0,Assumptions!$B$4-L160))</f>
        <v>47</v>
      </c>
      <c r="AG160" s="9">
        <v>46224</v>
      </c>
      <c r="AH160" s="8">
        <f>IF(AG160="","",Assumptions!$B$4-AG160)</f>
        <v>74</v>
      </c>
      <c r="AI160" s="5" t="s">
        <v>57</v>
      </c>
      <c r="AJ160" s="8">
        <v>2</v>
      </c>
      <c r="AK160" s="8">
        <v>1</v>
      </c>
      <c r="AL160" s="8">
        <v>704</v>
      </c>
      <c r="AM160" s="8">
        <v>0</v>
      </c>
      <c r="AN160" s="5" t="s">
        <v>63</v>
      </c>
      <c r="AO160" s="10">
        <v>87</v>
      </c>
      <c r="AP160" s="8">
        <v>70</v>
      </c>
      <c r="AQ160" s="9">
        <v>46274</v>
      </c>
      <c r="AR160" s="5" t="s">
        <v>70</v>
      </c>
      <c r="AS160" s="5" t="s">
        <v>81</v>
      </c>
    </row>
    <row r="161" spans="1:45" x14ac:dyDescent="0.35">
      <c r="A161" s="5" t="s">
        <v>926</v>
      </c>
      <c r="B161" s="5" t="s">
        <v>927</v>
      </c>
      <c r="C161" s="6" t="s">
        <v>928</v>
      </c>
      <c r="D161" s="7">
        <v>50100</v>
      </c>
      <c r="E161" s="5" t="s">
        <v>48</v>
      </c>
      <c r="F161" s="5" t="s">
        <v>68</v>
      </c>
      <c r="G161" s="8">
        <v>3</v>
      </c>
      <c r="H161" s="8">
        <f>IF(F161="Bullet",MIN(G161,Assumptions!$B$6),"")</f>
        <v>2</v>
      </c>
      <c r="I161" s="8"/>
      <c r="J161" s="8" t="str">
        <f>IF(F161="Monthly interest",MAX(0,Assumptions!$B$5-I161),"")</f>
        <v/>
      </c>
      <c r="K161" s="7">
        <f t="shared" si="6"/>
        <v>1755</v>
      </c>
      <c r="L161" s="9">
        <v>46205</v>
      </c>
      <c r="M161" s="5" t="s">
        <v>50</v>
      </c>
      <c r="N161" s="5" t="s">
        <v>53</v>
      </c>
      <c r="O161" s="5" t="s">
        <v>71</v>
      </c>
      <c r="P161" s="5" t="s">
        <v>70</v>
      </c>
      <c r="Q161" s="5" t="s">
        <v>73</v>
      </c>
      <c r="R161" s="5" t="s">
        <v>74</v>
      </c>
      <c r="S161" s="5" t="s">
        <v>253</v>
      </c>
      <c r="T161" s="5" t="s">
        <v>63</v>
      </c>
      <c r="U161" s="5" t="s">
        <v>86</v>
      </c>
      <c r="V161" s="5" t="s">
        <v>186</v>
      </c>
      <c r="W161" s="5" t="s">
        <v>329</v>
      </c>
      <c r="X161" s="5" t="s">
        <v>537</v>
      </c>
      <c r="Y161" s="5" t="s">
        <v>929</v>
      </c>
      <c r="Z161" s="9">
        <v>46205</v>
      </c>
      <c r="AA161" s="8">
        <v>6</v>
      </c>
      <c r="AB161" s="9">
        <f t="shared" si="7"/>
        <v>46389</v>
      </c>
      <c r="AC161" s="10">
        <v>14</v>
      </c>
      <c r="AD161" s="7">
        <f t="shared" si="8"/>
        <v>585</v>
      </c>
      <c r="AE161" s="7">
        <f>IF(F161="Bullet",H161*AD161,MIN(MAX(I161,1),Assumptions!$B$6)*AD161)</f>
        <v>1170</v>
      </c>
      <c r="AF161" s="8">
        <f>IF(F161="Bullet",MAX(0,Assumptions!$B$4-AB161),MAX(0,Assumptions!$B$4-L161))</f>
        <v>0</v>
      </c>
      <c r="AG161" s="9"/>
      <c r="AH161" s="8" t="str">
        <f>IF(AG161="","",Assumptions!$B$4-AG161)</f>
        <v/>
      </c>
      <c r="AI161" s="5" t="s">
        <v>80</v>
      </c>
      <c r="AJ161" s="8"/>
      <c r="AK161" s="8">
        <v>3</v>
      </c>
      <c r="AL161" s="8">
        <v>722</v>
      </c>
      <c r="AM161" s="8">
        <v>0</v>
      </c>
      <c r="AN161" s="5" t="s">
        <v>63</v>
      </c>
      <c r="AO161" s="10">
        <v>72.3</v>
      </c>
      <c r="AP161" s="8">
        <v>30</v>
      </c>
      <c r="AQ161" s="9">
        <v>46286</v>
      </c>
      <c r="AR161" s="5" t="s">
        <v>72</v>
      </c>
      <c r="AS161" s="5" t="s">
        <v>81</v>
      </c>
    </row>
    <row r="162" spans="1:45" x14ac:dyDescent="0.35">
      <c r="A162" s="5" t="s">
        <v>930</v>
      </c>
      <c r="B162" s="5" t="s">
        <v>931</v>
      </c>
      <c r="C162" s="6" t="s">
        <v>932</v>
      </c>
      <c r="D162" s="7">
        <v>60100</v>
      </c>
      <c r="E162" s="5" t="s">
        <v>48</v>
      </c>
      <c r="F162" s="5" t="s">
        <v>49</v>
      </c>
      <c r="G162" s="8"/>
      <c r="H162" s="8" t="str">
        <f>IF(F162="Bullet",MIN(G162,Assumptions!$B$6),"")</f>
        <v/>
      </c>
      <c r="I162" s="8">
        <v>1</v>
      </c>
      <c r="J162" s="8">
        <f>IF(F162="Monthly interest",MAX(0,Assumptions!$B$5-I162),"")</f>
        <v>2</v>
      </c>
      <c r="K162" s="7">
        <f t="shared" si="6"/>
        <v>751</v>
      </c>
      <c r="L162" s="9">
        <v>46286</v>
      </c>
      <c r="M162" s="5" t="s">
        <v>50</v>
      </c>
      <c r="N162" s="5" t="s">
        <v>51</v>
      </c>
      <c r="O162" s="5" t="s">
        <v>52</v>
      </c>
      <c r="P162" s="5" t="s">
        <v>53</v>
      </c>
      <c r="Q162" s="5" t="s">
        <v>54</v>
      </c>
      <c r="R162" s="5" t="s">
        <v>55</v>
      </c>
      <c r="S162" s="5" t="s">
        <v>56</v>
      </c>
      <c r="T162" s="5" t="s">
        <v>57</v>
      </c>
      <c r="U162" s="5" t="s">
        <v>86</v>
      </c>
      <c r="V162" s="5" t="s">
        <v>59</v>
      </c>
      <c r="W162" s="5" t="s">
        <v>60</v>
      </c>
      <c r="X162" s="5" t="s">
        <v>933</v>
      </c>
      <c r="Y162" s="5" t="s">
        <v>934</v>
      </c>
      <c r="Z162" s="9">
        <v>46012</v>
      </c>
      <c r="AA162" s="8">
        <v>12</v>
      </c>
      <c r="AB162" s="9">
        <f t="shared" si="7"/>
        <v>46377</v>
      </c>
      <c r="AC162" s="10">
        <v>15</v>
      </c>
      <c r="AD162" s="7">
        <f t="shared" si="8"/>
        <v>751</v>
      </c>
      <c r="AE162" s="7">
        <f>IF(F162="Bullet",H162*AD162,MIN(MAX(I162,1),Assumptions!$B$6)*AD162)</f>
        <v>751</v>
      </c>
      <c r="AF162" s="8">
        <f>IF(F162="Bullet",MAX(0,Assumptions!$B$4-AB162),MAX(0,Assumptions!$B$4-L162))</f>
        <v>12</v>
      </c>
      <c r="AG162" s="9">
        <v>46256</v>
      </c>
      <c r="AH162" s="8">
        <f>IF(AG162="","",Assumptions!$B$4-AG162)</f>
        <v>42</v>
      </c>
      <c r="AI162" s="5" t="s">
        <v>57</v>
      </c>
      <c r="AJ162" s="8">
        <v>1</v>
      </c>
      <c r="AK162" s="8">
        <v>1</v>
      </c>
      <c r="AL162" s="8">
        <v>740</v>
      </c>
      <c r="AM162" s="8">
        <v>1</v>
      </c>
      <c r="AN162" s="5" t="s">
        <v>63</v>
      </c>
      <c r="AO162" s="10">
        <v>74.2</v>
      </c>
      <c r="AP162" s="8">
        <v>28</v>
      </c>
      <c r="AQ162" s="9"/>
      <c r="AR162" s="5"/>
      <c r="AS162" s="5" t="s">
        <v>159</v>
      </c>
    </row>
    <row r="163" spans="1:45" x14ac:dyDescent="0.35">
      <c r="A163" s="5" t="s">
        <v>935</v>
      </c>
      <c r="B163" s="5" t="s">
        <v>936</v>
      </c>
      <c r="C163" s="6" t="s">
        <v>937</v>
      </c>
      <c r="D163" s="7">
        <v>162000</v>
      </c>
      <c r="E163" s="5" t="s">
        <v>48</v>
      </c>
      <c r="F163" s="5" t="s">
        <v>49</v>
      </c>
      <c r="G163" s="8"/>
      <c r="H163" s="8" t="str">
        <f>IF(F163="Bullet",MIN(G163,Assumptions!$B$6),"")</f>
        <v/>
      </c>
      <c r="I163" s="8">
        <v>2</v>
      </c>
      <c r="J163" s="8">
        <f>IF(F163="Monthly interest",MAX(0,Assumptions!$B$5-I163),"")</f>
        <v>1</v>
      </c>
      <c r="K163" s="7">
        <f t="shared" si="6"/>
        <v>4860</v>
      </c>
      <c r="L163" s="9">
        <v>46259</v>
      </c>
      <c r="M163" s="5" t="s">
        <v>69</v>
      </c>
      <c r="N163" s="5" t="s">
        <v>53</v>
      </c>
      <c r="O163" s="5" t="s">
        <v>71</v>
      </c>
      <c r="P163" s="5" t="s">
        <v>70</v>
      </c>
      <c r="Q163" s="5" t="s">
        <v>73</v>
      </c>
      <c r="R163" s="5" t="s">
        <v>74</v>
      </c>
      <c r="S163" s="5" t="s">
        <v>56</v>
      </c>
      <c r="T163" s="5" t="s">
        <v>57</v>
      </c>
      <c r="U163" s="5" t="s">
        <v>104</v>
      </c>
      <c r="V163" s="5" t="s">
        <v>59</v>
      </c>
      <c r="W163" s="5" t="s">
        <v>60</v>
      </c>
      <c r="X163" s="5" t="s">
        <v>938</v>
      </c>
      <c r="Y163" s="5" t="s">
        <v>939</v>
      </c>
      <c r="Z163" s="9">
        <v>46137</v>
      </c>
      <c r="AA163" s="8">
        <v>12</v>
      </c>
      <c r="AB163" s="9">
        <f t="shared" si="7"/>
        <v>46502</v>
      </c>
      <c r="AC163" s="10">
        <v>18</v>
      </c>
      <c r="AD163" s="7">
        <f t="shared" si="8"/>
        <v>2430</v>
      </c>
      <c r="AE163" s="7">
        <f>IF(F163="Bullet",H163*AD163,MIN(MAX(I163,1),Assumptions!$B$6)*AD163)</f>
        <v>4860</v>
      </c>
      <c r="AF163" s="8">
        <f>IF(F163="Bullet",MAX(0,Assumptions!$B$4-AB163),MAX(0,Assumptions!$B$4-L163))</f>
        <v>39</v>
      </c>
      <c r="AG163" s="9">
        <v>46229</v>
      </c>
      <c r="AH163" s="8">
        <f>IF(AG163="","",Assumptions!$B$4-AG163)</f>
        <v>69</v>
      </c>
      <c r="AI163" s="5" t="s">
        <v>63</v>
      </c>
      <c r="AJ163" s="8">
        <v>3</v>
      </c>
      <c r="AK163" s="8">
        <v>0</v>
      </c>
      <c r="AL163" s="8">
        <v>766</v>
      </c>
      <c r="AM163" s="8">
        <v>0</v>
      </c>
      <c r="AN163" s="5" t="s">
        <v>63</v>
      </c>
      <c r="AO163" s="10">
        <v>50.5</v>
      </c>
      <c r="AP163" s="8">
        <v>33</v>
      </c>
      <c r="AQ163" s="9"/>
      <c r="AR163" s="5"/>
      <c r="AS163" s="5" t="s">
        <v>159</v>
      </c>
    </row>
    <row r="164" spans="1:45" x14ac:dyDescent="0.35">
      <c r="A164" s="5" t="s">
        <v>940</v>
      </c>
      <c r="B164" s="5" t="s">
        <v>941</v>
      </c>
      <c r="C164" s="6" t="s">
        <v>942</v>
      </c>
      <c r="D164" s="7">
        <v>360000</v>
      </c>
      <c r="E164" s="5" t="s">
        <v>48</v>
      </c>
      <c r="F164" s="5" t="s">
        <v>68</v>
      </c>
      <c r="G164" s="8">
        <v>6</v>
      </c>
      <c r="H164" s="8">
        <f>IF(F164="Bullet",MIN(G164,Assumptions!$B$6),"")</f>
        <v>2</v>
      </c>
      <c r="I164" s="8"/>
      <c r="J164" s="8" t="str">
        <f>IF(F164="Monthly interest",MAX(0,Assumptions!$B$5-I164),"")</f>
        <v/>
      </c>
      <c r="K164" s="7">
        <f t="shared" si="6"/>
        <v>32400</v>
      </c>
      <c r="L164" s="9">
        <v>46115</v>
      </c>
      <c r="M164" s="5" t="s">
        <v>69</v>
      </c>
      <c r="N164" s="5" t="s">
        <v>53</v>
      </c>
      <c r="O164" s="5" t="s">
        <v>168</v>
      </c>
      <c r="P164" s="5" t="s">
        <v>70</v>
      </c>
      <c r="Q164" s="5" t="s">
        <v>169</v>
      </c>
      <c r="R164" s="5" t="s">
        <v>170</v>
      </c>
      <c r="S164" s="5" t="s">
        <v>75</v>
      </c>
      <c r="T164" s="5" t="s">
        <v>57</v>
      </c>
      <c r="U164" s="5" t="s">
        <v>58</v>
      </c>
      <c r="V164" s="5" t="s">
        <v>76</v>
      </c>
      <c r="W164" s="5" t="s">
        <v>547</v>
      </c>
      <c r="X164" s="5" t="s">
        <v>548</v>
      </c>
      <c r="Y164" s="5" t="s">
        <v>943</v>
      </c>
      <c r="Z164" s="9">
        <v>46115</v>
      </c>
      <c r="AA164" s="8">
        <v>12</v>
      </c>
      <c r="AB164" s="9">
        <f t="shared" si="7"/>
        <v>46480</v>
      </c>
      <c r="AC164" s="10">
        <v>18</v>
      </c>
      <c r="AD164" s="7">
        <f t="shared" si="8"/>
        <v>5400</v>
      </c>
      <c r="AE164" s="7">
        <f>IF(F164="Bullet",H164*AD164,MIN(MAX(I164,1),Assumptions!$B$6)*AD164)</f>
        <v>10800</v>
      </c>
      <c r="AF164" s="8">
        <f>IF(F164="Bullet",MAX(0,Assumptions!$B$4-AB164),MAX(0,Assumptions!$B$4-L164))</f>
        <v>0</v>
      </c>
      <c r="AG164" s="9"/>
      <c r="AH164" s="8" t="str">
        <f>IF(AG164="","",Assumptions!$B$4-AG164)</f>
        <v/>
      </c>
      <c r="AI164" s="5" t="s">
        <v>80</v>
      </c>
      <c r="AJ164" s="8"/>
      <c r="AK164" s="8">
        <v>0</v>
      </c>
      <c r="AL164" s="8">
        <v>594</v>
      </c>
      <c r="AM164" s="8">
        <v>0</v>
      </c>
      <c r="AN164" s="5" t="s">
        <v>63</v>
      </c>
      <c r="AO164" s="10">
        <v>76.8</v>
      </c>
      <c r="AP164" s="8">
        <v>45</v>
      </c>
      <c r="AQ164" s="9">
        <v>46290</v>
      </c>
      <c r="AR164" s="5" t="s">
        <v>51</v>
      </c>
      <c r="AS164" s="5" t="s">
        <v>81</v>
      </c>
    </row>
    <row r="165" spans="1:45" x14ac:dyDescent="0.35">
      <c r="A165" s="5" t="s">
        <v>944</v>
      </c>
      <c r="B165" s="5" t="s">
        <v>945</v>
      </c>
      <c r="C165" s="6" t="s">
        <v>946</v>
      </c>
      <c r="D165" s="7">
        <v>566800</v>
      </c>
      <c r="E165" s="5" t="s">
        <v>48</v>
      </c>
      <c r="F165" s="5" t="s">
        <v>49</v>
      </c>
      <c r="G165" s="8"/>
      <c r="H165" s="8" t="str">
        <f>IF(F165="Bullet",MIN(G165,Assumptions!$B$6),"")</f>
        <v/>
      </c>
      <c r="I165" s="8">
        <v>2</v>
      </c>
      <c r="J165" s="8">
        <f>IF(F165="Monthly interest",MAX(0,Assumptions!$B$5-I165),"")</f>
        <v>1</v>
      </c>
      <c r="K165" s="7">
        <f t="shared" si="6"/>
        <v>13226</v>
      </c>
      <c r="L165" s="9">
        <v>46241</v>
      </c>
      <c r="M165" s="5" t="s">
        <v>116</v>
      </c>
      <c r="N165" s="5" t="s">
        <v>117</v>
      </c>
      <c r="O165" s="5" t="s">
        <v>118</v>
      </c>
      <c r="P165" s="5" t="s">
        <v>72</v>
      </c>
      <c r="Q165" s="5" t="s">
        <v>119</v>
      </c>
      <c r="R165" s="5" t="s">
        <v>120</v>
      </c>
      <c r="S165" s="5" t="s">
        <v>56</v>
      </c>
      <c r="T165" s="5" t="s">
        <v>57</v>
      </c>
      <c r="U165" s="5" t="s">
        <v>86</v>
      </c>
      <c r="V165" s="5" t="s">
        <v>59</v>
      </c>
      <c r="W165" s="5" t="s">
        <v>156</v>
      </c>
      <c r="X165" s="5" t="s">
        <v>947</v>
      </c>
      <c r="Y165" s="5" t="s">
        <v>948</v>
      </c>
      <c r="Z165" s="9">
        <v>46180</v>
      </c>
      <c r="AA165" s="8">
        <v>12</v>
      </c>
      <c r="AB165" s="9">
        <f t="shared" si="7"/>
        <v>46545</v>
      </c>
      <c r="AC165" s="10">
        <v>14</v>
      </c>
      <c r="AD165" s="7">
        <f t="shared" si="8"/>
        <v>6613</v>
      </c>
      <c r="AE165" s="7">
        <f>IF(F165="Bullet",H165*AD165,MIN(MAX(I165,1),Assumptions!$B$6)*AD165)</f>
        <v>13226</v>
      </c>
      <c r="AF165" s="8">
        <f>IF(F165="Bullet",MAX(0,Assumptions!$B$4-AB165),MAX(0,Assumptions!$B$4-L165))</f>
        <v>57</v>
      </c>
      <c r="AG165" s="9">
        <v>46210</v>
      </c>
      <c r="AH165" s="8">
        <f>IF(AG165="","",Assumptions!$B$4-AG165)</f>
        <v>88</v>
      </c>
      <c r="AI165" s="5" t="s">
        <v>63</v>
      </c>
      <c r="AJ165" s="8">
        <v>2</v>
      </c>
      <c r="AK165" s="8">
        <v>1</v>
      </c>
      <c r="AL165" s="8">
        <v>645</v>
      </c>
      <c r="AM165" s="8">
        <v>2</v>
      </c>
      <c r="AN165" s="5" t="s">
        <v>63</v>
      </c>
      <c r="AO165" s="10">
        <v>64.099999999999994</v>
      </c>
      <c r="AP165" s="8">
        <v>59</v>
      </c>
      <c r="AQ165" s="9">
        <v>46274</v>
      </c>
      <c r="AR165" s="5" t="s">
        <v>70</v>
      </c>
      <c r="AS165" s="5" t="s">
        <v>274</v>
      </c>
    </row>
    <row r="166" spans="1:45" x14ac:dyDescent="0.35">
      <c r="A166" s="5" t="s">
        <v>949</v>
      </c>
      <c r="B166" s="5" t="s">
        <v>950</v>
      </c>
      <c r="C166" s="6" t="s">
        <v>951</v>
      </c>
      <c r="D166" s="7">
        <v>53100</v>
      </c>
      <c r="E166" s="5" t="s">
        <v>48</v>
      </c>
      <c r="F166" s="5" t="s">
        <v>49</v>
      </c>
      <c r="G166" s="8"/>
      <c r="H166" s="8" t="str">
        <f>IF(F166="Bullet",MIN(G166,Assumptions!$B$6),"")</f>
        <v/>
      </c>
      <c r="I166" s="8">
        <v>1</v>
      </c>
      <c r="J166" s="8">
        <f>IF(F166="Monthly interest",MAX(0,Assumptions!$B$5-I166),"")</f>
        <v>2</v>
      </c>
      <c r="K166" s="7">
        <f t="shared" si="6"/>
        <v>708</v>
      </c>
      <c r="L166" s="9">
        <v>46277</v>
      </c>
      <c r="M166" s="5" t="s">
        <v>50</v>
      </c>
      <c r="N166" s="5" t="s">
        <v>51</v>
      </c>
      <c r="O166" s="5" t="s">
        <v>52</v>
      </c>
      <c r="P166" s="5" t="s">
        <v>53</v>
      </c>
      <c r="Q166" s="5" t="s">
        <v>54</v>
      </c>
      <c r="R166" s="5" t="s">
        <v>55</v>
      </c>
      <c r="S166" s="5" t="s">
        <v>185</v>
      </c>
      <c r="T166" s="5" t="s">
        <v>57</v>
      </c>
      <c r="U166" s="5" t="s">
        <v>86</v>
      </c>
      <c r="V166" s="5" t="s">
        <v>186</v>
      </c>
      <c r="W166" s="5" t="s">
        <v>329</v>
      </c>
      <c r="X166" s="5" t="s">
        <v>626</v>
      </c>
      <c r="Y166" s="5" t="s">
        <v>952</v>
      </c>
      <c r="Z166" s="9">
        <v>46093</v>
      </c>
      <c r="AA166" s="8">
        <v>12</v>
      </c>
      <c r="AB166" s="9">
        <f t="shared" si="7"/>
        <v>46458</v>
      </c>
      <c r="AC166" s="10">
        <v>16</v>
      </c>
      <c r="AD166" s="7">
        <f t="shared" si="8"/>
        <v>708</v>
      </c>
      <c r="AE166" s="7">
        <f>IF(F166="Bullet",H166*AD166,MIN(MAX(I166,1),Assumptions!$B$6)*AD166)</f>
        <v>708</v>
      </c>
      <c r="AF166" s="8">
        <f>IF(F166="Bullet",MAX(0,Assumptions!$B$4-AB166),MAX(0,Assumptions!$B$4-L166))</f>
        <v>21</v>
      </c>
      <c r="AG166" s="9">
        <v>46246</v>
      </c>
      <c r="AH166" s="8">
        <f>IF(AG166="","",Assumptions!$B$4-AG166)</f>
        <v>52</v>
      </c>
      <c r="AI166" s="5" t="s">
        <v>57</v>
      </c>
      <c r="AJ166" s="8">
        <v>2</v>
      </c>
      <c r="AK166" s="8">
        <v>0</v>
      </c>
      <c r="AL166" s="8">
        <v>719</v>
      </c>
      <c r="AM166" s="8">
        <v>0</v>
      </c>
      <c r="AN166" s="5" t="s">
        <v>63</v>
      </c>
      <c r="AO166" s="10">
        <v>47</v>
      </c>
      <c r="AP166" s="8">
        <v>26</v>
      </c>
      <c r="AQ166" s="9">
        <v>46295</v>
      </c>
      <c r="AR166" s="5" t="s">
        <v>53</v>
      </c>
      <c r="AS166" s="5" t="s">
        <v>91</v>
      </c>
    </row>
    <row r="167" spans="1:45" x14ac:dyDescent="0.35">
      <c r="A167" s="5" t="s">
        <v>953</v>
      </c>
      <c r="B167" s="5" t="s">
        <v>954</v>
      </c>
      <c r="C167" s="6" t="s">
        <v>955</v>
      </c>
      <c r="D167" s="7">
        <v>95600</v>
      </c>
      <c r="E167" s="5" t="s">
        <v>48</v>
      </c>
      <c r="F167" s="5" t="s">
        <v>49</v>
      </c>
      <c r="G167" s="8"/>
      <c r="H167" s="8" t="str">
        <f>IF(F167="Bullet",MIN(G167,Assumptions!$B$6),"")</f>
        <v/>
      </c>
      <c r="I167" s="8">
        <v>2</v>
      </c>
      <c r="J167" s="8">
        <f>IF(F167="Monthly interest",MAX(0,Assumptions!$B$5-I167),"")</f>
        <v>1</v>
      </c>
      <c r="K167" s="7">
        <f t="shared" si="6"/>
        <v>2230</v>
      </c>
      <c r="L167" s="9">
        <v>46244</v>
      </c>
      <c r="M167" s="5" t="s">
        <v>116</v>
      </c>
      <c r="N167" s="5" t="s">
        <v>117</v>
      </c>
      <c r="O167" s="5" t="s">
        <v>118</v>
      </c>
      <c r="P167" s="5" t="s">
        <v>72</v>
      </c>
      <c r="Q167" s="5" t="s">
        <v>119</v>
      </c>
      <c r="R167" s="5" t="s">
        <v>120</v>
      </c>
      <c r="S167" s="5" t="s">
        <v>253</v>
      </c>
      <c r="T167" s="5" t="s">
        <v>57</v>
      </c>
      <c r="U167" s="5" t="s">
        <v>86</v>
      </c>
      <c r="V167" s="5" t="s">
        <v>59</v>
      </c>
      <c r="W167" s="5" t="s">
        <v>194</v>
      </c>
      <c r="X167" s="5" t="s">
        <v>956</v>
      </c>
      <c r="Y167" s="5" t="s">
        <v>957</v>
      </c>
      <c r="Z167" s="9">
        <v>46032</v>
      </c>
      <c r="AA167" s="8">
        <v>18</v>
      </c>
      <c r="AB167" s="9">
        <f t="shared" si="7"/>
        <v>46578</v>
      </c>
      <c r="AC167" s="10">
        <v>14</v>
      </c>
      <c r="AD167" s="7">
        <f t="shared" si="8"/>
        <v>1115</v>
      </c>
      <c r="AE167" s="7">
        <f>IF(F167="Bullet",H167*AD167,MIN(MAX(I167,1),Assumptions!$B$6)*AD167)</f>
        <v>2230</v>
      </c>
      <c r="AF167" s="8">
        <f>IF(F167="Bullet",MAX(0,Assumptions!$B$4-AB167),MAX(0,Assumptions!$B$4-L167))</f>
        <v>54</v>
      </c>
      <c r="AG167" s="9">
        <v>46215</v>
      </c>
      <c r="AH167" s="8">
        <f>IF(AG167="","",Assumptions!$B$4-AG167)</f>
        <v>83</v>
      </c>
      <c r="AI167" s="5" t="s">
        <v>57</v>
      </c>
      <c r="AJ167" s="8">
        <v>3</v>
      </c>
      <c r="AK167" s="8">
        <v>0</v>
      </c>
      <c r="AL167" s="8">
        <v>609</v>
      </c>
      <c r="AM167" s="8">
        <v>0</v>
      </c>
      <c r="AN167" s="5" t="s">
        <v>57</v>
      </c>
      <c r="AO167" s="10">
        <v>48.7</v>
      </c>
      <c r="AP167" s="8">
        <v>61</v>
      </c>
      <c r="AQ167" s="9">
        <v>46289</v>
      </c>
      <c r="AR167" s="5" t="s">
        <v>72</v>
      </c>
      <c r="AS167" s="5" t="s">
        <v>81</v>
      </c>
    </row>
    <row r="168" spans="1:45" x14ac:dyDescent="0.35">
      <c r="A168" s="5" t="s">
        <v>958</v>
      </c>
      <c r="B168" s="5" t="s">
        <v>959</v>
      </c>
      <c r="C168" s="6" t="s">
        <v>960</v>
      </c>
      <c r="D168" s="7">
        <v>654900</v>
      </c>
      <c r="E168" s="5" t="s">
        <v>48</v>
      </c>
      <c r="F168" s="5" t="s">
        <v>68</v>
      </c>
      <c r="G168" s="8">
        <v>5</v>
      </c>
      <c r="H168" s="8">
        <f>IF(F168="Bullet",MIN(G168,Assumptions!$B$6),"")</f>
        <v>2</v>
      </c>
      <c r="I168" s="8"/>
      <c r="J168" s="8" t="str">
        <f>IF(F168="Monthly interest",MAX(0,Assumptions!$B$5-I168),"")</f>
        <v/>
      </c>
      <c r="K168" s="7">
        <f t="shared" si="6"/>
        <v>49120</v>
      </c>
      <c r="L168" s="9">
        <v>46143</v>
      </c>
      <c r="M168" s="5" t="s">
        <v>116</v>
      </c>
      <c r="N168" s="5" t="s">
        <v>117</v>
      </c>
      <c r="O168" s="5" t="s">
        <v>461</v>
      </c>
      <c r="P168" s="5" t="s">
        <v>72</v>
      </c>
      <c r="Q168" s="5" t="s">
        <v>169</v>
      </c>
      <c r="R168" s="5" t="s">
        <v>170</v>
      </c>
      <c r="S168" s="5" t="s">
        <v>75</v>
      </c>
      <c r="T168" s="5" t="s">
        <v>57</v>
      </c>
      <c r="U168" s="5" t="s">
        <v>104</v>
      </c>
      <c r="V168" s="5" t="s">
        <v>76</v>
      </c>
      <c r="W168" s="5" t="s">
        <v>444</v>
      </c>
      <c r="X168" s="5" t="s">
        <v>877</v>
      </c>
      <c r="Y168" s="5" t="s">
        <v>961</v>
      </c>
      <c r="Z168" s="9">
        <v>46143</v>
      </c>
      <c r="AA168" s="8">
        <v>6</v>
      </c>
      <c r="AB168" s="9">
        <f t="shared" si="7"/>
        <v>46327</v>
      </c>
      <c r="AC168" s="10">
        <v>18</v>
      </c>
      <c r="AD168" s="7">
        <f t="shared" si="8"/>
        <v>9824</v>
      </c>
      <c r="AE168" s="7">
        <f>IF(F168="Bullet",H168*AD168,MIN(MAX(I168,1),Assumptions!$B$6)*AD168)</f>
        <v>19648</v>
      </c>
      <c r="AF168" s="8">
        <f>IF(F168="Bullet",MAX(0,Assumptions!$B$4-AB168),MAX(0,Assumptions!$B$4-L168))</f>
        <v>0</v>
      </c>
      <c r="AG168" s="9"/>
      <c r="AH168" s="8" t="str">
        <f>IF(AG168="","",Assumptions!$B$4-AG168)</f>
        <v/>
      </c>
      <c r="AI168" s="5" t="s">
        <v>80</v>
      </c>
      <c r="AJ168" s="8"/>
      <c r="AK168" s="8">
        <v>4</v>
      </c>
      <c r="AL168" s="8" t="s">
        <v>80</v>
      </c>
      <c r="AM168" s="8">
        <v>0</v>
      </c>
      <c r="AN168" s="5" t="s">
        <v>63</v>
      </c>
      <c r="AO168" s="10">
        <v>81</v>
      </c>
      <c r="AP168" s="8">
        <v>68</v>
      </c>
      <c r="AQ168" s="9">
        <v>46296</v>
      </c>
      <c r="AR168" s="5" t="s">
        <v>51</v>
      </c>
      <c r="AS168" s="5" t="s">
        <v>81</v>
      </c>
    </row>
    <row r="169" spans="1:45" x14ac:dyDescent="0.35">
      <c r="A169" s="5" t="s">
        <v>962</v>
      </c>
      <c r="B169" s="5" t="s">
        <v>963</v>
      </c>
      <c r="C169" s="6" t="s">
        <v>964</v>
      </c>
      <c r="D169" s="7">
        <v>173600</v>
      </c>
      <c r="E169" s="5" t="s">
        <v>48</v>
      </c>
      <c r="F169" s="5" t="s">
        <v>68</v>
      </c>
      <c r="G169" s="8">
        <v>2</v>
      </c>
      <c r="H169" s="8">
        <f>IF(F169="Bullet",MIN(G169,Assumptions!$B$6),"")</f>
        <v>2</v>
      </c>
      <c r="I169" s="8"/>
      <c r="J169" s="8" t="str">
        <f>IF(F169="Monthly interest",MAX(0,Assumptions!$B$5-I169),"")</f>
        <v/>
      </c>
      <c r="K169" s="7">
        <f t="shared" si="6"/>
        <v>4630</v>
      </c>
      <c r="L169" s="9">
        <v>46223</v>
      </c>
      <c r="M169" s="5" t="s">
        <v>50</v>
      </c>
      <c r="N169" s="5" t="s">
        <v>51</v>
      </c>
      <c r="O169" s="5" t="s">
        <v>71</v>
      </c>
      <c r="P169" s="5" t="s">
        <v>53</v>
      </c>
      <c r="Q169" s="5" t="s">
        <v>73</v>
      </c>
      <c r="R169" s="5" t="s">
        <v>74</v>
      </c>
      <c r="S169" s="5" t="s">
        <v>185</v>
      </c>
      <c r="T169" s="5" t="s">
        <v>57</v>
      </c>
      <c r="U169" s="5" t="s">
        <v>104</v>
      </c>
      <c r="V169" s="5" t="s">
        <v>200</v>
      </c>
      <c r="W169" s="5" t="s">
        <v>500</v>
      </c>
      <c r="X169" s="5" t="s">
        <v>965</v>
      </c>
      <c r="Y169" s="5" t="s">
        <v>966</v>
      </c>
      <c r="Z169" s="9">
        <v>46223</v>
      </c>
      <c r="AA169" s="8">
        <v>6</v>
      </c>
      <c r="AB169" s="9">
        <f t="shared" si="7"/>
        <v>46407</v>
      </c>
      <c r="AC169" s="10">
        <v>16</v>
      </c>
      <c r="AD169" s="7">
        <f t="shared" si="8"/>
        <v>2315</v>
      </c>
      <c r="AE169" s="7">
        <f>IF(F169="Bullet",H169*AD169,MIN(MAX(I169,1),Assumptions!$B$6)*AD169)</f>
        <v>4630</v>
      </c>
      <c r="AF169" s="8">
        <f>IF(F169="Bullet",MAX(0,Assumptions!$B$4-AB169),MAX(0,Assumptions!$B$4-L169))</f>
        <v>0</v>
      </c>
      <c r="AG169" s="9"/>
      <c r="AH169" s="8" t="str">
        <f>IF(AG169="","",Assumptions!$B$4-AG169)</f>
        <v/>
      </c>
      <c r="AI169" s="5" t="s">
        <v>80</v>
      </c>
      <c r="AJ169" s="8"/>
      <c r="AK169" s="8">
        <v>1</v>
      </c>
      <c r="AL169" s="8" t="s">
        <v>80</v>
      </c>
      <c r="AM169" s="8">
        <v>0</v>
      </c>
      <c r="AN169" s="5" t="s">
        <v>63</v>
      </c>
      <c r="AO169" s="10">
        <v>60.6</v>
      </c>
      <c r="AP169" s="8">
        <v>18</v>
      </c>
      <c r="AQ169" s="9"/>
      <c r="AR169" s="5"/>
      <c r="AS169" s="5" t="s">
        <v>159</v>
      </c>
    </row>
    <row r="170" spans="1:45" x14ac:dyDescent="0.35">
      <c r="A170" s="5" t="s">
        <v>967</v>
      </c>
      <c r="B170" s="5" t="s">
        <v>968</v>
      </c>
      <c r="C170" s="6" t="s">
        <v>969</v>
      </c>
      <c r="D170" s="7">
        <v>144300</v>
      </c>
      <c r="E170" s="5" t="s">
        <v>48</v>
      </c>
      <c r="F170" s="5" t="s">
        <v>49</v>
      </c>
      <c r="G170" s="8"/>
      <c r="H170" s="8" t="str">
        <f>IF(F170="Bullet",MIN(G170,Assumptions!$B$6),"")</f>
        <v/>
      </c>
      <c r="I170" s="8">
        <v>1</v>
      </c>
      <c r="J170" s="8">
        <f>IF(F170="Monthly interest",MAX(0,Assumptions!$B$5-I170),"")</f>
        <v>2</v>
      </c>
      <c r="K170" s="7">
        <f t="shared" si="6"/>
        <v>2165</v>
      </c>
      <c r="L170" s="9">
        <v>46282</v>
      </c>
      <c r="M170" s="5" t="s">
        <v>116</v>
      </c>
      <c r="N170" s="5" t="s">
        <v>117</v>
      </c>
      <c r="O170" s="5" t="s">
        <v>118</v>
      </c>
      <c r="P170" s="5" t="s">
        <v>72</v>
      </c>
      <c r="Q170" s="5" t="s">
        <v>119</v>
      </c>
      <c r="R170" s="5" t="s">
        <v>120</v>
      </c>
      <c r="S170" s="5" t="s">
        <v>56</v>
      </c>
      <c r="T170" s="5" t="s">
        <v>63</v>
      </c>
      <c r="U170" s="5" t="s">
        <v>104</v>
      </c>
      <c r="V170" s="5" t="s">
        <v>59</v>
      </c>
      <c r="W170" s="5" t="s">
        <v>300</v>
      </c>
      <c r="X170" s="5" t="s">
        <v>970</v>
      </c>
      <c r="Y170" s="5" t="s">
        <v>971</v>
      </c>
      <c r="Z170" s="9">
        <v>46190</v>
      </c>
      <c r="AA170" s="8">
        <v>24</v>
      </c>
      <c r="AB170" s="9">
        <f t="shared" si="7"/>
        <v>46921</v>
      </c>
      <c r="AC170" s="10">
        <v>18</v>
      </c>
      <c r="AD170" s="7">
        <f t="shared" si="8"/>
        <v>2165</v>
      </c>
      <c r="AE170" s="7">
        <f>IF(F170="Bullet",H170*AD170,MIN(MAX(I170,1),Assumptions!$B$6)*AD170)</f>
        <v>2165</v>
      </c>
      <c r="AF170" s="8">
        <f>IF(F170="Bullet",MAX(0,Assumptions!$B$4-AB170),MAX(0,Assumptions!$B$4-L170))</f>
        <v>16</v>
      </c>
      <c r="AG170" s="9">
        <v>46256</v>
      </c>
      <c r="AH170" s="8">
        <f>IF(AG170="","",Assumptions!$B$4-AG170)</f>
        <v>42</v>
      </c>
      <c r="AI170" s="5" t="s">
        <v>63</v>
      </c>
      <c r="AJ170" s="8">
        <v>3</v>
      </c>
      <c r="AK170" s="8">
        <v>0</v>
      </c>
      <c r="AL170" s="8">
        <v>608</v>
      </c>
      <c r="AM170" s="8">
        <v>4</v>
      </c>
      <c r="AN170" s="5" t="s">
        <v>63</v>
      </c>
      <c r="AO170" s="10">
        <v>81.900000000000006</v>
      </c>
      <c r="AP170" s="8">
        <v>57</v>
      </c>
      <c r="AQ170" s="9">
        <v>46275</v>
      </c>
      <c r="AR170" s="5" t="s">
        <v>51</v>
      </c>
      <c r="AS170" s="5" t="s">
        <v>81</v>
      </c>
    </row>
    <row r="171" spans="1:45" x14ac:dyDescent="0.35">
      <c r="A171" s="5" t="s">
        <v>972</v>
      </c>
      <c r="B171" s="5" t="s">
        <v>973</v>
      </c>
      <c r="C171" s="6" t="s">
        <v>974</v>
      </c>
      <c r="D171" s="7">
        <v>44300</v>
      </c>
      <c r="E171" s="5" t="s">
        <v>48</v>
      </c>
      <c r="F171" s="5" t="s">
        <v>68</v>
      </c>
      <c r="G171" s="8">
        <v>2</v>
      </c>
      <c r="H171" s="8">
        <f>IF(F171="Bullet",MIN(G171,Assumptions!$B$6),"")</f>
        <v>2</v>
      </c>
      <c r="I171" s="8"/>
      <c r="J171" s="8" t="str">
        <f>IF(F171="Monthly interest",MAX(0,Assumptions!$B$5-I171),"")</f>
        <v/>
      </c>
      <c r="K171" s="7">
        <f t="shared" si="6"/>
        <v>1330</v>
      </c>
      <c r="L171" s="9">
        <v>46234</v>
      </c>
      <c r="M171" s="5" t="s">
        <v>50</v>
      </c>
      <c r="N171" s="5" t="s">
        <v>53</v>
      </c>
      <c r="O171" s="5" t="s">
        <v>152</v>
      </c>
      <c r="P171" s="5" t="s">
        <v>153</v>
      </c>
      <c r="Q171" s="5" t="s">
        <v>154</v>
      </c>
      <c r="R171" s="5" t="s">
        <v>155</v>
      </c>
      <c r="S171" s="5" t="s">
        <v>85</v>
      </c>
      <c r="T171" s="5" t="s">
        <v>57</v>
      </c>
      <c r="U171" s="5" t="s">
        <v>58</v>
      </c>
      <c r="V171" s="5" t="s">
        <v>87</v>
      </c>
      <c r="W171" s="5" t="s">
        <v>88</v>
      </c>
      <c r="X171" s="5" t="s">
        <v>89</v>
      </c>
      <c r="Y171" s="5" t="s">
        <v>975</v>
      </c>
      <c r="Z171" s="9">
        <v>46234</v>
      </c>
      <c r="AA171" s="8">
        <v>6</v>
      </c>
      <c r="AB171" s="9">
        <f t="shared" si="7"/>
        <v>46418</v>
      </c>
      <c r="AC171" s="10">
        <v>18</v>
      </c>
      <c r="AD171" s="7">
        <f t="shared" si="8"/>
        <v>665</v>
      </c>
      <c r="AE171" s="7">
        <f>IF(F171="Bullet",H171*AD171,MIN(MAX(I171,1),Assumptions!$B$6)*AD171)</f>
        <v>1330</v>
      </c>
      <c r="AF171" s="8">
        <f>IF(F171="Bullet",MAX(0,Assumptions!$B$4-AB171),MAX(0,Assumptions!$B$4-L171))</f>
        <v>0</v>
      </c>
      <c r="AG171" s="9"/>
      <c r="AH171" s="8" t="str">
        <f>IF(AG171="","",Assumptions!$B$4-AG171)</f>
        <v/>
      </c>
      <c r="AI171" s="5" t="s">
        <v>80</v>
      </c>
      <c r="AJ171" s="8"/>
      <c r="AK171" s="8">
        <v>1</v>
      </c>
      <c r="AL171" s="8">
        <v>728</v>
      </c>
      <c r="AM171" s="8">
        <v>0</v>
      </c>
      <c r="AN171" s="5" t="s">
        <v>63</v>
      </c>
      <c r="AO171" s="10">
        <v>85.6</v>
      </c>
      <c r="AP171" s="8">
        <v>19</v>
      </c>
      <c r="AQ171" s="9">
        <v>46279</v>
      </c>
      <c r="AR171" s="5" t="s">
        <v>51</v>
      </c>
      <c r="AS171" s="5" t="s">
        <v>64</v>
      </c>
    </row>
    <row r="172" spans="1:45" x14ac:dyDescent="0.35">
      <c r="A172" s="5" t="s">
        <v>976</v>
      </c>
      <c r="B172" s="5" t="s">
        <v>459</v>
      </c>
      <c r="C172" s="6" t="s">
        <v>977</v>
      </c>
      <c r="D172" s="7">
        <v>272600</v>
      </c>
      <c r="E172" s="5" t="s">
        <v>48</v>
      </c>
      <c r="F172" s="5" t="s">
        <v>49</v>
      </c>
      <c r="G172" s="8"/>
      <c r="H172" s="8" t="str">
        <f>IF(F172="Bullet",MIN(G172,Assumptions!$B$6),"")</f>
        <v/>
      </c>
      <c r="I172" s="8">
        <v>2</v>
      </c>
      <c r="J172" s="8">
        <f>IF(F172="Monthly interest",MAX(0,Assumptions!$B$5-I172),"")</f>
        <v>1</v>
      </c>
      <c r="K172" s="7">
        <f t="shared" si="6"/>
        <v>6816</v>
      </c>
      <c r="L172" s="9">
        <v>46244</v>
      </c>
      <c r="M172" s="5" t="s">
        <v>116</v>
      </c>
      <c r="N172" s="5" t="s">
        <v>117</v>
      </c>
      <c r="O172" s="5" t="s">
        <v>118</v>
      </c>
      <c r="P172" s="5" t="s">
        <v>72</v>
      </c>
      <c r="Q172" s="5" t="s">
        <v>119</v>
      </c>
      <c r="R172" s="5" t="s">
        <v>120</v>
      </c>
      <c r="S172" s="5" t="s">
        <v>185</v>
      </c>
      <c r="T172" s="5" t="s">
        <v>57</v>
      </c>
      <c r="U172" s="5" t="s">
        <v>58</v>
      </c>
      <c r="V172" s="5" t="s">
        <v>200</v>
      </c>
      <c r="W172" s="5" t="s">
        <v>433</v>
      </c>
      <c r="X172" s="5" t="s">
        <v>978</v>
      </c>
      <c r="Y172" s="5" t="s">
        <v>979</v>
      </c>
      <c r="Z172" s="9">
        <v>46001</v>
      </c>
      <c r="AA172" s="8">
        <v>12</v>
      </c>
      <c r="AB172" s="9">
        <f t="shared" si="7"/>
        <v>46366</v>
      </c>
      <c r="AC172" s="10">
        <v>15</v>
      </c>
      <c r="AD172" s="7">
        <f t="shared" si="8"/>
        <v>3408</v>
      </c>
      <c r="AE172" s="7">
        <f>IF(F172="Bullet",H172*AD172,MIN(MAX(I172,1),Assumptions!$B$6)*AD172)</f>
        <v>6816</v>
      </c>
      <c r="AF172" s="8">
        <f>IF(F172="Bullet",MAX(0,Assumptions!$B$4-AB172),MAX(0,Assumptions!$B$4-L172))</f>
        <v>54</v>
      </c>
      <c r="AG172" s="9">
        <v>46213</v>
      </c>
      <c r="AH172" s="8">
        <f>IF(AG172="","",Assumptions!$B$4-AG172)</f>
        <v>85</v>
      </c>
      <c r="AI172" s="5" t="s">
        <v>63</v>
      </c>
      <c r="AJ172" s="8">
        <v>2</v>
      </c>
      <c r="AK172" s="8">
        <v>2</v>
      </c>
      <c r="AL172" s="8">
        <v>782</v>
      </c>
      <c r="AM172" s="8">
        <v>1</v>
      </c>
      <c r="AN172" s="5" t="s">
        <v>63</v>
      </c>
      <c r="AO172" s="10">
        <v>74.7</v>
      </c>
      <c r="AP172" s="8">
        <v>48</v>
      </c>
      <c r="AQ172" s="9"/>
      <c r="AR172" s="5"/>
      <c r="AS172" s="5" t="s">
        <v>159</v>
      </c>
    </row>
    <row r="173" spans="1:45" x14ac:dyDescent="0.35">
      <c r="A173" s="5" t="s">
        <v>980</v>
      </c>
      <c r="B173" s="5" t="s">
        <v>981</v>
      </c>
      <c r="C173" s="6" t="s">
        <v>982</v>
      </c>
      <c r="D173" s="7">
        <v>166100</v>
      </c>
      <c r="E173" s="5" t="s">
        <v>48</v>
      </c>
      <c r="F173" s="5" t="s">
        <v>49</v>
      </c>
      <c r="G173" s="8"/>
      <c r="H173" s="8" t="str">
        <f>IF(F173="Bullet",MIN(G173,Assumptions!$B$6),"")</f>
        <v/>
      </c>
      <c r="I173" s="8">
        <v>1</v>
      </c>
      <c r="J173" s="8">
        <f>IF(F173="Monthly interest",MAX(0,Assumptions!$B$5-I173),"")</f>
        <v>2</v>
      </c>
      <c r="K173" s="7">
        <f t="shared" si="6"/>
        <v>2768</v>
      </c>
      <c r="L173" s="9">
        <v>46285</v>
      </c>
      <c r="M173" s="5" t="s">
        <v>50</v>
      </c>
      <c r="N173" s="5" t="s">
        <v>53</v>
      </c>
      <c r="O173" s="5" t="s">
        <v>103</v>
      </c>
      <c r="P173" s="5" t="s">
        <v>51</v>
      </c>
      <c r="Q173" s="5" t="s">
        <v>54</v>
      </c>
      <c r="R173" s="5" t="s">
        <v>55</v>
      </c>
      <c r="S173" s="5" t="s">
        <v>75</v>
      </c>
      <c r="T173" s="5" t="s">
        <v>57</v>
      </c>
      <c r="U173" s="5" t="s">
        <v>104</v>
      </c>
      <c r="V173" s="5" t="s">
        <v>76</v>
      </c>
      <c r="W173" s="5" t="s">
        <v>105</v>
      </c>
      <c r="X173" s="5" t="s">
        <v>914</v>
      </c>
      <c r="Y173" s="5" t="s">
        <v>983</v>
      </c>
      <c r="Z173" s="9">
        <v>46042</v>
      </c>
      <c r="AA173" s="8">
        <v>24</v>
      </c>
      <c r="AB173" s="9">
        <f t="shared" si="7"/>
        <v>46772</v>
      </c>
      <c r="AC173" s="10">
        <v>20</v>
      </c>
      <c r="AD173" s="7">
        <f t="shared" si="8"/>
        <v>2768</v>
      </c>
      <c r="AE173" s="7">
        <f>IF(F173="Bullet",H173*AD173,MIN(MAX(I173,1),Assumptions!$B$6)*AD173)</f>
        <v>2768</v>
      </c>
      <c r="AF173" s="8">
        <f>IF(F173="Bullet",MAX(0,Assumptions!$B$4-AB173),MAX(0,Assumptions!$B$4-L173))</f>
        <v>13</v>
      </c>
      <c r="AG173" s="9">
        <v>46258</v>
      </c>
      <c r="AH173" s="8">
        <f>IF(AG173="","",Assumptions!$B$4-AG173)</f>
        <v>40</v>
      </c>
      <c r="AI173" s="5" t="s">
        <v>63</v>
      </c>
      <c r="AJ173" s="8">
        <v>1</v>
      </c>
      <c r="AK173" s="8">
        <v>0</v>
      </c>
      <c r="AL173" s="8">
        <v>694</v>
      </c>
      <c r="AM173" s="8">
        <v>0</v>
      </c>
      <c r="AN173" s="5" t="s">
        <v>63</v>
      </c>
      <c r="AO173" s="10">
        <v>67.3</v>
      </c>
      <c r="AP173" s="8">
        <v>27</v>
      </c>
      <c r="AQ173" s="9">
        <v>46288</v>
      </c>
      <c r="AR173" s="5" t="s">
        <v>51</v>
      </c>
      <c r="AS173" s="5" t="s">
        <v>81</v>
      </c>
    </row>
    <row r="174" spans="1:45" x14ac:dyDescent="0.35">
      <c r="A174" s="5" t="s">
        <v>984</v>
      </c>
      <c r="B174" s="5" t="s">
        <v>985</v>
      </c>
      <c r="C174" s="6" t="s">
        <v>986</v>
      </c>
      <c r="D174" s="7">
        <v>392800</v>
      </c>
      <c r="E174" s="5" t="s">
        <v>48</v>
      </c>
      <c r="F174" s="5" t="s">
        <v>68</v>
      </c>
      <c r="G174" s="8">
        <v>4</v>
      </c>
      <c r="H174" s="8">
        <f>IF(F174="Bullet",MIN(G174,Assumptions!$B$6),"")</f>
        <v>2</v>
      </c>
      <c r="I174" s="8"/>
      <c r="J174" s="8" t="str">
        <f>IF(F174="Monthly interest",MAX(0,Assumptions!$B$5-I174),"")</f>
        <v/>
      </c>
      <c r="K174" s="7">
        <f t="shared" si="6"/>
        <v>17020</v>
      </c>
      <c r="L174" s="9">
        <v>46163</v>
      </c>
      <c r="M174" s="5" t="s">
        <v>69</v>
      </c>
      <c r="N174" s="5" t="s">
        <v>70</v>
      </c>
      <c r="O174" s="5" t="s">
        <v>71</v>
      </c>
      <c r="P174" s="5" t="s">
        <v>72</v>
      </c>
      <c r="Q174" s="5" t="s">
        <v>73</v>
      </c>
      <c r="R174" s="5" t="s">
        <v>74</v>
      </c>
      <c r="S174" s="5" t="s">
        <v>85</v>
      </c>
      <c r="T174" s="5" t="s">
        <v>57</v>
      </c>
      <c r="U174" s="5" t="s">
        <v>58</v>
      </c>
      <c r="V174" s="5" t="s">
        <v>553</v>
      </c>
      <c r="W174" s="5" t="s">
        <v>554</v>
      </c>
      <c r="X174" s="5" t="s">
        <v>987</v>
      </c>
      <c r="Y174" s="5" t="s">
        <v>988</v>
      </c>
      <c r="Z174" s="9">
        <v>46163</v>
      </c>
      <c r="AA174" s="8">
        <v>6</v>
      </c>
      <c r="AB174" s="9">
        <f t="shared" si="7"/>
        <v>46347</v>
      </c>
      <c r="AC174" s="10">
        <v>13</v>
      </c>
      <c r="AD174" s="7">
        <f t="shared" si="8"/>
        <v>4255</v>
      </c>
      <c r="AE174" s="7">
        <f>IF(F174="Bullet",H174*AD174,MIN(MAX(I174,1),Assumptions!$B$6)*AD174)</f>
        <v>8510</v>
      </c>
      <c r="AF174" s="8">
        <f>IF(F174="Bullet",MAX(0,Assumptions!$B$4-AB174),MAX(0,Assumptions!$B$4-L174))</f>
        <v>0</v>
      </c>
      <c r="AG174" s="9"/>
      <c r="AH174" s="8" t="str">
        <f>IF(AG174="","",Assumptions!$B$4-AG174)</f>
        <v/>
      </c>
      <c r="AI174" s="5" t="s">
        <v>80</v>
      </c>
      <c r="AJ174" s="8"/>
      <c r="AK174" s="8">
        <v>2</v>
      </c>
      <c r="AL174" s="8">
        <v>630</v>
      </c>
      <c r="AM174" s="8">
        <v>0</v>
      </c>
      <c r="AN174" s="5" t="s">
        <v>63</v>
      </c>
      <c r="AO174" s="10">
        <v>67.599999999999994</v>
      </c>
      <c r="AP174" s="8">
        <v>40</v>
      </c>
      <c r="AQ174" s="9">
        <v>46294</v>
      </c>
      <c r="AR174" s="5" t="s">
        <v>72</v>
      </c>
      <c r="AS174" s="5" t="s">
        <v>81</v>
      </c>
    </row>
    <row r="175" spans="1:45" x14ac:dyDescent="0.35">
      <c r="A175" s="5" t="s">
        <v>989</v>
      </c>
      <c r="B175" s="5" t="s">
        <v>990</v>
      </c>
      <c r="C175" s="6" t="s">
        <v>991</v>
      </c>
      <c r="D175" s="7">
        <v>169500</v>
      </c>
      <c r="E175" s="5" t="s">
        <v>48</v>
      </c>
      <c r="F175" s="5" t="s">
        <v>49</v>
      </c>
      <c r="G175" s="8"/>
      <c r="H175" s="8" t="str">
        <f>IF(F175="Bullet",MIN(G175,Assumptions!$B$6),"")</f>
        <v/>
      </c>
      <c r="I175" s="8">
        <v>2</v>
      </c>
      <c r="J175" s="8">
        <f>IF(F175="Monthly interest",MAX(0,Assumptions!$B$5-I175),"")</f>
        <v>1</v>
      </c>
      <c r="K175" s="7">
        <f t="shared" si="6"/>
        <v>3956</v>
      </c>
      <c r="L175" s="9">
        <v>46245</v>
      </c>
      <c r="M175" s="5" t="s">
        <v>69</v>
      </c>
      <c r="N175" s="5" t="s">
        <v>53</v>
      </c>
      <c r="O175" s="5" t="s">
        <v>71</v>
      </c>
      <c r="P175" s="5" t="s">
        <v>70</v>
      </c>
      <c r="Q175" s="5" t="s">
        <v>73</v>
      </c>
      <c r="R175" s="5" t="s">
        <v>74</v>
      </c>
      <c r="S175" s="5" t="s">
        <v>253</v>
      </c>
      <c r="T175" s="5" t="s">
        <v>57</v>
      </c>
      <c r="U175" s="5" t="s">
        <v>86</v>
      </c>
      <c r="V175" s="5" t="s">
        <v>553</v>
      </c>
      <c r="W175" s="5" t="s">
        <v>554</v>
      </c>
      <c r="X175" s="5" t="s">
        <v>992</v>
      </c>
      <c r="Y175" s="5" t="s">
        <v>993</v>
      </c>
      <c r="Z175" s="9">
        <v>45972</v>
      </c>
      <c r="AA175" s="8">
        <v>12</v>
      </c>
      <c r="AB175" s="9">
        <f t="shared" si="7"/>
        <v>46337</v>
      </c>
      <c r="AC175" s="10">
        <v>14</v>
      </c>
      <c r="AD175" s="7">
        <f t="shared" si="8"/>
        <v>1978</v>
      </c>
      <c r="AE175" s="7">
        <f>IF(F175="Bullet",H175*AD175,MIN(MAX(I175,1),Assumptions!$B$6)*AD175)</f>
        <v>3956</v>
      </c>
      <c r="AF175" s="8">
        <f>IF(F175="Bullet",MAX(0,Assumptions!$B$4-AB175),MAX(0,Assumptions!$B$4-L175))</f>
        <v>53</v>
      </c>
      <c r="AG175" s="9">
        <v>46216</v>
      </c>
      <c r="AH175" s="8">
        <f>IF(AG175="","",Assumptions!$B$4-AG175)</f>
        <v>82</v>
      </c>
      <c r="AI175" s="5" t="s">
        <v>63</v>
      </c>
      <c r="AJ175" s="8">
        <v>2</v>
      </c>
      <c r="AK175" s="8">
        <v>1</v>
      </c>
      <c r="AL175" s="8">
        <v>748</v>
      </c>
      <c r="AM175" s="8">
        <v>1</v>
      </c>
      <c r="AN175" s="5" t="s">
        <v>63</v>
      </c>
      <c r="AO175" s="10">
        <v>65.8</v>
      </c>
      <c r="AP175" s="8">
        <v>37</v>
      </c>
      <c r="AQ175" s="9">
        <v>46281</v>
      </c>
      <c r="AR175" s="5" t="s">
        <v>70</v>
      </c>
      <c r="AS175" s="5" t="s">
        <v>64</v>
      </c>
    </row>
    <row r="176" spans="1:45" x14ac:dyDescent="0.35">
      <c r="A176" s="5" t="s">
        <v>994</v>
      </c>
      <c r="B176" s="5" t="s">
        <v>995</v>
      </c>
      <c r="C176" s="6" t="s">
        <v>996</v>
      </c>
      <c r="D176" s="7">
        <v>191100</v>
      </c>
      <c r="E176" s="5" t="s">
        <v>48</v>
      </c>
      <c r="F176" s="5" t="s">
        <v>68</v>
      </c>
      <c r="G176" s="8">
        <v>2</v>
      </c>
      <c r="H176" s="8">
        <f>IF(F176="Bullet",MIN(G176,Assumptions!$B$6),"")</f>
        <v>2</v>
      </c>
      <c r="I176" s="8"/>
      <c r="J176" s="8" t="str">
        <f>IF(F176="Monthly interest",MAX(0,Assumptions!$B$5-I176),"")</f>
        <v/>
      </c>
      <c r="K176" s="7">
        <f t="shared" si="6"/>
        <v>4140</v>
      </c>
      <c r="L176" s="9">
        <v>46222</v>
      </c>
      <c r="M176" s="5" t="s">
        <v>50</v>
      </c>
      <c r="N176" s="5" t="s">
        <v>51</v>
      </c>
      <c r="O176" s="5" t="s">
        <v>71</v>
      </c>
      <c r="P176" s="5" t="s">
        <v>53</v>
      </c>
      <c r="Q176" s="5" t="s">
        <v>73</v>
      </c>
      <c r="R176" s="5" t="s">
        <v>74</v>
      </c>
      <c r="S176" s="5" t="s">
        <v>185</v>
      </c>
      <c r="T176" s="5" t="s">
        <v>57</v>
      </c>
      <c r="U176" s="5" t="s">
        <v>104</v>
      </c>
      <c r="V176" s="5" t="s">
        <v>200</v>
      </c>
      <c r="W176" s="5" t="s">
        <v>767</v>
      </c>
      <c r="X176" s="5" t="s">
        <v>997</v>
      </c>
      <c r="Y176" s="5" t="s">
        <v>998</v>
      </c>
      <c r="Z176" s="9">
        <v>46222</v>
      </c>
      <c r="AA176" s="8">
        <v>12</v>
      </c>
      <c r="AB176" s="9">
        <f t="shared" si="7"/>
        <v>46587</v>
      </c>
      <c r="AC176" s="10">
        <v>13</v>
      </c>
      <c r="AD176" s="7">
        <f t="shared" si="8"/>
        <v>2070</v>
      </c>
      <c r="AE176" s="7">
        <f>IF(F176="Bullet",H176*AD176,MIN(MAX(I176,1),Assumptions!$B$6)*AD176)</f>
        <v>4140</v>
      </c>
      <c r="AF176" s="8">
        <f>IF(F176="Bullet",MAX(0,Assumptions!$B$4-AB176),MAX(0,Assumptions!$B$4-L176))</f>
        <v>0</v>
      </c>
      <c r="AG176" s="9"/>
      <c r="AH176" s="8" t="str">
        <f>IF(AG176="","",Assumptions!$B$4-AG176)</f>
        <v/>
      </c>
      <c r="AI176" s="5" t="s">
        <v>80</v>
      </c>
      <c r="AJ176" s="8"/>
      <c r="AK176" s="8">
        <v>0</v>
      </c>
      <c r="AL176" s="8">
        <v>760</v>
      </c>
      <c r="AM176" s="8">
        <v>1</v>
      </c>
      <c r="AN176" s="5" t="s">
        <v>63</v>
      </c>
      <c r="AO176" s="10">
        <v>70.5</v>
      </c>
      <c r="AP176" s="8">
        <v>12</v>
      </c>
      <c r="AQ176" s="9">
        <v>46292</v>
      </c>
      <c r="AR176" s="5" t="s">
        <v>53</v>
      </c>
      <c r="AS176" s="5" t="s">
        <v>81</v>
      </c>
    </row>
    <row r="177" spans="1:45" x14ac:dyDescent="0.35">
      <c r="A177" s="5" t="s">
        <v>999</v>
      </c>
      <c r="B177" s="5" t="s">
        <v>1000</v>
      </c>
      <c r="C177" s="6" t="s">
        <v>1001</v>
      </c>
      <c r="D177" s="7">
        <v>118700</v>
      </c>
      <c r="E177" s="5" t="s">
        <v>48</v>
      </c>
      <c r="F177" s="5" t="s">
        <v>68</v>
      </c>
      <c r="G177" s="8">
        <v>3</v>
      </c>
      <c r="H177" s="8">
        <f>IF(F177="Bullet",MIN(G177,Assumptions!$B$6),"")</f>
        <v>2</v>
      </c>
      <c r="I177" s="8"/>
      <c r="J177" s="8" t="str">
        <f>IF(F177="Monthly interest",MAX(0,Assumptions!$B$5-I177),"")</f>
        <v/>
      </c>
      <c r="K177" s="7">
        <f t="shared" si="6"/>
        <v>4155</v>
      </c>
      <c r="L177" s="9">
        <v>46206</v>
      </c>
      <c r="M177" s="5" t="s">
        <v>69</v>
      </c>
      <c r="N177" s="5" t="s">
        <v>53</v>
      </c>
      <c r="O177" s="5" t="s">
        <v>71</v>
      </c>
      <c r="P177" s="5" t="s">
        <v>70</v>
      </c>
      <c r="Q177" s="5" t="s">
        <v>73</v>
      </c>
      <c r="R177" s="5" t="s">
        <v>74</v>
      </c>
      <c r="S177" s="5" t="s">
        <v>214</v>
      </c>
      <c r="T177" s="5" t="s">
        <v>57</v>
      </c>
      <c r="U177" s="5" t="s">
        <v>86</v>
      </c>
      <c r="V177" s="5" t="s">
        <v>215</v>
      </c>
      <c r="W177" s="5" t="s">
        <v>278</v>
      </c>
      <c r="X177" s="5" t="s">
        <v>516</v>
      </c>
      <c r="Y177" s="5" t="s">
        <v>1002</v>
      </c>
      <c r="Z177" s="9">
        <v>46206</v>
      </c>
      <c r="AA177" s="8">
        <v>6</v>
      </c>
      <c r="AB177" s="9">
        <f t="shared" si="7"/>
        <v>46390</v>
      </c>
      <c r="AC177" s="10">
        <v>14</v>
      </c>
      <c r="AD177" s="7">
        <f t="shared" si="8"/>
        <v>1385</v>
      </c>
      <c r="AE177" s="7">
        <f>IF(F177="Bullet",H177*AD177,MIN(MAX(I177,1),Assumptions!$B$6)*AD177)</f>
        <v>2770</v>
      </c>
      <c r="AF177" s="8">
        <f>IF(F177="Bullet",MAX(0,Assumptions!$B$4-AB177),MAX(0,Assumptions!$B$4-L177))</f>
        <v>0</v>
      </c>
      <c r="AG177" s="9"/>
      <c r="AH177" s="8" t="str">
        <f>IF(AG177="","",Assumptions!$B$4-AG177)</f>
        <v/>
      </c>
      <c r="AI177" s="5" t="s">
        <v>80</v>
      </c>
      <c r="AJ177" s="8"/>
      <c r="AK177" s="8">
        <v>0</v>
      </c>
      <c r="AL177" s="8">
        <v>676</v>
      </c>
      <c r="AM177" s="8">
        <v>2</v>
      </c>
      <c r="AN177" s="5" t="s">
        <v>63</v>
      </c>
      <c r="AO177" s="10">
        <v>81.3</v>
      </c>
      <c r="AP177" s="8">
        <v>39</v>
      </c>
      <c r="AQ177" s="9">
        <v>46278</v>
      </c>
      <c r="AR177" s="5" t="s">
        <v>70</v>
      </c>
      <c r="AS177" s="5" t="s">
        <v>190</v>
      </c>
    </row>
    <row r="178" spans="1:45" x14ac:dyDescent="0.35">
      <c r="A178" s="5" t="s">
        <v>1003</v>
      </c>
      <c r="B178" s="5" t="s">
        <v>1004</v>
      </c>
      <c r="C178" s="6" t="s">
        <v>1005</v>
      </c>
      <c r="D178" s="7">
        <v>209000</v>
      </c>
      <c r="E178" s="5" t="s">
        <v>48</v>
      </c>
      <c r="F178" s="5" t="s">
        <v>68</v>
      </c>
      <c r="G178" s="8">
        <v>4</v>
      </c>
      <c r="H178" s="8">
        <f>IF(F178="Bullet",MIN(G178,Assumptions!$B$6),"")</f>
        <v>2</v>
      </c>
      <c r="I178" s="8"/>
      <c r="J178" s="8" t="str">
        <f>IF(F178="Monthly interest",MAX(0,Assumptions!$B$5-I178),"")</f>
        <v/>
      </c>
      <c r="K178" s="7">
        <f t="shared" si="6"/>
        <v>8360</v>
      </c>
      <c r="L178" s="9">
        <v>46170</v>
      </c>
      <c r="M178" s="5" t="s">
        <v>116</v>
      </c>
      <c r="N178" s="5" t="s">
        <v>117</v>
      </c>
      <c r="O178" s="5" t="s">
        <v>207</v>
      </c>
      <c r="P178" s="5" t="s">
        <v>72</v>
      </c>
      <c r="Q178" s="5" t="s">
        <v>73</v>
      </c>
      <c r="R178" s="5" t="s">
        <v>74</v>
      </c>
      <c r="S178" s="5" t="s">
        <v>56</v>
      </c>
      <c r="T178" s="5" t="s">
        <v>57</v>
      </c>
      <c r="U178" s="5" t="s">
        <v>86</v>
      </c>
      <c r="V178" s="5" t="s">
        <v>59</v>
      </c>
      <c r="W178" s="5" t="s">
        <v>60</v>
      </c>
      <c r="X178" s="5" t="s">
        <v>938</v>
      </c>
      <c r="Y178" s="5" t="s">
        <v>1006</v>
      </c>
      <c r="Z178" s="9">
        <v>46170</v>
      </c>
      <c r="AA178" s="8">
        <v>6</v>
      </c>
      <c r="AB178" s="9">
        <f t="shared" si="7"/>
        <v>46354</v>
      </c>
      <c r="AC178" s="10">
        <v>12</v>
      </c>
      <c r="AD178" s="7">
        <f t="shared" si="8"/>
        <v>2090</v>
      </c>
      <c r="AE178" s="7">
        <f>IF(F178="Bullet",H178*AD178,MIN(MAX(I178,1),Assumptions!$B$6)*AD178)</f>
        <v>4180</v>
      </c>
      <c r="AF178" s="8">
        <f>IF(F178="Bullet",MAX(0,Assumptions!$B$4-AB178),MAX(0,Assumptions!$B$4-L178))</f>
        <v>0</v>
      </c>
      <c r="AG178" s="9"/>
      <c r="AH178" s="8" t="str">
        <f>IF(AG178="","",Assumptions!$B$4-AG178)</f>
        <v/>
      </c>
      <c r="AI178" s="5" t="s">
        <v>80</v>
      </c>
      <c r="AJ178" s="8"/>
      <c r="AK178" s="8">
        <v>2</v>
      </c>
      <c r="AL178" s="8">
        <v>631</v>
      </c>
      <c r="AM178" s="8">
        <v>1</v>
      </c>
      <c r="AN178" s="5" t="s">
        <v>63</v>
      </c>
      <c r="AO178" s="10">
        <v>82.4</v>
      </c>
      <c r="AP178" s="8">
        <v>53</v>
      </c>
      <c r="AQ178" s="9">
        <v>46297</v>
      </c>
      <c r="AR178" s="5" t="s">
        <v>53</v>
      </c>
      <c r="AS178" s="5" t="s">
        <v>190</v>
      </c>
    </row>
    <row r="179" spans="1:45" x14ac:dyDescent="0.35">
      <c r="A179" s="5" t="s">
        <v>1007</v>
      </c>
      <c r="B179" s="5" t="s">
        <v>1008</v>
      </c>
      <c r="C179" s="6" t="s">
        <v>1009</v>
      </c>
      <c r="D179" s="7">
        <v>94500</v>
      </c>
      <c r="E179" s="5" t="s">
        <v>48</v>
      </c>
      <c r="F179" s="5" t="s">
        <v>49</v>
      </c>
      <c r="G179" s="8"/>
      <c r="H179" s="8" t="str">
        <f>IF(F179="Bullet",MIN(G179,Assumptions!$B$6),"")</f>
        <v/>
      </c>
      <c r="I179" s="8">
        <v>1</v>
      </c>
      <c r="J179" s="8">
        <f>IF(F179="Monthly interest",MAX(0,Assumptions!$B$5-I179),"")</f>
        <v>2</v>
      </c>
      <c r="K179" s="7">
        <f t="shared" si="6"/>
        <v>1890</v>
      </c>
      <c r="L179" s="9">
        <v>46279</v>
      </c>
      <c r="M179" s="5" t="s">
        <v>50</v>
      </c>
      <c r="N179" s="5" t="s">
        <v>51</v>
      </c>
      <c r="O179" s="5" t="s">
        <v>52</v>
      </c>
      <c r="P179" s="5" t="s">
        <v>53</v>
      </c>
      <c r="Q179" s="5" t="s">
        <v>54</v>
      </c>
      <c r="R179" s="5" t="s">
        <v>55</v>
      </c>
      <c r="S179" s="5" t="s">
        <v>185</v>
      </c>
      <c r="T179" s="5" t="s">
        <v>57</v>
      </c>
      <c r="U179" s="5" t="s">
        <v>58</v>
      </c>
      <c r="V179" s="5" t="s">
        <v>186</v>
      </c>
      <c r="W179" s="5" t="s">
        <v>376</v>
      </c>
      <c r="X179" s="5" t="s">
        <v>1010</v>
      </c>
      <c r="Y179" s="5" t="s">
        <v>1011</v>
      </c>
      <c r="Z179" s="9">
        <v>46187</v>
      </c>
      <c r="AA179" s="8">
        <v>12</v>
      </c>
      <c r="AB179" s="9">
        <f t="shared" si="7"/>
        <v>46552</v>
      </c>
      <c r="AC179" s="10">
        <v>24</v>
      </c>
      <c r="AD179" s="7">
        <f t="shared" si="8"/>
        <v>1890</v>
      </c>
      <c r="AE179" s="7">
        <f>IF(F179="Bullet",H179*AD179,MIN(MAX(I179,1),Assumptions!$B$6)*AD179)</f>
        <v>1890</v>
      </c>
      <c r="AF179" s="8">
        <f>IF(F179="Bullet",MAX(0,Assumptions!$B$4-AB179),MAX(0,Assumptions!$B$4-L179))</f>
        <v>19</v>
      </c>
      <c r="AG179" s="9">
        <v>46249</v>
      </c>
      <c r="AH179" s="8">
        <f>IF(AG179="","",Assumptions!$B$4-AG179)</f>
        <v>49</v>
      </c>
      <c r="AI179" s="5" t="s">
        <v>63</v>
      </c>
      <c r="AJ179" s="8">
        <v>1</v>
      </c>
      <c r="AK179" s="8">
        <v>0</v>
      </c>
      <c r="AL179" s="8">
        <v>792</v>
      </c>
      <c r="AM179" s="8">
        <v>1</v>
      </c>
      <c r="AN179" s="5" t="s">
        <v>63</v>
      </c>
      <c r="AO179" s="10">
        <v>72.7</v>
      </c>
      <c r="AP179" s="8">
        <v>15</v>
      </c>
      <c r="AQ179" s="9">
        <v>46289</v>
      </c>
      <c r="AR179" s="5" t="s">
        <v>53</v>
      </c>
      <c r="AS179" s="5" t="s">
        <v>81</v>
      </c>
    </row>
    <row r="180" spans="1:45" x14ac:dyDescent="0.35">
      <c r="A180" s="5" t="s">
        <v>1012</v>
      </c>
      <c r="B180" s="5" t="s">
        <v>1013</v>
      </c>
      <c r="C180" s="6" t="s">
        <v>1014</v>
      </c>
      <c r="D180" s="7">
        <v>300000</v>
      </c>
      <c r="E180" s="5" t="s">
        <v>48</v>
      </c>
      <c r="F180" s="5" t="s">
        <v>49</v>
      </c>
      <c r="G180" s="8"/>
      <c r="H180" s="8" t="str">
        <f>IF(F180="Bullet",MIN(G180,Assumptions!$B$6),"")</f>
        <v/>
      </c>
      <c r="I180" s="8">
        <v>2</v>
      </c>
      <c r="J180" s="8">
        <f>IF(F180="Monthly interest",MAX(0,Assumptions!$B$5-I180),"")</f>
        <v>1</v>
      </c>
      <c r="K180" s="7">
        <f t="shared" si="6"/>
        <v>9000</v>
      </c>
      <c r="L180" s="9">
        <v>46243</v>
      </c>
      <c r="M180" s="5" t="s">
        <v>116</v>
      </c>
      <c r="N180" s="5" t="s">
        <v>117</v>
      </c>
      <c r="O180" s="5" t="s">
        <v>118</v>
      </c>
      <c r="P180" s="5" t="s">
        <v>72</v>
      </c>
      <c r="Q180" s="5" t="s">
        <v>119</v>
      </c>
      <c r="R180" s="5" t="s">
        <v>120</v>
      </c>
      <c r="S180" s="5" t="s">
        <v>56</v>
      </c>
      <c r="T180" s="5" t="s">
        <v>57</v>
      </c>
      <c r="U180" s="5" t="s">
        <v>86</v>
      </c>
      <c r="V180" s="5" t="s">
        <v>59</v>
      </c>
      <c r="W180" s="5" t="s">
        <v>418</v>
      </c>
      <c r="X180" s="5" t="s">
        <v>1015</v>
      </c>
      <c r="Y180" s="5" t="s">
        <v>1016</v>
      </c>
      <c r="Z180" s="9">
        <v>46062</v>
      </c>
      <c r="AA180" s="8">
        <v>12</v>
      </c>
      <c r="AB180" s="9">
        <f t="shared" si="7"/>
        <v>46427</v>
      </c>
      <c r="AC180" s="10">
        <v>18</v>
      </c>
      <c r="AD180" s="7">
        <f t="shared" si="8"/>
        <v>4500</v>
      </c>
      <c r="AE180" s="7">
        <f>IF(F180="Bullet",H180*AD180,MIN(MAX(I180,1),Assumptions!$B$6)*AD180)</f>
        <v>9000</v>
      </c>
      <c r="AF180" s="8">
        <f>IF(F180="Bullet",MAX(0,Assumptions!$B$4-AB180),MAX(0,Assumptions!$B$4-L180))</f>
        <v>55</v>
      </c>
      <c r="AG180" s="9">
        <v>46216</v>
      </c>
      <c r="AH180" s="8">
        <f>IF(AG180="","",Assumptions!$B$4-AG180)</f>
        <v>82</v>
      </c>
      <c r="AI180" s="5" t="s">
        <v>63</v>
      </c>
      <c r="AJ180" s="8">
        <v>3</v>
      </c>
      <c r="AK180" s="8">
        <v>1</v>
      </c>
      <c r="AL180" s="8" t="s">
        <v>80</v>
      </c>
      <c r="AM180" s="8">
        <v>1</v>
      </c>
      <c r="AN180" s="5" t="s">
        <v>63</v>
      </c>
      <c r="AO180" s="10">
        <v>66.3</v>
      </c>
      <c r="AP180" s="8">
        <v>53</v>
      </c>
      <c r="AQ180" s="9">
        <v>46283</v>
      </c>
      <c r="AR180" s="5" t="s">
        <v>51</v>
      </c>
      <c r="AS180" s="5" t="s">
        <v>81</v>
      </c>
    </row>
    <row r="181" spans="1:45" x14ac:dyDescent="0.35">
      <c r="A181" s="5" t="s">
        <v>1017</v>
      </c>
      <c r="B181" s="5" t="s">
        <v>1018</v>
      </c>
      <c r="C181" s="6" t="s">
        <v>1019</v>
      </c>
      <c r="D181" s="7">
        <v>95700</v>
      </c>
      <c r="E181" s="5" t="s">
        <v>48</v>
      </c>
      <c r="F181" s="5" t="s">
        <v>68</v>
      </c>
      <c r="G181" s="8">
        <v>3</v>
      </c>
      <c r="H181" s="8">
        <f>IF(F181="Bullet",MIN(G181,Assumptions!$B$6),"")</f>
        <v>2</v>
      </c>
      <c r="I181" s="8"/>
      <c r="J181" s="8" t="str">
        <f>IF(F181="Monthly interest",MAX(0,Assumptions!$B$5-I181),"")</f>
        <v/>
      </c>
      <c r="K181" s="7">
        <f t="shared" si="6"/>
        <v>2871</v>
      </c>
      <c r="L181" s="9">
        <v>46198</v>
      </c>
      <c r="M181" s="5" t="s">
        <v>50</v>
      </c>
      <c r="N181" s="5" t="s">
        <v>53</v>
      </c>
      <c r="O181" s="5" t="s">
        <v>71</v>
      </c>
      <c r="P181" s="5" t="s">
        <v>51</v>
      </c>
      <c r="Q181" s="5" t="s">
        <v>73</v>
      </c>
      <c r="R181" s="5" t="s">
        <v>74</v>
      </c>
      <c r="S181" s="5" t="s">
        <v>56</v>
      </c>
      <c r="T181" s="5" t="s">
        <v>57</v>
      </c>
      <c r="U181" s="5" t="s">
        <v>86</v>
      </c>
      <c r="V181" s="5" t="s">
        <v>59</v>
      </c>
      <c r="W181" s="5" t="s">
        <v>194</v>
      </c>
      <c r="X181" s="5" t="s">
        <v>526</v>
      </c>
      <c r="Y181" s="5" t="s">
        <v>1020</v>
      </c>
      <c r="Z181" s="9">
        <v>46198</v>
      </c>
      <c r="AA181" s="8">
        <v>6</v>
      </c>
      <c r="AB181" s="9">
        <f t="shared" si="7"/>
        <v>46381</v>
      </c>
      <c r="AC181" s="10">
        <v>12</v>
      </c>
      <c r="AD181" s="7">
        <f t="shared" si="8"/>
        <v>957</v>
      </c>
      <c r="AE181" s="7">
        <f>IF(F181="Bullet",H181*AD181,MIN(MAX(I181,1),Assumptions!$B$6)*AD181)</f>
        <v>1914</v>
      </c>
      <c r="AF181" s="8">
        <f>IF(F181="Bullet",MAX(0,Assumptions!$B$4-AB181),MAX(0,Assumptions!$B$4-L181))</f>
        <v>0</v>
      </c>
      <c r="AG181" s="9"/>
      <c r="AH181" s="8" t="str">
        <f>IF(AG181="","",Assumptions!$B$4-AG181)</f>
        <v/>
      </c>
      <c r="AI181" s="5" t="s">
        <v>80</v>
      </c>
      <c r="AJ181" s="8"/>
      <c r="AK181" s="8">
        <v>1</v>
      </c>
      <c r="AL181" s="8">
        <v>704</v>
      </c>
      <c r="AM181" s="8">
        <v>1</v>
      </c>
      <c r="AN181" s="5" t="s">
        <v>63</v>
      </c>
      <c r="AO181" s="10">
        <v>72.099999999999994</v>
      </c>
      <c r="AP181" s="8">
        <v>22</v>
      </c>
      <c r="AQ181" s="9"/>
      <c r="AR181" s="5"/>
      <c r="AS181" s="5" t="s">
        <v>159</v>
      </c>
    </row>
    <row r="182" spans="1:45" x14ac:dyDescent="0.35">
      <c r="A182" s="5" t="s">
        <v>1021</v>
      </c>
      <c r="B182" s="5" t="s">
        <v>1022</v>
      </c>
      <c r="C182" s="6" t="s">
        <v>1023</v>
      </c>
      <c r="D182" s="7">
        <v>349800</v>
      </c>
      <c r="E182" s="5" t="s">
        <v>48</v>
      </c>
      <c r="F182" s="5" t="s">
        <v>49</v>
      </c>
      <c r="G182" s="8"/>
      <c r="H182" s="8" t="str">
        <f>IF(F182="Bullet",MIN(G182,Assumptions!$B$6),"")</f>
        <v/>
      </c>
      <c r="I182" s="8">
        <v>1</v>
      </c>
      <c r="J182" s="8">
        <f>IF(F182="Monthly interest",MAX(0,Assumptions!$B$5-I182),"")</f>
        <v>2</v>
      </c>
      <c r="K182" s="7">
        <f t="shared" si="6"/>
        <v>4373</v>
      </c>
      <c r="L182" s="9">
        <v>46282</v>
      </c>
      <c r="M182" s="5" t="s">
        <v>50</v>
      </c>
      <c r="N182" s="5" t="s">
        <v>51</v>
      </c>
      <c r="O182" s="5" t="s">
        <v>52</v>
      </c>
      <c r="P182" s="5" t="s">
        <v>53</v>
      </c>
      <c r="Q182" s="5" t="s">
        <v>54</v>
      </c>
      <c r="R182" s="5" t="s">
        <v>55</v>
      </c>
      <c r="S182" s="5" t="s">
        <v>85</v>
      </c>
      <c r="T182" s="5" t="s">
        <v>57</v>
      </c>
      <c r="U182" s="5" t="s">
        <v>86</v>
      </c>
      <c r="V182" s="5" t="s">
        <v>133</v>
      </c>
      <c r="W182" s="5" t="s">
        <v>317</v>
      </c>
      <c r="X182" s="5" t="s">
        <v>1024</v>
      </c>
      <c r="Y182" s="5" t="s">
        <v>1025</v>
      </c>
      <c r="Z182" s="9">
        <v>46190</v>
      </c>
      <c r="AA182" s="8">
        <v>12</v>
      </c>
      <c r="AB182" s="9">
        <f t="shared" si="7"/>
        <v>46555</v>
      </c>
      <c r="AC182" s="10">
        <v>15</v>
      </c>
      <c r="AD182" s="7">
        <f t="shared" si="8"/>
        <v>4373</v>
      </c>
      <c r="AE182" s="7">
        <f>IF(F182="Bullet",H182*AD182,MIN(MAX(I182,1),Assumptions!$B$6)*AD182)</f>
        <v>4373</v>
      </c>
      <c r="AF182" s="8">
        <f>IF(F182="Bullet",MAX(0,Assumptions!$B$4-AB182),MAX(0,Assumptions!$B$4-L182))</f>
        <v>16</v>
      </c>
      <c r="AG182" s="9">
        <v>46255</v>
      </c>
      <c r="AH182" s="8">
        <f>IF(AG182="","",Assumptions!$B$4-AG182)</f>
        <v>43</v>
      </c>
      <c r="AI182" s="5" t="s">
        <v>63</v>
      </c>
      <c r="AJ182" s="8">
        <v>2</v>
      </c>
      <c r="AK182" s="8">
        <v>0</v>
      </c>
      <c r="AL182" s="8">
        <v>836</v>
      </c>
      <c r="AM182" s="8">
        <v>0</v>
      </c>
      <c r="AN182" s="5" t="s">
        <v>63</v>
      </c>
      <c r="AO182" s="10">
        <v>61.9</v>
      </c>
      <c r="AP182" s="8">
        <v>8</v>
      </c>
      <c r="AQ182" s="9"/>
      <c r="AR182" s="5"/>
      <c r="AS182" s="5" t="s">
        <v>159</v>
      </c>
    </row>
    <row r="183" spans="1:45" x14ac:dyDescent="0.35">
      <c r="A183" s="5" t="s">
        <v>1026</v>
      </c>
      <c r="B183" s="5" t="s">
        <v>1027</v>
      </c>
      <c r="C183" s="6" t="s">
        <v>1028</v>
      </c>
      <c r="D183" s="7">
        <v>746400</v>
      </c>
      <c r="E183" s="5" t="s">
        <v>48</v>
      </c>
      <c r="F183" s="5" t="s">
        <v>49</v>
      </c>
      <c r="G183" s="8"/>
      <c r="H183" s="8" t="str">
        <f>IF(F183="Bullet",MIN(G183,Assumptions!$B$6),"")</f>
        <v/>
      </c>
      <c r="I183" s="8">
        <v>2</v>
      </c>
      <c r="J183" s="8">
        <f>IF(F183="Monthly interest",MAX(0,Assumptions!$B$5-I183),"")</f>
        <v>1</v>
      </c>
      <c r="K183" s="7">
        <f t="shared" si="6"/>
        <v>19904</v>
      </c>
      <c r="L183" s="9">
        <v>46244</v>
      </c>
      <c r="M183" s="5" t="s">
        <v>116</v>
      </c>
      <c r="N183" s="5" t="s">
        <v>117</v>
      </c>
      <c r="O183" s="5" t="s">
        <v>118</v>
      </c>
      <c r="P183" s="5" t="s">
        <v>72</v>
      </c>
      <c r="Q183" s="5" t="s">
        <v>119</v>
      </c>
      <c r="R183" s="5" t="s">
        <v>120</v>
      </c>
      <c r="S183" s="5" t="s">
        <v>85</v>
      </c>
      <c r="T183" s="5" t="s">
        <v>57</v>
      </c>
      <c r="U183" s="5" t="s">
        <v>58</v>
      </c>
      <c r="V183" s="5" t="s">
        <v>553</v>
      </c>
      <c r="W183" s="5" t="s">
        <v>1029</v>
      </c>
      <c r="X183" s="5" t="s">
        <v>1030</v>
      </c>
      <c r="Y183" s="5" t="s">
        <v>1031</v>
      </c>
      <c r="Z183" s="9">
        <v>46063</v>
      </c>
      <c r="AA183" s="8">
        <v>12</v>
      </c>
      <c r="AB183" s="9">
        <f t="shared" si="7"/>
        <v>46428</v>
      </c>
      <c r="AC183" s="10">
        <v>16</v>
      </c>
      <c r="AD183" s="7">
        <f t="shared" si="8"/>
        <v>9952</v>
      </c>
      <c r="AE183" s="7">
        <f>IF(F183="Bullet",H183*AD183,MIN(MAX(I183,1),Assumptions!$B$6)*AD183)</f>
        <v>19904</v>
      </c>
      <c r="AF183" s="8">
        <f>IF(F183="Bullet",MAX(0,Assumptions!$B$4-AB183),MAX(0,Assumptions!$B$4-L183))</f>
        <v>54</v>
      </c>
      <c r="AG183" s="9">
        <v>46213</v>
      </c>
      <c r="AH183" s="8">
        <f>IF(AG183="","",Assumptions!$B$4-AG183)</f>
        <v>85</v>
      </c>
      <c r="AI183" s="5" t="s">
        <v>63</v>
      </c>
      <c r="AJ183" s="8">
        <v>3</v>
      </c>
      <c r="AK183" s="8">
        <v>1</v>
      </c>
      <c r="AL183" s="8">
        <v>652</v>
      </c>
      <c r="AM183" s="8">
        <v>1</v>
      </c>
      <c r="AN183" s="5" t="s">
        <v>57</v>
      </c>
      <c r="AO183" s="10">
        <v>70.099999999999994</v>
      </c>
      <c r="AP183" s="8">
        <v>71</v>
      </c>
      <c r="AQ183" s="9">
        <v>46280</v>
      </c>
      <c r="AR183" s="5" t="s">
        <v>53</v>
      </c>
      <c r="AS183" s="5" t="s">
        <v>91</v>
      </c>
    </row>
    <row r="184" spans="1:45" x14ac:dyDescent="0.35">
      <c r="A184" s="5" t="s">
        <v>1032</v>
      </c>
      <c r="B184" s="5" t="s">
        <v>1033</v>
      </c>
      <c r="C184" s="6" t="s">
        <v>1034</v>
      </c>
      <c r="D184" s="7">
        <v>467000</v>
      </c>
      <c r="E184" s="5" t="s">
        <v>48</v>
      </c>
      <c r="F184" s="5" t="s">
        <v>49</v>
      </c>
      <c r="G184" s="8"/>
      <c r="H184" s="8" t="str">
        <f>IF(F184="Bullet",MIN(G184,Assumptions!$B$6),"")</f>
        <v/>
      </c>
      <c r="I184" s="8">
        <v>2</v>
      </c>
      <c r="J184" s="8">
        <f>IF(F184="Monthly interest",MAX(0,Assumptions!$B$5-I184),"")</f>
        <v>1</v>
      </c>
      <c r="K184" s="7">
        <f t="shared" si="6"/>
        <v>11676</v>
      </c>
      <c r="L184" s="9">
        <v>46243</v>
      </c>
      <c r="M184" s="5" t="s">
        <v>69</v>
      </c>
      <c r="N184" s="5" t="s">
        <v>70</v>
      </c>
      <c r="O184" s="5" t="s">
        <v>71</v>
      </c>
      <c r="P184" s="5" t="s">
        <v>72</v>
      </c>
      <c r="Q184" s="5" t="s">
        <v>73</v>
      </c>
      <c r="R184" s="5" t="s">
        <v>74</v>
      </c>
      <c r="S184" s="5" t="s">
        <v>56</v>
      </c>
      <c r="T184" s="5" t="s">
        <v>57</v>
      </c>
      <c r="U184" s="5" t="s">
        <v>104</v>
      </c>
      <c r="V184" s="5" t="s">
        <v>59</v>
      </c>
      <c r="W184" s="5" t="s">
        <v>194</v>
      </c>
      <c r="X184" s="5" t="s">
        <v>521</v>
      </c>
      <c r="Y184" s="5" t="s">
        <v>1035</v>
      </c>
      <c r="Z184" s="9">
        <v>46151</v>
      </c>
      <c r="AA184" s="8">
        <v>24</v>
      </c>
      <c r="AB184" s="9">
        <f t="shared" si="7"/>
        <v>46882</v>
      </c>
      <c r="AC184" s="10">
        <v>15</v>
      </c>
      <c r="AD184" s="7">
        <f t="shared" si="8"/>
        <v>5838</v>
      </c>
      <c r="AE184" s="7">
        <f>IF(F184="Bullet",H184*AD184,MIN(MAX(I184,1),Assumptions!$B$6)*AD184)</f>
        <v>11676</v>
      </c>
      <c r="AF184" s="8">
        <f>IF(F184="Bullet",MAX(0,Assumptions!$B$4-AB184),MAX(0,Assumptions!$B$4-L184))</f>
        <v>55</v>
      </c>
      <c r="AG184" s="9">
        <v>46214</v>
      </c>
      <c r="AH184" s="8">
        <f>IF(AG184="","",Assumptions!$B$4-AG184)</f>
        <v>84</v>
      </c>
      <c r="AI184" s="5" t="s">
        <v>63</v>
      </c>
      <c r="AJ184" s="8">
        <v>2</v>
      </c>
      <c r="AK184" s="8">
        <v>0</v>
      </c>
      <c r="AL184" s="8">
        <v>692</v>
      </c>
      <c r="AM184" s="8">
        <v>0</v>
      </c>
      <c r="AN184" s="5" t="s">
        <v>63</v>
      </c>
      <c r="AO184" s="10">
        <v>68.7</v>
      </c>
      <c r="AP184" s="8">
        <v>40</v>
      </c>
      <c r="AQ184" s="9">
        <v>46295</v>
      </c>
      <c r="AR184" s="5" t="s">
        <v>51</v>
      </c>
      <c r="AS184" s="5" t="s">
        <v>81</v>
      </c>
    </row>
    <row r="185" spans="1:45" x14ac:dyDescent="0.35">
      <c r="A185" s="5" t="s">
        <v>1036</v>
      </c>
      <c r="B185" s="5" t="s">
        <v>1037</v>
      </c>
      <c r="C185" s="6" t="s">
        <v>1038</v>
      </c>
      <c r="D185" s="7">
        <v>299000</v>
      </c>
      <c r="E185" s="5" t="s">
        <v>48</v>
      </c>
      <c r="F185" s="5" t="s">
        <v>68</v>
      </c>
      <c r="G185" s="8">
        <v>5</v>
      </c>
      <c r="H185" s="8">
        <f>IF(F185="Bullet",MIN(G185,Assumptions!$B$6),"")</f>
        <v>2</v>
      </c>
      <c r="I185" s="8"/>
      <c r="J185" s="8" t="str">
        <f>IF(F185="Monthly interest",MAX(0,Assumptions!$B$5-I185),"")</f>
        <v/>
      </c>
      <c r="K185" s="7">
        <f t="shared" si="6"/>
        <v>18690</v>
      </c>
      <c r="L185" s="9">
        <v>46135</v>
      </c>
      <c r="M185" s="5" t="s">
        <v>116</v>
      </c>
      <c r="N185" s="5" t="s">
        <v>117</v>
      </c>
      <c r="O185" s="5" t="s">
        <v>461</v>
      </c>
      <c r="P185" s="5" t="s">
        <v>72</v>
      </c>
      <c r="Q185" s="5" t="s">
        <v>169</v>
      </c>
      <c r="R185" s="5" t="s">
        <v>170</v>
      </c>
      <c r="S185" s="5" t="s">
        <v>56</v>
      </c>
      <c r="T185" s="5" t="s">
        <v>57</v>
      </c>
      <c r="U185" s="5" t="s">
        <v>58</v>
      </c>
      <c r="V185" s="5" t="s">
        <v>59</v>
      </c>
      <c r="W185" s="5" t="s">
        <v>467</v>
      </c>
      <c r="X185" s="5" t="s">
        <v>656</v>
      </c>
      <c r="Y185" s="5" t="s">
        <v>1039</v>
      </c>
      <c r="Z185" s="9">
        <v>46135</v>
      </c>
      <c r="AA185" s="8">
        <v>6</v>
      </c>
      <c r="AB185" s="9">
        <f t="shared" si="7"/>
        <v>46318</v>
      </c>
      <c r="AC185" s="10">
        <v>15</v>
      </c>
      <c r="AD185" s="7">
        <f t="shared" si="8"/>
        <v>3738</v>
      </c>
      <c r="AE185" s="7">
        <f>IF(F185="Bullet",H185*AD185,MIN(MAX(I185,1),Assumptions!$B$6)*AD185)</f>
        <v>7476</v>
      </c>
      <c r="AF185" s="8">
        <f>IF(F185="Bullet",MAX(0,Assumptions!$B$4-AB185),MAX(0,Assumptions!$B$4-L185))</f>
        <v>0</v>
      </c>
      <c r="AG185" s="9"/>
      <c r="AH185" s="8" t="str">
        <f>IF(AG185="","",Assumptions!$B$4-AG185)</f>
        <v/>
      </c>
      <c r="AI185" s="5" t="s">
        <v>80</v>
      </c>
      <c r="AJ185" s="8"/>
      <c r="AK185" s="8">
        <v>4</v>
      </c>
      <c r="AL185" s="8">
        <v>739</v>
      </c>
      <c r="AM185" s="8">
        <v>1</v>
      </c>
      <c r="AN185" s="5" t="s">
        <v>63</v>
      </c>
      <c r="AO185" s="10">
        <v>62.2</v>
      </c>
      <c r="AP185" s="8">
        <v>53</v>
      </c>
      <c r="AQ185" s="9">
        <v>46276</v>
      </c>
      <c r="AR185" s="5" t="s">
        <v>70</v>
      </c>
      <c r="AS185" s="5" t="s">
        <v>64</v>
      </c>
    </row>
    <row r="186" spans="1:45" x14ac:dyDescent="0.35">
      <c r="A186" s="5" t="s">
        <v>1040</v>
      </c>
      <c r="B186" s="5" t="s">
        <v>1041</v>
      </c>
      <c r="C186" s="6" t="s">
        <v>1042</v>
      </c>
      <c r="D186" s="7">
        <v>219900</v>
      </c>
      <c r="E186" s="5" t="s">
        <v>48</v>
      </c>
      <c r="F186" s="5" t="s">
        <v>49</v>
      </c>
      <c r="G186" s="8"/>
      <c r="H186" s="8" t="str">
        <f>IF(F186="Bullet",MIN(G186,Assumptions!$B$6),"")</f>
        <v/>
      </c>
      <c r="I186" s="8">
        <v>1</v>
      </c>
      <c r="J186" s="8">
        <f>IF(F186="Monthly interest",MAX(0,Assumptions!$B$5-I186),"")</f>
        <v>2</v>
      </c>
      <c r="K186" s="7">
        <f t="shared" si="6"/>
        <v>3299</v>
      </c>
      <c r="L186" s="9">
        <v>46291</v>
      </c>
      <c r="M186" s="5" t="s">
        <v>116</v>
      </c>
      <c r="N186" s="5" t="s">
        <v>117</v>
      </c>
      <c r="O186" s="5" t="s">
        <v>118</v>
      </c>
      <c r="P186" s="5" t="s">
        <v>72</v>
      </c>
      <c r="Q186" s="5" t="s">
        <v>119</v>
      </c>
      <c r="R186" s="5" t="s">
        <v>120</v>
      </c>
      <c r="S186" s="5" t="s">
        <v>75</v>
      </c>
      <c r="T186" s="5" t="s">
        <v>57</v>
      </c>
      <c r="U186" s="5" t="s">
        <v>86</v>
      </c>
      <c r="V186" s="5" t="s">
        <v>76</v>
      </c>
      <c r="W186" s="5" t="s">
        <v>140</v>
      </c>
      <c r="X186" s="5" t="s">
        <v>141</v>
      </c>
      <c r="Y186" s="5" t="s">
        <v>1043</v>
      </c>
      <c r="Z186" s="9">
        <v>46017</v>
      </c>
      <c r="AA186" s="8">
        <v>18</v>
      </c>
      <c r="AB186" s="9">
        <f t="shared" si="7"/>
        <v>46564</v>
      </c>
      <c r="AC186" s="10">
        <v>18</v>
      </c>
      <c r="AD186" s="7">
        <f t="shared" si="8"/>
        <v>3299</v>
      </c>
      <c r="AE186" s="7">
        <f>IF(F186="Bullet",H186*AD186,MIN(MAX(I186,1),Assumptions!$B$6)*AD186)</f>
        <v>3299</v>
      </c>
      <c r="AF186" s="8">
        <f>IF(F186="Bullet",MAX(0,Assumptions!$B$4-AB186),MAX(0,Assumptions!$B$4-L186))</f>
        <v>7</v>
      </c>
      <c r="AG186" s="9">
        <v>46264</v>
      </c>
      <c r="AH186" s="8">
        <f>IF(AG186="","",Assumptions!$B$4-AG186)</f>
        <v>34</v>
      </c>
      <c r="AI186" s="5" t="s">
        <v>63</v>
      </c>
      <c r="AJ186" s="8">
        <v>1</v>
      </c>
      <c r="AK186" s="8">
        <v>0</v>
      </c>
      <c r="AL186" s="8">
        <v>597</v>
      </c>
      <c r="AM186" s="8">
        <v>0</v>
      </c>
      <c r="AN186" s="5" t="s">
        <v>57</v>
      </c>
      <c r="AO186" s="10">
        <v>74.2</v>
      </c>
      <c r="AP186" s="8">
        <v>52</v>
      </c>
      <c r="AQ186" s="9">
        <v>46292</v>
      </c>
      <c r="AR186" s="5" t="s">
        <v>53</v>
      </c>
      <c r="AS186" s="5" t="s">
        <v>81</v>
      </c>
    </row>
    <row r="187" spans="1:45" x14ac:dyDescent="0.35">
      <c r="A187" s="5" t="s">
        <v>1044</v>
      </c>
      <c r="B187" s="5" t="s">
        <v>1045</v>
      </c>
      <c r="C187" s="6" t="s">
        <v>1046</v>
      </c>
      <c r="D187" s="7">
        <v>554300</v>
      </c>
      <c r="E187" s="5" t="s">
        <v>48</v>
      </c>
      <c r="F187" s="5" t="s">
        <v>49</v>
      </c>
      <c r="G187" s="8"/>
      <c r="H187" s="8" t="str">
        <f>IF(F187="Bullet",MIN(G187,Assumptions!$B$6),"")</f>
        <v/>
      </c>
      <c r="I187" s="8">
        <v>1</v>
      </c>
      <c r="J187" s="8">
        <f>IF(F187="Monthly interest",MAX(0,Assumptions!$B$5-I187),"")</f>
        <v>2</v>
      </c>
      <c r="K187" s="7">
        <f t="shared" si="6"/>
        <v>10162</v>
      </c>
      <c r="L187" s="9">
        <v>46270</v>
      </c>
      <c r="M187" s="5" t="s">
        <v>50</v>
      </c>
      <c r="N187" s="5" t="s">
        <v>53</v>
      </c>
      <c r="O187" s="5" t="s">
        <v>103</v>
      </c>
      <c r="P187" s="5" t="s">
        <v>51</v>
      </c>
      <c r="Q187" s="5" t="s">
        <v>54</v>
      </c>
      <c r="R187" s="5" t="s">
        <v>55</v>
      </c>
      <c r="S187" s="5" t="s">
        <v>56</v>
      </c>
      <c r="T187" s="5" t="s">
        <v>57</v>
      </c>
      <c r="U187" s="5" t="s">
        <v>86</v>
      </c>
      <c r="V187" s="5" t="s">
        <v>59</v>
      </c>
      <c r="W187" s="5" t="s">
        <v>467</v>
      </c>
      <c r="X187" s="5" t="s">
        <v>1047</v>
      </c>
      <c r="Y187" s="5" t="s">
        <v>1048</v>
      </c>
      <c r="Z187" s="9">
        <v>46086</v>
      </c>
      <c r="AA187" s="8">
        <v>12</v>
      </c>
      <c r="AB187" s="9">
        <f t="shared" si="7"/>
        <v>46451</v>
      </c>
      <c r="AC187" s="10">
        <v>22</v>
      </c>
      <c r="AD187" s="7">
        <f t="shared" si="8"/>
        <v>10162</v>
      </c>
      <c r="AE187" s="7">
        <f>IF(F187="Bullet",H187*AD187,MIN(MAX(I187,1),Assumptions!$B$6)*AD187)</f>
        <v>10162</v>
      </c>
      <c r="AF187" s="8">
        <f>IF(F187="Bullet",MAX(0,Assumptions!$B$4-AB187),MAX(0,Assumptions!$B$4-L187))</f>
        <v>28</v>
      </c>
      <c r="AG187" s="9">
        <v>46240</v>
      </c>
      <c r="AH187" s="8">
        <f>IF(AG187="","",Assumptions!$B$4-AG187)</f>
        <v>58</v>
      </c>
      <c r="AI187" s="5" t="s">
        <v>63</v>
      </c>
      <c r="AJ187" s="8">
        <v>1</v>
      </c>
      <c r="AK187" s="8">
        <v>1</v>
      </c>
      <c r="AL187" s="8" t="s">
        <v>80</v>
      </c>
      <c r="AM187" s="8">
        <v>0</v>
      </c>
      <c r="AN187" s="5" t="s">
        <v>63</v>
      </c>
      <c r="AO187" s="10">
        <v>76.900000000000006</v>
      </c>
      <c r="AP187" s="8">
        <v>23</v>
      </c>
      <c r="AQ187" s="9">
        <v>46279</v>
      </c>
      <c r="AR187" s="5" t="s">
        <v>51</v>
      </c>
      <c r="AS187" s="5" t="s">
        <v>81</v>
      </c>
    </row>
    <row r="188" spans="1:45" x14ac:dyDescent="0.35">
      <c r="A188" s="5" t="s">
        <v>1049</v>
      </c>
      <c r="B188" s="5" t="s">
        <v>1050</v>
      </c>
      <c r="C188" s="6" t="s">
        <v>1051</v>
      </c>
      <c r="D188" s="7">
        <v>136500</v>
      </c>
      <c r="E188" s="5" t="s">
        <v>48</v>
      </c>
      <c r="F188" s="5" t="s">
        <v>49</v>
      </c>
      <c r="G188" s="8"/>
      <c r="H188" s="8" t="str">
        <f>IF(F188="Bullet",MIN(G188,Assumptions!$B$6),"")</f>
        <v/>
      </c>
      <c r="I188" s="8">
        <v>2</v>
      </c>
      <c r="J188" s="8">
        <f>IF(F188="Monthly interest",MAX(0,Assumptions!$B$5-I188),"")</f>
        <v>1</v>
      </c>
      <c r="K188" s="7">
        <f t="shared" si="6"/>
        <v>5006</v>
      </c>
      <c r="L188" s="9">
        <v>46267</v>
      </c>
      <c r="M188" s="5" t="s">
        <v>116</v>
      </c>
      <c r="N188" s="5" t="s">
        <v>117</v>
      </c>
      <c r="O188" s="5" t="s">
        <v>118</v>
      </c>
      <c r="P188" s="5" t="s">
        <v>72</v>
      </c>
      <c r="Q188" s="5" t="s">
        <v>119</v>
      </c>
      <c r="R188" s="5" t="s">
        <v>120</v>
      </c>
      <c r="S188" s="5" t="s">
        <v>214</v>
      </c>
      <c r="T188" s="5" t="s">
        <v>63</v>
      </c>
      <c r="U188" s="5" t="s">
        <v>104</v>
      </c>
      <c r="V188" s="5" t="s">
        <v>215</v>
      </c>
      <c r="W188" s="5" t="s">
        <v>284</v>
      </c>
      <c r="X188" s="5" t="s">
        <v>1052</v>
      </c>
      <c r="Y188" s="5" t="s">
        <v>1053</v>
      </c>
      <c r="Z188" s="9">
        <v>46055</v>
      </c>
      <c r="AA188" s="8">
        <v>18</v>
      </c>
      <c r="AB188" s="9">
        <f t="shared" si="7"/>
        <v>46601</v>
      </c>
      <c r="AC188" s="10">
        <v>22</v>
      </c>
      <c r="AD188" s="7">
        <f t="shared" si="8"/>
        <v>2503</v>
      </c>
      <c r="AE188" s="7">
        <f>IF(F188="Bullet",H188*AD188,MIN(MAX(I188,1),Assumptions!$B$6)*AD188)</f>
        <v>5006</v>
      </c>
      <c r="AF188" s="8">
        <f>IF(F188="Bullet",MAX(0,Assumptions!$B$4-AB188),MAX(0,Assumptions!$B$4-L188))</f>
        <v>31</v>
      </c>
      <c r="AG188" s="9">
        <v>46237</v>
      </c>
      <c r="AH188" s="8">
        <f>IF(AG188="","",Assumptions!$B$4-AG188)</f>
        <v>61</v>
      </c>
      <c r="AI188" s="5" t="s">
        <v>57</v>
      </c>
      <c r="AJ188" s="8">
        <v>2</v>
      </c>
      <c r="AK188" s="8">
        <v>4</v>
      </c>
      <c r="AL188" s="8">
        <v>656</v>
      </c>
      <c r="AM188" s="8">
        <v>1</v>
      </c>
      <c r="AN188" s="5" t="s">
        <v>63</v>
      </c>
      <c r="AO188" s="10">
        <v>85.3</v>
      </c>
      <c r="AP188" s="8">
        <v>84</v>
      </c>
      <c r="AQ188" s="9">
        <v>46290</v>
      </c>
      <c r="AR188" s="5" t="s">
        <v>70</v>
      </c>
      <c r="AS188" s="5" t="s">
        <v>64</v>
      </c>
    </row>
    <row r="189" spans="1:45" x14ac:dyDescent="0.35">
      <c r="A189" s="5" t="s">
        <v>1054</v>
      </c>
      <c r="B189" s="5" t="s">
        <v>1055</v>
      </c>
      <c r="C189" s="6" t="s">
        <v>1056</v>
      </c>
      <c r="D189" s="7">
        <v>201600</v>
      </c>
      <c r="E189" s="5" t="s">
        <v>48</v>
      </c>
      <c r="F189" s="5" t="s">
        <v>68</v>
      </c>
      <c r="G189" s="8">
        <v>3</v>
      </c>
      <c r="H189" s="8">
        <f>IF(F189="Bullet",MIN(G189,Assumptions!$B$6),"")</f>
        <v>2</v>
      </c>
      <c r="I189" s="8"/>
      <c r="J189" s="8" t="str">
        <f>IF(F189="Monthly interest",MAX(0,Assumptions!$B$5-I189),"")</f>
        <v/>
      </c>
      <c r="K189" s="7">
        <f t="shared" si="6"/>
        <v>7056</v>
      </c>
      <c r="L189" s="9">
        <v>46184</v>
      </c>
      <c r="M189" s="5" t="s">
        <v>50</v>
      </c>
      <c r="N189" s="5" t="s">
        <v>53</v>
      </c>
      <c r="O189" s="5" t="s">
        <v>71</v>
      </c>
      <c r="P189" s="5" t="s">
        <v>70</v>
      </c>
      <c r="Q189" s="5" t="s">
        <v>73</v>
      </c>
      <c r="R189" s="5" t="s">
        <v>74</v>
      </c>
      <c r="S189" s="5" t="s">
        <v>214</v>
      </c>
      <c r="T189" s="5" t="s">
        <v>63</v>
      </c>
      <c r="U189" s="5" t="s">
        <v>104</v>
      </c>
      <c r="V189" s="5" t="s">
        <v>215</v>
      </c>
      <c r="W189" s="5" t="s">
        <v>1057</v>
      </c>
      <c r="X189" s="5" t="s">
        <v>1058</v>
      </c>
      <c r="Y189" s="5" t="s">
        <v>1059</v>
      </c>
      <c r="Z189" s="9">
        <v>46184</v>
      </c>
      <c r="AA189" s="8">
        <v>6</v>
      </c>
      <c r="AB189" s="9">
        <f t="shared" si="7"/>
        <v>46367</v>
      </c>
      <c r="AC189" s="10">
        <v>14</v>
      </c>
      <c r="AD189" s="7">
        <f t="shared" si="8"/>
        <v>2352</v>
      </c>
      <c r="AE189" s="7">
        <f>IF(F189="Bullet",H189*AD189,MIN(MAX(I189,1),Assumptions!$B$6)*AD189)</f>
        <v>4704</v>
      </c>
      <c r="AF189" s="8">
        <f>IF(F189="Bullet",MAX(0,Assumptions!$B$4-AB189),MAX(0,Assumptions!$B$4-L189))</f>
        <v>0</v>
      </c>
      <c r="AG189" s="9"/>
      <c r="AH189" s="8" t="str">
        <f>IF(AG189="","",Assumptions!$B$4-AG189)</f>
        <v/>
      </c>
      <c r="AI189" s="5" t="s">
        <v>80</v>
      </c>
      <c r="AJ189" s="8"/>
      <c r="AK189" s="8">
        <v>2</v>
      </c>
      <c r="AL189" s="8">
        <v>754</v>
      </c>
      <c r="AM189" s="8">
        <v>2</v>
      </c>
      <c r="AN189" s="5" t="s">
        <v>63</v>
      </c>
      <c r="AO189" s="10">
        <v>49.3</v>
      </c>
      <c r="AP189" s="8">
        <v>28</v>
      </c>
      <c r="AQ189" s="9"/>
      <c r="AR189" s="5"/>
      <c r="AS189" s="5" t="s">
        <v>159</v>
      </c>
    </row>
    <row r="190" spans="1:45" x14ac:dyDescent="0.35">
      <c r="A190" s="5" t="s">
        <v>1060</v>
      </c>
      <c r="B190" s="5" t="s">
        <v>1061</v>
      </c>
      <c r="C190" s="6" t="s">
        <v>1062</v>
      </c>
      <c r="D190" s="7">
        <v>58700</v>
      </c>
      <c r="E190" s="5" t="s">
        <v>48</v>
      </c>
      <c r="F190" s="5" t="s">
        <v>68</v>
      </c>
      <c r="G190" s="8">
        <v>6</v>
      </c>
      <c r="H190" s="8">
        <f>IF(F190="Bullet",MIN(G190,Assumptions!$B$6),"")</f>
        <v>2</v>
      </c>
      <c r="I190" s="8"/>
      <c r="J190" s="8" t="str">
        <f>IF(F190="Monthly interest",MAX(0,Assumptions!$B$5-I190),"")</f>
        <v/>
      </c>
      <c r="K190" s="7">
        <f t="shared" si="6"/>
        <v>5286</v>
      </c>
      <c r="L190" s="9">
        <v>46103</v>
      </c>
      <c r="M190" s="5" t="s">
        <v>116</v>
      </c>
      <c r="N190" s="5" t="s">
        <v>117</v>
      </c>
      <c r="O190" s="5" t="s">
        <v>461</v>
      </c>
      <c r="P190" s="5" t="s">
        <v>72</v>
      </c>
      <c r="Q190" s="5" t="s">
        <v>169</v>
      </c>
      <c r="R190" s="5" t="s">
        <v>170</v>
      </c>
      <c r="S190" s="5" t="s">
        <v>253</v>
      </c>
      <c r="T190" s="5" t="s">
        <v>57</v>
      </c>
      <c r="U190" s="5" t="s">
        <v>58</v>
      </c>
      <c r="V190" s="5" t="s">
        <v>177</v>
      </c>
      <c r="W190" s="5" t="s">
        <v>178</v>
      </c>
      <c r="X190" s="5" t="s">
        <v>1063</v>
      </c>
      <c r="Y190" s="5" t="s">
        <v>1064</v>
      </c>
      <c r="Z190" s="9">
        <v>46103</v>
      </c>
      <c r="AA190" s="8">
        <v>6</v>
      </c>
      <c r="AB190" s="9">
        <f t="shared" si="7"/>
        <v>46287</v>
      </c>
      <c r="AC190" s="10">
        <v>18</v>
      </c>
      <c r="AD190" s="7">
        <f t="shared" si="8"/>
        <v>881</v>
      </c>
      <c r="AE190" s="7">
        <f>IF(F190="Bullet",H190*AD190,MIN(MAX(I190,1),Assumptions!$B$6)*AD190)</f>
        <v>1762</v>
      </c>
      <c r="AF190" s="8">
        <f>IF(F190="Bullet",MAX(0,Assumptions!$B$4-AB190),MAX(0,Assumptions!$B$4-L190))</f>
        <v>11</v>
      </c>
      <c r="AG190" s="9"/>
      <c r="AH190" s="8" t="str">
        <f>IF(AG190="","",Assumptions!$B$4-AG190)</f>
        <v/>
      </c>
      <c r="AI190" s="5" t="s">
        <v>80</v>
      </c>
      <c r="AJ190" s="8"/>
      <c r="AK190" s="8">
        <v>3</v>
      </c>
      <c r="AL190" s="8">
        <v>686</v>
      </c>
      <c r="AM190" s="8">
        <v>0</v>
      </c>
      <c r="AN190" s="5" t="s">
        <v>63</v>
      </c>
      <c r="AO190" s="10">
        <v>80.5</v>
      </c>
      <c r="AP190" s="8">
        <v>77</v>
      </c>
      <c r="AQ190" s="9">
        <v>46293</v>
      </c>
      <c r="AR190" s="5" t="s">
        <v>53</v>
      </c>
      <c r="AS190" s="5" t="s">
        <v>81</v>
      </c>
    </row>
    <row r="191" spans="1:45" x14ac:dyDescent="0.35">
      <c r="A191" s="5" t="s">
        <v>1065</v>
      </c>
      <c r="B191" s="5" t="s">
        <v>1066</v>
      </c>
      <c r="C191" s="6" t="s">
        <v>1067</v>
      </c>
      <c r="D191" s="7">
        <v>188700</v>
      </c>
      <c r="E191" s="5" t="s">
        <v>48</v>
      </c>
      <c r="F191" s="5" t="s">
        <v>49</v>
      </c>
      <c r="G191" s="8"/>
      <c r="H191" s="8" t="str">
        <f>IF(F191="Bullet",MIN(G191,Assumptions!$B$6),"")</f>
        <v/>
      </c>
      <c r="I191" s="8">
        <v>2</v>
      </c>
      <c r="J191" s="8">
        <f>IF(F191="Monthly interest",MAX(0,Assumptions!$B$5-I191),"")</f>
        <v>1</v>
      </c>
      <c r="K191" s="7">
        <f t="shared" si="6"/>
        <v>7548</v>
      </c>
      <c r="L191" s="9">
        <v>46251</v>
      </c>
      <c r="M191" s="5" t="s">
        <v>69</v>
      </c>
      <c r="N191" s="5" t="s">
        <v>70</v>
      </c>
      <c r="O191" s="5" t="s">
        <v>531</v>
      </c>
      <c r="P191" s="5" t="s">
        <v>72</v>
      </c>
      <c r="Q191" s="5" t="s">
        <v>73</v>
      </c>
      <c r="R191" s="5" t="s">
        <v>74</v>
      </c>
      <c r="S191" s="5" t="s">
        <v>85</v>
      </c>
      <c r="T191" s="5" t="s">
        <v>57</v>
      </c>
      <c r="U191" s="5" t="s">
        <v>86</v>
      </c>
      <c r="V191" s="5" t="s">
        <v>177</v>
      </c>
      <c r="W191" s="5" t="s">
        <v>345</v>
      </c>
      <c r="X191" s="5" t="s">
        <v>1068</v>
      </c>
      <c r="Y191" s="5" t="s">
        <v>1069</v>
      </c>
      <c r="Z191" s="9">
        <v>46070</v>
      </c>
      <c r="AA191" s="8">
        <v>12</v>
      </c>
      <c r="AB191" s="9">
        <f t="shared" si="7"/>
        <v>46435</v>
      </c>
      <c r="AC191" s="10">
        <v>24</v>
      </c>
      <c r="AD191" s="7">
        <f t="shared" si="8"/>
        <v>3774</v>
      </c>
      <c r="AE191" s="7">
        <f>IF(F191="Bullet",H191*AD191,MIN(MAX(I191,1),Assumptions!$B$6)*AD191)</f>
        <v>7548</v>
      </c>
      <c r="AF191" s="8">
        <f>IF(F191="Bullet",MAX(0,Assumptions!$B$4-AB191),MAX(0,Assumptions!$B$4-L191))</f>
        <v>47</v>
      </c>
      <c r="AG191" s="9">
        <v>46223</v>
      </c>
      <c r="AH191" s="8">
        <f>IF(AG191="","",Assumptions!$B$4-AG191)</f>
        <v>75</v>
      </c>
      <c r="AI191" s="5" t="s">
        <v>57</v>
      </c>
      <c r="AJ191" s="8">
        <v>2</v>
      </c>
      <c r="AK191" s="8">
        <v>0</v>
      </c>
      <c r="AL191" s="8">
        <v>843</v>
      </c>
      <c r="AM191" s="8">
        <v>1</v>
      </c>
      <c r="AN191" s="5" t="s">
        <v>63</v>
      </c>
      <c r="AO191" s="10">
        <v>86.3</v>
      </c>
      <c r="AP191" s="8">
        <v>43</v>
      </c>
      <c r="AQ191" s="9">
        <v>46290</v>
      </c>
      <c r="AR191" s="5" t="s">
        <v>53</v>
      </c>
      <c r="AS191" s="5" t="s">
        <v>81</v>
      </c>
    </row>
    <row r="192" spans="1:45" x14ac:dyDescent="0.35">
      <c r="A192" s="5" t="s">
        <v>1070</v>
      </c>
      <c r="B192" s="5" t="s">
        <v>851</v>
      </c>
      <c r="C192" s="6" t="s">
        <v>1071</v>
      </c>
      <c r="D192" s="7">
        <v>153600</v>
      </c>
      <c r="E192" s="5" t="s">
        <v>48</v>
      </c>
      <c r="F192" s="5" t="s">
        <v>68</v>
      </c>
      <c r="G192" s="8">
        <v>2</v>
      </c>
      <c r="H192" s="8">
        <f>IF(F192="Bullet",MIN(G192,Assumptions!$B$6),"")</f>
        <v>2</v>
      </c>
      <c r="I192" s="8"/>
      <c r="J192" s="8" t="str">
        <f>IF(F192="Monthly interest",MAX(0,Assumptions!$B$5-I192),"")</f>
        <v/>
      </c>
      <c r="K192" s="7">
        <f t="shared" si="6"/>
        <v>3072</v>
      </c>
      <c r="L192" s="9">
        <v>46214</v>
      </c>
      <c r="M192" s="5" t="s">
        <v>50</v>
      </c>
      <c r="N192" s="5" t="s">
        <v>51</v>
      </c>
      <c r="O192" s="5" t="s">
        <v>71</v>
      </c>
      <c r="P192" s="5" t="s">
        <v>53</v>
      </c>
      <c r="Q192" s="5" t="s">
        <v>73</v>
      </c>
      <c r="R192" s="5" t="s">
        <v>74</v>
      </c>
      <c r="S192" s="5" t="s">
        <v>214</v>
      </c>
      <c r="T192" s="5" t="s">
        <v>57</v>
      </c>
      <c r="U192" s="5" t="s">
        <v>58</v>
      </c>
      <c r="V192" s="5" t="s">
        <v>215</v>
      </c>
      <c r="W192" s="5" t="s">
        <v>278</v>
      </c>
      <c r="X192" s="5" t="s">
        <v>1072</v>
      </c>
      <c r="Y192" s="5" t="s">
        <v>1073</v>
      </c>
      <c r="Z192" s="9">
        <v>46214</v>
      </c>
      <c r="AA192" s="8">
        <v>6</v>
      </c>
      <c r="AB192" s="9">
        <f t="shared" si="7"/>
        <v>46398</v>
      </c>
      <c r="AC192" s="10">
        <v>12</v>
      </c>
      <c r="AD192" s="7">
        <f t="shared" si="8"/>
        <v>1536</v>
      </c>
      <c r="AE192" s="7">
        <f>IF(F192="Bullet",H192*AD192,MIN(MAX(I192,1),Assumptions!$B$6)*AD192)</f>
        <v>3072</v>
      </c>
      <c r="AF192" s="8">
        <f>IF(F192="Bullet",MAX(0,Assumptions!$B$4-AB192),MAX(0,Assumptions!$B$4-L192))</f>
        <v>0</v>
      </c>
      <c r="AG192" s="9"/>
      <c r="AH192" s="8" t="str">
        <f>IF(AG192="","",Assumptions!$B$4-AG192)</f>
        <v/>
      </c>
      <c r="AI192" s="5" t="s">
        <v>80</v>
      </c>
      <c r="AJ192" s="8"/>
      <c r="AK192" s="8">
        <v>0</v>
      </c>
      <c r="AL192" s="8">
        <v>818</v>
      </c>
      <c r="AM192" s="8">
        <v>0</v>
      </c>
      <c r="AN192" s="5" t="s">
        <v>63</v>
      </c>
      <c r="AO192" s="10">
        <v>50.8</v>
      </c>
      <c r="AP192" s="8">
        <v>0</v>
      </c>
      <c r="AQ192" s="9">
        <v>46285</v>
      </c>
      <c r="AR192" s="5" t="s">
        <v>51</v>
      </c>
      <c r="AS192" s="5" t="s">
        <v>190</v>
      </c>
    </row>
    <row r="193" spans="1:45" x14ac:dyDescent="0.35">
      <c r="A193" s="5" t="s">
        <v>1074</v>
      </c>
      <c r="B193" s="5" t="s">
        <v>448</v>
      </c>
      <c r="C193" s="6" t="s">
        <v>1075</v>
      </c>
      <c r="D193" s="7">
        <v>71300</v>
      </c>
      <c r="E193" s="5" t="s">
        <v>48</v>
      </c>
      <c r="F193" s="5" t="s">
        <v>49</v>
      </c>
      <c r="G193" s="8"/>
      <c r="H193" s="8" t="str">
        <f>IF(F193="Bullet",MIN(G193,Assumptions!$B$6),"")</f>
        <v/>
      </c>
      <c r="I193" s="8">
        <v>2</v>
      </c>
      <c r="J193" s="8">
        <f>IF(F193="Monthly interest",MAX(0,Assumptions!$B$5-I193),"")</f>
        <v>1</v>
      </c>
      <c r="K193" s="7">
        <f t="shared" si="6"/>
        <v>2140</v>
      </c>
      <c r="L193" s="9">
        <v>46260</v>
      </c>
      <c r="M193" s="5" t="s">
        <v>69</v>
      </c>
      <c r="N193" s="5" t="s">
        <v>53</v>
      </c>
      <c r="O193" s="5" t="s">
        <v>71</v>
      </c>
      <c r="P193" s="5" t="s">
        <v>70</v>
      </c>
      <c r="Q193" s="5" t="s">
        <v>73</v>
      </c>
      <c r="R193" s="5" t="s">
        <v>74</v>
      </c>
      <c r="S193" s="5" t="s">
        <v>56</v>
      </c>
      <c r="T193" s="5" t="s">
        <v>57</v>
      </c>
      <c r="U193" s="5" t="s">
        <v>104</v>
      </c>
      <c r="V193" s="5" t="s">
        <v>59</v>
      </c>
      <c r="W193" s="5" t="s">
        <v>60</v>
      </c>
      <c r="X193" s="5" t="s">
        <v>1076</v>
      </c>
      <c r="Y193" s="5" t="s">
        <v>1077</v>
      </c>
      <c r="Z193" s="9">
        <v>46107</v>
      </c>
      <c r="AA193" s="8">
        <v>24</v>
      </c>
      <c r="AB193" s="9">
        <f t="shared" si="7"/>
        <v>46838</v>
      </c>
      <c r="AC193" s="10">
        <v>18</v>
      </c>
      <c r="AD193" s="7">
        <f t="shared" si="8"/>
        <v>1070</v>
      </c>
      <c r="AE193" s="7">
        <f>IF(F193="Bullet",H193*AD193,MIN(MAX(I193,1),Assumptions!$B$6)*AD193)</f>
        <v>2140</v>
      </c>
      <c r="AF193" s="8">
        <f>IF(F193="Bullet",MAX(0,Assumptions!$B$4-AB193),MAX(0,Assumptions!$B$4-L193))</f>
        <v>38</v>
      </c>
      <c r="AG193" s="9">
        <v>46233</v>
      </c>
      <c r="AH193" s="8">
        <f>IF(AG193="","",Assumptions!$B$4-AG193)</f>
        <v>65</v>
      </c>
      <c r="AI193" s="5" t="s">
        <v>63</v>
      </c>
      <c r="AJ193" s="8">
        <v>2</v>
      </c>
      <c r="AK193" s="8">
        <v>1</v>
      </c>
      <c r="AL193" s="8">
        <v>699</v>
      </c>
      <c r="AM193" s="8">
        <v>0</v>
      </c>
      <c r="AN193" s="5" t="s">
        <v>63</v>
      </c>
      <c r="AO193" s="10">
        <v>44.8</v>
      </c>
      <c r="AP193" s="8">
        <v>44</v>
      </c>
      <c r="AQ193" s="9">
        <v>46291</v>
      </c>
      <c r="AR193" s="5" t="s">
        <v>70</v>
      </c>
      <c r="AS193" s="5" t="s">
        <v>64</v>
      </c>
    </row>
    <row r="194" spans="1:45" x14ac:dyDescent="0.35">
      <c r="A194" s="5" t="s">
        <v>1078</v>
      </c>
      <c r="B194" s="5" t="s">
        <v>1079</v>
      </c>
      <c r="C194" s="6" t="s">
        <v>1080</v>
      </c>
      <c r="D194" s="7">
        <v>108300</v>
      </c>
      <c r="E194" s="5" t="s">
        <v>48</v>
      </c>
      <c r="F194" s="5" t="s">
        <v>49</v>
      </c>
      <c r="G194" s="8"/>
      <c r="H194" s="8" t="str">
        <f>IF(F194="Bullet",MIN(G194,Assumptions!$B$6),"")</f>
        <v/>
      </c>
      <c r="I194" s="8">
        <v>1</v>
      </c>
      <c r="J194" s="8">
        <f>IF(F194="Monthly interest",MAX(0,Assumptions!$B$5-I194),"")</f>
        <v>2</v>
      </c>
      <c r="K194" s="7">
        <f t="shared" ref="K194:K257" si="9">IF(F194="Bullet",G194*AD194,MAX(I194,1)*AD194)</f>
        <v>1805</v>
      </c>
      <c r="L194" s="9">
        <v>46284</v>
      </c>
      <c r="M194" s="5" t="s">
        <v>69</v>
      </c>
      <c r="N194" s="5" t="s">
        <v>51</v>
      </c>
      <c r="O194" s="5" t="s">
        <v>52</v>
      </c>
      <c r="P194" s="5" t="s">
        <v>53</v>
      </c>
      <c r="Q194" s="5" t="s">
        <v>54</v>
      </c>
      <c r="R194" s="5" t="s">
        <v>55</v>
      </c>
      <c r="S194" s="5" t="s">
        <v>56</v>
      </c>
      <c r="T194" s="5" t="s">
        <v>57</v>
      </c>
      <c r="U194" s="5" t="s">
        <v>58</v>
      </c>
      <c r="V194" s="5" t="s">
        <v>59</v>
      </c>
      <c r="W194" s="5" t="s">
        <v>156</v>
      </c>
      <c r="X194" s="5" t="s">
        <v>947</v>
      </c>
      <c r="Y194" s="5" t="s">
        <v>1081</v>
      </c>
      <c r="Z194" s="9">
        <v>46161</v>
      </c>
      <c r="AA194" s="8">
        <v>12</v>
      </c>
      <c r="AB194" s="9">
        <f t="shared" ref="AB194:AB257" si="10">EDATE(Z194,AA194)</f>
        <v>46526</v>
      </c>
      <c r="AC194" s="10">
        <v>20</v>
      </c>
      <c r="AD194" s="7">
        <f t="shared" ref="AD194:AD257" si="11">ROUND(D194*AC194/100/12,0)</f>
        <v>1805</v>
      </c>
      <c r="AE194" s="7">
        <f>IF(F194="Bullet",H194*AD194,MIN(MAX(I194,1),Assumptions!$B$6)*AD194)</f>
        <v>1805</v>
      </c>
      <c r="AF194" s="8">
        <f>IF(F194="Bullet",MAX(0,Assumptions!$B$4-AB194),MAX(0,Assumptions!$B$4-L194))</f>
        <v>14</v>
      </c>
      <c r="AG194" s="9">
        <v>46254</v>
      </c>
      <c r="AH194" s="8">
        <f>IF(AG194="","",Assumptions!$B$4-AG194)</f>
        <v>44</v>
      </c>
      <c r="AI194" s="5" t="s">
        <v>63</v>
      </c>
      <c r="AJ194" s="8">
        <v>3</v>
      </c>
      <c r="AK194" s="8">
        <v>0</v>
      </c>
      <c r="AL194" s="8">
        <v>645</v>
      </c>
      <c r="AM194" s="8">
        <v>0</v>
      </c>
      <c r="AN194" s="5" t="s">
        <v>63</v>
      </c>
      <c r="AO194" s="10">
        <v>71.400000000000006</v>
      </c>
      <c r="AP194" s="8">
        <v>37</v>
      </c>
      <c r="AQ194" s="9">
        <v>46278</v>
      </c>
      <c r="AR194" s="5" t="s">
        <v>53</v>
      </c>
      <c r="AS194" s="5" t="s">
        <v>64</v>
      </c>
    </row>
    <row r="195" spans="1:45" x14ac:dyDescent="0.35">
      <c r="A195" s="5" t="s">
        <v>1082</v>
      </c>
      <c r="B195" s="5" t="s">
        <v>1083</v>
      </c>
      <c r="C195" s="6" t="s">
        <v>1084</v>
      </c>
      <c r="D195" s="7">
        <v>45900</v>
      </c>
      <c r="E195" s="5" t="s">
        <v>48</v>
      </c>
      <c r="F195" s="5" t="s">
        <v>49</v>
      </c>
      <c r="G195" s="8"/>
      <c r="H195" s="8" t="str">
        <f>IF(F195="Bullet",MIN(G195,Assumptions!$B$6),"")</f>
        <v/>
      </c>
      <c r="I195" s="8">
        <v>1</v>
      </c>
      <c r="J195" s="8">
        <f>IF(F195="Monthly interest",MAX(0,Assumptions!$B$5-I195),"")</f>
        <v>2</v>
      </c>
      <c r="K195" s="7">
        <f t="shared" si="9"/>
        <v>536</v>
      </c>
      <c r="L195" s="9">
        <v>46286</v>
      </c>
      <c r="M195" s="5" t="s">
        <v>50</v>
      </c>
      <c r="N195" s="5" t="s">
        <v>53</v>
      </c>
      <c r="O195" s="5" t="s">
        <v>95</v>
      </c>
      <c r="P195" s="5" t="s">
        <v>153</v>
      </c>
      <c r="Q195" s="5" t="s">
        <v>154</v>
      </c>
      <c r="R195" s="5" t="s">
        <v>155</v>
      </c>
      <c r="S195" s="5" t="s">
        <v>85</v>
      </c>
      <c r="T195" s="5" t="s">
        <v>63</v>
      </c>
      <c r="U195" s="5" t="s">
        <v>104</v>
      </c>
      <c r="V195" s="5" t="s">
        <v>553</v>
      </c>
      <c r="W195" s="5" t="s">
        <v>554</v>
      </c>
      <c r="X195" s="5" t="s">
        <v>555</v>
      </c>
      <c r="Y195" s="5" t="s">
        <v>1085</v>
      </c>
      <c r="Z195" s="9">
        <v>46074</v>
      </c>
      <c r="AA195" s="8">
        <v>12</v>
      </c>
      <c r="AB195" s="9">
        <f t="shared" si="10"/>
        <v>46439</v>
      </c>
      <c r="AC195" s="10">
        <v>14</v>
      </c>
      <c r="AD195" s="7">
        <f t="shared" si="11"/>
        <v>536</v>
      </c>
      <c r="AE195" s="7">
        <f>IF(F195="Bullet",H195*AD195,MIN(MAX(I195,1),Assumptions!$B$6)*AD195)</f>
        <v>536</v>
      </c>
      <c r="AF195" s="8">
        <f>IF(F195="Bullet",MAX(0,Assumptions!$B$4-AB195),MAX(0,Assumptions!$B$4-L195))</f>
        <v>12</v>
      </c>
      <c r="AG195" s="9">
        <v>46259</v>
      </c>
      <c r="AH195" s="8">
        <f>IF(AG195="","",Assumptions!$B$4-AG195)</f>
        <v>39</v>
      </c>
      <c r="AI195" s="5" t="s">
        <v>57</v>
      </c>
      <c r="AJ195" s="8">
        <v>1</v>
      </c>
      <c r="AK195" s="8">
        <v>0</v>
      </c>
      <c r="AL195" s="8">
        <v>807</v>
      </c>
      <c r="AM195" s="8">
        <v>0</v>
      </c>
      <c r="AN195" s="5" t="s">
        <v>63</v>
      </c>
      <c r="AO195" s="10">
        <v>59.9</v>
      </c>
      <c r="AP195" s="8">
        <v>18</v>
      </c>
      <c r="AQ195" s="9"/>
      <c r="AR195" s="5"/>
      <c r="AS195" s="5" t="s">
        <v>159</v>
      </c>
    </row>
    <row r="196" spans="1:45" x14ac:dyDescent="0.35">
      <c r="A196" s="5" t="s">
        <v>1086</v>
      </c>
      <c r="B196" s="5" t="s">
        <v>1087</v>
      </c>
      <c r="C196" s="6" t="s">
        <v>1088</v>
      </c>
      <c r="D196" s="7">
        <v>703400</v>
      </c>
      <c r="E196" s="5" t="s">
        <v>48</v>
      </c>
      <c r="F196" s="5" t="s">
        <v>68</v>
      </c>
      <c r="G196" s="8">
        <v>6</v>
      </c>
      <c r="H196" s="8">
        <f>IF(F196="Bullet",MIN(G196,Assumptions!$B$6),"")</f>
        <v>2</v>
      </c>
      <c r="I196" s="8"/>
      <c r="J196" s="8" t="str">
        <f>IF(F196="Monthly interest",MAX(0,Assumptions!$B$5-I196),"")</f>
        <v/>
      </c>
      <c r="K196" s="7">
        <f t="shared" si="9"/>
        <v>52758</v>
      </c>
      <c r="L196" s="9">
        <v>46098</v>
      </c>
      <c r="M196" s="5" t="s">
        <v>116</v>
      </c>
      <c r="N196" s="5" t="s">
        <v>117</v>
      </c>
      <c r="O196" s="5" t="s">
        <v>461</v>
      </c>
      <c r="P196" s="5" t="s">
        <v>72</v>
      </c>
      <c r="Q196" s="5" t="s">
        <v>169</v>
      </c>
      <c r="R196" s="5" t="s">
        <v>170</v>
      </c>
      <c r="S196" s="5" t="s">
        <v>253</v>
      </c>
      <c r="T196" s="5" t="s">
        <v>63</v>
      </c>
      <c r="U196" s="5" t="s">
        <v>104</v>
      </c>
      <c r="V196" s="5" t="s">
        <v>59</v>
      </c>
      <c r="W196" s="5" t="s">
        <v>418</v>
      </c>
      <c r="X196" s="5" t="s">
        <v>1089</v>
      </c>
      <c r="Y196" s="5" t="s">
        <v>1090</v>
      </c>
      <c r="Z196" s="9">
        <v>46098</v>
      </c>
      <c r="AA196" s="8">
        <v>6</v>
      </c>
      <c r="AB196" s="9">
        <f t="shared" si="10"/>
        <v>46282</v>
      </c>
      <c r="AC196" s="10">
        <v>15</v>
      </c>
      <c r="AD196" s="7">
        <f t="shared" si="11"/>
        <v>8793</v>
      </c>
      <c r="AE196" s="7">
        <f>IF(F196="Bullet",H196*AD196,MIN(MAX(I196,1),Assumptions!$B$6)*AD196)</f>
        <v>17586</v>
      </c>
      <c r="AF196" s="8">
        <f>IF(F196="Bullet",MAX(0,Assumptions!$B$4-AB196),MAX(0,Assumptions!$B$4-L196))</f>
        <v>16</v>
      </c>
      <c r="AG196" s="9"/>
      <c r="AH196" s="8" t="str">
        <f>IF(AG196="","",Assumptions!$B$4-AG196)</f>
        <v/>
      </c>
      <c r="AI196" s="5" t="s">
        <v>80</v>
      </c>
      <c r="AJ196" s="8"/>
      <c r="AK196" s="8">
        <v>2</v>
      </c>
      <c r="AL196" s="8">
        <v>629</v>
      </c>
      <c r="AM196" s="8">
        <v>1</v>
      </c>
      <c r="AN196" s="5" t="s">
        <v>63</v>
      </c>
      <c r="AO196" s="10">
        <v>76.900000000000006</v>
      </c>
      <c r="AP196" s="8">
        <v>72</v>
      </c>
      <c r="AQ196" s="9">
        <v>46292</v>
      </c>
      <c r="AR196" s="5" t="s">
        <v>70</v>
      </c>
      <c r="AS196" s="5" t="s">
        <v>64</v>
      </c>
    </row>
    <row r="197" spans="1:45" x14ac:dyDescent="0.35">
      <c r="A197" s="5" t="s">
        <v>1091</v>
      </c>
      <c r="B197" s="5" t="s">
        <v>1092</v>
      </c>
      <c r="C197" s="6" t="s">
        <v>1093</v>
      </c>
      <c r="D197" s="7">
        <v>86800</v>
      </c>
      <c r="E197" s="5" t="s">
        <v>48</v>
      </c>
      <c r="F197" s="5" t="s">
        <v>68</v>
      </c>
      <c r="G197" s="8">
        <v>2</v>
      </c>
      <c r="H197" s="8">
        <f>IF(F197="Bullet",MIN(G197,Assumptions!$B$6),"")</f>
        <v>2</v>
      </c>
      <c r="I197" s="8"/>
      <c r="J197" s="8" t="str">
        <f>IF(F197="Monthly interest",MAX(0,Assumptions!$B$5-I197),"")</f>
        <v/>
      </c>
      <c r="K197" s="7">
        <f t="shared" si="9"/>
        <v>2314</v>
      </c>
      <c r="L197" s="9">
        <v>46234</v>
      </c>
      <c r="M197" s="5" t="s">
        <v>50</v>
      </c>
      <c r="N197" s="5" t="s">
        <v>51</v>
      </c>
      <c r="O197" s="5" t="s">
        <v>71</v>
      </c>
      <c r="P197" s="5" t="s">
        <v>53</v>
      </c>
      <c r="Q197" s="5" t="s">
        <v>73</v>
      </c>
      <c r="R197" s="5" t="s">
        <v>74</v>
      </c>
      <c r="S197" s="5" t="s">
        <v>75</v>
      </c>
      <c r="T197" s="5" t="s">
        <v>57</v>
      </c>
      <c r="U197" s="5" t="s">
        <v>86</v>
      </c>
      <c r="V197" s="5" t="s">
        <v>76</v>
      </c>
      <c r="W197" s="5" t="s">
        <v>306</v>
      </c>
      <c r="X197" s="5" t="s">
        <v>1094</v>
      </c>
      <c r="Y197" s="5" t="s">
        <v>1095</v>
      </c>
      <c r="Z197" s="9">
        <v>46234</v>
      </c>
      <c r="AA197" s="8">
        <v>6</v>
      </c>
      <c r="AB197" s="9">
        <f t="shared" si="10"/>
        <v>46418</v>
      </c>
      <c r="AC197" s="10">
        <v>16</v>
      </c>
      <c r="AD197" s="7">
        <f t="shared" si="11"/>
        <v>1157</v>
      </c>
      <c r="AE197" s="7">
        <f>IF(F197="Bullet",H197*AD197,MIN(MAX(I197,1),Assumptions!$B$6)*AD197)</f>
        <v>2314</v>
      </c>
      <c r="AF197" s="8">
        <f>IF(F197="Bullet",MAX(0,Assumptions!$B$4-AB197),MAX(0,Assumptions!$B$4-L197))</f>
        <v>0</v>
      </c>
      <c r="AG197" s="9"/>
      <c r="AH197" s="8" t="str">
        <f>IF(AG197="","",Assumptions!$B$4-AG197)</f>
        <v/>
      </c>
      <c r="AI197" s="5" t="s">
        <v>80</v>
      </c>
      <c r="AJ197" s="8"/>
      <c r="AK197" s="8">
        <v>1</v>
      </c>
      <c r="AL197" s="8">
        <v>747</v>
      </c>
      <c r="AM197" s="8">
        <v>3</v>
      </c>
      <c r="AN197" s="5" t="s">
        <v>63</v>
      </c>
      <c r="AO197" s="10">
        <v>62.3</v>
      </c>
      <c r="AP197" s="8">
        <v>11</v>
      </c>
      <c r="AQ197" s="9">
        <v>46293</v>
      </c>
      <c r="AR197" s="5" t="s">
        <v>53</v>
      </c>
      <c r="AS197" s="5" t="s">
        <v>64</v>
      </c>
    </row>
    <row r="198" spans="1:45" x14ac:dyDescent="0.35">
      <c r="A198" s="5" t="s">
        <v>1096</v>
      </c>
      <c r="B198" s="5" t="s">
        <v>1097</v>
      </c>
      <c r="C198" s="6" t="s">
        <v>1098</v>
      </c>
      <c r="D198" s="7">
        <v>693600</v>
      </c>
      <c r="E198" s="5" t="s">
        <v>48</v>
      </c>
      <c r="F198" s="5" t="s">
        <v>68</v>
      </c>
      <c r="G198" s="8">
        <v>3</v>
      </c>
      <c r="H198" s="8">
        <f>IF(F198="Bullet",MIN(G198,Assumptions!$B$6),"")</f>
        <v>2</v>
      </c>
      <c r="I198" s="8"/>
      <c r="J198" s="8" t="str">
        <f>IF(F198="Monthly interest",MAX(0,Assumptions!$B$5-I198),"")</f>
        <v/>
      </c>
      <c r="K198" s="7">
        <f t="shared" si="9"/>
        <v>20808</v>
      </c>
      <c r="L198" s="9">
        <v>46194</v>
      </c>
      <c r="M198" s="5" t="s">
        <v>50</v>
      </c>
      <c r="N198" s="5" t="s">
        <v>53</v>
      </c>
      <c r="O198" s="5" t="s">
        <v>71</v>
      </c>
      <c r="P198" s="5" t="s">
        <v>70</v>
      </c>
      <c r="Q198" s="5" t="s">
        <v>73</v>
      </c>
      <c r="R198" s="5" t="s">
        <v>74</v>
      </c>
      <c r="S198" s="5" t="s">
        <v>185</v>
      </c>
      <c r="T198" s="5" t="s">
        <v>63</v>
      </c>
      <c r="U198" s="5" t="s">
        <v>104</v>
      </c>
      <c r="V198" s="5" t="s">
        <v>186</v>
      </c>
      <c r="W198" s="5" t="s">
        <v>694</v>
      </c>
      <c r="X198" s="5" t="s">
        <v>1099</v>
      </c>
      <c r="Y198" s="5" t="s">
        <v>1100</v>
      </c>
      <c r="Z198" s="9">
        <v>46194</v>
      </c>
      <c r="AA198" s="8">
        <v>6</v>
      </c>
      <c r="AB198" s="9">
        <f t="shared" si="10"/>
        <v>46377</v>
      </c>
      <c r="AC198" s="10">
        <v>12</v>
      </c>
      <c r="AD198" s="7">
        <f t="shared" si="11"/>
        <v>6936</v>
      </c>
      <c r="AE198" s="7">
        <f>IF(F198="Bullet",H198*AD198,MIN(MAX(I198,1),Assumptions!$B$6)*AD198)</f>
        <v>13872</v>
      </c>
      <c r="AF198" s="8">
        <f>IF(F198="Bullet",MAX(0,Assumptions!$B$4-AB198),MAX(0,Assumptions!$B$4-L198))</f>
        <v>0</v>
      </c>
      <c r="AG198" s="9"/>
      <c r="AH198" s="8" t="str">
        <f>IF(AG198="","",Assumptions!$B$4-AG198)</f>
        <v/>
      </c>
      <c r="AI198" s="5" t="s">
        <v>80</v>
      </c>
      <c r="AJ198" s="8"/>
      <c r="AK198" s="8">
        <v>1</v>
      </c>
      <c r="AL198" s="8">
        <v>742</v>
      </c>
      <c r="AM198" s="8">
        <v>0</v>
      </c>
      <c r="AN198" s="5" t="s">
        <v>63</v>
      </c>
      <c r="AO198" s="10">
        <v>72.5</v>
      </c>
      <c r="AP198" s="8">
        <v>25</v>
      </c>
      <c r="AQ198" s="9">
        <v>46291</v>
      </c>
      <c r="AR198" s="5" t="s">
        <v>70</v>
      </c>
      <c r="AS198" s="5" t="s">
        <v>81</v>
      </c>
    </row>
    <row r="199" spans="1:45" x14ac:dyDescent="0.35">
      <c r="A199" s="5" t="s">
        <v>1101</v>
      </c>
      <c r="B199" s="5" t="s">
        <v>1102</v>
      </c>
      <c r="C199" s="6" t="s">
        <v>1103</v>
      </c>
      <c r="D199" s="7">
        <v>38500</v>
      </c>
      <c r="E199" s="5" t="s">
        <v>48</v>
      </c>
      <c r="F199" s="5" t="s">
        <v>68</v>
      </c>
      <c r="G199" s="8">
        <v>1</v>
      </c>
      <c r="H199" s="8">
        <f>IF(F199="Bullet",MIN(G199,Assumptions!$B$6),"")</f>
        <v>1</v>
      </c>
      <c r="I199" s="8"/>
      <c r="J199" s="8" t="str">
        <f>IF(F199="Monthly interest",MAX(0,Assumptions!$B$5-I199),"")</f>
        <v/>
      </c>
      <c r="K199" s="7">
        <f t="shared" si="9"/>
        <v>417</v>
      </c>
      <c r="L199" s="9">
        <v>46249</v>
      </c>
      <c r="M199" s="5" t="s">
        <v>50</v>
      </c>
      <c r="N199" s="5" t="s">
        <v>53</v>
      </c>
      <c r="O199" s="5" t="s">
        <v>103</v>
      </c>
      <c r="P199" s="5" t="s">
        <v>153</v>
      </c>
      <c r="Q199" s="5" t="s">
        <v>154</v>
      </c>
      <c r="R199" s="5" t="s">
        <v>155</v>
      </c>
      <c r="S199" s="5" t="s">
        <v>75</v>
      </c>
      <c r="T199" s="5" t="s">
        <v>57</v>
      </c>
      <c r="U199" s="5" t="s">
        <v>86</v>
      </c>
      <c r="V199" s="5" t="s">
        <v>76</v>
      </c>
      <c r="W199" s="5" t="s">
        <v>547</v>
      </c>
      <c r="X199" s="5" t="s">
        <v>748</v>
      </c>
      <c r="Y199" s="5" t="s">
        <v>1104</v>
      </c>
      <c r="Z199" s="9">
        <v>46249</v>
      </c>
      <c r="AA199" s="8">
        <v>6</v>
      </c>
      <c r="AB199" s="9">
        <f t="shared" si="10"/>
        <v>46433</v>
      </c>
      <c r="AC199" s="10">
        <v>13</v>
      </c>
      <c r="AD199" s="7">
        <f t="shared" si="11"/>
        <v>417</v>
      </c>
      <c r="AE199" s="7">
        <f>IF(F199="Bullet",H199*AD199,MIN(MAX(I199,1),Assumptions!$B$6)*AD199)</f>
        <v>417</v>
      </c>
      <c r="AF199" s="8">
        <f>IF(F199="Bullet",MAX(0,Assumptions!$B$4-AB199),MAX(0,Assumptions!$B$4-L199))</f>
        <v>0</v>
      </c>
      <c r="AG199" s="9"/>
      <c r="AH199" s="8" t="str">
        <f>IF(AG199="","",Assumptions!$B$4-AG199)</f>
        <v/>
      </c>
      <c r="AI199" s="5" t="s">
        <v>80</v>
      </c>
      <c r="AJ199" s="8"/>
      <c r="AK199" s="8">
        <v>0</v>
      </c>
      <c r="AL199" s="8">
        <v>652</v>
      </c>
      <c r="AM199" s="8">
        <v>0</v>
      </c>
      <c r="AN199" s="5" t="s">
        <v>63</v>
      </c>
      <c r="AO199" s="10">
        <v>78.2</v>
      </c>
      <c r="AP199" s="8">
        <v>17</v>
      </c>
      <c r="AQ199" s="9">
        <v>46285</v>
      </c>
      <c r="AR199" s="5" t="s">
        <v>51</v>
      </c>
      <c r="AS199" s="5" t="s">
        <v>81</v>
      </c>
    </row>
    <row r="200" spans="1:45" x14ac:dyDescent="0.35">
      <c r="A200" s="5" t="s">
        <v>1105</v>
      </c>
      <c r="B200" s="5" t="s">
        <v>1106</v>
      </c>
      <c r="C200" s="6" t="s">
        <v>1107</v>
      </c>
      <c r="D200" s="7">
        <v>68100</v>
      </c>
      <c r="E200" s="5" t="s">
        <v>48</v>
      </c>
      <c r="F200" s="5" t="s">
        <v>68</v>
      </c>
      <c r="G200" s="8">
        <v>3</v>
      </c>
      <c r="H200" s="8">
        <f>IF(F200="Bullet",MIN(G200,Assumptions!$B$6),"")</f>
        <v>2</v>
      </c>
      <c r="I200" s="8"/>
      <c r="J200" s="8" t="str">
        <f>IF(F200="Monthly interest",MAX(0,Assumptions!$B$5-I200),"")</f>
        <v/>
      </c>
      <c r="K200" s="7">
        <f t="shared" si="9"/>
        <v>2385</v>
      </c>
      <c r="L200" s="9">
        <v>46202</v>
      </c>
      <c r="M200" s="5" t="s">
        <v>69</v>
      </c>
      <c r="N200" s="5" t="s">
        <v>53</v>
      </c>
      <c r="O200" s="5" t="s">
        <v>71</v>
      </c>
      <c r="P200" s="5" t="s">
        <v>70</v>
      </c>
      <c r="Q200" s="5" t="s">
        <v>73</v>
      </c>
      <c r="R200" s="5" t="s">
        <v>74</v>
      </c>
      <c r="S200" s="5" t="s">
        <v>253</v>
      </c>
      <c r="T200" s="5" t="s">
        <v>57</v>
      </c>
      <c r="U200" s="5" t="s">
        <v>58</v>
      </c>
      <c r="V200" s="5" t="s">
        <v>96</v>
      </c>
      <c r="W200" s="5" t="s">
        <v>265</v>
      </c>
      <c r="X200" s="5" t="s">
        <v>439</v>
      </c>
      <c r="Y200" s="5" t="s">
        <v>1108</v>
      </c>
      <c r="Z200" s="9">
        <v>46202</v>
      </c>
      <c r="AA200" s="8">
        <v>6</v>
      </c>
      <c r="AB200" s="9">
        <f t="shared" si="10"/>
        <v>46385</v>
      </c>
      <c r="AC200" s="10">
        <v>14</v>
      </c>
      <c r="AD200" s="7">
        <f t="shared" si="11"/>
        <v>795</v>
      </c>
      <c r="AE200" s="7">
        <f>IF(F200="Bullet",H200*AD200,MIN(MAX(I200,1),Assumptions!$B$6)*AD200)</f>
        <v>1590</v>
      </c>
      <c r="AF200" s="8">
        <f>IF(F200="Bullet",MAX(0,Assumptions!$B$4-AB200),MAX(0,Assumptions!$B$4-L200))</f>
        <v>0</v>
      </c>
      <c r="AG200" s="9"/>
      <c r="AH200" s="8" t="str">
        <f>IF(AG200="","",Assumptions!$B$4-AG200)</f>
        <v/>
      </c>
      <c r="AI200" s="5" t="s">
        <v>80</v>
      </c>
      <c r="AJ200" s="8"/>
      <c r="AK200" s="8">
        <v>0</v>
      </c>
      <c r="AL200" s="8">
        <v>589</v>
      </c>
      <c r="AM200" s="8">
        <v>0</v>
      </c>
      <c r="AN200" s="5" t="s">
        <v>63</v>
      </c>
      <c r="AO200" s="10">
        <v>59.6</v>
      </c>
      <c r="AP200" s="8">
        <v>31</v>
      </c>
      <c r="AQ200" s="9">
        <v>46296</v>
      </c>
      <c r="AR200" s="5" t="s">
        <v>53</v>
      </c>
      <c r="AS200" s="5" t="s">
        <v>181</v>
      </c>
    </row>
    <row r="201" spans="1:45" x14ac:dyDescent="0.35">
      <c r="A201" s="5" t="s">
        <v>1109</v>
      </c>
      <c r="B201" s="5" t="s">
        <v>524</v>
      </c>
      <c r="C201" s="6" t="s">
        <v>1110</v>
      </c>
      <c r="D201" s="7">
        <v>39500</v>
      </c>
      <c r="E201" s="5" t="s">
        <v>48</v>
      </c>
      <c r="F201" s="5" t="s">
        <v>49</v>
      </c>
      <c r="G201" s="8"/>
      <c r="H201" s="8" t="str">
        <f>IF(F201="Bullet",MIN(G201,Assumptions!$B$6),"")</f>
        <v/>
      </c>
      <c r="I201" s="8">
        <v>2</v>
      </c>
      <c r="J201" s="8">
        <f>IF(F201="Monthly interest",MAX(0,Assumptions!$B$5-I201),"")</f>
        <v>1</v>
      </c>
      <c r="K201" s="7">
        <f t="shared" si="9"/>
        <v>922</v>
      </c>
      <c r="L201" s="9">
        <v>46268</v>
      </c>
      <c r="M201" s="5" t="s">
        <v>116</v>
      </c>
      <c r="N201" s="5" t="s">
        <v>117</v>
      </c>
      <c r="O201" s="5" t="s">
        <v>450</v>
      </c>
      <c r="P201" s="5" t="s">
        <v>72</v>
      </c>
      <c r="Q201" s="5" t="s">
        <v>154</v>
      </c>
      <c r="R201" s="5" t="s">
        <v>155</v>
      </c>
      <c r="S201" s="5" t="s">
        <v>253</v>
      </c>
      <c r="T201" s="5" t="s">
        <v>63</v>
      </c>
      <c r="U201" s="5" t="s">
        <v>104</v>
      </c>
      <c r="V201" s="5" t="s">
        <v>59</v>
      </c>
      <c r="W201" s="5" t="s">
        <v>467</v>
      </c>
      <c r="X201" s="5" t="s">
        <v>1111</v>
      </c>
      <c r="Y201" s="5" t="s">
        <v>1112</v>
      </c>
      <c r="Z201" s="9">
        <v>45994</v>
      </c>
      <c r="AA201" s="8">
        <v>12</v>
      </c>
      <c r="AB201" s="9">
        <f t="shared" si="10"/>
        <v>46359</v>
      </c>
      <c r="AC201" s="10">
        <v>14</v>
      </c>
      <c r="AD201" s="7">
        <f t="shared" si="11"/>
        <v>461</v>
      </c>
      <c r="AE201" s="7">
        <f>IF(F201="Bullet",H201*AD201,MIN(MAX(I201,1),Assumptions!$B$6)*AD201)</f>
        <v>922</v>
      </c>
      <c r="AF201" s="8">
        <f>IF(F201="Bullet",MAX(0,Assumptions!$B$4-AB201),MAX(0,Assumptions!$B$4-L201))</f>
        <v>30</v>
      </c>
      <c r="AG201" s="9">
        <v>46237</v>
      </c>
      <c r="AH201" s="8">
        <f>IF(AG201="","",Assumptions!$B$4-AG201)</f>
        <v>61</v>
      </c>
      <c r="AI201" s="5" t="s">
        <v>63</v>
      </c>
      <c r="AJ201" s="8">
        <v>3</v>
      </c>
      <c r="AK201" s="8">
        <v>1</v>
      </c>
      <c r="AL201" s="8">
        <v>693</v>
      </c>
      <c r="AM201" s="8">
        <v>0</v>
      </c>
      <c r="AN201" s="5" t="s">
        <v>63</v>
      </c>
      <c r="AO201" s="10">
        <v>67.5</v>
      </c>
      <c r="AP201" s="8">
        <v>53</v>
      </c>
      <c r="AQ201" s="9">
        <v>46284</v>
      </c>
      <c r="AR201" s="5" t="s">
        <v>70</v>
      </c>
      <c r="AS201" s="5" t="s">
        <v>91</v>
      </c>
    </row>
    <row r="202" spans="1:45" x14ac:dyDescent="0.35">
      <c r="A202" s="5" t="s">
        <v>1113</v>
      </c>
      <c r="B202" s="5" t="s">
        <v>1114</v>
      </c>
      <c r="C202" s="6" t="s">
        <v>1115</v>
      </c>
      <c r="D202" s="7">
        <v>93200</v>
      </c>
      <c r="E202" s="5" t="s">
        <v>48</v>
      </c>
      <c r="F202" s="5" t="s">
        <v>68</v>
      </c>
      <c r="G202" s="8">
        <v>2</v>
      </c>
      <c r="H202" s="8">
        <f>IF(F202="Bullet",MIN(G202,Assumptions!$B$6),"")</f>
        <v>2</v>
      </c>
      <c r="I202" s="8"/>
      <c r="J202" s="8" t="str">
        <f>IF(F202="Monthly interest",MAX(0,Assumptions!$B$5-I202),"")</f>
        <v/>
      </c>
      <c r="K202" s="7">
        <f t="shared" si="9"/>
        <v>2330</v>
      </c>
      <c r="L202" s="9">
        <v>46223</v>
      </c>
      <c r="M202" s="5" t="s">
        <v>69</v>
      </c>
      <c r="N202" s="5" t="s">
        <v>53</v>
      </c>
      <c r="O202" s="5" t="s">
        <v>71</v>
      </c>
      <c r="P202" s="5" t="s">
        <v>70</v>
      </c>
      <c r="Q202" s="5" t="s">
        <v>73</v>
      </c>
      <c r="R202" s="5" t="s">
        <v>74</v>
      </c>
      <c r="S202" s="5" t="s">
        <v>253</v>
      </c>
      <c r="T202" s="5" t="s">
        <v>63</v>
      </c>
      <c r="U202" s="5" t="s">
        <v>58</v>
      </c>
      <c r="V202" s="5" t="s">
        <v>96</v>
      </c>
      <c r="W202" s="5" t="s">
        <v>265</v>
      </c>
      <c r="X202" s="5" t="s">
        <v>1116</v>
      </c>
      <c r="Y202" s="5" t="s">
        <v>1117</v>
      </c>
      <c r="Z202" s="9">
        <v>46223</v>
      </c>
      <c r="AA202" s="8">
        <v>6</v>
      </c>
      <c r="AB202" s="9">
        <f t="shared" si="10"/>
        <v>46407</v>
      </c>
      <c r="AC202" s="10">
        <v>15</v>
      </c>
      <c r="AD202" s="7">
        <f t="shared" si="11"/>
        <v>1165</v>
      </c>
      <c r="AE202" s="7">
        <f>IF(F202="Bullet",H202*AD202,MIN(MAX(I202,1),Assumptions!$B$6)*AD202)</f>
        <v>2330</v>
      </c>
      <c r="AF202" s="8">
        <f>IF(F202="Bullet",MAX(0,Assumptions!$B$4-AB202),MAX(0,Assumptions!$B$4-L202))</f>
        <v>0</v>
      </c>
      <c r="AG202" s="9"/>
      <c r="AH202" s="8" t="str">
        <f>IF(AG202="","",Assumptions!$B$4-AG202)</f>
        <v/>
      </c>
      <c r="AI202" s="5" t="s">
        <v>80</v>
      </c>
      <c r="AJ202" s="8"/>
      <c r="AK202" s="8">
        <v>1</v>
      </c>
      <c r="AL202" s="8">
        <v>471</v>
      </c>
      <c r="AM202" s="8">
        <v>0</v>
      </c>
      <c r="AN202" s="5" t="s">
        <v>57</v>
      </c>
      <c r="AO202" s="10">
        <v>58.5</v>
      </c>
      <c r="AP202" s="8">
        <v>40</v>
      </c>
      <c r="AQ202" s="9">
        <v>46286</v>
      </c>
      <c r="AR202" s="5" t="s">
        <v>70</v>
      </c>
      <c r="AS202" s="5" t="s">
        <v>81</v>
      </c>
    </row>
    <row r="203" spans="1:45" x14ac:dyDescent="0.35">
      <c r="A203" s="5" t="s">
        <v>1118</v>
      </c>
      <c r="B203" s="5" t="s">
        <v>1119</v>
      </c>
      <c r="C203" s="6" t="s">
        <v>1120</v>
      </c>
      <c r="D203" s="7">
        <v>122500</v>
      </c>
      <c r="E203" s="5" t="s">
        <v>48</v>
      </c>
      <c r="F203" s="5" t="s">
        <v>49</v>
      </c>
      <c r="G203" s="8"/>
      <c r="H203" s="8" t="str">
        <f>IF(F203="Bullet",MIN(G203,Assumptions!$B$6),"")</f>
        <v/>
      </c>
      <c r="I203" s="8">
        <v>1</v>
      </c>
      <c r="J203" s="8">
        <f>IF(F203="Monthly interest",MAX(0,Assumptions!$B$5-I203),"")</f>
        <v>2</v>
      </c>
      <c r="K203" s="7">
        <f t="shared" si="9"/>
        <v>2246</v>
      </c>
      <c r="L203" s="9">
        <v>46286</v>
      </c>
      <c r="M203" s="5" t="s">
        <v>50</v>
      </c>
      <c r="N203" s="5" t="s">
        <v>51</v>
      </c>
      <c r="O203" s="5" t="s">
        <v>52</v>
      </c>
      <c r="P203" s="5" t="s">
        <v>53</v>
      </c>
      <c r="Q203" s="5" t="s">
        <v>54</v>
      </c>
      <c r="R203" s="5" t="s">
        <v>55</v>
      </c>
      <c r="S203" s="5" t="s">
        <v>56</v>
      </c>
      <c r="T203" s="5" t="s">
        <v>57</v>
      </c>
      <c r="U203" s="5" t="s">
        <v>58</v>
      </c>
      <c r="V203" s="5" t="s">
        <v>59</v>
      </c>
      <c r="W203" s="5" t="s">
        <v>194</v>
      </c>
      <c r="X203" s="5" t="s">
        <v>1121</v>
      </c>
      <c r="Y203" s="5" t="s">
        <v>1122</v>
      </c>
      <c r="Z203" s="9">
        <v>46043</v>
      </c>
      <c r="AA203" s="8">
        <v>12</v>
      </c>
      <c r="AB203" s="9">
        <f t="shared" si="10"/>
        <v>46408</v>
      </c>
      <c r="AC203" s="10">
        <v>22</v>
      </c>
      <c r="AD203" s="7">
        <f t="shared" si="11"/>
        <v>2246</v>
      </c>
      <c r="AE203" s="7">
        <f>IF(F203="Bullet",H203*AD203,MIN(MAX(I203,1),Assumptions!$B$6)*AD203)</f>
        <v>2246</v>
      </c>
      <c r="AF203" s="8">
        <f>IF(F203="Bullet",MAX(0,Assumptions!$B$4-AB203),MAX(0,Assumptions!$B$4-L203))</f>
        <v>12</v>
      </c>
      <c r="AG203" s="9">
        <v>46256</v>
      </c>
      <c r="AH203" s="8">
        <f>IF(AG203="","",Assumptions!$B$4-AG203)</f>
        <v>42</v>
      </c>
      <c r="AI203" s="5" t="s">
        <v>63</v>
      </c>
      <c r="AJ203" s="8">
        <v>2</v>
      </c>
      <c r="AK203" s="8">
        <v>0</v>
      </c>
      <c r="AL203" s="8">
        <v>780</v>
      </c>
      <c r="AM203" s="8">
        <v>2</v>
      </c>
      <c r="AN203" s="5" t="s">
        <v>63</v>
      </c>
      <c r="AO203" s="10">
        <v>76</v>
      </c>
      <c r="AP203" s="8">
        <v>18</v>
      </c>
      <c r="AQ203" s="9">
        <v>46288</v>
      </c>
      <c r="AR203" s="5" t="s">
        <v>70</v>
      </c>
      <c r="AS203" s="5" t="s">
        <v>274</v>
      </c>
    </row>
    <row r="204" spans="1:45" x14ac:dyDescent="0.35">
      <c r="A204" s="5" t="s">
        <v>1123</v>
      </c>
      <c r="B204" s="5" t="s">
        <v>1124</v>
      </c>
      <c r="C204" s="6" t="s">
        <v>1125</v>
      </c>
      <c r="D204" s="7">
        <v>374100</v>
      </c>
      <c r="E204" s="5" t="s">
        <v>48</v>
      </c>
      <c r="F204" s="5" t="s">
        <v>68</v>
      </c>
      <c r="G204" s="8">
        <v>6</v>
      </c>
      <c r="H204" s="8">
        <f>IF(F204="Bullet",MIN(G204,Assumptions!$B$6),"")</f>
        <v>2</v>
      </c>
      <c r="I204" s="8"/>
      <c r="J204" s="8" t="str">
        <f>IF(F204="Monthly interest",MAX(0,Assumptions!$B$5-I204),"")</f>
        <v/>
      </c>
      <c r="K204" s="7">
        <f t="shared" si="9"/>
        <v>26190</v>
      </c>
      <c r="L204" s="9">
        <v>46100</v>
      </c>
      <c r="M204" s="5" t="s">
        <v>116</v>
      </c>
      <c r="N204" s="5" t="s">
        <v>117</v>
      </c>
      <c r="O204" s="5" t="s">
        <v>461</v>
      </c>
      <c r="P204" s="5" t="s">
        <v>72</v>
      </c>
      <c r="Q204" s="5" t="s">
        <v>169</v>
      </c>
      <c r="R204" s="5" t="s">
        <v>170</v>
      </c>
      <c r="S204" s="5" t="s">
        <v>185</v>
      </c>
      <c r="T204" s="5" t="s">
        <v>57</v>
      </c>
      <c r="U204" s="5" t="s">
        <v>86</v>
      </c>
      <c r="V204" s="5" t="s">
        <v>200</v>
      </c>
      <c r="W204" s="5" t="s">
        <v>767</v>
      </c>
      <c r="X204" s="5" t="s">
        <v>1126</v>
      </c>
      <c r="Y204" s="5" t="s">
        <v>1127</v>
      </c>
      <c r="Z204" s="9">
        <v>46100</v>
      </c>
      <c r="AA204" s="8">
        <v>6</v>
      </c>
      <c r="AB204" s="9">
        <f t="shared" si="10"/>
        <v>46284</v>
      </c>
      <c r="AC204" s="10">
        <v>14</v>
      </c>
      <c r="AD204" s="7">
        <f t="shared" si="11"/>
        <v>4365</v>
      </c>
      <c r="AE204" s="7">
        <f>IF(F204="Bullet",H204*AD204,MIN(MAX(I204,1),Assumptions!$B$6)*AD204)</f>
        <v>8730</v>
      </c>
      <c r="AF204" s="8">
        <f>IF(F204="Bullet",MAX(0,Assumptions!$B$4-AB204),MAX(0,Assumptions!$B$4-L204))</f>
        <v>14</v>
      </c>
      <c r="AG204" s="9"/>
      <c r="AH204" s="8" t="str">
        <f>IF(AG204="","",Assumptions!$B$4-AG204)</f>
        <v/>
      </c>
      <c r="AI204" s="5" t="s">
        <v>80</v>
      </c>
      <c r="AJ204" s="8"/>
      <c r="AK204" s="8">
        <v>0</v>
      </c>
      <c r="AL204" s="8">
        <v>633</v>
      </c>
      <c r="AM204" s="8">
        <v>1</v>
      </c>
      <c r="AN204" s="5" t="s">
        <v>63</v>
      </c>
      <c r="AO204" s="10">
        <v>88</v>
      </c>
      <c r="AP204" s="8">
        <v>73</v>
      </c>
      <c r="AQ204" s="9">
        <v>46291</v>
      </c>
      <c r="AR204" s="5" t="s">
        <v>53</v>
      </c>
      <c r="AS204" s="5" t="s">
        <v>91</v>
      </c>
    </row>
    <row r="205" spans="1:45" x14ac:dyDescent="0.35">
      <c r="A205" s="5" t="s">
        <v>1128</v>
      </c>
      <c r="B205" s="5" t="s">
        <v>1129</v>
      </c>
      <c r="C205" s="6" t="s">
        <v>1130</v>
      </c>
      <c r="D205" s="7">
        <v>1278200</v>
      </c>
      <c r="E205" s="5" t="s">
        <v>48</v>
      </c>
      <c r="F205" s="5" t="s">
        <v>68</v>
      </c>
      <c r="G205" s="8">
        <v>3</v>
      </c>
      <c r="H205" s="8">
        <f>IF(F205="Bullet",MIN(G205,Assumptions!$B$6),"")</f>
        <v>2</v>
      </c>
      <c r="I205" s="8"/>
      <c r="J205" s="8" t="str">
        <f>IF(F205="Monthly interest",MAX(0,Assumptions!$B$5-I205),"")</f>
        <v/>
      </c>
      <c r="K205" s="7">
        <f t="shared" si="9"/>
        <v>44736</v>
      </c>
      <c r="L205" s="9">
        <v>46191</v>
      </c>
      <c r="M205" s="5" t="s">
        <v>116</v>
      </c>
      <c r="N205" s="5" t="s">
        <v>117</v>
      </c>
      <c r="O205" s="5" t="s">
        <v>207</v>
      </c>
      <c r="P205" s="5" t="s">
        <v>72</v>
      </c>
      <c r="Q205" s="5" t="s">
        <v>73</v>
      </c>
      <c r="R205" s="5" t="s">
        <v>74</v>
      </c>
      <c r="S205" s="5" t="s">
        <v>253</v>
      </c>
      <c r="T205" s="5" t="s">
        <v>57</v>
      </c>
      <c r="U205" s="5" t="s">
        <v>58</v>
      </c>
      <c r="V205" s="5" t="s">
        <v>200</v>
      </c>
      <c r="W205" s="5" t="s">
        <v>500</v>
      </c>
      <c r="X205" s="5" t="s">
        <v>1131</v>
      </c>
      <c r="Y205" s="5" t="s">
        <v>1132</v>
      </c>
      <c r="Z205" s="9">
        <v>46191</v>
      </c>
      <c r="AA205" s="8">
        <v>12</v>
      </c>
      <c r="AB205" s="9">
        <f t="shared" si="10"/>
        <v>46556</v>
      </c>
      <c r="AC205" s="10">
        <v>14</v>
      </c>
      <c r="AD205" s="7">
        <f t="shared" si="11"/>
        <v>14912</v>
      </c>
      <c r="AE205" s="7">
        <f>IF(F205="Bullet",H205*AD205,MIN(MAX(I205,1),Assumptions!$B$6)*AD205)</f>
        <v>29824</v>
      </c>
      <c r="AF205" s="8">
        <f>IF(F205="Bullet",MAX(0,Assumptions!$B$4-AB205),MAX(0,Assumptions!$B$4-L205))</f>
        <v>0</v>
      </c>
      <c r="AG205" s="9"/>
      <c r="AH205" s="8" t="str">
        <f>IF(AG205="","",Assumptions!$B$4-AG205)</f>
        <v/>
      </c>
      <c r="AI205" s="5" t="s">
        <v>80</v>
      </c>
      <c r="AJ205" s="8"/>
      <c r="AK205" s="8">
        <v>1</v>
      </c>
      <c r="AL205" s="8" t="s">
        <v>80</v>
      </c>
      <c r="AM205" s="8">
        <v>0</v>
      </c>
      <c r="AN205" s="5" t="s">
        <v>57</v>
      </c>
      <c r="AO205" s="10">
        <v>88</v>
      </c>
      <c r="AP205" s="8">
        <v>52</v>
      </c>
      <c r="AQ205" s="9">
        <v>46274</v>
      </c>
      <c r="AR205" s="5" t="s">
        <v>51</v>
      </c>
      <c r="AS205" s="5" t="s">
        <v>64</v>
      </c>
    </row>
    <row r="206" spans="1:45" x14ac:dyDescent="0.35">
      <c r="A206" s="5" t="s">
        <v>1133</v>
      </c>
      <c r="B206" s="5" t="s">
        <v>1134</v>
      </c>
      <c r="C206" s="6" t="s">
        <v>1135</v>
      </c>
      <c r="D206" s="7">
        <v>126300</v>
      </c>
      <c r="E206" s="5" t="s">
        <v>48</v>
      </c>
      <c r="F206" s="5" t="s">
        <v>68</v>
      </c>
      <c r="G206" s="8">
        <v>5</v>
      </c>
      <c r="H206" s="8">
        <f>IF(F206="Bullet",MIN(G206,Assumptions!$B$6),"")</f>
        <v>2</v>
      </c>
      <c r="I206" s="8"/>
      <c r="J206" s="8" t="str">
        <f>IF(F206="Monthly interest",MAX(0,Assumptions!$B$5-I206),"")</f>
        <v/>
      </c>
      <c r="K206" s="7">
        <f t="shared" si="9"/>
        <v>6840</v>
      </c>
      <c r="L206" s="9">
        <v>46133</v>
      </c>
      <c r="M206" s="5" t="s">
        <v>116</v>
      </c>
      <c r="N206" s="5" t="s">
        <v>117</v>
      </c>
      <c r="O206" s="5" t="s">
        <v>461</v>
      </c>
      <c r="P206" s="5" t="s">
        <v>72</v>
      </c>
      <c r="Q206" s="5" t="s">
        <v>169</v>
      </c>
      <c r="R206" s="5" t="s">
        <v>170</v>
      </c>
      <c r="S206" s="5" t="s">
        <v>56</v>
      </c>
      <c r="T206" s="5" t="s">
        <v>57</v>
      </c>
      <c r="U206" s="5" t="s">
        <v>104</v>
      </c>
      <c r="V206" s="5" t="s">
        <v>59</v>
      </c>
      <c r="W206" s="5" t="s">
        <v>60</v>
      </c>
      <c r="X206" s="5" t="s">
        <v>1136</v>
      </c>
      <c r="Y206" s="5" t="s">
        <v>1137</v>
      </c>
      <c r="Z206" s="9">
        <v>46133</v>
      </c>
      <c r="AA206" s="8">
        <v>6</v>
      </c>
      <c r="AB206" s="9">
        <f t="shared" si="10"/>
        <v>46316</v>
      </c>
      <c r="AC206" s="10">
        <v>13</v>
      </c>
      <c r="AD206" s="7">
        <f t="shared" si="11"/>
        <v>1368</v>
      </c>
      <c r="AE206" s="7">
        <f>IF(F206="Bullet",H206*AD206,MIN(MAX(I206,1),Assumptions!$B$6)*AD206)</f>
        <v>2736</v>
      </c>
      <c r="AF206" s="8">
        <f>IF(F206="Bullet",MAX(0,Assumptions!$B$4-AB206),MAX(0,Assumptions!$B$4-L206))</f>
        <v>0</v>
      </c>
      <c r="AG206" s="9"/>
      <c r="AH206" s="8" t="str">
        <f>IF(AG206="","",Assumptions!$B$4-AG206)</f>
        <v/>
      </c>
      <c r="AI206" s="5" t="s">
        <v>80</v>
      </c>
      <c r="AJ206" s="8"/>
      <c r="AK206" s="8">
        <v>1</v>
      </c>
      <c r="AL206" s="8">
        <v>741</v>
      </c>
      <c r="AM206" s="8">
        <v>2</v>
      </c>
      <c r="AN206" s="5" t="s">
        <v>63</v>
      </c>
      <c r="AO206" s="10">
        <v>80.599999999999994</v>
      </c>
      <c r="AP206" s="8">
        <v>50</v>
      </c>
      <c r="AQ206" s="9">
        <v>46289</v>
      </c>
      <c r="AR206" s="5" t="s">
        <v>51</v>
      </c>
      <c r="AS206" s="5" t="s">
        <v>91</v>
      </c>
    </row>
    <row r="207" spans="1:45" x14ac:dyDescent="0.35">
      <c r="A207" s="5" t="s">
        <v>1138</v>
      </c>
      <c r="B207" s="5" t="s">
        <v>1139</v>
      </c>
      <c r="C207" s="6" t="s">
        <v>1140</v>
      </c>
      <c r="D207" s="7">
        <v>652300</v>
      </c>
      <c r="E207" s="5" t="s">
        <v>48</v>
      </c>
      <c r="F207" s="5" t="s">
        <v>68</v>
      </c>
      <c r="G207" s="8">
        <v>3</v>
      </c>
      <c r="H207" s="8">
        <f>IF(F207="Bullet",MIN(G207,Assumptions!$B$6),"")</f>
        <v>2</v>
      </c>
      <c r="I207" s="8"/>
      <c r="J207" s="8" t="str">
        <f>IF(F207="Monthly interest",MAX(0,Assumptions!$B$5-I207),"")</f>
        <v/>
      </c>
      <c r="K207" s="7">
        <f t="shared" si="9"/>
        <v>21201</v>
      </c>
      <c r="L207" s="9">
        <v>46192</v>
      </c>
      <c r="M207" s="5" t="s">
        <v>69</v>
      </c>
      <c r="N207" s="5" t="s">
        <v>70</v>
      </c>
      <c r="O207" s="5" t="s">
        <v>71</v>
      </c>
      <c r="P207" s="5" t="s">
        <v>72</v>
      </c>
      <c r="Q207" s="5" t="s">
        <v>73</v>
      </c>
      <c r="R207" s="5" t="s">
        <v>74</v>
      </c>
      <c r="S207" s="5" t="s">
        <v>56</v>
      </c>
      <c r="T207" s="5" t="s">
        <v>57</v>
      </c>
      <c r="U207" s="5" t="s">
        <v>86</v>
      </c>
      <c r="V207" s="5" t="s">
        <v>59</v>
      </c>
      <c r="W207" s="5" t="s">
        <v>126</v>
      </c>
      <c r="X207" s="5" t="s">
        <v>127</v>
      </c>
      <c r="Y207" s="5" t="s">
        <v>1141</v>
      </c>
      <c r="Z207" s="9">
        <v>46192</v>
      </c>
      <c r="AA207" s="8">
        <v>6</v>
      </c>
      <c r="AB207" s="9">
        <f t="shared" si="10"/>
        <v>46375</v>
      </c>
      <c r="AC207" s="10">
        <v>13</v>
      </c>
      <c r="AD207" s="7">
        <f t="shared" si="11"/>
        <v>7067</v>
      </c>
      <c r="AE207" s="7">
        <f>IF(F207="Bullet",H207*AD207,MIN(MAX(I207,1),Assumptions!$B$6)*AD207)</f>
        <v>14134</v>
      </c>
      <c r="AF207" s="8">
        <f>IF(F207="Bullet",MAX(0,Assumptions!$B$4-AB207),MAX(0,Assumptions!$B$4-L207))</f>
        <v>0</v>
      </c>
      <c r="AG207" s="9"/>
      <c r="AH207" s="8" t="str">
        <f>IF(AG207="","",Assumptions!$B$4-AG207)</f>
        <v/>
      </c>
      <c r="AI207" s="5" t="s">
        <v>80</v>
      </c>
      <c r="AJ207" s="8"/>
      <c r="AK207" s="8">
        <v>1</v>
      </c>
      <c r="AL207" s="8">
        <v>664</v>
      </c>
      <c r="AM207" s="8">
        <v>0</v>
      </c>
      <c r="AN207" s="5" t="s">
        <v>63</v>
      </c>
      <c r="AO207" s="10">
        <v>85.4</v>
      </c>
      <c r="AP207" s="8">
        <v>35</v>
      </c>
      <c r="AQ207" s="9">
        <v>46277</v>
      </c>
      <c r="AR207" s="5" t="s">
        <v>53</v>
      </c>
      <c r="AS207" s="5" t="s">
        <v>64</v>
      </c>
    </row>
    <row r="208" spans="1:45" x14ac:dyDescent="0.35">
      <c r="A208" s="5" t="s">
        <v>1142</v>
      </c>
      <c r="B208" s="5" t="s">
        <v>1143</v>
      </c>
      <c r="C208" s="6" t="s">
        <v>1144</v>
      </c>
      <c r="D208" s="7">
        <v>125500</v>
      </c>
      <c r="E208" s="5" t="s">
        <v>48</v>
      </c>
      <c r="F208" s="5" t="s">
        <v>49</v>
      </c>
      <c r="G208" s="8"/>
      <c r="H208" s="8" t="str">
        <f>IF(F208="Bullet",MIN(G208,Assumptions!$B$6),"")</f>
        <v/>
      </c>
      <c r="I208" s="8">
        <v>2</v>
      </c>
      <c r="J208" s="8">
        <f>IF(F208="Monthly interest",MAX(0,Assumptions!$B$5-I208),"")</f>
        <v>1</v>
      </c>
      <c r="K208" s="7">
        <f t="shared" si="9"/>
        <v>3346</v>
      </c>
      <c r="L208" s="9">
        <v>46241</v>
      </c>
      <c r="M208" s="5" t="s">
        <v>116</v>
      </c>
      <c r="N208" s="5" t="s">
        <v>117</v>
      </c>
      <c r="O208" s="5" t="s">
        <v>118</v>
      </c>
      <c r="P208" s="5" t="s">
        <v>72</v>
      </c>
      <c r="Q208" s="5" t="s">
        <v>119</v>
      </c>
      <c r="R208" s="5" t="s">
        <v>120</v>
      </c>
      <c r="S208" s="5" t="s">
        <v>185</v>
      </c>
      <c r="T208" s="5" t="s">
        <v>57</v>
      </c>
      <c r="U208" s="5" t="s">
        <v>104</v>
      </c>
      <c r="V208" s="5" t="s">
        <v>186</v>
      </c>
      <c r="W208" s="5" t="s">
        <v>187</v>
      </c>
      <c r="X208" s="5" t="s">
        <v>1145</v>
      </c>
      <c r="Y208" s="5" t="s">
        <v>1146</v>
      </c>
      <c r="Z208" s="9">
        <v>45998</v>
      </c>
      <c r="AA208" s="8">
        <v>24</v>
      </c>
      <c r="AB208" s="9">
        <f t="shared" si="10"/>
        <v>46728</v>
      </c>
      <c r="AC208" s="10">
        <v>16</v>
      </c>
      <c r="AD208" s="7">
        <f t="shared" si="11"/>
        <v>1673</v>
      </c>
      <c r="AE208" s="7">
        <f>IF(F208="Bullet",H208*AD208,MIN(MAX(I208,1),Assumptions!$B$6)*AD208)</f>
        <v>3346</v>
      </c>
      <c r="AF208" s="8">
        <f>IF(F208="Bullet",MAX(0,Assumptions!$B$4-AB208),MAX(0,Assumptions!$B$4-L208))</f>
        <v>57</v>
      </c>
      <c r="AG208" s="9">
        <v>46211</v>
      </c>
      <c r="AH208" s="8">
        <f>IF(AG208="","",Assumptions!$B$4-AG208)</f>
        <v>87</v>
      </c>
      <c r="AI208" s="5" t="s">
        <v>57</v>
      </c>
      <c r="AJ208" s="8">
        <v>2</v>
      </c>
      <c r="AK208" s="8">
        <v>0</v>
      </c>
      <c r="AL208" s="8">
        <v>624</v>
      </c>
      <c r="AM208" s="8">
        <v>1</v>
      </c>
      <c r="AN208" s="5" t="s">
        <v>63</v>
      </c>
      <c r="AO208" s="10">
        <v>46.7</v>
      </c>
      <c r="AP208" s="8">
        <v>57</v>
      </c>
      <c r="AQ208" s="9">
        <v>46273</v>
      </c>
      <c r="AR208" s="5" t="s">
        <v>51</v>
      </c>
      <c r="AS208" s="5" t="s">
        <v>190</v>
      </c>
    </row>
    <row r="209" spans="1:45" x14ac:dyDescent="0.35">
      <c r="A209" s="5" t="s">
        <v>1147</v>
      </c>
      <c r="B209" s="5" t="s">
        <v>800</v>
      </c>
      <c r="C209" s="6" t="s">
        <v>1148</v>
      </c>
      <c r="D209" s="7">
        <v>157700</v>
      </c>
      <c r="E209" s="5" t="s">
        <v>48</v>
      </c>
      <c r="F209" s="5" t="s">
        <v>49</v>
      </c>
      <c r="G209" s="8"/>
      <c r="H209" s="8" t="str">
        <f>IF(F209="Bullet",MIN(G209,Assumptions!$B$6),"")</f>
        <v/>
      </c>
      <c r="I209" s="8">
        <v>1</v>
      </c>
      <c r="J209" s="8">
        <f>IF(F209="Monthly interest",MAX(0,Assumptions!$B$5-I209),"")</f>
        <v>2</v>
      </c>
      <c r="K209" s="7">
        <f t="shared" si="9"/>
        <v>2103</v>
      </c>
      <c r="L209" s="9">
        <v>46293</v>
      </c>
      <c r="M209" s="5" t="s">
        <v>50</v>
      </c>
      <c r="N209" s="5" t="s">
        <v>53</v>
      </c>
      <c r="O209" s="5" t="s">
        <v>103</v>
      </c>
      <c r="P209" s="5" t="s">
        <v>51</v>
      </c>
      <c r="Q209" s="5" t="s">
        <v>54</v>
      </c>
      <c r="R209" s="5" t="s">
        <v>55</v>
      </c>
      <c r="S209" s="5" t="s">
        <v>85</v>
      </c>
      <c r="T209" s="5" t="s">
        <v>57</v>
      </c>
      <c r="U209" s="5" t="s">
        <v>86</v>
      </c>
      <c r="V209" s="5" t="s">
        <v>133</v>
      </c>
      <c r="W209" s="5" t="s">
        <v>317</v>
      </c>
      <c r="X209" s="5" t="s">
        <v>891</v>
      </c>
      <c r="Y209" s="5" t="s">
        <v>1149</v>
      </c>
      <c r="Z209" s="9">
        <v>46231</v>
      </c>
      <c r="AA209" s="8">
        <v>24</v>
      </c>
      <c r="AB209" s="9">
        <f t="shared" si="10"/>
        <v>46962</v>
      </c>
      <c r="AC209" s="10">
        <v>16</v>
      </c>
      <c r="AD209" s="7">
        <f t="shared" si="11"/>
        <v>2103</v>
      </c>
      <c r="AE209" s="7">
        <f>IF(F209="Bullet",H209*AD209,MIN(MAX(I209,1),Assumptions!$B$6)*AD209)</f>
        <v>2103</v>
      </c>
      <c r="AF209" s="8">
        <f>IF(F209="Bullet",MAX(0,Assumptions!$B$4-AB209),MAX(0,Assumptions!$B$4-L209))</f>
        <v>5</v>
      </c>
      <c r="AG209" s="9">
        <v>46263</v>
      </c>
      <c r="AH209" s="8">
        <f>IF(AG209="","",Assumptions!$B$4-AG209)</f>
        <v>35</v>
      </c>
      <c r="AI209" s="5" t="s">
        <v>57</v>
      </c>
      <c r="AJ209" s="8">
        <v>1</v>
      </c>
      <c r="AK209" s="8">
        <v>0</v>
      </c>
      <c r="AL209" s="8">
        <v>752</v>
      </c>
      <c r="AM209" s="8">
        <v>1</v>
      </c>
      <c r="AN209" s="5" t="s">
        <v>63</v>
      </c>
      <c r="AO209" s="10">
        <v>56.4</v>
      </c>
      <c r="AP209" s="8">
        <v>20</v>
      </c>
      <c r="AQ209" s="9">
        <v>46275</v>
      </c>
      <c r="AR209" s="5" t="s">
        <v>51</v>
      </c>
      <c r="AS209" s="5" t="s">
        <v>81</v>
      </c>
    </row>
    <row r="210" spans="1:45" x14ac:dyDescent="0.35">
      <c r="A210" s="5" t="s">
        <v>1150</v>
      </c>
      <c r="B210" s="5" t="s">
        <v>1151</v>
      </c>
      <c r="C210" s="6" t="s">
        <v>1152</v>
      </c>
      <c r="D210" s="7">
        <v>387200</v>
      </c>
      <c r="E210" s="5" t="s">
        <v>48</v>
      </c>
      <c r="F210" s="5" t="s">
        <v>49</v>
      </c>
      <c r="G210" s="8"/>
      <c r="H210" s="8" t="str">
        <f>IF(F210="Bullet",MIN(G210,Assumptions!$B$6),"")</f>
        <v/>
      </c>
      <c r="I210" s="8">
        <v>2</v>
      </c>
      <c r="J210" s="8">
        <f>IF(F210="Monthly interest",MAX(0,Assumptions!$B$5-I210),"")</f>
        <v>1</v>
      </c>
      <c r="K210" s="7">
        <f t="shared" si="9"/>
        <v>9034</v>
      </c>
      <c r="L210" s="9">
        <v>46243</v>
      </c>
      <c r="M210" s="5" t="s">
        <v>69</v>
      </c>
      <c r="N210" s="5" t="s">
        <v>70</v>
      </c>
      <c r="O210" s="5" t="s">
        <v>71</v>
      </c>
      <c r="P210" s="5" t="s">
        <v>72</v>
      </c>
      <c r="Q210" s="5" t="s">
        <v>73</v>
      </c>
      <c r="R210" s="5" t="s">
        <v>74</v>
      </c>
      <c r="S210" s="5" t="s">
        <v>85</v>
      </c>
      <c r="T210" s="5" t="s">
        <v>57</v>
      </c>
      <c r="U210" s="5" t="s">
        <v>58</v>
      </c>
      <c r="V210" s="5" t="s">
        <v>177</v>
      </c>
      <c r="W210" s="5" t="s">
        <v>208</v>
      </c>
      <c r="X210" s="5" t="s">
        <v>904</v>
      </c>
      <c r="Y210" s="5" t="s">
        <v>1153</v>
      </c>
      <c r="Z210" s="9">
        <v>46000</v>
      </c>
      <c r="AA210" s="8">
        <v>24</v>
      </c>
      <c r="AB210" s="9">
        <f t="shared" si="10"/>
        <v>46730</v>
      </c>
      <c r="AC210" s="10">
        <v>14</v>
      </c>
      <c r="AD210" s="7">
        <f t="shared" si="11"/>
        <v>4517</v>
      </c>
      <c r="AE210" s="7">
        <f>IF(F210="Bullet",H210*AD210,MIN(MAX(I210,1),Assumptions!$B$6)*AD210)</f>
        <v>9034</v>
      </c>
      <c r="AF210" s="8">
        <f>IF(F210="Bullet",MAX(0,Assumptions!$B$4-AB210),MAX(0,Assumptions!$B$4-L210))</f>
        <v>55</v>
      </c>
      <c r="AG210" s="9">
        <v>46213</v>
      </c>
      <c r="AH210" s="8">
        <f>IF(AG210="","",Assumptions!$B$4-AG210)</f>
        <v>85</v>
      </c>
      <c r="AI210" s="5" t="s">
        <v>57</v>
      </c>
      <c r="AJ210" s="8">
        <v>2</v>
      </c>
      <c r="AK210" s="8">
        <v>0</v>
      </c>
      <c r="AL210" s="8">
        <v>737</v>
      </c>
      <c r="AM210" s="8">
        <v>0</v>
      </c>
      <c r="AN210" s="5" t="s">
        <v>63</v>
      </c>
      <c r="AO210" s="10">
        <v>65.400000000000006</v>
      </c>
      <c r="AP210" s="8">
        <v>34</v>
      </c>
      <c r="AQ210" s="9">
        <v>46295</v>
      </c>
      <c r="AR210" s="5" t="s">
        <v>51</v>
      </c>
      <c r="AS210" s="5" t="s">
        <v>91</v>
      </c>
    </row>
    <row r="211" spans="1:45" x14ac:dyDescent="0.35">
      <c r="A211" s="5" t="s">
        <v>1154</v>
      </c>
      <c r="B211" s="5" t="s">
        <v>1155</v>
      </c>
      <c r="C211" s="6" t="s">
        <v>1156</v>
      </c>
      <c r="D211" s="7">
        <v>139800</v>
      </c>
      <c r="E211" s="5" t="s">
        <v>48</v>
      </c>
      <c r="F211" s="5" t="s">
        <v>68</v>
      </c>
      <c r="G211" s="8">
        <v>5</v>
      </c>
      <c r="H211" s="8">
        <f>IF(F211="Bullet",MIN(G211,Assumptions!$B$6),"")</f>
        <v>2</v>
      </c>
      <c r="I211" s="8"/>
      <c r="J211" s="8" t="str">
        <f>IF(F211="Monthly interest",MAX(0,Assumptions!$B$5-I211),"")</f>
        <v/>
      </c>
      <c r="K211" s="7">
        <f t="shared" si="9"/>
        <v>8740</v>
      </c>
      <c r="L211" s="9">
        <v>46138</v>
      </c>
      <c r="M211" s="5" t="s">
        <v>116</v>
      </c>
      <c r="N211" s="5" t="s">
        <v>117</v>
      </c>
      <c r="O211" s="5" t="s">
        <v>461</v>
      </c>
      <c r="P211" s="5" t="s">
        <v>72</v>
      </c>
      <c r="Q211" s="5" t="s">
        <v>169</v>
      </c>
      <c r="R211" s="5" t="s">
        <v>170</v>
      </c>
      <c r="S211" s="5" t="s">
        <v>85</v>
      </c>
      <c r="T211" s="5" t="s">
        <v>57</v>
      </c>
      <c r="U211" s="5" t="s">
        <v>104</v>
      </c>
      <c r="V211" s="5" t="s">
        <v>133</v>
      </c>
      <c r="W211" s="5" t="s">
        <v>317</v>
      </c>
      <c r="X211" s="5" t="s">
        <v>891</v>
      </c>
      <c r="Y211" s="5" t="s">
        <v>1157</v>
      </c>
      <c r="Z211" s="9">
        <v>46138</v>
      </c>
      <c r="AA211" s="8">
        <v>12</v>
      </c>
      <c r="AB211" s="9">
        <f t="shared" si="10"/>
        <v>46503</v>
      </c>
      <c r="AC211" s="10">
        <v>15</v>
      </c>
      <c r="AD211" s="7">
        <f t="shared" si="11"/>
        <v>1748</v>
      </c>
      <c r="AE211" s="7">
        <f>IF(F211="Bullet",H211*AD211,MIN(MAX(I211,1),Assumptions!$B$6)*AD211)</f>
        <v>3496</v>
      </c>
      <c r="AF211" s="8">
        <f>IF(F211="Bullet",MAX(0,Assumptions!$B$4-AB211),MAX(0,Assumptions!$B$4-L211))</f>
        <v>0</v>
      </c>
      <c r="AG211" s="9"/>
      <c r="AH211" s="8" t="str">
        <f>IF(AG211="","",Assumptions!$B$4-AG211)</f>
        <v/>
      </c>
      <c r="AI211" s="5" t="s">
        <v>80</v>
      </c>
      <c r="AJ211" s="8"/>
      <c r="AK211" s="8">
        <v>2</v>
      </c>
      <c r="AL211" s="8" t="s">
        <v>80</v>
      </c>
      <c r="AM211" s="8">
        <v>1</v>
      </c>
      <c r="AN211" s="5" t="s">
        <v>63</v>
      </c>
      <c r="AO211" s="10">
        <v>88</v>
      </c>
      <c r="AP211" s="8">
        <v>57</v>
      </c>
      <c r="AQ211" s="9">
        <v>46288</v>
      </c>
      <c r="AR211" s="5" t="s">
        <v>53</v>
      </c>
      <c r="AS211" s="5" t="s">
        <v>81</v>
      </c>
    </row>
    <row r="212" spans="1:45" x14ac:dyDescent="0.35">
      <c r="A212" s="5" t="s">
        <v>1158</v>
      </c>
      <c r="B212" s="5" t="s">
        <v>1159</v>
      </c>
      <c r="C212" s="6" t="s">
        <v>1160</v>
      </c>
      <c r="D212" s="7">
        <v>67900</v>
      </c>
      <c r="E212" s="5" t="s">
        <v>48</v>
      </c>
      <c r="F212" s="5" t="s">
        <v>49</v>
      </c>
      <c r="G212" s="8"/>
      <c r="H212" s="8" t="str">
        <f>IF(F212="Bullet",MIN(G212,Assumptions!$B$6),"")</f>
        <v/>
      </c>
      <c r="I212" s="8">
        <v>1</v>
      </c>
      <c r="J212" s="8">
        <f>IF(F212="Monthly interest",MAX(0,Assumptions!$B$5-I212),"")</f>
        <v>2</v>
      </c>
      <c r="K212" s="7">
        <f t="shared" si="9"/>
        <v>1358</v>
      </c>
      <c r="L212" s="9">
        <v>46282</v>
      </c>
      <c r="M212" s="5" t="s">
        <v>50</v>
      </c>
      <c r="N212" s="5" t="s">
        <v>51</v>
      </c>
      <c r="O212" s="5" t="s">
        <v>52</v>
      </c>
      <c r="P212" s="5" t="s">
        <v>53</v>
      </c>
      <c r="Q212" s="5" t="s">
        <v>54</v>
      </c>
      <c r="R212" s="5" t="s">
        <v>55</v>
      </c>
      <c r="S212" s="5" t="s">
        <v>185</v>
      </c>
      <c r="T212" s="5" t="s">
        <v>57</v>
      </c>
      <c r="U212" s="5" t="s">
        <v>104</v>
      </c>
      <c r="V212" s="5" t="s">
        <v>186</v>
      </c>
      <c r="W212" s="5" t="s">
        <v>187</v>
      </c>
      <c r="X212" s="5" t="s">
        <v>1161</v>
      </c>
      <c r="Y212" s="5" t="s">
        <v>1162</v>
      </c>
      <c r="Z212" s="9">
        <v>46098</v>
      </c>
      <c r="AA212" s="8">
        <v>24</v>
      </c>
      <c r="AB212" s="9">
        <f t="shared" si="10"/>
        <v>46829</v>
      </c>
      <c r="AC212" s="10">
        <v>24</v>
      </c>
      <c r="AD212" s="7">
        <f t="shared" si="11"/>
        <v>1358</v>
      </c>
      <c r="AE212" s="7">
        <f>IF(F212="Bullet",H212*AD212,MIN(MAX(I212,1),Assumptions!$B$6)*AD212)</f>
        <v>1358</v>
      </c>
      <c r="AF212" s="8">
        <f>IF(F212="Bullet",MAX(0,Assumptions!$B$4-AB212),MAX(0,Assumptions!$B$4-L212))</f>
        <v>16</v>
      </c>
      <c r="AG212" s="9">
        <v>46252</v>
      </c>
      <c r="AH212" s="8">
        <f>IF(AG212="","",Assumptions!$B$4-AG212)</f>
        <v>46</v>
      </c>
      <c r="AI212" s="5" t="s">
        <v>63</v>
      </c>
      <c r="AJ212" s="8">
        <v>2</v>
      </c>
      <c r="AK212" s="8">
        <v>1</v>
      </c>
      <c r="AL212" s="8">
        <v>675</v>
      </c>
      <c r="AM212" s="8">
        <v>1</v>
      </c>
      <c r="AN212" s="5" t="s">
        <v>63</v>
      </c>
      <c r="AO212" s="10">
        <v>67.5</v>
      </c>
      <c r="AP212" s="8">
        <v>27</v>
      </c>
      <c r="AQ212" s="9">
        <v>46276</v>
      </c>
      <c r="AR212" s="5" t="s">
        <v>53</v>
      </c>
      <c r="AS212" s="5" t="s">
        <v>64</v>
      </c>
    </row>
    <row r="213" spans="1:45" x14ac:dyDescent="0.35">
      <c r="A213" s="5" t="s">
        <v>1163</v>
      </c>
      <c r="B213" s="5" t="s">
        <v>1164</v>
      </c>
      <c r="C213" s="6" t="s">
        <v>1165</v>
      </c>
      <c r="D213" s="7">
        <v>38000</v>
      </c>
      <c r="E213" s="5" t="s">
        <v>48</v>
      </c>
      <c r="F213" s="5" t="s">
        <v>49</v>
      </c>
      <c r="G213" s="8"/>
      <c r="H213" s="8" t="str">
        <f>IF(F213="Bullet",MIN(G213,Assumptions!$B$6),"")</f>
        <v/>
      </c>
      <c r="I213" s="8">
        <v>1</v>
      </c>
      <c r="J213" s="8">
        <f>IF(F213="Monthly interest",MAX(0,Assumptions!$B$5-I213),"")</f>
        <v>2</v>
      </c>
      <c r="K213" s="7">
        <f t="shared" si="9"/>
        <v>443</v>
      </c>
      <c r="L213" s="9">
        <v>46279</v>
      </c>
      <c r="M213" s="5" t="s">
        <v>50</v>
      </c>
      <c r="N213" s="5" t="s">
        <v>51</v>
      </c>
      <c r="O213" s="5" t="s">
        <v>152</v>
      </c>
      <c r="P213" s="5" t="s">
        <v>53</v>
      </c>
      <c r="Q213" s="5" t="s">
        <v>154</v>
      </c>
      <c r="R213" s="5" t="s">
        <v>155</v>
      </c>
      <c r="S213" s="5" t="s">
        <v>214</v>
      </c>
      <c r="T213" s="5" t="s">
        <v>57</v>
      </c>
      <c r="U213" s="5" t="s">
        <v>58</v>
      </c>
      <c r="V213" s="5" t="s">
        <v>215</v>
      </c>
      <c r="W213" s="5" t="s">
        <v>600</v>
      </c>
      <c r="X213" s="5" t="s">
        <v>1166</v>
      </c>
      <c r="Y213" s="5" t="s">
        <v>1167</v>
      </c>
      <c r="Z213" s="9">
        <v>46187</v>
      </c>
      <c r="AA213" s="8">
        <v>24</v>
      </c>
      <c r="AB213" s="9">
        <f t="shared" si="10"/>
        <v>46918</v>
      </c>
      <c r="AC213" s="10">
        <v>14</v>
      </c>
      <c r="AD213" s="7">
        <f t="shared" si="11"/>
        <v>443</v>
      </c>
      <c r="AE213" s="7">
        <f>IF(F213="Bullet",H213*AD213,MIN(MAX(I213,1),Assumptions!$B$6)*AD213)</f>
        <v>443</v>
      </c>
      <c r="AF213" s="8">
        <f>IF(F213="Bullet",MAX(0,Assumptions!$B$4-AB213),MAX(0,Assumptions!$B$4-L213))</f>
        <v>19</v>
      </c>
      <c r="AG213" s="9">
        <v>46249</v>
      </c>
      <c r="AH213" s="8">
        <f>IF(AG213="","",Assumptions!$B$4-AG213)</f>
        <v>49</v>
      </c>
      <c r="AI213" s="5" t="s">
        <v>63</v>
      </c>
      <c r="AJ213" s="8">
        <v>1</v>
      </c>
      <c r="AK213" s="8">
        <v>0</v>
      </c>
      <c r="AL213" s="8" t="s">
        <v>80</v>
      </c>
      <c r="AM213" s="8">
        <v>2</v>
      </c>
      <c r="AN213" s="5" t="s">
        <v>63</v>
      </c>
      <c r="AO213" s="10">
        <v>76</v>
      </c>
      <c r="AP213" s="8">
        <v>24</v>
      </c>
      <c r="AQ213" s="9">
        <v>46283</v>
      </c>
      <c r="AR213" s="5" t="s">
        <v>51</v>
      </c>
      <c r="AS213" s="5" t="s">
        <v>64</v>
      </c>
    </row>
    <row r="214" spans="1:45" x14ac:dyDescent="0.35">
      <c r="A214" s="5" t="s">
        <v>1168</v>
      </c>
      <c r="B214" s="5" t="s">
        <v>1169</v>
      </c>
      <c r="C214" s="6" t="s">
        <v>1170</v>
      </c>
      <c r="D214" s="7">
        <v>316800</v>
      </c>
      <c r="E214" s="5" t="s">
        <v>48</v>
      </c>
      <c r="F214" s="5" t="s">
        <v>68</v>
      </c>
      <c r="G214" s="8">
        <v>1</v>
      </c>
      <c r="H214" s="8">
        <f>IF(F214="Bullet",MIN(G214,Assumptions!$B$6),"")</f>
        <v>1</v>
      </c>
      <c r="I214" s="8"/>
      <c r="J214" s="8" t="str">
        <f>IF(F214="Monthly interest",MAX(0,Assumptions!$B$5-I214),"")</f>
        <v/>
      </c>
      <c r="K214" s="7">
        <f t="shared" si="9"/>
        <v>4224</v>
      </c>
      <c r="L214" s="9">
        <v>46260</v>
      </c>
      <c r="M214" s="5" t="s">
        <v>50</v>
      </c>
      <c r="N214" s="5" t="s">
        <v>51</v>
      </c>
      <c r="O214" s="5" t="s">
        <v>71</v>
      </c>
      <c r="P214" s="5" t="s">
        <v>53</v>
      </c>
      <c r="Q214" s="5" t="s">
        <v>73</v>
      </c>
      <c r="R214" s="5" t="s">
        <v>74</v>
      </c>
      <c r="S214" s="5" t="s">
        <v>214</v>
      </c>
      <c r="T214" s="5" t="s">
        <v>57</v>
      </c>
      <c r="U214" s="5" t="s">
        <v>104</v>
      </c>
      <c r="V214" s="5" t="s">
        <v>215</v>
      </c>
      <c r="W214" s="5" t="s">
        <v>242</v>
      </c>
      <c r="X214" s="5" t="s">
        <v>797</v>
      </c>
      <c r="Y214" s="5" t="s">
        <v>1171</v>
      </c>
      <c r="Z214" s="9">
        <v>46260</v>
      </c>
      <c r="AA214" s="8">
        <v>12</v>
      </c>
      <c r="AB214" s="9">
        <f t="shared" si="10"/>
        <v>46625</v>
      </c>
      <c r="AC214" s="10">
        <v>16</v>
      </c>
      <c r="AD214" s="7">
        <f t="shared" si="11"/>
        <v>4224</v>
      </c>
      <c r="AE214" s="7">
        <f>IF(F214="Bullet",H214*AD214,MIN(MAX(I214,1),Assumptions!$B$6)*AD214)</f>
        <v>4224</v>
      </c>
      <c r="AF214" s="8">
        <f>IF(F214="Bullet",MAX(0,Assumptions!$B$4-AB214),MAX(0,Assumptions!$B$4-L214))</f>
        <v>0</v>
      </c>
      <c r="AG214" s="9"/>
      <c r="AH214" s="8" t="str">
        <f>IF(AG214="","",Assumptions!$B$4-AG214)</f>
        <v/>
      </c>
      <c r="AI214" s="5" t="s">
        <v>80</v>
      </c>
      <c r="AJ214" s="8"/>
      <c r="AK214" s="8">
        <v>1</v>
      </c>
      <c r="AL214" s="8">
        <v>743</v>
      </c>
      <c r="AM214" s="8">
        <v>1</v>
      </c>
      <c r="AN214" s="5" t="s">
        <v>63</v>
      </c>
      <c r="AO214" s="10">
        <v>64</v>
      </c>
      <c r="AP214" s="8">
        <v>13</v>
      </c>
      <c r="AQ214" s="9">
        <v>46290</v>
      </c>
      <c r="AR214" s="5" t="s">
        <v>53</v>
      </c>
      <c r="AS214" s="5" t="s">
        <v>64</v>
      </c>
    </row>
    <row r="215" spans="1:45" x14ac:dyDescent="0.35">
      <c r="A215" s="5" t="s">
        <v>1172</v>
      </c>
      <c r="B215" s="5" t="s">
        <v>1173</v>
      </c>
      <c r="C215" s="6" t="s">
        <v>1174</v>
      </c>
      <c r="D215" s="7">
        <v>211600</v>
      </c>
      <c r="E215" s="5" t="s">
        <v>48</v>
      </c>
      <c r="F215" s="5" t="s">
        <v>68</v>
      </c>
      <c r="G215" s="8">
        <v>1</v>
      </c>
      <c r="H215" s="8">
        <f>IF(F215="Bullet",MIN(G215,Assumptions!$B$6),"")</f>
        <v>1</v>
      </c>
      <c r="I215" s="8"/>
      <c r="J215" s="8" t="str">
        <f>IF(F215="Monthly interest",MAX(0,Assumptions!$B$5-I215),"")</f>
        <v/>
      </c>
      <c r="K215" s="7">
        <f t="shared" si="9"/>
        <v>2821</v>
      </c>
      <c r="L215" s="9">
        <v>46260</v>
      </c>
      <c r="M215" s="5" t="s">
        <v>50</v>
      </c>
      <c r="N215" s="5" t="s">
        <v>51</v>
      </c>
      <c r="O215" s="5" t="s">
        <v>71</v>
      </c>
      <c r="P215" s="5" t="s">
        <v>53</v>
      </c>
      <c r="Q215" s="5" t="s">
        <v>73</v>
      </c>
      <c r="R215" s="5" t="s">
        <v>74</v>
      </c>
      <c r="S215" s="5" t="s">
        <v>85</v>
      </c>
      <c r="T215" s="5" t="s">
        <v>57</v>
      </c>
      <c r="U215" s="5" t="s">
        <v>58</v>
      </c>
      <c r="V215" s="5" t="s">
        <v>87</v>
      </c>
      <c r="W215" s="5" t="s">
        <v>361</v>
      </c>
      <c r="X215" s="5" t="s">
        <v>1175</v>
      </c>
      <c r="Y215" s="5" t="s">
        <v>1176</v>
      </c>
      <c r="Z215" s="9">
        <v>46260</v>
      </c>
      <c r="AA215" s="8">
        <v>12</v>
      </c>
      <c r="AB215" s="9">
        <f t="shared" si="10"/>
        <v>46625</v>
      </c>
      <c r="AC215" s="10">
        <v>16</v>
      </c>
      <c r="AD215" s="7">
        <f t="shared" si="11"/>
        <v>2821</v>
      </c>
      <c r="AE215" s="7">
        <f>IF(F215="Bullet",H215*AD215,MIN(MAX(I215,1),Assumptions!$B$6)*AD215)</f>
        <v>2821</v>
      </c>
      <c r="AF215" s="8">
        <f>IF(F215="Bullet",MAX(0,Assumptions!$B$4-AB215),MAX(0,Assumptions!$B$4-L215))</f>
        <v>0</v>
      </c>
      <c r="AG215" s="9"/>
      <c r="AH215" s="8" t="str">
        <f>IF(AG215="","",Assumptions!$B$4-AG215)</f>
        <v/>
      </c>
      <c r="AI215" s="5" t="s">
        <v>80</v>
      </c>
      <c r="AJ215" s="8"/>
      <c r="AK215" s="8">
        <v>0</v>
      </c>
      <c r="AL215" s="8">
        <v>641</v>
      </c>
      <c r="AM215" s="8">
        <v>1</v>
      </c>
      <c r="AN215" s="5" t="s">
        <v>63</v>
      </c>
      <c r="AO215" s="10">
        <v>58.1</v>
      </c>
      <c r="AP215" s="8">
        <v>15</v>
      </c>
      <c r="AQ215" s="9"/>
      <c r="AR215" s="5"/>
      <c r="AS215" s="5" t="s">
        <v>159</v>
      </c>
    </row>
    <row r="216" spans="1:45" x14ac:dyDescent="0.35">
      <c r="A216" s="5" t="s">
        <v>1177</v>
      </c>
      <c r="B216" s="5" t="s">
        <v>1178</v>
      </c>
      <c r="C216" s="6" t="s">
        <v>1179</v>
      </c>
      <c r="D216" s="7">
        <v>192300</v>
      </c>
      <c r="E216" s="5" t="s">
        <v>48</v>
      </c>
      <c r="F216" s="5" t="s">
        <v>68</v>
      </c>
      <c r="G216" s="8">
        <v>5</v>
      </c>
      <c r="H216" s="8">
        <f>IF(F216="Bullet",MIN(G216,Assumptions!$B$6),"")</f>
        <v>2</v>
      </c>
      <c r="I216" s="8"/>
      <c r="J216" s="8" t="str">
        <f>IF(F216="Monthly interest",MAX(0,Assumptions!$B$5-I216),"")</f>
        <v/>
      </c>
      <c r="K216" s="7">
        <f t="shared" si="9"/>
        <v>14425</v>
      </c>
      <c r="L216" s="9">
        <v>46135</v>
      </c>
      <c r="M216" s="5" t="s">
        <v>69</v>
      </c>
      <c r="N216" s="5" t="s">
        <v>53</v>
      </c>
      <c r="O216" s="5" t="s">
        <v>168</v>
      </c>
      <c r="P216" s="5" t="s">
        <v>70</v>
      </c>
      <c r="Q216" s="5" t="s">
        <v>169</v>
      </c>
      <c r="R216" s="5" t="s">
        <v>170</v>
      </c>
      <c r="S216" s="5" t="s">
        <v>214</v>
      </c>
      <c r="T216" s="5" t="s">
        <v>57</v>
      </c>
      <c r="U216" s="5" t="s">
        <v>86</v>
      </c>
      <c r="V216" s="5" t="s">
        <v>215</v>
      </c>
      <c r="W216" s="5" t="s">
        <v>278</v>
      </c>
      <c r="X216" s="5" t="s">
        <v>279</v>
      </c>
      <c r="Y216" s="5" t="s">
        <v>1180</v>
      </c>
      <c r="Z216" s="9">
        <v>46135</v>
      </c>
      <c r="AA216" s="8">
        <v>6</v>
      </c>
      <c r="AB216" s="9">
        <f t="shared" si="10"/>
        <v>46318</v>
      </c>
      <c r="AC216" s="10">
        <v>18</v>
      </c>
      <c r="AD216" s="7">
        <f t="shared" si="11"/>
        <v>2885</v>
      </c>
      <c r="AE216" s="7">
        <f>IF(F216="Bullet",H216*AD216,MIN(MAX(I216,1),Assumptions!$B$6)*AD216)</f>
        <v>5770</v>
      </c>
      <c r="AF216" s="8">
        <f>IF(F216="Bullet",MAX(0,Assumptions!$B$4-AB216),MAX(0,Assumptions!$B$4-L216))</f>
        <v>0</v>
      </c>
      <c r="AG216" s="9"/>
      <c r="AH216" s="8" t="str">
        <f>IF(AG216="","",Assumptions!$B$4-AG216)</f>
        <v/>
      </c>
      <c r="AI216" s="5" t="s">
        <v>80</v>
      </c>
      <c r="AJ216" s="8"/>
      <c r="AK216" s="8">
        <v>2</v>
      </c>
      <c r="AL216" s="8">
        <v>717</v>
      </c>
      <c r="AM216" s="8">
        <v>1</v>
      </c>
      <c r="AN216" s="5" t="s">
        <v>63</v>
      </c>
      <c r="AO216" s="10">
        <v>58.8</v>
      </c>
      <c r="AP216" s="8">
        <v>43</v>
      </c>
      <c r="AQ216" s="9">
        <v>46275</v>
      </c>
      <c r="AR216" s="5" t="s">
        <v>70</v>
      </c>
      <c r="AS216" s="5" t="s">
        <v>81</v>
      </c>
    </row>
    <row r="217" spans="1:45" x14ac:dyDescent="0.35">
      <c r="A217" s="5" t="s">
        <v>1181</v>
      </c>
      <c r="B217" s="5" t="s">
        <v>1182</v>
      </c>
      <c r="C217" s="6" t="s">
        <v>1183</v>
      </c>
      <c r="D217" s="7">
        <v>52400</v>
      </c>
      <c r="E217" s="5" t="s">
        <v>48</v>
      </c>
      <c r="F217" s="5" t="s">
        <v>49</v>
      </c>
      <c r="G217" s="8"/>
      <c r="H217" s="8" t="str">
        <f>IF(F217="Bullet",MIN(G217,Assumptions!$B$6),"")</f>
        <v/>
      </c>
      <c r="I217" s="8">
        <v>1</v>
      </c>
      <c r="J217" s="8">
        <f>IF(F217="Monthly interest",MAX(0,Assumptions!$B$5-I217),"")</f>
        <v>2</v>
      </c>
      <c r="K217" s="7">
        <f t="shared" si="9"/>
        <v>786</v>
      </c>
      <c r="L217" s="9">
        <v>46279</v>
      </c>
      <c r="M217" s="5" t="s">
        <v>50</v>
      </c>
      <c r="N217" s="5" t="s">
        <v>51</v>
      </c>
      <c r="O217" s="5" t="s">
        <v>52</v>
      </c>
      <c r="P217" s="5" t="s">
        <v>53</v>
      </c>
      <c r="Q217" s="5" t="s">
        <v>54</v>
      </c>
      <c r="R217" s="5" t="s">
        <v>55</v>
      </c>
      <c r="S217" s="5" t="s">
        <v>56</v>
      </c>
      <c r="T217" s="5" t="s">
        <v>57</v>
      </c>
      <c r="U217" s="5" t="s">
        <v>86</v>
      </c>
      <c r="V217" s="5" t="s">
        <v>59</v>
      </c>
      <c r="W217" s="5" t="s">
        <v>418</v>
      </c>
      <c r="X217" s="5" t="s">
        <v>1184</v>
      </c>
      <c r="Y217" s="5" t="s">
        <v>1185</v>
      </c>
      <c r="Z217" s="9">
        <v>46005</v>
      </c>
      <c r="AA217" s="8">
        <v>12</v>
      </c>
      <c r="AB217" s="9">
        <f t="shared" si="10"/>
        <v>46370</v>
      </c>
      <c r="AC217" s="10">
        <v>18</v>
      </c>
      <c r="AD217" s="7">
        <f t="shared" si="11"/>
        <v>786</v>
      </c>
      <c r="AE217" s="7">
        <f>IF(F217="Bullet",H217*AD217,MIN(MAX(I217,1),Assumptions!$B$6)*AD217)</f>
        <v>786</v>
      </c>
      <c r="AF217" s="8">
        <f>IF(F217="Bullet",MAX(0,Assumptions!$B$4-AB217),MAX(0,Assumptions!$B$4-L217))</f>
        <v>19</v>
      </c>
      <c r="AG217" s="9">
        <v>46249</v>
      </c>
      <c r="AH217" s="8">
        <f>IF(AG217="","",Assumptions!$B$4-AG217)</f>
        <v>49</v>
      </c>
      <c r="AI217" s="5" t="s">
        <v>57</v>
      </c>
      <c r="AJ217" s="8">
        <v>1</v>
      </c>
      <c r="AK217" s="8">
        <v>0</v>
      </c>
      <c r="AL217" s="8">
        <v>738</v>
      </c>
      <c r="AM217" s="8">
        <v>2</v>
      </c>
      <c r="AN217" s="5" t="s">
        <v>63</v>
      </c>
      <c r="AO217" s="10">
        <v>79.2</v>
      </c>
      <c r="AP217" s="8">
        <v>22</v>
      </c>
      <c r="AQ217" s="9">
        <v>46273</v>
      </c>
      <c r="AR217" s="5" t="s">
        <v>53</v>
      </c>
      <c r="AS217" s="5" t="s">
        <v>190</v>
      </c>
    </row>
    <row r="218" spans="1:45" x14ac:dyDescent="0.35">
      <c r="A218" s="5" t="s">
        <v>1186</v>
      </c>
      <c r="B218" s="5" t="s">
        <v>1187</v>
      </c>
      <c r="C218" s="6" t="s">
        <v>1188</v>
      </c>
      <c r="D218" s="7">
        <v>207900</v>
      </c>
      <c r="E218" s="5" t="s">
        <v>48</v>
      </c>
      <c r="F218" s="5" t="s">
        <v>68</v>
      </c>
      <c r="G218" s="8">
        <v>3</v>
      </c>
      <c r="H218" s="8">
        <f>IF(F218="Bullet",MIN(G218,Assumptions!$B$6),"")</f>
        <v>2</v>
      </c>
      <c r="I218" s="8"/>
      <c r="J218" s="8" t="str">
        <f>IF(F218="Monthly interest",MAX(0,Assumptions!$B$5-I218),"")</f>
        <v/>
      </c>
      <c r="K218" s="7">
        <f t="shared" si="9"/>
        <v>6237</v>
      </c>
      <c r="L218" s="9">
        <v>46186</v>
      </c>
      <c r="M218" s="5" t="s">
        <v>69</v>
      </c>
      <c r="N218" s="5" t="s">
        <v>70</v>
      </c>
      <c r="O218" s="5" t="s">
        <v>71</v>
      </c>
      <c r="P218" s="5" t="s">
        <v>72</v>
      </c>
      <c r="Q218" s="5" t="s">
        <v>73</v>
      </c>
      <c r="R218" s="5" t="s">
        <v>74</v>
      </c>
      <c r="S218" s="5" t="s">
        <v>85</v>
      </c>
      <c r="T218" s="5" t="s">
        <v>57</v>
      </c>
      <c r="U218" s="5" t="s">
        <v>86</v>
      </c>
      <c r="V218" s="5" t="s">
        <v>177</v>
      </c>
      <c r="W218" s="5" t="s">
        <v>208</v>
      </c>
      <c r="X218" s="5" t="s">
        <v>904</v>
      </c>
      <c r="Y218" s="5" t="s">
        <v>1189</v>
      </c>
      <c r="Z218" s="9">
        <v>46186</v>
      </c>
      <c r="AA218" s="8">
        <v>12</v>
      </c>
      <c r="AB218" s="9">
        <f t="shared" si="10"/>
        <v>46551</v>
      </c>
      <c r="AC218" s="10">
        <v>12</v>
      </c>
      <c r="AD218" s="7">
        <f t="shared" si="11"/>
        <v>2079</v>
      </c>
      <c r="AE218" s="7">
        <f>IF(F218="Bullet",H218*AD218,MIN(MAX(I218,1),Assumptions!$B$6)*AD218)</f>
        <v>4158</v>
      </c>
      <c r="AF218" s="8">
        <f>IF(F218="Bullet",MAX(0,Assumptions!$B$4-AB218),MAX(0,Assumptions!$B$4-L218))</f>
        <v>0</v>
      </c>
      <c r="AG218" s="9"/>
      <c r="AH218" s="8" t="str">
        <f>IF(AG218="","",Assumptions!$B$4-AG218)</f>
        <v/>
      </c>
      <c r="AI218" s="5" t="s">
        <v>80</v>
      </c>
      <c r="AJ218" s="8"/>
      <c r="AK218" s="8">
        <v>1</v>
      </c>
      <c r="AL218" s="8">
        <v>699</v>
      </c>
      <c r="AM218" s="8">
        <v>1</v>
      </c>
      <c r="AN218" s="5" t="s">
        <v>63</v>
      </c>
      <c r="AO218" s="10">
        <v>68.400000000000006</v>
      </c>
      <c r="AP218" s="8">
        <v>33</v>
      </c>
      <c r="AQ218" s="9">
        <v>46295</v>
      </c>
      <c r="AR218" s="5" t="s">
        <v>51</v>
      </c>
      <c r="AS218" s="5" t="s">
        <v>64</v>
      </c>
    </row>
    <row r="219" spans="1:45" x14ac:dyDescent="0.35">
      <c r="A219" s="5" t="s">
        <v>1190</v>
      </c>
      <c r="B219" s="5" t="s">
        <v>1191</v>
      </c>
      <c r="C219" s="6" t="s">
        <v>1192</v>
      </c>
      <c r="D219" s="7">
        <v>138400</v>
      </c>
      <c r="E219" s="5" t="s">
        <v>48</v>
      </c>
      <c r="F219" s="5" t="s">
        <v>49</v>
      </c>
      <c r="G219" s="8"/>
      <c r="H219" s="8" t="str">
        <f>IF(F219="Bullet",MIN(G219,Assumptions!$B$6),"")</f>
        <v/>
      </c>
      <c r="I219" s="8">
        <v>2</v>
      </c>
      <c r="J219" s="8">
        <f>IF(F219="Monthly interest",MAX(0,Assumptions!$B$5-I219),"")</f>
        <v>1</v>
      </c>
      <c r="K219" s="7">
        <f t="shared" si="9"/>
        <v>5536</v>
      </c>
      <c r="L219" s="9">
        <v>46241</v>
      </c>
      <c r="M219" s="5" t="s">
        <v>69</v>
      </c>
      <c r="N219" s="5" t="s">
        <v>53</v>
      </c>
      <c r="O219" s="5" t="s">
        <v>71</v>
      </c>
      <c r="P219" s="5" t="s">
        <v>70</v>
      </c>
      <c r="Q219" s="5" t="s">
        <v>73</v>
      </c>
      <c r="R219" s="5" t="s">
        <v>74</v>
      </c>
      <c r="S219" s="5" t="s">
        <v>56</v>
      </c>
      <c r="T219" s="5" t="s">
        <v>63</v>
      </c>
      <c r="U219" s="5" t="s">
        <v>86</v>
      </c>
      <c r="V219" s="5" t="s">
        <v>59</v>
      </c>
      <c r="W219" s="5" t="s">
        <v>300</v>
      </c>
      <c r="X219" s="5" t="s">
        <v>1193</v>
      </c>
      <c r="Y219" s="5" t="s">
        <v>1194</v>
      </c>
      <c r="Z219" s="9">
        <v>46119</v>
      </c>
      <c r="AA219" s="8">
        <v>12</v>
      </c>
      <c r="AB219" s="9">
        <f t="shared" si="10"/>
        <v>46484</v>
      </c>
      <c r="AC219" s="10">
        <v>24</v>
      </c>
      <c r="AD219" s="7">
        <f t="shared" si="11"/>
        <v>2768</v>
      </c>
      <c r="AE219" s="7">
        <f>IF(F219="Bullet",H219*AD219,MIN(MAX(I219,1),Assumptions!$B$6)*AD219)</f>
        <v>5536</v>
      </c>
      <c r="AF219" s="8">
        <f>IF(F219="Bullet",MAX(0,Assumptions!$B$4-AB219),MAX(0,Assumptions!$B$4-L219))</f>
        <v>57</v>
      </c>
      <c r="AG219" s="9">
        <v>46212</v>
      </c>
      <c r="AH219" s="8">
        <f>IF(AG219="","",Assumptions!$B$4-AG219)</f>
        <v>86</v>
      </c>
      <c r="AI219" s="5" t="s">
        <v>57</v>
      </c>
      <c r="AJ219" s="8">
        <v>3</v>
      </c>
      <c r="AK219" s="8">
        <v>1</v>
      </c>
      <c r="AL219" s="8">
        <v>814</v>
      </c>
      <c r="AM219" s="8">
        <v>1</v>
      </c>
      <c r="AN219" s="5" t="s">
        <v>63</v>
      </c>
      <c r="AO219" s="10">
        <v>69.599999999999994</v>
      </c>
      <c r="AP219" s="8">
        <v>44</v>
      </c>
      <c r="AQ219" s="9">
        <v>46275</v>
      </c>
      <c r="AR219" s="5" t="s">
        <v>51</v>
      </c>
      <c r="AS219" s="5" t="s">
        <v>64</v>
      </c>
    </row>
    <row r="220" spans="1:45" x14ac:dyDescent="0.35">
      <c r="A220" s="5" t="s">
        <v>1195</v>
      </c>
      <c r="B220" s="5" t="s">
        <v>1196</v>
      </c>
      <c r="C220" s="6" t="s">
        <v>1197</v>
      </c>
      <c r="D220" s="7">
        <v>49800</v>
      </c>
      <c r="E220" s="5" t="s">
        <v>48</v>
      </c>
      <c r="F220" s="5" t="s">
        <v>49</v>
      </c>
      <c r="G220" s="8"/>
      <c r="H220" s="8" t="str">
        <f>IF(F220="Bullet",MIN(G220,Assumptions!$B$6),"")</f>
        <v/>
      </c>
      <c r="I220" s="8">
        <v>2</v>
      </c>
      <c r="J220" s="8">
        <f>IF(F220="Monthly interest",MAX(0,Assumptions!$B$5-I220),"")</f>
        <v>1</v>
      </c>
      <c r="K220" s="7">
        <f t="shared" si="9"/>
        <v>1246</v>
      </c>
      <c r="L220" s="9">
        <v>46257</v>
      </c>
      <c r="M220" s="5" t="s">
        <v>69</v>
      </c>
      <c r="N220" s="5" t="s">
        <v>53</v>
      </c>
      <c r="O220" s="5" t="s">
        <v>152</v>
      </c>
      <c r="P220" s="5" t="s">
        <v>153</v>
      </c>
      <c r="Q220" s="5" t="s">
        <v>154</v>
      </c>
      <c r="R220" s="5" t="s">
        <v>155</v>
      </c>
      <c r="S220" s="5" t="s">
        <v>75</v>
      </c>
      <c r="T220" s="5" t="s">
        <v>57</v>
      </c>
      <c r="U220" s="5" t="s">
        <v>58</v>
      </c>
      <c r="V220" s="5" t="s">
        <v>76</v>
      </c>
      <c r="W220" s="5" t="s">
        <v>105</v>
      </c>
      <c r="X220" s="5" t="s">
        <v>585</v>
      </c>
      <c r="Y220" s="5" t="s">
        <v>1198</v>
      </c>
      <c r="Z220" s="9">
        <v>46104</v>
      </c>
      <c r="AA220" s="8">
        <v>12</v>
      </c>
      <c r="AB220" s="9">
        <f t="shared" si="10"/>
        <v>46469</v>
      </c>
      <c r="AC220" s="10">
        <v>15</v>
      </c>
      <c r="AD220" s="7">
        <f t="shared" si="11"/>
        <v>623</v>
      </c>
      <c r="AE220" s="7">
        <f>IF(F220="Bullet",H220*AD220,MIN(MAX(I220,1),Assumptions!$B$6)*AD220)</f>
        <v>1246</v>
      </c>
      <c r="AF220" s="8">
        <f>IF(F220="Bullet",MAX(0,Assumptions!$B$4-AB220),MAX(0,Assumptions!$B$4-L220))</f>
        <v>41</v>
      </c>
      <c r="AG220" s="9">
        <v>46227</v>
      </c>
      <c r="AH220" s="8">
        <f>IF(AG220="","",Assumptions!$B$4-AG220)</f>
        <v>71</v>
      </c>
      <c r="AI220" s="5" t="s">
        <v>63</v>
      </c>
      <c r="AJ220" s="8">
        <v>4</v>
      </c>
      <c r="AK220" s="8">
        <v>0</v>
      </c>
      <c r="AL220" s="8">
        <v>747</v>
      </c>
      <c r="AM220" s="8">
        <v>0</v>
      </c>
      <c r="AN220" s="5" t="s">
        <v>63</v>
      </c>
      <c r="AO220" s="10">
        <v>65.400000000000006</v>
      </c>
      <c r="AP220" s="8">
        <v>33</v>
      </c>
      <c r="AQ220" s="9">
        <v>46274</v>
      </c>
      <c r="AR220" s="5" t="s">
        <v>51</v>
      </c>
      <c r="AS220" s="5" t="s">
        <v>81</v>
      </c>
    </row>
    <row r="221" spans="1:45" x14ac:dyDescent="0.35">
      <c r="A221" s="5" t="s">
        <v>1199</v>
      </c>
      <c r="B221" s="5" t="s">
        <v>1200</v>
      </c>
      <c r="C221" s="6" t="s">
        <v>1201</v>
      </c>
      <c r="D221" s="7">
        <v>667300</v>
      </c>
      <c r="E221" s="5" t="s">
        <v>48</v>
      </c>
      <c r="F221" s="5" t="s">
        <v>49</v>
      </c>
      <c r="G221" s="8"/>
      <c r="H221" s="8" t="str">
        <f>IF(F221="Bullet",MIN(G221,Assumptions!$B$6),"")</f>
        <v/>
      </c>
      <c r="I221" s="8">
        <v>2</v>
      </c>
      <c r="J221" s="8">
        <f>IF(F221="Monthly interest",MAX(0,Assumptions!$B$5-I221),"")</f>
        <v>1</v>
      </c>
      <c r="K221" s="7">
        <f t="shared" si="9"/>
        <v>24468</v>
      </c>
      <c r="L221" s="9">
        <v>46262</v>
      </c>
      <c r="M221" s="5" t="s">
        <v>69</v>
      </c>
      <c r="N221" s="5" t="s">
        <v>70</v>
      </c>
      <c r="O221" s="5" t="s">
        <v>71</v>
      </c>
      <c r="P221" s="5" t="s">
        <v>72</v>
      </c>
      <c r="Q221" s="5" t="s">
        <v>73</v>
      </c>
      <c r="R221" s="5" t="s">
        <v>74</v>
      </c>
      <c r="S221" s="5" t="s">
        <v>85</v>
      </c>
      <c r="T221" s="5" t="s">
        <v>57</v>
      </c>
      <c r="U221" s="5" t="s">
        <v>58</v>
      </c>
      <c r="V221" s="5" t="s">
        <v>87</v>
      </c>
      <c r="W221" s="5" t="s">
        <v>254</v>
      </c>
      <c r="X221" s="5" t="s">
        <v>848</v>
      </c>
      <c r="Y221" s="5" t="s">
        <v>1202</v>
      </c>
      <c r="Z221" s="9">
        <v>46170</v>
      </c>
      <c r="AA221" s="8">
        <v>12</v>
      </c>
      <c r="AB221" s="9">
        <f t="shared" si="10"/>
        <v>46535</v>
      </c>
      <c r="AC221" s="10">
        <v>22</v>
      </c>
      <c r="AD221" s="7">
        <f t="shared" si="11"/>
        <v>12234</v>
      </c>
      <c r="AE221" s="7">
        <f>IF(F221="Bullet",H221*AD221,MIN(MAX(I221,1),Assumptions!$B$6)*AD221)</f>
        <v>24468</v>
      </c>
      <c r="AF221" s="8">
        <f>IF(F221="Bullet",MAX(0,Assumptions!$B$4-AB221),MAX(0,Assumptions!$B$4-L221))</f>
        <v>36</v>
      </c>
      <c r="AG221" s="9">
        <v>46233</v>
      </c>
      <c r="AH221" s="8">
        <f>IF(AG221="","",Assumptions!$B$4-AG221)</f>
        <v>65</v>
      </c>
      <c r="AI221" s="5" t="s">
        <v>63</v>
      </c>
      <c r="AJ221" s="8">
        <v>2</v>
      </c>
      <c r="AK221" s="8">
        <v>0</v>
      </c>
      <c r="AL221" s="8">
        <v>759</v>
      </c>
      <c r="AM221" s="8">
        <v>3</v>
      </c>
      <c r="AN221" s="5" t="s">
        <v>63</v>
      </c>
      <c r="AO221" s="10">
        <v>49.4</v>
      </c>
      <c r="AP221" s="8">
        <v>31</v>
      </c>
      <c r="AQ221" s="9">
        <v>46290</v>
      </c>
      <c r="AR221" s="5" t="s">
        <v>70</v>
      </c>
      <c r="AS221" s="5" t="s">
        <v>91</v>
      </c>
    </row>
    <row r="222" spans="1:45" x14ac:dyDescent="0.35">
      <c r="A222" s="5" t="s">
        <v>1203</v>
      </c>
      <c r="B222" s="5" t="s">
        <v>1204</v>
      </c>
      <c r="C222" s="6" t="s">
        <v>1205</v>
      </c>
      <c r="D222" s="7">
        <v>152000</v>
      </c>
      <c r="E222" s="5" t="s">
        <v>48</v>
      </c>
      <c r="F222" s="5" t="s">
        <v>68</v>
      </c>
      <c r="G222" s="8">
        <v>5</v>
      </c>
      <c r="H222" s="8">
        <f>IF(F222="Bullet",MIN(G222,Assumptions!$B$6),"")</f>
        <v>2</v>
      </c>
      <c r="I222" s="8"/>
      <c r="J222" s="8" t="str">
        <f>IF(F222="Monthly interest",MAX(0,Assumptions!$B$5-I222),"")</f>
        <v/>
      </c>
      <c r="K222" s="7">
        <f t="shared" si="9"/>
        <v>8865</v>
      </c>
      <c r="L222" s="9">
        <v>46134</v>
      </c>
      <c r="M222" s="5" t="s">
        <v>116</v>
      </c>
      <c r="N222" s="5" t="s">
        <v>117</v>
      </c>
      <c r="O222" s="5" t="s">
        <v>461</v>
      </c>
      <c r="P222" s="5" t="s">
        <v>72</v>
      </c>
      <c r="Q222" s="5" t="s">
        <v>169</v>
      </c>
      <c r="R222" s="5" t="s">
        <v>170</v>
      </c>
      <c r="S222" s="5" t="s">
        <v>214</v>
      </c>
      <c r="T222" s="5" t="s">
        <v>57</v>
      </c>
      <c r="U222" s="5" t="s">
        <v>104</v>
      </c>
      <c r="V222" s="5" t="s">
        <v>215</v>
      </c>
      <c r="W222" s="5" t="s">
        <v>600</v>
      </c>
      <c r="X222" s="5" t="s">
        <v>1206</v>
      </c>
      <c r="Y222" s="5" t="s">
        <v>1207</v>
      </c>
      <c r="Z222" s="9">
        <v>46134</v>
      </c>
      <c r="AA222" s="8">
        <v>6</v>
      </c>
      <c r="AB222" s="9">
        <f t="shared" si="10"/>
        <v>46317</v>
      </c>
      <c r="AC222" s="10">
        <v>14</v>
      </c>
      <c r="AD222" s="7">
        <f t="shared" si="11"/>
        <v>1773</v>
      </c>
      <c r="AE222" s="7">
        <f>IF(F222="Bullet",H222*AD222,MIN(MAX(I222,1),Assumptions!$B$6)*AD222)</f>
        <v>3546</v>
      </c>
      <c r="AF222" s="8">
        <f>IF(F222="Bullet",MAX(0,Assumptions!$B$4-AB222),MAX(0,Assumptions!$B$4-L222))</f>
        <v>0</v>
      </c>
      <c r="AG222" s="9"/>
      <c r="AH222" s="8" t="str">
        <f>IF(AG222="","",Assumptions!$B$4-AG222)</f>
        <v/>
      </c>
      <c r="AI222" s="5" t="s">
        <v>80</v>
      </c>
      <c r="AJ222" s="8"/>
      <c r="AK222" s="8">
        <v>2</v>
      </c>
      <c r="AL222" s="8">
        <v>769</v>
      </c>
      <c r="AM222" s="8">
        <v>2</v>
      </c>
      <c r="AN222" s="5" t="s">
        <v>63</v>
      </c>
      <c r="AO222" s="10">
        <v>76.7</v>
      </c>
      <c r="AP222" s="8">
        <v>49</v>
      </c>
      <c r="AQ222" s="9">
        <v>46288</v>
      </c>
      <c r="AR222" s="5" t="s">
        <v>51</v>
      </c>
      <c r="AS222" s="5" t="s">
        <v>64</v>
      </c>
    </row>
    <row r="223" spans="1:45" x14ac:dyDescent="0.35">
      <c r="A223" s="5" t="s">
        <v>1208</v>
      </c>
      <c r="B223" s="5" t="s">
        <v>1209</v>
      </c>
      <c r="C223" s="6" t="s">
        <v>1210</v>
      </c>
      <c r="D223" s="7">
        <v>136700</v>
      </c>
      <c r="E223" s="5" t="s">
        <v>48</v>
      </c>
      <c r="F223" s="5" t="s">
        <v>49</v>
      </c>
      <c r="G223" s="8"/>
      <c r="H223" s="8" t="str">
        <f>IF(F223="Bullet",MIN(G223,Assumptions!$B$6),"")</f>
        <v/>
      </c>
      <c r="I223" s="8">
        <v>2</v>
      </c>
      <c r="J223" s="8">
        <f>IF(F223="Monthly interest",MAX(0,Assumptions!$B$5-I223),"")</f>
        <v>1</v>
      </c>
      <c r="K223" s="7">
        <f t="shared" si="9"/>
        <v>4556</v>
      </c>
      <c r="L223" s="9">
        <v>46242</v>
      </c>
      <c r="M223" s="5" t="s">
        <v>116</v>
      </c>
      <c r="N223" s="5" t="s">
        <v>117</v>
      </c>
      <c r="O223" s="5" t="s">
        <v>118</v>
      </c>
      <c r="P223" s="5" t="s">
        <v>72</v>
      </c>
      <c r="Q223" s="5" t="s">
        <v>119</v>
      </c>
      <c r="R223" s="5" t="s">
        <v>120</v>
      </c>
      <c r="S223" s="5" t="s">
        <v>214</v>
      </c>
      <c r="T223" s="5" t="s">
        <v>57</v>
      </c>
      <c r="U223" s="5" t="s">
        <v>86</v>
      </c>
      <c r="V223" s="5" t="s">
        <v>215</v>
      </c>
      <c r="W223" s="5" t="s">
        <v>242</v>
      </c>
      <c r="X223" s="5" t="s">
        <v>243</v>
      </c>
      <c r="Y223" s="5" t="s">
        <v>1211</v>
      </c>
      <c r="Z223" s="9">
        <v>46181</v>
      </c>
      <c r="AA223" s="8">
        <v>12</v>
      </c>
      <c r="AB223" s="9">
        <f t="shared" si="10"/>
        <v>46546</v>
      </c>
      <c r="AC223" s="10">
        <v>20</v>
      </c>
      <c r="AD223" s="7">
        <f t="shared" si="11"/>
        <v>2278</v>
      </c>
      <c r="AE223" s="7">
        <f>IF(F223="Bullet",H223*AD223,MIN(MAX(I223,1),Assumptions!$B$6)*AD223)</f>
        <v>4556</v>
      </c>
      <c r="AF223" s="8">
        <f>IF(F223="Bullet",MAX(0,Assumptions!$B$4-AB223),MAX(0,Assumptions!$B$4-L223))</f>
        <v>56</v>
      </c>
      <c r="AG223" s="9">
        <v>46212</v>
      </c>
      <c r="AH223" s="8">
        <f>IF(AG223="","",Assumptions!$B$4-AG223)</f>
        <v>86</v>
      </c>
      <c r="AI223" s="5" t="s">
        <v>57</v>
      </c>
      <c r="AJ223" s="8">
        <v>2</v>
      </c>
      <c r="AK223" s="8">
        <v>0</v>
      </c>
      <c r="AL223" s="8">
        <v>655</v>
      </c>
      <c r="AM223" s="8">
        <v>0</v>
      </c>
      <c r="AN223" s="5" t="s">
        <v>57</v>
      </c>
      <c r="AO223" s="10">
        <v>79.5</v>
      </c>
      <c r="AP223" s="8">
        <v>64</v>
      </c>
      <c r="AQ223" s="9">
        <v>46285</v>
      </c>
      <c r="AR223" s="5" t="s">
        <v>51</v>
      </c>
      <c r="AS223" s="5" t="s">
        <v>190</v>
      </c>
    </row>
    <row r="224" spans="1:45" x14ac:dyDescent="0.35">
      <c r="A224" s="5" t="s">
        <v>1212</v>
      </c>
      <c r="B224" s="5" t="s">
        <v>1213</v>
      </c>
      <c r="C224" s="6" t="s">
        <v>1214</v>
      </c>
      <c r="D224" s="7">
        <v>193500</v>
      </c>
      <c r="E224" s="5" t="s">
        <v>48</v>
      </c>
      <c r="F224" s="5" t="s">
        <v>49</v>
      </c>
      <c r="G224" s="8"/>
      <c r="H224" s="8" t="str">
        <f>IF(F224="Bullet",MIN(G224,Assumptions!$B$6),"")</f>
        <v/>
      </c>
      <c r="I224" s="8">
        <v>1</v>
      </c>
      <c r="J224" s="8">
        <f>IF(F224="Monthly interest",MAX(0,Assumptions!$B$5-I224),"")</f>
        <v>2</v>
      </c>
      <c r="K224" s="7">
        <f t="shared" si="9"/>
        <v>2419</v>
      </c>
      <c r="L224" s="9">
        <v>46281</v>
      </c>
      <c r="M224" s="5" t="s">
        <v>69</v>
      </c>
      <c r="N224" s="5" t="s">
        <v>51</v>
      </c>
      <c r="O224" s="5" t="s">
        <v>52</v>
      </c>
      <c r="P224" s="5" t="s">
        <v>53</v>
      </c>
      <c r="Q224" s="5" t="s">
        <v>54</v>
      </c>
      <c r="R224" s="5" t="s">
        <v>55</v>
      </c>
      <c r="S224" s="5" t="s">
        <v>214</v>
      </c>
      <c r="T224" s="5" t="s">
        <v>57</v>
      </c>
      <c r="U224" s="5" t="s">
        <v>58</v>
      </c>
      <c r="V224" s="5" t="s">
        <v>215</v>
      </c>
      <c r="W224" s="5" t="s">
        <v>242</v>
      </c>
      <c r="X224" s="5" t="s">
        <v>1215</v>
      </c>
      <c r="Y224" s="5" t="s">
        <v>1216</v>
      </c>
      <c r="Z224" s="9">
        <v>46189</v>
      </c>
      <c r="AA224" s="8">
        <v>12</v>
      </c>
      <c r="AB224" s="9">
        <f t="shared" si="10"/>
        <v>46554</v>
      </c>
      <c r="AC224" s="10">
        <v>15</v>
      </c>
      <c r="AD224" s="7">
        <f t="shared" si="11"/>
        <v>2419</v>
      </c>
      <c r="AE224" s="7">
        <f>IF(F224="Bullet",H224*AD224,MIN(MAX(I224,1),Assumptions!$B$6)*AD224)</f>
        <v>2419</v>
      </c>
      <c r="AF224" s="8">
        <f>IF(F224="Bullet",MAX(0,Assumptions!$B$4-AB224),MAX(0,Assumptions!$B$4-L224))</f>
        <v>17</v>
      </c>
      <c r="AG224" s="9">
        <v>46251</v>
      </c>
      <c r="AH224" s="8">
        <f>IF(AG224="","",Assumptions!$B$4-AG224)</f>
        <v>47</v>
      </c>
      <c r="AI224" s="5" t="s">
        <v>63</v>
      </c>
      <c r="AJ224" s="8">
        <v>1</v>
      </c>
      <c r="AK224" s="8">
        <v>1</v>
      </c>
      <c r="AL224" s="8">
        <v>617</v>
      </c>
      <c r="AM224" s="8">
        <v>1</v>
      </c>
      <c r="AN224" s="5" t="s">
        <v>63</v>
      </c>
      <c r="AO224" s="10">
        <v>65.400000000000006</v>
      </c>
      <c r="AP224" s="8">
        <v>36</v>
      </c>
      <c r="AQ224" s="9"/>
      <c r="AR224" s="5"/>
      <c r="AS224" s="5" t="s">
        <v>159</v>
      </c>
    </row>
    <row r="225" spans="1:45" x14ac:dyDescent="0.35">
      <c r="A225" s="5" t="s">
        <v>1217</v>
      </c>
      <c r="B225" s="5" t="s">
        <v>1218</v>
      </c>
      <c r="C225" s="6" t="s">
        <v>1219</v>
      </c>
      <c r="D225" s="7">
        <v>222000</v>
      </c>
      <c r="E225" s="5" t="s">
        <v>48</v>
      </c>
      <c r="F225" s="5" t="s">
        <v>68</v>
      </c>
      <c r="G225" s="8">
        <v>1</v>
      </c>
      <c r="H225" s="8">
        <f>IF(F225="Bullet",MIN(G225,Assumptions!$B$6),"")</f>
        <v>1</v>
      </c>
      <c r="I225" s="8"/>
      <c r="J225" s="8" t="str">
        <f>IF(F225="Monthly interest",MAX(0,Assumptions!$B$5-I225),"")</f>
        <v/>
      </c>
      <c r="K225" s="7">
        <f t="shared" si="9"/>
        <v>3330</v>
      </c>
      <c r="L225" s="9">
        <v>46257</v>
      </c>
      <c r="M225" s="5" t="s">
        <v>50</v>
      </c>
      <c r="N225" s="5" t="s">
        <v>51</v>
      </c>
      <c r="O225" s="5" t="s">
        <v>71</v>
      </c>
      <c r="P225" s="5" t="s">
        <v>53</v>
      </c>
      <c r="Q225" s="5" t="s">
        <v>73</v>
      </c>
      <c r="R225" s="5" t="s">
        <v>74</v>
      </c>
      <c r="S225" s="5" t="s">
        <v>75</v>
      </c>
      <c r="T225" s="5" t="s">
        <v>57</v>
      </c>
      <c r="U225" s="5" t="s">
        <v>104</v>
      </c>
      <c r="V225" s="5" t="s">
        <v>76</v>
      </c>
      <c r="W225" s="5" t="s">
        <v>140</v>
      </c>
      <c r="X225" s="5" t="s">
        <v>237</v>
      </c>
      <c r="Y225" s="5" t="s">
        <v>1220</v>
      </c>
      <c r="Z225" s="9">
        <v>46257</v>
      </c>
      <c r="AA225" s="8">
        <v>6</v>
      </c>
      <c r="AB225" s="9">
        <f t="shared" si="10"/>
        <v>46441</v>
      </c>
      <c r="AC225" s="10">
        <v>18</v>
      </c>
      <c r="AD225" s="7">
        <f t="shared" si="11"/>
        <v>3330</v>
      </c>
      <c r="AE225" s="7">
        <f>IF(F225="Bullet",H225*AD225,MIN(MAX(I225,1),Assumptions!$B$6)*AD225)</f>
        <v>3330</v>
      </c>
      <c r="AF225" s="8">
        <f>IF(F225="Bullet",MAX(0,Assumptions!$B$4-AB225),MAX(0,Assumptions!$B$4-L225))</f>
        <v>0</v>
      </c>
      <c r="AG225" s="9"/>
      <c r="AH225" s="8" t="str">
        <f>IF(AG225="","",Assumptions!$B$4-AG225)</f>
        <v/>
      </c>
      <c r="AI225" s="5" t="s">
        <v>80</v>
      </c>
      <c r="AJ225" s="8"/>
      <c r="AK225" s="8">
        <v>0</v>
      </c>
      <c r="AL225" s="8">
        <v>670</v>
      </c>
      <c r="AM225" s="8">
        <v>1</v>
      </c>
      <c r="AN225" s="5" t="s">
        <v>63</v>
      </c>
      <c r="AO225" s="10">
        <v>70.3</v>
      </c>
      <c r="AP225" s="8">
        <v>21</v>
      </c>
      <c r="AQ225" s="9">
        <v>46277</v>
      </c>
      <c r="AR225" s="5" t="s">
        <v>53</v>
      </c>
      <c r="AS225" s="5" t="s">
        <v>181</v>
      </c>
    </row>
    <row r="226" spans="1:45" x14ac:dyDescent="0.35">
      <c r="A226" s="5" t="s">
        <v>1221</v>
      </c>
      <c r="B226" s="5" t="s">
        <v>1222</v>
      </c>
      <c r="C226" s="6" t="s">
        <v>1223</v>
      </c>
      <c r="D226" s="7">
        <v>44500</v>
      </c>
      <c r="E226" s="5" t="s">
        <v>48</v>
      </c>
      <c r="F226" s="5" t="s">
        <v>68</v>
      </c>
      <c r="G226" s="8">
        <v>2</v>
      </c>
      <c r="H226" s="8">
        <f>IF(F226="Bullet",MIN(G226,Assumptions!$B$6),"")</f>
        <v>2</v>
      </c>
      <c r="I226" s="8"/>
      <c r="J226" s="8" t="str">
        <f>IF(F226="Monthly interest",MAX(0,Assumptions!$B$5-I226),"")</f>
        <v/>
      </c>
      <c r="K226" s="7">
        <f t="shared" si="9"/>
        <v>1038</v>
      </c>
      <c r="L226" s="9">
        <v>46222</v>
      </c>
      <c r="M226" s="5" t="s">
        <v>50</v>
      </c>
      <c r="N226" s="5" t="s">
        <v>53</v>
      </c>
      <c r="O226" s="5" t="s">
        <v>152</v>
      </c>
      <c r="P226" s="5" t="s">
        <v>153</v>
      </c>
      <c r="Q226" s="5" t="s">
        <v>154</v>
      </c>
      <c r="R226" s="5" t="s">
        <v>155</v>
      </c>
      <c r="S226" s="5" t="s">
        <v>56</v>
      </c>
      <c r="T226" s="5" t="s">
        <v>57</v>
      </c>
      <c r="U226" s="5" t="s">
        <v>86</v>
      </c>
      <c r="V226" s="5" t="s">
        <v>59</v>
      </c>
      <c r="W226" s="5" t="s">
        <v>60</v>
      </c>
      <c r="X226" s="5" t="s">
        <v>938</v>
      </c>
      <c r="Y226" s="5" t="s">
        <v>1224</v>
      </c>
      <c r="Z226" s="9">
        <v>46222</v>
      </c>
      <c r="AA226" s="8">
        <v>6</v>
      </c>
      <c r="AB226" s="9">
        <f t="shared" si="10"/>
        <v>46406</v>
      </c>
      <c r="AC226" s="10">
        <v>14</v>
      </c>
      <c r="AD226" s="7">
        <f t="shared" si="11"/>
        <v>519</v>
      </c>
      <c r="AE226" s="7">
        <f>IF(F226="Bullet",H226*AD226,MIN(MAX(I226,1),Assumptions!$B$6)*AD226)</f>
        <v>1038</v>
      </c>
      <c r="AF226" s="8">
        <f>IF(F226="Bullet",MAX(0,Assumptions!$B$4-AB226),MAX(0,Assumptions!$B$4-L226))</f>
        <v>0</v>
      </c>
      <c r="AG226" s="9"/>
      <c r="AH226" s="8" t="str">
        <f>IF(AG226="","",Assumptions!$B$4-AG226)</f>
        <v/>
      </c>
      <c r="AI226" s="5" t="s">
        <v>80</v>
      </c>
      <c r="AJ226" s="8"/>
      <c r="AK226" s="8">
        <v>0</v>
      </c>
      <c r="AL226" s="8">
        <v>704</v>
      </c>
      <c r="AM226" s="8">
        <v>0</v>
      </c>
      <c r="AN226" s="5" t="s">
        <v>63</v>
      </c>
      <c r="AO226" s="10">
        <v>72.7</v>
      </c>
      <c r="AP226" s="8">
        <v>19</v>
      </c>
      <c r="AQ226" s="9"/>
      <c r="AR226" s="5"/>
      <c r="AS226" s="5" t="s">
        <v>159</v>
      </c>
    </row>
    <row r="227" spans="1:45" x14ac:dyDescent="0.35">
      <c r="A227" s="5" t="s">
        <v>1225</v>
      </c>
      <c r="B227" s="5" t="s">
        <v>1226</v>
      </c>
      <c r="C227" s="6" t="s">
        <v>1227</v>
      </c>
      <c r="D227" s="7">
        <v>42700</v>
      </c>
      <c r="E227" s="5" t="s">
        <v>48</v>
      </c>
      <c r="F227" s="5" t="s">
        <v>49</v>
      </c>
      <c r="G227" s="8"/>
      <c r="H227" s="8" t="str">
        <f>IF(F227="Bullet",MIN(G227,Assumptions!$B$6),"")</f>
        <v/>
      </c>
      <c r="I227" s="8">
        <v>2</v>
      </c>
      <c r="J227" s="8">
        <f>IF(F227="Monthly interest",MAX(0,Assumptions!$B$5-I227),"")</f>
        <v>1</v>
      </c>
      <c r="K227" s="7">
        <f t="shared" si="9"/>
        <v>1424</v>
      </c>
      <c r="L227" s="9">
        <v>46253</v>
      </c>
      <c r="M227" s="5" t="s">
        <v>116</v>
      </c>
      <c r="N227" s="5" t="s">
        <v>117</v>
      </c>
      <c r="O227" s="5" t="s">
        <v>450</v>
      </c>
      <c r="P227" s="5" t="s">
        <v>72</v>
      </c>
      <c r="Q227" s="5" t="s">
        <v>154</v>
      </c>
      <c r="R227" s="5" t="s">
        <v>155</v>
      </c>
      <c r="S227" s="5" t="s">
        <v>75</v>
      </c>
      <c r="T227" s="5" t="s">
        <v>57</v>
      </c>
      <c r="U227" s="5" t="s">
        <v>104</v>
      </c>
      <c r="V227" s="5" t="s">
        <v>76</v>
      </c>
      <c r="W227" s="5" t="s">
        <v>444</v>
      </c>
      <c r="X227" s="5" t="s">
        <v>1228</v>
      </c>
      <c r="Y227" s="5" t="s">
        <v>1229</v>
      </c>
      <c r="Z227" s="9">
        <v>46161</v>
      </c>
      <c r="AA227" s="8">
        <v>12</v>
      </c>
      <c r="AB227" s="9">
        <f t="shared" si="10"/>
        <v>46526</v>
      </c>
      <c r="AC227" s="10">
        <v>20</v>
      </c>
      <c r="AD227" s="7">
        <f t="shared" si="11"/>
        <v>712</v>
      </c>
      <c r="AE227" s="7">
        <f>IF(F227="Bullet",H227*AD227,MIN(MAX(I227,1),Assumptions!$B$6)*AD227)</f>
        <v>1424</v>
      </c>
      <c r="AF227" s="8">
        <f>IF(F227="Bullet",MAX(0,Assumptions!$B$4-AB227),MAX(0,Assumptions!$B$4-L227))</f>
        <v>45</v>
      </c>
      <c r="AG227" s="9">
        <v>46227</v>
      </c>
      <c r="AH227" s="8">
        <f>IF(AG227="","",Assumptions!$B$4-AG227)</f>
        <v>71</v>
      </c>
      <c r="AI227" s="5" t="s">
        <v>63</v>
      </c>
      <c r="AJ227" s="8">
        <v>3</v>
      </c>
      <c r="AK227" s="8">
        <v>0</v>
      </c>
      <c r="AL227" s="8">
        <v>706</v>
      </c>
      <c r="AM227" s="8">
        <v>2</v>
      </c>
      <c r="AN227" s="5" t="s">
        <v>63</v>
      </c>
      <c r="AO227" s="10">
        <v>55.3</v>
      </c>
      <c r="AP227" s="8">
        <v>50</v>
      </c>
      <c r="AQ227" s="9">
        <v>46291</v>
      </c>
      <c r="AR227" s="5" t="s">
        <v>51</v>
      </c>
      <c r="AS227" s="5" t="s">
        <v>274</v>
      </c>
    </row>
    <row r="228" spans="1:45" x14ac:dyDescent="0.35">
      <c r="A228" s="5" t="s">
        <v>1230</v>
      </c>
      <c r="B228" s="5" t="s">
        <v>1213</v>
      </c>
      <c r="C228" s="6" t="s">
        <v>1231</v>
      </c>
      <c r="D228" s="7">
        <v>69000</v>
      </c>
      <c r="E228" s="5" t="s">
        <v>48</v>
      </c>
      <c r="F228" s="5" t="s">
        <v>49</v>
      </c>
      <c r="G228" s="8"/>
      <c r="H228" s="8" t="str">
        <f>IF(F228="Bullet",MIN(G228,Assumptions!$B$6),"")</f>
        <v/>
      </c>
      <c r="I228" s="8">
        <v>1</v>
      </c>
      <c r="J228" s="8">
        <f>IF(F228="Monthly interest",MAX(0,Assumptions!$B$5-I228),"")</f>
        <v>2</v>
      </c>
      <c r="K228" s="7">
        <f t="shared" si="9"/>
        <v>863</v>
      </c>
      <c r="L228" s="9">
        <v>46271</v>
      </c>
      <c r="M228" s="5" t="s">
        <v>69</v>
      </c>
      <c r="N228" s="5" t="s">
        <v>51</v>
      </c>
      <c r="O228" s="5" t="s">
        <v>52</v>
      </c>
      <c r="P228" s="5" t="s">
        <v>53</v>
      </c>
      <c r="Q228" s="5" t="s">
        <v>54</v>
      </c>
      <c r="R228" s="5" t="s">
        <v>55</v>
      </c>
      <c r="S228" s="5" t="s">
        <v>214</v>
      </c>
      <c r="T228" s="5" t="s">
        <v>57</v>
      </c>
      <c r="U228" s="5" t="s">
        <v>104</v>
      </c>
      <c r="V228" s="5" t="s">
        <v>215</v>
      </c>
      <c r="W228" s="5" t="s">
        <v>284</v>
      </c>
      <c r="X228" s="5" t="s">
        <v>689</v>
      </c>
      <c r="Y228" s="5" t="s">
        <v>1232</v>
      </c>
      <c r="Z228" s="9">
        <v>46028</v>
      </c>
      <c r="AA228" s="8">
        <v>12</v>
      </c>
      <c r="AB228" s="9">
        <f t="shared" si="10"/>
        <v>46393</v>
      </c>
      <c r="AC228" s="10">
        <v>15</v>
      </c>
      <c r="AD228" s="7">
        <f t="shared" si="11"/>
        <v>863</v>
      </c>
      <c r="AE228" s="7">
        <f>IF(F228="Bullet",H228*AD228,MIN(MAX(I228,1),Assumptions!$B$6)*AD228)</f>
        <v>863</v>
      </c>
      <c r="AF228" s="8">
        <f>IF(F228="Bullet",MAX(0,Assumptions!$B$4-AB228),MAX(0,Assumptions!$B$4-L228))</f>
        <v>27</v>
      </c>
      <c r="AG228" s="9">
        <v>46240</v>
      </c>
      <c r="AH228" s="8">
        <f>IF(AG228="","",Assumptions!$B$4-AG228)</f>
        <v>58</v>
      </c>
      <c r="AI228" s="5" t="s">
        <v>57</v>
      </c>
      <c r="AJ228" s="8">
        <v>1</v>
      </c>
      <c r="AK228" s="8">
        <v>1</v>
      </c>
      <c r="AL228" s="8">
        <v>693</v>
      </c>
      <c r="AM228" s="8">
        <v>1</v>
      </c>
      <c r="AN228" s="5" t="s">
        <v>63</v>
      </c>
      <c r="AO228" s="10">
        <v>61.6</v>
      </c>
      <c r="AP228" s="8">
        <v>34</v>
      </c>
      <c r="AQ228" s="9">
        <v>46288</v>
      </c>
      <c r="AR228" s="5" t="s">
        <v>51</v>
      </c>
      <c r="AS228" s="5" t="s">
        <v>190</v>
      </c>
    </row>
    <row r="229" spans="1:45" x14ac:dyDescent="0.35">
      <c r="A229" s="5" t="s">
        <v>1233</v>
      </c>
      <c r="B229" s="5" t="s">
        <v>288</v>
      </c>
      <c r="C229" s="6" t="s">
        <v>1234</v>
      </c>
      <c r="D229" s="7">
        <v>143600</v>
      </c>
      <c r="E229" s="5" t="s">
        <v>48</v>
      </c>
      <c r="F229" s="5" t="s">
        <v>68</v>
      </c>
      <c r="G229" s="8">
        <v>3</v>
      </c>
      <c r="H229" s="8">
        <f>IF(F229="Bullet",MIN(G229,Assumptions!$B$6),"")</f>
        <v>2</v>
      </c>
      <c r="I229" s="8"/>
      <c r="J229" s="8" t="str">
        <f>IF(F229="Monthly interest",MAX(0,Assumptions!$B$5-I229),"")</f>
        <v/>
      </c>
      <c r="K229" s="7">
        <f t="shared" si="9"/>
        <v>5385</v>
      </c>
      <c r="L229" s="9">
        <v>46190</v>
      </c>
      <c r="M229" s="5" t="s">
        <v>69</v>
      </c>
      <c r="N229" s="5" t="s">
        <v>53</v>
      </c>
      <c r="O229" s="5" t="s">
        <v>71</v>
      </c>
      <c r="P229" s="5" t="s">
        <v>70</v>
      </c>
      <c r="Q229" s="5" t="s">
        <v>73</v>
      </c>
      <c r="R229" s="5" t="s">
        <v>74</v>
      </c>
      <c r="S229" s="5" t="s">
        <v>185</v>
      </c>
      <c r="T229" s="5" t="s">
        <v>57</v>
      </c>
      <c r="U229" s="5" t="s">
        <v>104</v>
      </c>
      <c r="V229" s="5" t="s">
        <v>200</v>
      </c>
      <c r="W229" s="5" t="s">
        <v>500</v>
      </c>
      <c r="X229" s="5" t="s">
        <v>1235</v>
      </c>
      <c r="Y229" s="5" t="s">
        <v>1236</v>
      </c>
      <c r="Z229" s="9">
        <v>46190</v>
      </c>
      <c r="AA229" s="8">
        <v>3</v>
      </c>
      <c r="AB229" s="9">
        <f t="shared" si="10"/>
        <v>46282</v>
      </c>
      <c r="AC229" s="10">
        <v>15</v>
      </c>
      <c r="AD229" s="7">
        <f t="shared" si="11"/>
        <v>1795</v>
      </c>
      <c r="AE229" s="7">
        <f>IF(F229="Bullet",H229*AD229,MIN(MAX(I229,1),Assumptions!$B$6)*AD229)</f>
        <v>3590</v>
      </c>
      <c r="AF229" s="8">
        <f>IF(F229="Bullet",MAX(0,Assumptions!$B$4-AB229),MAX(0,Assumptions!$B$4-L229))</f>
        <v>16</v>
      </c>
      <c r="AG229" s="9"/>
      <c r="AH229" s="8" t="str">
        <f>IF(AG229="","",Assumptions!$B$4-AG229)</f>
        <v/>
      </c>
      <c r="AI229" s="5" t="s">
        <v>80</v>
      </c>
      <c r="AJ229" s="8"/>
      <c r="AK229" s="8">
        <v>3</v>
      </c>
      <c r="AL229" s="8">
        <v>781</v>
      </c>
      <c r="AM229" s="8">
        <v>0</v>
      </c>
      <c r="AN229" s="5" t="s">
        <v>63</v>
      </c>
      <c r="AO229" s="10">
        <v>77.2</v>
      </c>
      <c r="AP229" s="8">
        <v>45</v>
      </c>
      <c r="AQ229" s="9">
        <v>46279</v>
      </c>
      <c r="AR229" s="5" t="s">
        <v>70</v>
      </c>
      <c r="AS229" s="5" t="s">
        <v>190</v>
      </c>
    </row>
    <row r="230" spans="1:45" x14ac:dyDescent="0.35">
      <c r="A230" s="5" t="s">
        <v>1237</v>
      </c>
      <c r="B230" s="5" t="s">
        <v>1238</v>
      </c>
      <c r="C230" s="6" t="s">
        <v>1239</v>
      </c>
      <c r="D230" s="7">
        <v>1833700</v>
      </c>
      <c r="E230" s="5" t="s">
        <v>48</v>
      </c>
      <c r="F230" s="5" t="s">
        <v>68</v>
      </c>
      <c r="G230" s="8">
        <v>5</v>
      </c>
      <c r="H230" s="8">
        <f>IF(F230="Bullet",MIN(G230,Assumptions!$B$6),"")</f>
        <v>2</v>
      </c>
      <c r="I230" s="8"/>
      <c r="J230" s="8" t="str">
        <f>IF(F230="Monthly interest",MAX(0,Assumptions!$B$5-I230),"")</f>
        <v/>
      </c>
      <c r="K230" s="7">
        <f t="shared" si="9"/>
        <v>99325</v>
      </c>
      <c r="L230" s="9">
        <v>46127</v>
      </c>
      <c r="M230" s="5" t="s">
        <v>69</v>
      </c>
      <c r="N230" s="5" t="s">
        <v>53</v>
      </c>
      <c r="O230" s="5" t="s">
        <v>168</v>
      </c>
      <c r="P230" s="5" t="s">
        <v>70</v>
      </c>
      <c r="Q230" s="5" t="s">
        <v>169</v>
      </c>
      <c r="R230" s="5" t="s">
        <v>170</v>
      </c>
      <c r="S230" s="5" t="s">
        <v>85</v>
      </c>
      <c r="T230" s="5" t="s">
        <v>57</v>
      </c>
      <c r="U230" s="5" t="s">
        <v>86</v>
      </c>
      <c r="V230" s="5" t="s">
        <v>177</v>
      </c>
      <c r="W230" s="5" t="s">
        <v>345</v>
      </c>
      <c r="X230" s="5" t="s">
        <v>684</v>
      </c>
      <c r="Y230" s="5" t="s">
        <v>1240</v>
      </c>
      <c r="Z230" s="9">
        <v>46127</v>
      </c>
      <c r="AA230" s="8">
        <v>6</v>
      </c>
      <c r="AB230" s="9">
        <f t="shared" si="10"/>
        <v>46310</v>
      </c>
      <c r="AC230" s="10">
        <v>13</v>
      </c>
      <c r="AD230" s="7">
        <f t="shared" si="11"/>
        <v>19865</v>
      </c>
      <c r="AE230" s="7">
        <f>IF(F230="Bullet",H230*AD230,MIN(MAX(I230,1),Assumptions!$B$6)*AD230)</f>
        <v>39730</v>
      </c>
      <c r="AF230" s="8">
        <f>IF(F230="Bullet",MAX(0,Assumptions!$B$4-AB230),MAX(0,Assumptions!$B$4-L230))</f>
        <v>0</v>
      </c>
      <c r="AG230" s="9"/>
      <c r="AH230" s="8" t="str">
        <f>IF(AG230="","",Assumptions!$B$4-AG230)</f>
        <v/>
      </c>
      <c r="AI230" s="5" t="s">
        <v>80</v>
      </c>
      <c r="AJ230" s="8"/>
      <c r="AK230" s="8">
        <v>1</v>
      </c>
      <c r="AL230" s="8">
        <v>763</v>
      </c>
      <c r="AM230" s="8">
        <v>1</v>
      </c>
      <c r="AN230" s="5" t="s">
        <v>63</v>
      </c>
      <c r="AO230" s="10">
        <v>69.2</v>
      </c>
      <c r="AP230" s="8">
        <v>36</v>
      </c>
      <c r="AQ230" s="9"/>
      <c r="AR230" s="5"/>
      <c r="AS230" s="5" t="s">
        <v>159</v>
      </c>
    </row>
    <row r="231" spans="1:45" x14ac:dyDescent="0.35">
      <c r="A231" s="5" t="s">
        <v>1241</v>
      </c>
      <c r="B231" s="5" t="s">
        <v>1027</v>
      </c>
      <c r="C231" s="6" t="s">
        <v>1242</v>
      </c>
      <c r="D231" s="7">
        <v>73200</v>
      </c>
      <c r="E231" s="5" t="s">
        <v>48</v>
      </c>
      <c r="F231" s="5" t="s">
        <v>49</v>
      </c>
      <c r="G231" s="8"/>
      <c r="H231" s="8" t="str">
        <f>IF(F231="Bullet",MIN(G231,Assumptions!$B$6),"")</f>
        <v/>
      </c>
      <c r="I231" s="8">
        <v>1</v>
      </c>
      <c r="J231" s="8">
        <f>IF(F231="Monthly interest",MAX(0,Assumptions!$B$5-I231),"")</f>
        <v>2</v>
      </c>
      <c r="K231" s="7">
        <f t="shared" si="9"/>
        <v>976</v>
      </c>
      <c r="L231" s="9">
        <v>46297</v>
      </c>
      <c r="M231" s="5" t="s">
        <v>50</v>
      </c>
      <c r="N231" s="5" t="s">
        <v>51</v>
      </c>
      <c r="O231" s="5" t="s">
        <v>52</v>
      </c>
      <c r="P231" s="5" t="s">
        <v>53</v>
      </c>
      <c r="Q231" s="5" t="s">
        <v>54</v>
      </c>
      <c r="R231" s="5" t="s">
        <v>55</v>
      </c>
      <c r="S231" s="5" t="s">
        <v>85</v>
      </c>
      <c r="T231" s="5" t="s">
        <v>57</v>
      </c>
      <c r="U231" s="5" t="s">
        <v>104</v>
      </c>
      <c r="V231" s="5" t="s">
        <v>96</v>
      </c>
      <c r="W231" s="5" t="s">
        <v>265</v>
      </c>
      <c r="X231" s="5" t="s">
        <v>1243</v>
      </c>
      <c r="Y231" s="5" t="s">
        <v>1244</v>
      </c>
      <c r="Z231" s="9">
        <v>46175</v>
      </c>
      <c r="AA231" s="8">
        <v>12</v>
      </c>
      <c r="AB231" s="9">
        <f t="shared" si="10"/>
        <v>46540</v>
      </c>
      <c r="AC231" s="10">
        <v>16</v>
      </c>
      <c r="AD231" s="7">
        <f t="shared" si="11"/>
        <v>976</v>
      </c>
      <c r="AE231" s="7">
        <f>IF(F231="Bullet",H231*AD231,MIN(MAX(I231,1),Assumptions!$B$6)*AD231)</f>
        <v>976</v>
      </c>
      <c r="AF231" s="8">
        <f>IF(F231="Bullet",MAX(0,Assumptions!$B$4-AB231),MAX(0,Assumptions!$B$4-L231))</f>
        <v>1</v>
      </c>
      <c r="AG231" s="9">
        <v>46267</v>
      </c>
      <c r="AH231" s="8">
        <f>IF(AG231="","",Assumptions!$B$4-AG231)</f>
        <v>31</v>
      </c>
      <c r="AI231" s="5" t="s">
        <v>63</v>
      </c>
      <c r="AJ231" s="8">
        <v>2</v>
      </c>
      <c r="AK231" s="8">
        <v>1</v>
      </c>
      <c r="AL231" s="8">
        <v>792</v>
      </c>
      <c r="AM231" s="8">
        <v>0</v>
      </c>
      <c r="AN231" s="5" t="s">
        <v>63</v>
      </c>
      <c r="AO231" s="10">
        <v>57.4</v>
      </c>
      <c r="AP231" s="8">
        <v>15</v>
      </c>
      <c r="AQ231" s="9"/>
      <c r="AR231" s="5"/>
      <c r="AS231" s="5" t="s">
        <v>159</v>
      </c>
    </row>
    <row r="232" spans="1:45" x14ac:dyDescent="0.35">
      <c r="A232" s="5" t="s">
        <v>1245</v>
      </c>
      <c r="B232" s="5" t="s">
        <v>1246</v>
      </c>
      <c r="C232" s="6" t="s">
        <v>1247</v>
      </c>
      <c r="D232" s="7">
        <v>77000</v>
      </c>
      <c r="E232" s="5" t="s">
        <v>48</v>
      </c>
      <c r="F232" s="5" t="s">
        <v>49</v>
      </c>
      <c r="G232" s="8"/>
      <c r="H232" s="8" t="str">
        <f>IF(F232="Bullet",MIN(G232,Assumptions!$B$6),"")</f>
        <v/>
      </c>
      <c r="I232" s="8">
        <v>1</v>
      </c>
      <c r="J232" s="8">
        <f>IF(F232="Monthly interest",MAX(0,Assumptions!$B$5-I232),"")</f>
        <v>2</v>
      </c>
      <c r="K232" s="7">
        <f t="shared" si="9"/>
        <v>1283</v>
      </c>
      <c r="L232" s="9">
        <v>46283</v>
      </c>
      <c r="M232" s="5" t="s">
        <v>69</v>
      </c>
      <c r="N232" s="5" t="s">
        <v>51</v>
      </c>
      <c r="O232" s="5" t="s">
        <v>52</v>
      </c>
      <c r="P232" s="5" t="s">
        <v>53</v>
      </c>
      <c r="Q232" s="5" t="s">
        <v>54</v>
      </c>
      <c r="R232" s="5" t="s">
        <v>55</v>
      </c>
      <c r="S232" s="5" t="s">
        <v>85</v>
      </c>
      <c r="T232" s="5" t="s">
        <v>57</v>
      </c>
      <c r="U232" s="5" t="s">
        <v>104</v>
      </c>
      <c r="V232" s="5" t="s">
        <v>96</v>
      </c>
      <c r="W232" s="5" t="s">
        <v>171</v>
      </c>
      <c r="X232" s="5" t="s">
        <v>1248</v>
      </c>
      <c r="Y232" s="5" t="s">
        <v>1249</v>
      </c>
      <c r="Z232" s="9">
        <v>46130</v>
      </c>
      <c r="AA232" s="8">
        <v>12</v>
      </c>
      <c r="AB232" s="9">
        <f t="shared" si="10"/>
        <v>46495</v>
      </c>
      <c r="AC232" s="10">
        <v>20</v>
      </c>
      <c r="AD232" s="7">
        <f t="shared" si="11"/>
        <v>1283</v>
      </c>
      <c r="AE232" s="7">
        <f>IF(F232="Bullet",H232*AD232,MIN(MAX(I232,1),Assumptions!$B$6)*AD232)</f>
        <v>1283</v>
      </c>
      <c r="AF232" s="8">
        <f>IF(F232="Bullet",MAX(0,Assumptions!$B$4-AB232),MAX(0,Assumptions!$B$4-L232))</f>
        <v>15</v>
      </c>
      <c r="AG232" s="9">
        <v>46255</v>
      </c>
      <c r="AH232" s="8">
        <f>IF(AG232="","",Assumptions!$B$4-AG232)</f>
        <v>43</v>
      </c>
      <c r="AI232" s="5" t="s">
        <v>63</v>
      </c>
      <c r="AJ232" s="8">
        <v>2</v>
      </c>
      <c r="AK232" s="8">
        <v>1</v>
      </c>
      <c r="AL232" s="8">
        <v>675</v>
      </c>
      <c r="AM232" s="8">
        <v>0</v>
      </c>
      <c r="AN232" s="5" t="s">
        <v>63</v>
      </c>
      <c r="AO232" s="10">
        <v>60.5</v>
      </c>
      <c r="AP232" s="8">
        <v>41</v>
      </c>
      <c r="AQ232" s="9">
        <v>46289</v>
      </c>
      <c r="AR232" s="5" t="s">
        <v>70</v>
      </c>
      <c r="AS232" s="5" t="s">
        <v>81</v>
      </c>
    </row>
    <row r="233" spans="1:45" x14ac:dyDescent="0.35">
      <c r="A233" s="5" t="s">
        <v>1250</v>
      </c>
      <c r="B233" s="5" t="s">
        <v>1251</v>
      </c>
      <c r="C233" s="6" t="s">
        <v>1252</v>
      </c>
      <c r="D233" s="7">
        <v>108400</v>
      </c>
      <c r="E233" s="5" t="s">
        <v>48</v>
      </c>
      <c r="F233" s="5" t="s">
        <v>68</v>
      </c>
      <c r="G233" s="8">
        <v>4</v>
      </c>
      <c r="H233" s="8">
        <f>IF(F233="Bullet",MIN(G233,Assumptions!$B$6),"")</f>
        <v>2</v>
      </c>
      <c r="I233" s="8"/>
      <c r="J233" s="8" t="str">
        <f>IF(F233="Monthly interest",MAX(0,Assumptions!$B$5-I233),"")</f>
        <v/>
      </c>
      <c r="K233" s="7">
        <f t="shared" si="9"/>
        <v>5780</v>
      </c>
      <c r="L233" s="9">
        <v>46169</v>
      </c>
      <c r="M233" s="5" t="s">
        <v>69</v>
      </c>
      <c r="N233" s="5" t="s">
        <v>53</v>
      </c>
      <c r="O233" s="5" t="s">
        <v>71</v>
      </c>
      <c r="P233" s="5" t="s">
        <v>70</v>
      </c>
      <c r="Q233" s="5" t="s">
        <v>73</v>
      </c>
      <c r="R233" s="5" t="s">
        <v>74</v>
      </c>
      <c r="S233" s="5" t="s">
        <v>185</v>
      </c>
      <c r="T233" s="5" t="s">
        <v>63</v>
      </c>
      <c r="U233" s="5" t="s">
        <v>86</v>
      </c>
      <c r="V233" s="5" t="s">
        <v>186</v>
      </c>
      <c r="W233" s="5" t="s">
        <v>329</v>
      </c>
      <c r="X233" s="5" t="s">
        <v>1253</v>
      </c>
      <c r="Y233" s="5" t="s">
        <v>1254</v>
      </c>
      <c r="Z233" s="9">
        <v>46169</v>
      </c>
      <c r="AA233" s="8">
        <v>12</v>
      </c>
      <c r="AB233" s="9">
        <f t="shared" si="10"/>
        <v>46534</v>
      </c>
      <c r="AC233" s="10">
        <v>16</v>
      </c>
      <c r="AD233" s="7">
        <f t="shared" si="11"/>
        <v>1445</v>
      </c>
      <c r="AE233" s="7">
        <f>IF(F233="Bullet",H233*AD233,MIN(MAX(I233,1),Assumptions!$B$6)*AD233)</f>
        <v>2890</v>
      </c>
      <c r="AF233" s="8">
        <f>IF(F233="Bullet",MAX(0,Assumptions!$B$4-AB233),MAX(0,Assumptions!$B$4-L233))</f>
        <v>0</v>
      </c>
      <c r="AG233" s="9"/>
      <c r="AH233" s="8" t="str">
        <f>IF(AG233="","",Assumptions!$B$4-AG233)</f>
        <v/>
      </c>
      <c r="AI233" s="5" t="s">
        <v>80</v>
      </c>
      <c r="AJ233" s="8"/>
      <c r="AK233" s="8">
        <v>0</v>
      </c>
      <c r="AL233" s="8">
        <v>728</v>
      </c>
      <c r="AM233" s="8">
        <v>3</v>
      </c>
      <c r="AN233" s="5" t="s">
        <v>63</v>
      </c>
      <c r="AO233" s="10">
        <v>77.900000000000006</v>
      </c>
      <c r="AP233" s="8">
        <v>31</v>
      </c>
      <c r="AQ233" s="9">
        <v>46273</v>
      </c>
      <c r="AR233" s="5" t="s">
        <v>70</v>
      </c>
      <c r="AS233" s="5" t="s">
        <v>64</v>
      </c>
    </row>
    <row r="234" spans="1:45" x14ac:dyDescent="0.35">
      <c r="A234" s="5" t="s">
        <v>1255</v>
      </c>
      <c r="B234" s="5" t="s">
        <v>1256</v>
      </c>
      <c r="C234" s="6" t="s">
        <v>1257</v>
      </c>
      <c r="D234" s="7">
        <v>15000</v>
      </c>
      <c r="E234" s="5" t="s">
        <v>48</v>
      </c>
      <c r="F234" s="5" t="s">
        <v>68</v>
      </c>
      <c r="G234" s="8">
        <v>6</v>
      </c>
      <c r="H234" s="8">
        <f>IF(F234="Bullet",MIN(G234,Assumptions!$B$6),"")</f>
        <v>2</v>
      </c>
      <c r="I234" s="8"/>
      <c r="J234" s="8" t="str">
        <f>IF(F234="Monthly interest",MAX(0,Assumptions!$B$5-I234),"")</f>
        <v/>
      </c>
      <c r="K234" s="7">
        <f t="shared" si="9"/>
        <v>1050</v>
      </c>
      <c r="L234" s="9">
        <v>46094</v>
      </c>
      <c r="M234" s="5" t="s">
        <v>116</v>
      </c>
      <c r="N234" s="5" t="s">
        <v>117</v>
      </c>
      <c r="O234" s="5" t="s">
        <v>461</v>
      </c>
      <c r="P234" s="5" t="s">
        <v>72</v>
      </c>
      <c r="Q234" s="5" t="s">
        <v>169</v>
      </c>
      <c r="R234" s="5" t="s">
        <v>170</v>
      </c>
      <c r="S234" s="5" t="s">
        <v>56</v>
      </c>
      <c r="T234" s="5" t="s">
        <v>63</v>
      </c>
      <c r="U234" s="5" t="s">
        <v>104</v>
      </c>
      <c r="V234" s="5" t="s">
        <v>59</v>
      </c>
      <c r="W234" s="5" t="s">
        <v>156</v>
      </c>
      <c r="X234" s="5" t="s">
        <v>157</v>
      </c>
      <c r="Y234" s="5" t="s">
        <v>1258</v>
      </c>
      <c r="Z234" s="9">
        <v>46094</v>
      </c>
      <c r="AA234" s="8">
        <v>12</v>
      </c>
      <c r="AB234" s="9">
        <f t="shared" si="10"/>
        <v>46459</v>
      </c>
      <c r="AC234" s="10">
        <v>14</v>
      </c>
      <c r="AD234" s="7">
        <f t="shared" si="11"/>
        <v>175</v>
      </c>
      <c r="AE234" s="7">
        <f>IF(F234="Bullet",H234*AD234,MIN(MAX(I234,1),Assumptions!$B$6)*AD234)</f>
        <v>350</v>
      </c>
      <c r="AF234" s="8">
        <f>IF(F234="Bullet",MAX(0,Assumptions!$B$4-AB234),MAX(0,Assumptions!$B$4-L234))</f>
        <v>0</v>
      </c>
      <c r="AG234" s="9"/>
      <c r="AH234" s="8" t="str">
        <f>IF(AG234="","",Assumptions!$B$4-AG234)</f>
        <v/>
      </c>
      <c r="AI234" s="5" t="s">
        <v>80</v>
      </c>
      <c r="AJ234" s="8"/>
      <c r="AK234" s="8">
        <v>1</v>
      </c>
      <c r="AL234" s="8" t="s">
        <v>80</v>
      </c>
      <c r="AM234" s="8">
        <v>2</v>
      </c>
      <c r="AN234" s="5" t="s">
        <v>63</v>
      </c>
      <c r="AO234" s="10">
        <v>80.599999999999994</v>
      </c>
      <c r="AP234" s="8">
        <v>50</v>
      </c>
      <c r="AQ234" s="9">
        <v>46292</v>
      </c>
      <c r="AR234" s="5" t="s">
        <v>51</v>
      </c>
      <c r="AS234" s="5" t="s">
        <v>274</v>
      </c>
    </row>
    <row r="235" spans="1:45" x14ac:dyDescent="0.35">
      <c r="A235" s="5" t="s">
        <v>1259</v>
      </c>
      <c r="B235" s="5" t="s">
        <v>263</v>
      </c>
      <c r="C235" s="6" t="s">
        <v>1260</v>
      </c>
      <c r="D235" s="7">
        <v>293600</v>
      </c>
      <c r="E235" s="5" t="s">
        <v>48</v>
      </c>
      <c r="F235" s="5" t="s">
        <v>68</v>
      </c>
      <c r="G235" s="8">
        <v>4</v>
      </c>
      <c r="H235" s="8">
        <f>IF(F235="Bullet",MIN(G235,Assumptions!$B$6),"")</f>
        <v>2</v>
      </c>
      <c r="I235" s="8"/>
      <c r="J235" s="8" t="str">
        <f>IF(F235="Monthly interest",MAX(0,Assumptions!$B$5-I235),"")</f>
        <v/>
      </c>
      <c r="K235" s="7">
        <f t="shared" si="9"/>
        <v>11744</v>
      </c>
      <c r="L235" s="9">
        <v>46162</v>
      </c>
      <c r="M235" s="5" t="s">
        <v>50</v>
      </c>
      <c r="N235" s="5" t="s">
        <v>53</v>
      </c>
      <c r="O235" s="5" t="s">
        <v>71</v>
      </c>
      <c r="P235" s="5" t="s">
        <v>51</v>
      </c>
      <c r="Q235" s="5" t="s">
        <v>73</v>
      </c>
      <c r="R235" s="5" t="s">
        <v>74</v>
      </c>
      <c r="S235" s="5" t="s">
        <v>85</v>
      </c>
      <c r="T235" s="5" t="s">
        <v>57</v>
      </c>
      <c r="U235" s="5" t="s">
        <v>86</v>
      </c>
      <c r="V235" s="5" t="s">
        <v>177</v>
      </c>
      <c r="W235" s="5" t="s">
        <v>178</v>
      </c>
      <c r="X235" s="5" t="s">
        <v>1261</v>
      </c>
      <c r="Y235" s="5" t="s">
        <v>1262</v>
      </c>
      <c r="Z235" s="9">
        <v>46162</v>
      </c>
      <c r="AA235" s="8">
        <v>12</v>
      </c>
      <c r="AB235" s="9">
        <f t="shared" si="10"/>
        <v>46527</v>
      </c>
      <c r="AC235" s="10">
        <v>12</v>
      </c>
      <c r="AD235" s="7">
        <f t="shared" si="11"/>
        <v>2936</v>
      </c>
      <c r="AE235" s="7">
        <f>IF(F235="Bullet",H235*AD235,MIN(MAX(I235,1),Assumptions!$B$6)*AD235)</f>
        <v>5872</v>
      </c>
      <c r="AF235" s="8">
        <f>IF(F235="Bullet",MAX(0,Assumptions!$B$4-AB235),MAX(0,Assumptions!$B$4-L235))</f>
        <v>0</v>
      </c>
      <c r="AG235" s="9"/>
      <c r="AH235" s="8" t="str">
        <f>IF(AG235="","",Assumptions!$B$4-AG235)</f>
        <v/>
      </c>
      <c r="AI235" s="5" t="s">
        <v>80</v>
      </c>
      <c r="AJ235" s="8"/>
      <c r="AK235" s="8">
        <v>0</v>
      </c>
      <c r="AL235" s="8" t="s">
        <v>80</v>
      </c>
      <c r="AM235" s="8">
        <v>1</v>
      </c>
      <c r="AN235" s="5" t="s">
        <v>63</v>
      </c>
      <c r="AO235" s="10">
        <v>69.900000000000006</v>
      </c>
      <c r="AP235" s="8">
        <v>24</v>
      </c>
      <c r="AQ235" s="9">
        <v>46297</v>
      </c>
      <c r="AR235" s="5" t="s">
        <v>70</v>
      </c>
      <c r="AS235" s="5" t="s">
        <v>91</v>
      </c>
    </row>
    <row r="236" spans="1:45" x14ac:dyDescent="0.35">
      <c r="A236" s="5" t="s">
        <v>1263</v>
      </c>
      <c r="B236" s="5" t="s">
        <v>1264</v>
      </c>
      <c r="C236" s="6" t="s">
        <v>1265</v>
      </c>
      <c r="D236" s="7">
        <v>43100</v>
      </c>
      <c r="E236" s="5" t="s">
        <v>48</v>
      </c>
      <c r="F236" s="5" t="s">
        <v>68</v>
      </c>
      <c r="G236" s="8">
        <v>4</v>
      </c>
      <c r="H236" s="8">
        <f>IF(F236="Bullet",MIN(G236,Assumptions!$B$6),"")</f>
        <v>2</v>
      </c>
      <c r="I236" s="8"/>
      <c r="J236" s="8" t="str">
        <f>IF(F236="Monthly interest",MAX(0,Assumptions!$B$5-I236),"")</f>
        <v/>
      </c>
      <c r="K236" s="7">
        <f t="shared" si="9"/>
        <v>2156</v>
      </c>
      <c r="L236" s="9">
        <v>46172</v>
      </c>
      <c r="M236" s="5" t="s">
        <v>69</v>
      </c>
      <c r="N236" s="5" t="s">
        <v>53</v>
      </c>
      <c r="O236" s="5" t="s">
        <v>152</v>
      </c>
      <c r="P236" s="5" t="s">
        <v>153</v>
      </c>
      <c r="Q236" s="5" t="s">
        <v>154</v>
      </c>
      <c r="R236" s="5" t="s">
        <v>155</v>
      </c>
      <c r="S236" s="5" t="s">
        <v>75</v>
      </c>
      <c r="T236" s="5" t="s">
        <v>57</v>
      </c>
      <c r="U236" s="5" t="s">
        <v>104</v>
      </c>
      <c r="V236" s="5" t="s">
        <v>76</v>
      </c>
      <c r="W236" s="5" t="s">
        <v>444</v>
      </c>
      <c r="X236" s="5" t="s">
        <v>631</v>
      </c>
      <c r="Y236" s="5" t="s">
        <v>1266</v>
      </c>
      <c r="Z236" s="9">
        <v>46172</v>
      </c>
      <c r="AA236" s="8">
        <v>12</v>
      </c>
      <c r="AB236" s="9">
        <f t="shared" si="10"/>
        <v>46537</v>
      </c>
      <c r="AC236" s="10">
        <v>15</v>
      </c>
      <c r="AD236" s="7">
        <f t="shared" si="11"/>
        <v>539</v>
      </c>
      <c r="AE236" s="7">
        <f>IF(F236="Bullet",H236*AD236,MIN(MAX(I236,1),Assumptions!$B$6)*AD236)</f>
        <v>1078</v>
      </c>
      <c r="AF236" s="8">
        <f>IF(F236="Bullet",MAX(0,Assumptions!$B$4-AB236),MAX(0,Assumptions!$B$4-L236))</f>
        <v>0</v>
      </c>
      <c r="AG236" s="9"/>
      <c r="AH236" s="8" t="str">
        <f>IF(AG236="","",Assumptions!$B$4-AG236)</f>
        <v/>
      </c>
      <c r="AI236" s="5" t="s">
        <v>80</v>
      </c>
      <c r="AJ236" s="8"/>
      <c r="AK236" s="8">
        <v>4</v>
      </c>
      <c r="AL236" s="8">
        <v>666</v>
      </c>
      <c r="AM236" s="8">
        <v>0</v>
      </c>
      <c r="AN236" s="5" t="s">
        <v>63</v>
      </c>
      <c r="AO236" s="10">
        <v>75.8</v>
      </c>
      <c r="AP236" s="8">
        <v>47</v>
      </c>
      <c r="AQ236" s="9">
        <v>46288</v>
      </c>
      <c r="AR236" s="5" t="s">
        <v>72</v>
      </c>
      <c r="AS236" s="5" t="s">
        <v>91</v>
      </c>
    </row>
    <row r="237" spans="1:45" x14ac:dyDescent="0.35">
      <c r="A237" s="5" t="s">
        <v>1267</v>
      </c>
      <c r="B237" s="5" t="s">
        <v>1268</v>
      </c>
      <c r="C237" s="6" t="s">
        <v>1269</v>
      </c>
      <c r="D237" s="7">
        <v>189400</v>
      </c>
      <c r="E237" s="5" t="s">
        <v>48</v>
      </c>
      <c r="F237" s="5" t="s">
        <v>68</v>
      </c>
      <c r="G237" s="8">
        <v>4</v>
      </c>
      <c r="H237" s="8">
        <f>IF(F237="Bullet",MIN(G237,Assumptions!$B$6),"")</f>
        <v>2</v>
      </c>
      <c r="I237" s="8"/>
      <c r="J237" s="8" t="str">
        <f>IF(F237="Monthly interest",MAX(0,Assumptions!$B$5-I237),"")</f>
        <v/>
      </c>
      <c r="K237" s="7">
        <f t="shared" si="9"/>
        <v>10100</v>
      </c>
      <c r="L237" s="9">
        <v>46166</v>
      </c>
      <c r="M237" s="5" t="s">
        <v>69</v>
      </c>
      <c r="N237" s="5" t="s">
        <v>70</v>
      </c>
      <c r="O237" s="5" t="s">
        <v>295</v>
      </c>
      <c r="P237" s="5" t="s">
        <v>72</v>
      </c>
      <c r="Q237" s="5" t="s">
        <v>73</v>
      </c>
      <c r="R237" s="5" t="s">
        <v>74</v>
      </c>
      <c r="S237" s="5" t="s">
        <v>185</v>
      </c>
      <c r="T237" s="5" t="s">
        <v>57</v>
      </c>
      <c r="U237" s="5" t="s">
        <v>104</v>
      </c>
      <c r="V237" s="5" t="s">
        <v>186</v>
      </c>
      <c r="W237" s="5" t="s">
        <v>376</v>
      </c>
      <c r="X237" s="5" t="s">
        <v>1270</v>
      </c>
      <c r="Y237" s="5" t="s">
        <v>1271</v>
      </c>
      <c r="Z237" s="9">
        <v>46166</v>
      </c>
      <c r="AA237" s="8">
        <v>3</v>
      </c>
      <c r="AB237" s="9">
        <f t="shared" si="10"/>
        <v>46258</v>
      </c>
      <c r="AC237" s="10">
        <v>16</v>
      </c>
      <c r="AD237" s="7">
        <f t="shared" si="11"/>
        <v>2525</v>
      </c>
      <c r="AE237" s="7">
        <f>IF(F237="Bullet",H237*AD237,MIN(MAX(I237,1),Assumptions!$B$6)*AD237)</f>
        <v>5050</v>
      </c>
      <c r="AF237" s="8">
        <f>IF(F237="Bullet",MAX(0,Assumptions!$B$4-AB237),MAX(0,Assumptions!$B$4-L237))</f>
        <v>40</v>
      </c>
      <c r="AG237" s="9"/>
      <c r="AH237" s="8" t="str">
        <f>IF(AG237="","",Assumptions!$B$4-AG237)</f>
        <v/>
      </c>
      <c r="AI237" s="5" t="s">
        <v>80</v>
      </c>
      <c r="AJ237" s="8"/>
      <c r="AK237" s="8">
        <v>0</v>
      </c>
      <c r="AL237" s="8">
        <v>728</v>
      </c>
      <c r="AM237" s="8">
        <v>2</v>
      </c>
      <c r="AN237" s="5" t="s">
        <v>63</v>
      </c>
      <c r="AO237" s="10">
        <v>75.7</v>
      </c>
      <c r="AP237" s="8">
        <v>37</v>
      </c>
      <c r="AQ237" s="9">
        <v>46281</v>
      </c>
      <c r="AR237" s="5" t="s">
        <v>53</v>
      </c>
      <c r="AS237" s="5" t="s">
        <v>91</v>
      </c>
    </row>
    <row r="238" spans="1:45" x14ac:dyDescent="0.35">
      <c r="A238" s="5" t="s">
        <v>1272</v>
      </c>
      <c r="B238" s="5" t="s">
        <v>1273</v>
      </c>
      <c r="C238" s="6" t="s">
        <v>1274</v>
      </c>
      <c r="D238" s="7">
        <v>57200</v>
      </c>
      <c r="E238" s="5" t="s">
        <v>48</v>
      </c>
      <c r="F238" s="5" t="s">
        <v>68</v>
      </c>
      <c r="G238" s="8">
        <v>1</v>
      </c>
      <c r="H238" s="8">
        <f>IF(F238="Bullet",MIN(G238,Assumptions!$B$6),"")</f>
        <v>1</v>
      </c>
      <c r="I238" s="8"/>
      <c r="J238" s="8" t="str">
        <f>IF(F238="Monthly interest",MAX(0,Assumptions!$B$5-I238),"")</f>
        <v/>
      </c>
      <c r="K238" s="7">
        <f t="shared" si="9"/>
        <v>858</v>
      </c>
      <c r="L238" s="9">
        <v>46244</v>
      </c>
      <c r="M238" s="5" t="s">
        <v>50</v>
      </c>
      <c r="N238" s="5" t="s">
        <v>53</v>
      </c>
      <c r="O238" s="5" t="s">
        <v>103</v>
      </c>
      <c r="P238" s="5" t="s">
        <v>51</v>
      </c>
      <c r="Q238" s="5" t="s">
        <v>73</v>
      </c>
      <c r="R238" s="5" t="s">
        <v>74</v>
      </c>
      <c r="S238" s="5" t="s">
        <v>85</v>
      </c>
      <c r="T238" s="5" t="s">
        <v>57</v>
      </c>
      <c r="U238" s="5" t="s">
        <v>104</v>
      </c>
      <c r="V238" s="5" t="s">
        <v>553</v>
      </c>
      <c r="W238" s="5" t="s">
        <v>1029</v>
      </c>
      <c r="X238" s="5" t="s">
        <v>1275</v>
      </c>
      <c r="Y238" s="5" t="s">
        <v>1276</v>
      </c>
      <c r="Z238" s="9">
        <v>46244</v>
      </c>
      <c r="AA238" s="8">
        <v>6</v>
      </c>
      <c r="AB238" s="9">
        <f t="shared" si="10"/>
        <v>46428</v>
      </c>
      <c r="AC238" s="10">
        <v>18</v>
      </c>
      <c r="AD238" s="7">
        <f t="shared" si="11"/>
        <v>858</v>
      </c>
      <c r="AE238" s="7">
        <f>IF(F238="Bullet",H238*AD238,MIN(MAX(I238,1),Assumptions!$B$6)*AD238)</f>
        <v>858</v>
      </c>
      <c r="AF238" s="8">
        <f>IF(F238="Bullet",MAX(0,Assumptions!$B$4-AB238),MAX(0,Assumptions!$B$4-L238))</f>
        <v>0</v>
      </c>
      <c r="AG238" s="9"/>
      <c r="AH238" s="8" t="str">
        <f>IF(AG238="","",Assumptions!$B$4-AG238)</f>
        <v/>
      </c>
      <c r="AI238" s="5" t="s">
        <v>80</v>
      </c>
      <c r="AJ238" s="8"/>
      <c r="AK238" s="8">
        <v>0</v>
      </c>
      <c r="AL238" s="8">
        <v>703</v>
      </c>
      <c r="AM238" s="8">
        <v>0</v>
      </c>
      <c r="AN238" s="5" t="s">
        <v>63</v>
      </c>
      <c r="AO238" s="10">
        <v>62</v>
      </c>
      <c r="AP238" s="8">
        <v>12</v>
      </c>
      <c r="AQ238" s="9">
        <v>46287</v>
      </c>
      <c r="AR238" s="5" t="s">
        <v>51</v>
      </c>
      <c r="AS238" s="5" t="s">
        <v>81</v>
      </c>
    </row>
    <row r="239" spans="1:45" x14ac:dyDescent="0.35">
      <c r="A239" s="5" t="s">
        <v>1277</v>
      </c>
      <c r="B239" s="5" t="s">
        <v>1278</v>
      </c>
      <c r="C239" s="6" t="s">
        <v>1279</v>
      </c>
      <c r="D239" s="7">
        <v>79800</v>
      </c>
      <c r="E239" s="5" t="s">
        <v>48</v>
      </c>
      <c r="F239" s="5" t="s">
        <v>68</v>
      </c>
      <c r="G239" s="8">
        <v>2</v>
      </c>
      <c r="H239" s="8">
        <f>IF(F239="Bullet",MIN(G239,Assumptions!$B$6),"")</f>
        <v>2</v>
      </c>
      <c r="I239" s="8"/>
      <c r="J239" s="8" t="str">
        <f>IF(F239="Monthly interest",MAX(0,Assumptions!$B$5-I239),"")</f>
        <v/>
      </c>
      <c r="K239" s="7">
        <f t="shared" si="9"/>
        <v>1862</v>
      </c>
      <c r="L239" s="9">
        <v>46236</v>
      </c>
      <c r="M239" s="5" t="s">
        <v>50</v>
      </c>
      <c r="N239" s="5" t="s">
        <v>53</v>
      </c>
      <c r="O239" s="5" t="s">
        <v>132</v>
      </c>
      <c r="P239" s="5" t="s">
        <v>51</v>
      </c>
      <c r="Q239" s="5" t="s">
        <v>73</v>
      </c>
      <c r="R239" s="5" t="s">
        <v>74</v>
      </c>
      <c r="S239" s="5" t="s">
        <v>75</v>
      </c>
      <c r="T239" s="5" t="s">
        <v>57</v>
      </c>
      <c r="U239" s="5" t="s">
        <v>104</v>
      </c>
      <c r="V239" s="5" t="s">
        <v>76</v>
      </c>
      <c r="W239" s="5" t="s">
        <v>140</v>
      </c>
      <c r="X239" s="5" t="s">
        <v>141</v>
      </c>
      <c r="Y239" s="5" t="s">
        <v>1280</v>
      </c>
      <c r="Z239" s="9">
        <v>46236</v>
      </c>
      <c r="AA239" s="8">
        <v>6</v>
      </c>
      <c r="AB239" s="9">
        <f t="shared" si="10"/>
        <v>46420</v>
      </c>
      <c r="AC239" s="10">
        <v>14</v>
      </c>
      <c r="AD239" s="7">
        <f t="shared" si="11"/>
        <v>931</v>
      </c>
      <c r="AE239" s="7">
        <f>IF(F239="Bullet",H239*AD239,MIN(MAX(I239,1),Assumptions!$B$6)*AD239)</f>
        <v>1862</v>
      </c>
      <c r="AF239" s="8">
        <f>IF(F239="Bullet",MAX(0,Assumptions!$B$4-AB239),MAX(0,Assumptions!$B$4-L239))</f>
        <v>0</v>
      </c>
      <c r="AG239" s="9"/>
      <c r="AH239" s="8" t="str">
        <f>IF(AG239="","",Assumptions!$B$4-AG239)</f>
        <v/>
      </c>
      <c r="AI239" s="5" t="s">
        <v>80</v>
      </c>
      <c r="AJ239" s="8"/>
      <c r="AK239" s="8">
        <v>1</v>
      </c>
      <c r="AL239" s="8">
        <v>724</v>
      </c>
      <c r="AM239" s="8">
        <v>1</v>
      </c>
      <c r="AN239" s="5" t="s">
        <v>63</v>
      </c>
      <c r="AO239" s="10">
        <v>55.6</v>
      </c>
      <c r="AP239" s="8">
        <v>14</v>
      </c>
      <c r="AQ239" s="9">
        <v>46294</v>
      </c>
      <c r="AR239" s="5" t="s">
        <v>51</v>
      </c>
      <c r="AS239" s="5" t="s">
        <v>91</v>
      </c>
    </row>
    <row r="240" spans="1:45" x14ac:dyDescent="0.35">
      <c r="A240" s="5" t="s">
        <v>1281</v>
      </c>
      <c r="B240" s="5" t="s">
        <v>1282</v>
      </c>
      <c r="C240" s="6" t="s">
        <v>1283</v>
      </c>
      <c r="D240" s="7">
        <v>250300</v>
      </c>
      <c r="E240" s="5" t="s">
        <v>48</v>
      </c>
      <c r="F240" s="5" t="s">
        <v>68</v>
      </c>
      <c r="G240" s="8">
        <v>6</v>
      </c>
      <c r="H240" s="8">
        <f>IF(F240="Bullet",MIN(G240,Assumptions!$B$6),"")</f>
        <v>2</v>
      </c>
      <c r="I240" s="8"/>
      <c r="J240" s="8" t="str">
        <f>IF(F240="Monthly interest",MAX(0,Assumptions!$B$5-I240),"")</f>
        <v/>
      </c>
      <c r="K240" s="7">
        <f t="shared" si="9"/>
        <v>22530</v>
      </c>
      <c r="L240" s="9">
        <v>46094</v>
      </c>
      <c r="M240" s="5" t="s">
        <v>116</v>
      </c>
      <c r="N240" s="5" t="s">
        <v>117</v>
      </c>
      <c r="O240" s="5" t="s">
        <v>461</v>
      </c>
      <c r="P240" s="5" t="s">
        <v>72</v>
      </c>
      <c r="Q240" s="5" t="s">
        <v>169</v>
      </c>
      <c r="R240" s="5" t="s">
        <v>170</v>
      </c>
      <c r="S240" s="5" t="s">
        <v>214</v>
      </c>
      <c r="T240" s="5" t="s">
        <v>57</v>
      </c>
      <c r="U240" s="5" t="s">
        <v>104</v>
      </c>
      <c r="V240" s="5" t="s">
        <v>215</v>
      </c>
      <c r="W240" s="5" t="s">
        <v>278</v>
      </c>
      <c r="X240" s="5" t="s">
        <v>1284</v>
      </c>
      <c r="Y240" s="5" t="s">
        <v>1285</v>
      </c>
      <c r="Z240" s="9">
        <v>46094</v>
      </c>
      <c r="AA240" s="8">
        <v>6</v>
      </c>
      <c r="AB240" s="9">
        <f t="shared" si="10"/>
        <v>46278</v>
      </c>
      <c r="AC240" s="10">
        <v>18</v>
      </c>
      <c r="AD240" s="7">
        <f t="shared" si="11"/>
        <v>3755</v>
      </c>
      <c r="AE240" s="7">
        <f>IF(F240="Bullet",H240*AD240,MIN(MAX(I240,1),Assumptions!$B$6)*AD240)</f>
        <v>7510</v>
      </c>
      <c r="AF240" s="8">
        <f>IF(F240="Bullet",MAX(0,Assumptions!$B$4-AB240),MAX(0,Assumptions!$B$4-L240))</f>
        <v>20</v>
      </c>
      <c r="AG240" s="9"/>
      <c r="AH240" s="8" t="str">
        <f>IF(AG240="","",Assumptions!$B$4-AG240)</f>
        <v/>
      </c>
      <c r="AI240" s="5" t="s">
        <v>80</v>
      </c>
      <c r="AJ240" s="8"/>
      <c r="AK240" s="8">
        <v>3</v>
      </c>
      <c r="AL240" s="8">
        <v>688</v>
      </c>
      <c r="AM240" s="8">
        <v>0</v>
      </c>
      <c r="AN240" s="5" t="s">
        <v>63</v>
      </c>
      <c r="AO240" s="10">
        <v>56.9</v>
      </c>
      <c r="AP240" s="8">
        <v>66</v>
      </c>
      <c r="AQ240" s="9"/>
      <c r="AR240" s="5"/>
      <c r="AS240" s="5" t="s">
        <v>159</v>
      </c>
    </row>
    <row r="241" spans="1:45" x14ac:dyDescent="0.35">
      <c r="A241" s="5" t="s">
        <v>1286</v>
      </c>
      <c r="B241" s="5" t="s">
        <v>1287</v>
      </c>
      <c r="C241" s="6" t="s">
        <v>1288</v>
      </c>
      <c r="D241" s="7">
        <v>144500</v>
      </c>
      <c r="E241" s="5" t="s">
        <v>48</v>
      </c>
      <c r="F241" s="5" t="s">
        <v>49</v>
      </c>
      <c r="G241" s="8"/>
      <c r="H241" s="8" t="str">
        <f>IF(F241="Bullet",MIN(G241,Assumptions!$B$6),"")</f>
        <v/>
      </c>
      <c r="I241" s="8">
        <v>1</v>
      </c>
      <c r="J241" s="8">
        <f>IF(F241="Monthly interest",MAX(0,Assumptions!$B$5-I241),"")</f>
        <v>2</v>
      </c>
      <c r="K241" s="7">
        <f t="shared" si="9"/>
        <v>1927</v>
      </c>
      <c r="L241" s="9">
        <v>46279</v>
      </c>
      <c r="M241" s="5" t="s">
        <v>50</v>
      </c>
      <c r="N241" s="5" t="s">
        <v>51</v>
      </c>
      <c r="O241" s="5" t="s">
        <v>52</v>
      </c>
      <c r="P241" s="5" t="s">
        <v>53</v>
      </c>
      <c r="Q241" s="5" t="s">
        <v>54</v>
      </c>
      <c r="R241" s="5" t="s">
        <v>55</v>
      </c>
      <c r="S241" s="5" t="s">
        <v>214</v>
      </c>
      <c r="T241" s="5" t="s">
        <v>57</v>
      </c>
      <c r="U241" s="5" t="s">
        <v>104</v>
      </c>
      <c r="V241" s="5" t="s">
        <v>215</v>
      </c>
      <c r="W241" s="5" t="s">
        <v>1057</v>
      </c>
      <c r="X241" s="5" t="s">
        <v>1058</v>
      </c>
      <c r="Y241" s="5" t="s">
        <v>1289</v>
      </c>
      <c r="Z241" s="9">
        <v>46217</v>
      </c>
      <c r="AA241" s="8">
        <v>18</v>
      </c>
      <c r="AB241" s="9">
        <f t="shared" si="10"/>
        <v>46766</v>
      </c>
      <c r="AC241" s="10">
        <v>16</v>
      </c>
      <c r="AD241" s="7">
        <f t="shared" si="11"/>
        <v>1927</v>
      </c>
      <c r="AE241" s="7">
        <f>IF(F241="Bullet",H241*AD241,MIN(MAX(I241,1),Assumptions!$B$6)*AD241)</f>
        <v>1927</v>
      </c>
      <c r="AF241" s="8">
        <f>IF(F241="Bullet",MAX(0,Assumptions!$B$4-AB241),MAX(0,Assumptions!$B$4-L241))</f>
        <v>19</v>
      </c>
      <c r="AG241" s="9">
        <v>46248</v>
      </c>
      <c r="AH241" s="8">
        <f>IF(AG241="","",Assumptions!$B$4-AG241)</f>
        <v>50</v>
      </c>
      <c r="AI241" s="5" t="s">
        <v>57</v>
      </c>
      <c r="AJ241" s="8">
        <v>1</v>
      </c>
      <c r="AK241" s="8">
        <v>1</v>
      </c>
      <c r="AL241" s="8" t="s">
        <v>80</v>
      </c>
      <c r="AM241" s="8">
        <v>2</v>
      </c>
      <c r="AN241" s="5" t="s">
        <v>63</v>
      </c>
      <c r="AO241" s="10">
        <v>57</v>
      </c>
      <c r="AP241" s="8">
        <v>27</v>
      </c>
      <c r="AQ241" s="9">
        <v>46292</v>
      </c>
      <c r="AR241" s="5" t="s">
        <v>51</v>
      </c>
      <c r="AS241" s="5" t="s">
        <v>64</v>
      </c>
    </row>
    <row r="242" spans="1:45" x14ac:dyDescent="0.35">
      <c r="A242" s="5" t="s">
        <v>1290</v>
      </c>
      <c r="B242" s="5" t="s">
        <v>540</v>
      </c>
      <c r="C242" s="6" t="s">
        <v>1291</v>
      </c>
      <c r="D242" s="7">
        <v>18800</v>
      </c>
      <c r="E242" s="5" t="s">
        <v>48</v>
      </c>
      <c r="F242" s="5" t="s">
        <v>49</v>
      </c>
      <c r="G242" s="8"/>
      <c r="H242" s="8" t="str">
        <f>IF(F242="Bullet",MIN(G242,Assumptions!$B$6),"")</f>
        <v/>
      </c>
      <c r="I242" s="8">
        <v>1</v>
      </c>
      <c r="J242" s="8">
        <f>IF(F242="Monthly interest",MAX(0,Assumptions!$B$5-I242),"")</f>
        <v>2</v>
      </c>
      <c r="K242" s="7">
        <f t="shared" si="9"/>
        <v>313</v>
      </c>
      <c r="L242" s="9">
        <v>46281</v>
      </c>
      <c r="M242" s="5" t="s">
        <v>50</v>
      </c>
      <c r="N242" s="5" t="s">
        <v>53</v>
      </c>
      <c r="O242" s="5" t="s">
        <v>132</v>
      </c>
      <c r="P242" s="5" t="s">
        <v>153</v>
      </c>
      <c r="Q242" s="5" t="s">
        <v>154</v>
      </c>
      <c r="R242" s="5" t="s">
        <v>155</v>
      </c>
      <c r="S242" s="5" t="s">
        <v>214</v>
      </c>
      <c r="T242" s="5" t="s">
        <v>57</v>
      </c>
      <c r="U242" s="5" t="s">
        <v>86</v>
      </c>
      <c r="V242" s="5" t="s">
        <v>215</v>
      </c>
      <c r="W242" s="5" t="s">
        <v>1057</v>
      </c>
      <c r="X242" s="5" t="s">
        <v>1292</v>
      </c>
      <c r="Y242" s="5" t="s">
        <v>1293</v>
      </c>
      <c r="Z242" s="9">
        <v>46158</v>
      </c>
      <c r="AA242" s="8">
        <v>24</v>
      </c>
      <c r="AB242" s="9">
        <f t="shared" si="10"/>
        <v>46889</v>
      </c>
      <c r="AC242" s="10">
        <v>20</v>
      </c>
      <c r="AD242" s="7">
        <f t="shared" si="11"/>
        <v>313</v>
      </c>
      <c r="AE242" s="7">
        <f>IF(F242="Bullet",H242*AD242,MIN(MAX(I242,1),Assumptions!$B$6)*AD242)</f>
        <v>313</v>
      </c>
      <c r="AF242" s="8">
        <f>IF(F242="Bullet",MAX(0,Assumptions!$B$4-AB242),MAX(0,Assumptions!$B$4-L242))</f>
        <v>17</v>
      </c>
      <c r="AG242" s="9">
        <v>46251</v>
      </c>
      <c r="AH242" s="8">
        <f>IF(AG242="","",Assumptions!$B$4-AG242)</f>
        <v>47</v>
      </c>
      <c r="AI242" s="5" t="s">
        <v>63</v>
      </c>
      <c r="AJ242" s="8">
        <v>1</v>
      </c>
      <c r="AK242" s="8">
        <v>0</v>
      </c>
      <c r="AL242" s="8">
        <v>668</v>
      </c>
      <c r="AM242" s="8">
        <v>0</v>
      </c>
      <c r="AN242" s="5" t="s">
        <v>63</v>
      </c>
      <c r="AO242" s="10">
        <v>75.5</v>
      </c>
      <c r="AP242" s="8">
        <v>24</v>
      </c>
      <c r="AQ242" s="9">
        <v>46284</v>
      </c>
      <c r="AR242" s="5" t="s">
        <v>51</v>
      </c>
      <c r="AS242" s="5" t="s">
        <v>91</v>
      </c>
    </row>
    <row r="243" spans="1:45" x14ac:dyDescent="0.35">
      <c r="A243" s="5" t="s">
        <v>1294</v>
      </c>
      <c r="B243" s="5" t="s">
        <v>1295</v>
      </c>
      <c r="C243" s="6" t="s">
        <v>1296</v>
      </c>
      <c r="D243" s="7">
        <v>98300</v>
      </c>
      <c r="E243" s="5" t="s">
        <v>48</v>
      </c>
      <c r="F243" s="5" t="s">
        <v>49</v>
      </c>
      <c r="G243" s="8"/>
      <c r="H243" s="8" t="str">
        <f>IF(F243="Bullet",MIN(G243,Assumptions!$B$6),"")</f>
        <v/>
      </c>
      <c r="I243" s="8">
        <v>1</v>
      </c>
      <c r="J243" s="8">
        <f>IF(F243="Monthly interest",MAX(0,Assumptions!$B$5-I243),"")</f>
        <v>2</v>
      </c>
      <c r="K243" s="7">
        <f t="shared" si="9"/>
        <v>1638</v>
      </c>
      <c r="L243" s="9">
        <v>46289</v>
      </c>
      <c r="M243" s="5" t="s">
        <v>50</v>
      </c>
      <c r="N243" s="5" t="s">
        <v>51</v>
      </c>
      <c r="O243" s="5" t="s">
        <v>52</v>
      </c>
      <c r="P243" s="5" t="s">
        <v>53</v>
      </c>
      <c r="Q243" s="5" t="s">
        <v>54</v>
      </c>
      <c r="R243" s="5" t="s">
        <v>55</v>
      </c>
      <c r="S243" s="5" t="s">
        <v>56</v>
      </c>
      <c r="T243" s="5" t="s">
        <v>57</v>
      </c>
      <c r="U243" s="5" t="s">
        <v>86</v>
      </c>
      <c r="V243" s="5" t="s">
        <v>59</v>
      </c>
      <c r="W243" s="5" t="s">
        <v>323</v>
      </c>
      <c r="X243" s="5" t="s">
        <v>651</v>
      </c>
      <c r="Y243" s="5" t="s">
        <v>1297</v>
      </c>
      <c r="Z243" s="9">
        <v>46197</v>
      </c>
      <c r="AA243" s="8">
        <v>12</v>
      </c>
      <c r="AB243" s="9">
        <f t="shared" si="10"/>
        <v>46562</v>
      </c>
      <c r="AC243" s="10">
        <v>20</v>
      </c>
      <c r="AD243" s="7">
        <f t="shared" si="11"/>
        <v>1638</v>
      </c>
      <c r="AE243" s="7">
        <f>IF(F243="Bullet",H243*AD243,MIN(MAX(I243,1),Assumptions!$B$6)*AD243)</f>
        <v>1638</v>
      </c>
      <c r="AF243" s="8">
        <f>IF(F243="Bullet",MAX(0,Assumptions!$B$4-AB243),MAX(0,Assumptions!$B$4-L243))</f>
        <v>9</v>
      </c>
      <c r="AG243" s="9">
        <v>46259</v>
      </c>
      <c r="AH243" s="8">
        <f>IF(AG243="","",Assumptions!$B$4-AG243)</f>
        <v>39</v>
      </c>
      <c r="AI243" s="5" t="s">
        <v>57</v>
      </c>
      <c r="AJ243" s="8">
        <v>1</v>
      </c>
      <c r="AK243" s="8">
        <v>0</v>
      </c>
      <c r="AL243" s="8">
        <v>698</v>
      </c>
      <c r="AM243" s="8">
        <v>0</v>
      </c>
      <c r="AN243" s="5" t="s">
        <v>63</v>
      </c>
      <c r="AO243" s="10">
        <v>84.7</v>
      </c>
      <c r="AP243" s="8">
        <v>26</v>
      </c>
      <c r="AQ243" s="9">
        <v>46295</v>
      </c>
      <c r="AR243" s="5" t="s">
        <v>53</v>
      </c>
      <c r="AS243" s="5" t="s">
        <v>81</v>
      </c>
    </row>
    <row r="244" spans="1:45" x14ac:dyDescent="0.35">
      <c r="A244" s="5" t="s">
        <v>1298</v>
      </c>
      <c r="B244" s="5" t="s">
        <v>1299</v>
      </c>
      <c r="C244" s="6" t="s">
        <v>1300</v>
      </c>
      <c r="D244" s="7">
        <v>29700</v>
      </c>
      <c r="E244" s="5" t="s">
        <v>48</v>
      </c>
      <c r="F244" s="5" t="s">
        <v>49</v>
      </c>
      <c r="G244" s="8"/>
      <c r="H244" s="8" t="str">
        <f>IF(F244="Bullet",MIN(G244,Assumptions!$B$6),"")</f>
        <v/>
      </c>
      <c r="I244" s="8">
        <v>1</v>
      </c>
      <c r="J244" s="8">
        <f>IF(F244="Monthly interest",MAX(0,Assumptions!$B$5-I244),"")</f>
        <v>2</v>
      </c>
      <c r="K244" s="7">
        <f t="shared" si="9"/>
        <v>594</v>
      </c>
      <c r="L244" s="9">
        <v>46279</v>
      </c>
      <c r="M244" s="5" t="s">
        <v>50</v>
      </c>
      <c r="N244" s="5" t="s">
        <v>51</v>
      </c>
      <c r="O244" s="5" t="s">
        <v>152</v>
      </c>
      <c r="P244" s="5" t="s">
        <v>53</v>
      </c>
      <c r="Q244" s="5" t="s">
        <v>154</v>
      </c>
      <c r="R244" s="5" t="s">
        <v>155</v>
      </c>
      <c r="S244" s="5" t="s">
        <v>214</v>
      </c>
      <c r="T244" s="5" t="s">
        <v>57</v>
      </c>
      <c r="U244" s="5" t="s">
        <v>104</v>
      </c>
      <c r="V244" s="5" t="s">
        <v>215</v>
      </c>
      <c r="W244" s="5" t="s">
        <v>278</v>
      </c>
      <c r="X244" s="5" t="s">
        <v>516</v>
      </c>
      <c r="Y244" s="5" t="s">
        <v>1301</v>
      </c>
      <c r="Z244" s="9">
        <v>46067</v>
      </c>
      <c r="AA244" s="8">
        <v>12</v>
      </c>
      <c r="AB244" s="9">
        <f t="shared" si="10"/>
        <v>46432</v>
      </c>
      <c r="AC244" s="10">
        <v>24</v>
      </c>
      <c r="AD244" s="7">
        <f t="shared" si="11"/>
        <v>594</v>
      </c>
      <c r="AE244" s="7">
        <f>IF(F244="Bullet",H244*AD244,MIN(MAX(I244,1),Assumptions!$B$6)*AD244)</f>
        <v>594</v>
      </c>
      <c r="AF244" s="8">
        <f>IF(F244="Bullet",MAX(0,Assumptions!$B$4-AB244),MAX(0,Assumptions!$B$4-L244))</f>
        <v>19</v>
      </c>
      <c r="AG244" s="9">
        <v>46252</v>
      </c>
      <c r="AH244" s="8">
        <f>IF(AG244="","",Assumptions!$B$4-AG244)</f>
        <v>46</v>
      </c>
      <c r="AI244" s="5" t="s">
        <v>63</v>
      </c>
      <c r="AJ244" s="8">
        <v>1</v>
      </c>
      <c r="AK244" s="8">
        <v>0</v>
      </c>
      <c r="AL244" s="8">
        <v>669</v>
      </c>
      <c r="AM244" s="8">
        <v>2</v>
      </c>
      <c r="AN244" s="5" t="s">
        <v>63</v>
      </c>
      <c r="AO244" s="10">
        <v>56.8</v>
      </c>
      <c r="AP244" s="8">
        <v>30</v>
      </c>
      <c r="AQ244" s="9">
        <v>46277</v>
      </c>
      <c r="AR244" s="5" t="s">
        <v>51</v>
      </c>
      <c r="AS244" s="5" t="s">
        <v>190</v>
      </c>
    </row>
    <row r="245" spans="1:45" x14ac:dyDescent="0.35">
      <c r="A245" s="5" t="s">
        <v>1302</v>
      </c>
      <c r="B245" s="5" t="s">
        <v>1303</v>
      </c>
      <c r="C245" s="6" t="s">
        <v>1304</v>
      </c>
      <c r="D245" s="7">
        <v>523400</v>
      </c>
      <c r="E245" s="5" t="s">
        <v>48</v>
      </c>
      <c r="F245" s="5" t="s">
        <v>68</v>
      </c>
      <c r="G245" s="8">
        <v>2</v>
      </c>
      <c r="H245" s="8">
        <f>IF(F245="Bullet",MIN(G245,Assumptions!$B$6),"")</f>
        <v>2</v>
      </c>
      <c r="I245" s="8"/>
      <c r="J245" s="8" t="str">
        <f>IF(F245="Monthly interest",MAX(0,Assumptions!$B$5-I245),"")</f>
        <v/>
      </c>
      <c r="K245" s="7">
        <f t="shared" si="9"/>
        <v>13958</v>
      </c>
      <c r="L245" s="9">
        <v>46223</v>
      </c>
      <c r="M245" s="5" t="s">
        <v>50</v>
      </c>
      <c r="N245" s="5" t="s">
        <v>51</v>
      </c>
      <c r="O245" s="5" t="s">
        <v>71</v>
      </c>
      <c r="P245" s="5" t="s">
        <v>53</v>
      </c>
      <c r="Q245" s="5" t="s">
        <v>73</v>
      </c>
      <c r="R245" s="5" t="s">
        <v>74</v>
      </c>
      <c r="S245" s="5" t="s">
        <v>185</v>
      </c>
      <c r="T245" s="5" t="s">
        <v>57</v>
      </c>
      <c r="U245" s="5" t="s">
        <v>104</v>
      </c>
      <c r="V245" s="5" t="s">
        <v>186</v>
      </c>
      <c r="W245" s="5" t="s">
        <v>376</v>
      </c>
      <c r="X245" s="5" t="s">
        <v>1010</v>
      </c>
      <c r="Y245" s="5" t="s">
        <v>1305</v>
      </c>
      <c r="Z245" s="9">
        <v>46223</v>
      </c>
      <c r="AA245" s="8">
        <v>6</v>
      </c>
      <c r="AB245" s="9">
        <f t="shared" si="10"/>
        <v>46407</v>
      </c>
      <c r="AC245" s="10">
        <v>16</v>
      </c>
      <c r="AD245" s="7">
        <f t="shared" si="11"/>
        <v>6979</v>
      </c>
      <c r="AE245" s="7">
        <f>IF(F245="Bullet",H245*AD245,MIN(MAX(I245,1),Assumptions!$B$6)*AD245)</f>
        <v>13958</v>
      </c>
      <c r="AF245" s="8">
        <f>IF(F245="Bullet",MAX(0,Assumptions!$B$4-AB245),MAX(0,Assumptions!$B$4-L245))</f>
        <v>0</v>
      </c>
      <c r="AG245" s="9"/>
      <c r="AH245" s="8" t="str">
        <f>IF(AG245="","",Assumptions!$B$4-AG245)</f>
        <v/>
      </c>
      <c r="AI245" s="5" t="s">
        <v>80</v>
      </c>
      <c r="AJ245" s="8"/>
      <c r="AK245" s="8">
        <v>1</v>
      </c>
      <c r="AL245" s="8" t="s">
        <v>80</v>
      </c>
      <c r="AM245" s="8">
        <v>0</v>
      </c>
      <c r="AN245" s="5" t="s">
        <v>63</v>
      </c>
      <c r="AO245" s="10">
        <v>74.7</v>
      </c>
      <c r="AP245" s="8">
        <v>15</v>
      </c>
      <c r="AQ245" s="9"/>
      <c r="AR245" s="5"/>
      <c r="AS245" s="5" t="s">
        <v>159</v>
      </c>
    </row>
    <row r="246" spans="1:45" x14ac:dyDescent="0.35">
      <c r="A246" s="5" t="s">
        <v>1306</v>
      </c>
      <c r="B246" s="5" t="s">
        <v>1307</v>
      </c>
      <c r="C246" s="6" t="s">
        <v>1308</v>
      </c>
      <c r="D246" s="7">
        <v>205400</v>
      </c>
      <c r="E246" s="5" t="s">
        <v>48</v>
      </c>
      <c r="F246" s="5" t="s">
        <v>49</v>
      </c>
      <c r="G246" s="8"/>
      <c r="H246" s="8" t="str">
        <f>IF(F246="Bullet",MIN(G246,Assumptions!$B$6),"")</f>
        <v/>
      </c>
      <c r="I246" s="8">
        <v>2</v>
      </c>
      <c r="J246" s="8">
        <f>IF(F246="Monthly interest",MAX(0,Assumptions!$B$5-I246),"")</f>
        <v>1</v>
      </c>
      <c r="K246" s="7">
        <f t="shared" si="9"/>
        <v>6846</v>
      </c>
      <c r="L246" s="9">
        <v>46258</v>
      </c>
      <c r="M246" s="5" t="s">
        <v>116</v>
      </c>
      <c r="N246" s="5" t="s">
        <v>117</v>
      </c>
      <c r="O246" s="5" t="s">
        <v>118</v>
      </c>
      <c r="P246" s="5" t="s">
        <v>72</v>
      </c>
      <c r="Q246" s="5" t="s">
        <v>119</v>
      </c>
      <c r="R246" s="5" t="s">
        <v>120</v>
      </c>
      <c r="S246" s="5" t="s">
        <v>56</v>
      </c>
      <c r="T246" s="5" t="s">
        <v>63</v>
      </c>
      <c r="U246" s="5" t="s">
        <v>86</v>
      </c>
      <c r="V246" s="5" t="s">
        <v>59</v>
      </c>
      <c r="W246" s="5" t="s">
        <v>323</v>
      </c>
      <c r="X246" s="5" t="s">
        <v>1309</v>
      </c>
      <c r="Y246" s="5" t="s">
        <v>1310</v>
      </c>
      <c r="Z246" s="9">
        <v>46105</v>
      </c>
      <c r="AA246" s="8">
        <v>18</v>
      </c>
      <c r="AB246" s="9">
        <f t="shared" si="10"/>
        <v>46654</v>
      </c>
      <c r="AC246" s="10">
        <v>20</v>
      </c>
      <c r="AD246" s="7">
        <f t="shared" si="11"/>
        <v>3423</v>
      </c>
      <c r="AE246" s="7">
        <f>IF(F246="Bullet",H246*AD246,MIN(MAX(I246,1),Assumptions!$B$6)*AD246)</f>
        <v>6846</v>
      </c>
      <c r="AF246" s="8">
        <f>IF(F246="Bullet",MAX(0,Assumptions!$B$4-AB246),MAX(0,Assumptions!$B$4-L246))</f>
        <v>40</v>
      </c>
      <c r="AG246" s="9">
        <v>46230</v>
      </c>
      <c r="AH246" s="8">
        <f>IF(AG246="","",Assumptions!$B$4-AG246)</f>
        <v>68</v>
      </c>
      <c r="AI246" s="5" t="s">
        <v>63</v>
      </c>
      <c r="AJ246" s="8">
        <v>2</v>
      </c>
      <c r="AK246" s="8">
        <v>1</v>
      </c>
      <c r="AL246" s="8" t="s">
        <v>80</v>
      </c>
      <c r="AM246" s="8">
        <v>1</v>
      </c>
      <c r="AN246" s="5" t="s">
        <v>63</v>
      </c>
      <c r="AO246" s="10">
        <v>88</v>
      </c>
      <c r="AP246" s="8">
        <v>69</v>
      </c>
      <c r="AQ246" s="9">
        <v>46278</v>
      </c>
      <c r="AR246" s="5" t="s">
        <v>70</v>
      </c>
      <c r="AS246" s="5" t="s">
        <v>274</v>
      </c>
    </row>
    <row r="247" spans="1:45" x14ac:dyDescent="0.35">
      <c r="A247" s="5" t="s">
        <v>1311</v>
      </c>
      <c r="B247" s="5" t="s">
        <v>1312</v>
      </c>
      <c r="C247" s="6" t="s">
        <v>1313</v>
      </c>
      <c r="D247" s="7">
        <v>90600</v>
      </c>
      <c r="E247" s="5" t="s">
        <v>48</v>
      </c>
      <c r="F247" s="5" t="s">
        <v>49</v>
      </c>
      <c r="G247" s="8"/>
      <c r="H247" s="8" t="str">
        <f>IF(F247="Bullet",MIN(G247,Assumptions!$B$6),"")</f>
        <v/>
      </c>
      <c r="I247" s="8">
        <v>1</v>
      </c>
      <c r="J247" s="8">
        <f>IF(F247="Monthly interest",MAX(0,Assumptions!$B$5-I247),"")</f>
        <v>2</v>
      </c>
      <c r="K247" s="7">
        <f t="shared" si="9"/>
        <v>1510</v>
      </c>
      <c r="L247" s="9">
        <v>46290</v>
      </c>
      <c r="M247" s="5" t="s">
        <v>69</v>
      </c>
      <c r="N247" s="5" t="s">
        <v>51</v>
      </c>
      <c r="O247" s="5" t="s">
        <v>52</v>
      </c>
      <c r="P247" s="5" t="s">
        <v>53</v>
      </c>
      <c r="Q247" s="5" t="s">
        <v>54</v>
      </c>
      <c r="R247" s="5" t="s">
        <v>55</v>
      </c>
      <c r="S247" s="5" t="s">
        <v>85</v>
      </c>
      <c r="T247" s="5" t="s">
        <v>57</v>
      </c>
      <c r="U247" s="5" t="s">
        <v>86</v>
      </c>
      <c r="V247" s="5" t="s">
        <v>177</v>
      </c>
      <c r="W247" s="5" t="s">
        <v>208</v>
      </c>
      <c r="X247" s="5" t="s">
        <v>1314</v>
      </c>
      <c r="Y247" s="5" t="s">
        <v>1315</v>
      </c>
      <c r="Z247" s="9">
        <v>46106</v>
      </c>
      <c r="AA247" s="8">
        <v>12</v>
      </c>
      <c r="AB247" s="9">
        <f t="shared" si="10"/>
        <v>46471</v>
      </c>
      <c r="AC247" s="10">
        <v>20</v>
      </c>
      <c r="AD247" s="7">
        <f t="shared" si="11"/>
        <v>1510</v>
      </c>
      <c r="AE247" s="7">
        <f>IF(F247="Bullet",H247*AD247,MIN(MAX(I247,1),Assumptions!$B$6)*AD247)</f>
        <v>1510</v>
      </c>
      <c r="AF247" s="8">
        <f>IF(F247="Bullet",MAX(0,Assumptions!$B$4-AB247),MAX(0,Assumptions!$B$4-L247))</f>
        <v>8</v>
      </c>
      <c r="AG247" s="9">
        <v>46259</v>
      </c>
      <c r="AH247" s="8">
        <f>IF(AG247="","",Assumptions!$B$4-AG247)</f>
        <v>39</v>
      </c>
      <c r="AI247" s="5" t="s">
        <v>63</v>
      </c>
      <c r="AJ247" s="8">
        <v>1</v>
      </c>
      <c r="AK247" s="8">
        <v>0</v>
      </c>
      <c r="AL247" s="8">
        <v>694</v>
      </c>
      <c r="AM247" s="8">
        <v>1</v>
      </c>
      <c r="AN247" s="5" t="s">
        <v>63</v>
      </c>
      <c r="AO247" s="10">
        <v>67.8</v>
      </c>
      <c r="AP247" s="8">
        <v>31</v>
      </c>
      <c r="AQ247" s="9">
        <v>46285</v>
      </c>
      <c r="AR247" s="5" t="s">
        <v>53</v>
      </c>
      <c r="AS247" s="5" t="s">
        <v>81</v>
      </c>
    </row>
    <row r="248" spans="1:45" x14ac:dyDescent="0.35">
      <c r="A248" s="5" t="s">
        <v>1316</v>
      </c>
      <c r="B248" s="5" t="s">
        <v>161</v>
      </c>
      <c r="C248" s="6" t="s">
        <v>1317</v>
      </c>
      <c r="D248" s="7">
        <v>116500</v>
      </c>
      <c r="E248" s="5" t="s">
        <v>48</v>
      </c>
      <c r="F248" s="5" t="s">
        <v>68</v>
      </c>
      <c r="G248" s="8">
        <v>4</v>
      </c>
      <c r="H248" s="8">
        <f>IF(F248="Bullet",MIN(G248,Assumptions!$B$6),"")</f>
        <v>2</v>
      </c>
      <c r="I248" s="8"/>
      <c r="J248" s="8" t="str">
        <f>IF(F248="Monthly interest",MAX(0,Assumptions!$B$5-I248),"")</f>
        <v/>
      </c>
      <c r="K248" s="7">
        <f t="shared" si="9"/>
        <v>4660</v>
      </c>
      <c r="L248" s="9">
        <v>46161</v>
      </c>
      <c r="M248" s="5" t="s">
        <v>50</v>
      </c>
      <c r="N248" s="5" t="s">
        <v>53</v>
      </c>
      <c r="O248" s="5" t="s">
        <v>71</v>
      </c>
      <c r="P248" s="5" t="s">
        <v>51</v>
      </c>
      <c r="Q248" s="5" t="s">
        <v>73</v>
      </c>
      <c r="R248" s="5" t="s">
        <v>74</v>
      </c>
      <c r="S248" s="5" t="s">
        <v>75</v>
      </c>
      <c r="T248" s="5" t="s">
        <v>57</v>
      </c>
      <c r="U248" s="5" t="s">
        <v>86</v>
      </c>
      <c r="V248" s="5" t="s">
        <v>76</v>
      </c>
      <c r="W248" s="5" t="s">
        <v>382</v>
      </c>
      <c r="X248" s="5" t="s">
        <v>1318</v>
      </c>
      <c r="Y248" s="5" t="s">
        <v>1319</v>
      </c>
      <c r="Z248" s="9">
        <v>46161</v>
      </c>
      <c r="AA248" s="8">
        <v>6</v>
      </c>
      <c r="AB248" s="9">
        <f t="shared" si="10"/>
        <v>46345</v>
      </c>
      <c r="AC248" s="10">
        <v>12</v>
      </c>
      <c r="AD248" s="7">
        <f t="shared" si="11"/>
        <v>1165</v>
      </c>
      <c r="AE248" s="7">
        <f>IF(F248="Bullet",H248*AD248,MIN(MAX(I248,1),Assumptions!$B$6)*AD248)</f>
        <v>2330</v>
      </c>
      <c r="AF248" s="8">
        <f>IF(F248="Bullet",MAX(0,Assumptions!$B$4-AB248),MAX(0,Assumptions!$B$4-L248))</f>
        <v>0</v>
      </c>
      <c r="AG248" s="9"/>
      <c r="AH248" s="8" t="str">
        <f>IF(AG248="","",Assumptions!$B$4-AG248)</f>
        <v/>
      </c>
      <c r="AI248" s="5" t="s">
        <v>80</v>
      </c>
      <c r="AJ248" s="8"/>
      <c r="AK248" s="8">
        <v>1</v>
      </c>
      <c r="AL248" s="8">
        <v>706</v>
      </c>
      <c r="AM248" s="8">
        <v>3</v>
      </c>
      <c r="AN248" s="5" t="s">
        <v>63</v>
      </c>
      <c r="AO248" s="10">
        <v>64.2</v>
      </c>
      <c r="AP248" s="8">
        <v>30</v>
      </c>
      <c r="AQ248" s="9">
        <v>46290</v>
      </c>
      <c r="AR248" s="5" t="s">
        <v>70</v>
      </c>
      <c r="AS248" s="5" t="s">
        <v>64</v>
      </c>
    </row>
    <row r="249" spans="1:45" x14ac:dyDescent="0.35">
      <c r="A249" s="5" t="s">
        <v>1320</v>
      </c>
      <c r="B249" s="5" t="s">
        <v>1321</v>
      </c>
      <c r="C249" s="6" t="s">
        <v>1322</v>
      </c>
      <c r="D249" s="7">
        <v>227300</v>
      </c>
      <c r="E249" s="5" t="s">
        <v>48</v>
      </c>
      <c r="F249" s="5" t="s">
        <v>49</v>
      </c>
      <c r="G249" s="8"/>
      <c r="H249" s="8" t="str">
        <f>IF(F249="Bullet",MIN(G249,Assumptions!$B$6),"")</f>
        <v/>
      </c>
      <c r="I249" s="8">
        <v>2</v>
      </c>
      <c r="J249" s="8">
        <f>IF(F249="Monthly interest",MAX(0,Assumptions!$B$5-I249),"")</f>
        <v>1</v>
      </c>
      <c r="K249" s="7">
        <f t="shared" si="9"/>
        <v>5682</v>
      </c>
      <c r="L249" s="9">
        <v>46261</v>
      </c>
      <c r="M249" s="5" t="s">
        <v>69</v>
      </c>
      <c r="N249" s="5" t="s">
        <v>70</v>
      </c>
      <c r="O249" s="5" t="s">
        <v>71</v>
      </c>
      <c r="P249" s="5" t="s">
        <v>72</v>
      </c>
      <c r="Q249" s="5" t="s">
        <v>73</v>
      </c>
      <c r="R249" s="5" t="s">
        <v>74</v>
      </c>
      <c r="S249" s="5" t="s">
        <v>214</v>
      </c>
      <c r="T249" s="5" t="s">
        <v>57</v>
      </c>
      <c r="U249" s="5" t="s">
        <v>86</v>
      </c>
      <c r="V249" s="5" t="s">
        <v>215</v>
      </c>
      <c r="W249" s="5" t="s">
        <v>600</v>
      </c>
      <c r="X249" s="5" t="s">
        <v>1323</v>
      </c>
      <c r="Y249" s="5" t="s">
        <v>1324</v>
      </c>
      <c r="Z249" s="9">
        <v>46080</v>
      </c>
      <c r="AA249" s="8">
        <v>24</v>
      </c>
      <c r="AB249" s="9">
        <f t="shared" si="10"/>
        <v>46810</v>
      </c>
      <c r="AC249" s="10">
        <v>15</v>
      </c>
      <c r="AD249" s="7">
        <f t="shared" si="11"/>
        <v>2841</v>
      </c>
      <c r="AE249" s="7">
        <f>IF(F249="Bullet",H249*AD249,MIN(MAX(I249,1),Assumptions!$B$6)*AD249)</f>
        <v>5682</v>
      </c>
      <c r="AF249" s="8">
        <f>IF(F249="Bullet",MAX(0,Assumptions!$B$4-AB249),MAX(0,Assumptions!$B$4-L249))</f>
        <v>37</v>
      </c>
      <c r="AG249" s="9">
        <v>46235</v>
      </c>
      <c r="AH249" s="8">
        <f>IF(AG249="","",Assumptions!$B$4-AG249)</f>
        <v>63</v>
      </c>
      <c r="AI249" s="5" t="s">
        <v>63</v>
      </c>
      <c r="AJ249" s="8">
        <v>2</v>
      </c>
      <c r="AK249" s="8">
        <v>0</v>
      </c>
      <c r="AL249" s="8">
        <v>735</v>
      </c>
      <c r="AM249" s="8">
        <v>4</v>
      </c>
      <c r="AN249" s="5" t="s">
        <v>63</v>
      </c>
      <c r="AO249" s="10">
        <v>59.5</v>
      </c>
      <c r="AP249" s="8">
        <v>42</v>
      </c>
      <c r="AQ249" s="9">
        <v>46283</v>
      </c>
      <c r="AR249" s="5" t="s">
        <v>53</v>
      </c>
      <c r="AS249" s="5" t="s">
        <v>91</v>
      </c>
    </row>
    <row r="250" spans="1:45" x14ac:dyDescent="0.35">
      <c r="A250" s="5" t="s">
        <v>1325</v>
      </c>
      <c r="B250" s="5" t="s">
        <v>1326</v>
      </c>
      <c r="C250" s="6" t="s">
        <v>1327</v>
      </c>
      <c r="D250" s="7">
        <v>51900</v>
      </c>
      <c r="E250" s="5" t="s">
        <v>48</v>
      </c>
      <c r="F250" s="5" t="s">
        <v>49</v>
      </c>
      <c r="G250" s="8"/>
      <c r="H250" s="8" t="str">
        <f>IF(F250="Bullet",MIN(G250,Assumptions!$B$6),"")</f>
        <v/>
      </c>
      <c r="I250" s="8">
        <v>1</v>
      </c>
      <c r="J250" s="8">
        <f>IF(F250="Monthly interest",MAX(0,Assumptions!$B$5-I250),"")</f>
        <v>2</v>
      </c>
      <c r="K250" s="7">
        <f t="shared" si="9"/>
        <v>952</v>
      </c>
      <c r="L250" s="9">
        <v>46273</v>
      </c>
      <c r="M250" s="5" t="s">
        <v>50</v>
      </c>
      <c r="N250" s="5" t="s">
        <v>51</v>
      </c>
      <c r="O250" s="5" t="s">
        <v>52</v>
      </c>
      <c r="P250" s="5" t="s">
        <v>53</v>
      </c>
      <c r="Q250" s="5" t="s">
        <v>54</v>
      </c>
      <c r="R250" s="5" t="s">
        <v>55</v>
      </c>
      <c r="S250" s="5" t="s">
        <v>56</v>
      </c>
      <c r="T250" s="5" t="s">
        <v>57</v>
      </c>
      <c r="U250" s="5" t="s">
        <v>86</v>
      </c>
      <c r="V250" s="5" t="s">
        <v>59</v>
      </c>
      <c r="W250" s="5" t="s">
        <v>60</v>
      </c>
      <c r="X250" s="5" t="s">
        <v>1136</v>
      </c>
      <c r="Y250" s="5" t="s">
        <v>1328</v>
      </c>
      <c r="Z250" s="9">
        <v>46120</v>
      </c>
      <c r="AA250" s="8">
        <v>12</v>
      </c>
      <c r="AB250" s="9">
        <f t="shared" si="10"/>
        <v>46485</v>
      </c>
      <c r="AC250" s="10">
        <v>22</v>
      </c>
      <c r="AD250" s="7">
        <f t="shared" si="11"/>
        <v>952</v>
      </c>
      <c r="AE250" s="7">
        <f>IF(F250="Bullet",H250*AD250,MIN(MAX(I250,1),Assumptions!$B$6)*AD250)</f>
        <v>952</v>
      </c>
      <c r="AF250" s="8">
        <f>IF(F250="Bullet",MAX(0,Assumptions!$B$4-AB250),MAX(0,Assumptions!$B$4-L250))</f>
        <v>25</v>
      </c>
      <c r="AG250" s="9">
        <v>46242</v>
      </c>
      <c r="AH250" s="8">
        <f>IF(AG250="","",Assumptions!$B$4-AG250)</f>
        <v>56</v>
      </c>
      <c r="AI250" s="5" t="s">
        <v>63</v>
      </c>
      <c r="AJ250" s="8">
        <v>2</v>
      </c>
      <c r="AK250" s="8">
        <v>0</v>
      </c>
      <c r="AL250" s="8">
        <v>709</v>
      </c>
      <c r="AM250" s="8">
        <v>1</v>
      </c>
      <c r="AN250" s="5" t="s">
        <v>63</v>
      </c>
      <c r="AO250" s="10">
        <v>61.4</v>
      </c>
      <c r="AP250" s="8">
        <v>25</v>
      </c>
      <c r="AQ250" s="9"/>
      <c r="AR250" s="5"/>
      <c r="AS250" s="5" t="s">
        <v>159</v>
      </c>
    </row>
    <row r="251" spans="1:45" x14ac:dyDescent="0.35">
      <c r="A251" s="5" t="s">
        <v>1329</v>
      </c>
      <c r="B251" s="5" t="s">
        <v>1330</v>
      </c>
      <c r="C251" s="6" t="s">
        <v>1331</v>
      </c>
      <c r="D251" s="7">
        <v>99400</v>
      </c>
      <c r="E251" s="5" t="s">
        <v>48</v>
      </c>
      <c r="F251" s="5" t="s">
        <v>49</v>
      </c>
      <c r="G251" s="8"/>
      <c r="H251" s="8" t="str">
        <f>IF(F251="Bullet",MIN(G251,Assumptions!$B$6),"")</f>
        <v/>
      </c>
      <c r="I251" s="8">
        <v>1</v>
      </c>
      <c r="J251" s="8">
        <f>IF(F251="Monthly interest",MAX(0,Assumptions!$B$5-I251),"")</f>
        <v>2</v>
      </c>
      <c r="K251" s="7">
        <f t="shared" si="9"/>
        <v>1491</v>
      </c>
      <c r="L251" s="9">
        <v>46282</v>
      </c>
      <c r="M251" s="5" t="s">
        <v>50</v>
      </c>
      <c r="N251" s="5" t="s">
        <v>51</v>
      </c>
      <c r="O251" s="5" t="s">
        <v>52</v>
      </c>
      <c r="P251" s="5" t="s">
        <v>53</v>
      </c>
      <c r="Q251" s="5" t="s">
        <v>54</v>
      </c>
      <c r="R251" s="5" t="s">
        <v>55</v>
      </c>
      <c r="S251" s="5" t="s">
        <v>185</v>
      </c>
      <c r="T251" s="5" t="s">
        <v>57</v>
      </c>
      <c r="U251" s="5" t="s">
        <v>58</v>
      </c>
      <c r="V251" s="5" t="s">
        <v>200</v>
      </c>
      <c r="W251" s="5" t="s">
        <v>1332</v>
      </c>
      <c r="X251" s="5" t="s">
        <v>1333</v>
      </c>
      <c r="Y251" s="5" t="s">
        <v>1334</v>
      </c>
      <c r="Z251" s="9">
        <v>46008</v>
      </c>
      <c r="AA251" s="8">
        <v>24</v>
      </c>
      <c r="AB251" s="9">
        <f t="shared" si="10"/>
        <v>46738</v>
      </c>
      <c r="AC251" s="10">
        <v>18</v>
      </c>
      <c r="AD251" s="7">
        <f t="shared" si="11"/>
        <v>1491</v>
      </c>
      <c r="AE251" s="7">
        <f>IF(F251="Bullet",H251*AD251,MIN(MAX(I251,1),Assumptions!$B$6)*AD251)</f>
        <v>1491</v>
      </c>
      <c r="AF251" s="8">
        <f>IF(F251="Bullet",MAX(0,Assumptions!$B$4-AB251),MAX(0,Assumptions!$B$4-L251))</f>
        <v>16</v>
      </c>
      <c r="AG251" s="9">
        <v>46256</v>
      </c>
      <c r="AH251" s="8">
        <f>IF(AG251="","",Assumptions!$B$4-AG251)</f>
        <v>42</v>
      </c>
      <c r="AI251" s="5" t="s">
        <v>63</v>
      </c>
      <c r="AJ251" s="8">
        <v>1</v>
      </c>
      <c r="AK251" s="8">
        <v>1</v>
      </c>
      <c r="AL251" s="8">
        <v>736</v>
      </c>
      <c r="AM251" s="8">
        <v>0</v>
      </c>
      <c r="AN251" s="5" t="s">
        <v>63</v>
      </c>
      <c r="AO251" s="10">
        <v>65.3</v>
      </c>
      <c r="AP251" s="8">
        <v>24</v>
      </c>
      <c r="AQ251" s="9"/>
      <c r="AR251" s="5"/>
      <c r="AS251" s="5" t="s">
        <v>159</v>
      </c>
    </row>
    <row r="252" spans="1:45" x14ac:dyDescent="0.35">
      <c r="A252" s="5" t="s">
        <v>1335</v>
      </c>
      <c r="B252" s="5" t="s">
        <v>1336</v>
      </c>
      <c r="C252" s="6" t="s">
        <v>1337</v>
      </c>
      <c r="D252" s="7">
        <v>325200</v>
      </c>
      <c r="E252" s="5" t="s">
        <v>48</v>
      </c>
      <c r="F252" s="5" t="s">
        <v>49</v>
      </c>
      <c r="G252" s="8"/>
      <c r="H252" s="8" t="str">
        <f>IF(F252="Bullet",MIN(G252,Assumptions!$B$6),"")</f>
        <v/>
      </c>
      <c r="I252" s="8">
        <v>2</v>
      </c>
      <c r="J252" s="8">
        <f>IF(F252="Monthly interest",MAX(0,Assumptions!$B$5-I252),"")</f>
        <v>1</v>
      </c>
      <c r="K252" s="7">
        <f t="shared" si="9"/>
        <v>13008</v>
      </c>
      <c r="L252" s="9">
        <v>46268</v>
      </c>
      <c r="M252" s="5" t="s">
        <v>69</v>
      </c>
      <c r="N252" s="5" t="s">
        <v>70</v>
      </c>
      <c r="O252" s="5" t="s">
        <v>71</v>
      </c>
      <c r="P252" s="5" t="s">
        <v>72</v>
      </c>
      <c r="Q252" s="5" t="s">
        <v>73</v>
      </c>
      <c r="R252" s="5" t="s">
        <v>74</v>
      </c>
      <c r="S252" s="5" t="s">
        <v>185</v>
      </c>
      <c r="T252" s="5" t="s">
        <v>57</v>
      </c>
      <c r="U252" s="5" t="s">
        <v>86</v>
      </c>
      <c r="V252" s="5" t="s">
        <v>186</v>
      </c>
      <c r="W252" s="5" t="s">
        <v>329</v>
      </c>
      <c r="X252" s="5" t="s">
        <v>1253</v>
      </c>
      <c r="Y252" s="5" t="s">
        <v>1338</v>
      </c>
      <c r="Z252" s="9">
        <v>46176</v>
      </c>
      <c r="AA252" s="8">
        <v>24</v>
      </c>
      <c r="AB252" s="9">
        <f t="shared" si="10"/>
        <v>46907</v>
      </c>
      <c r="AC252" s="10">
        <v>24</v>
      </c>
      <c r="AD252" s="7">
        <f t="shared" si="11"/>
        <v>6504</v>
      </c>
      <c r="AE252" s="7">
        <f>IF(F252="Bullet",H252*AD252,MIN(MAX(I252,1),Assumptions!$B$6)*AD252)</f>
        <v>13008</v>
      </c>
      <c r="AF252" s="8">
        <f>IF(F252="Bullet",MAX(0,Assumptions!$B$4-AB252),MAX(0,Assumptions!$B$4-L252))</f>
        <v>30</v>
      </c>
      <c r="AG252" s="9">
        <v>46238</v>
      </c>
      <c r="AH252" s="8">
        <f>IF(AG252="","",Assumptions!$B$4-AG252)</f>
        <v>60</v>
      </c>
      <c r="AI252" s="5" t="s">
        <v>57</v>
      </c>
      <c r="AJ252" s="8">
        <v>3</v>
      </c>
      <c r="AK252" s="8">
        <v>0</v>
      </c>
      <c r="AL252" s="8">
        <v>778</v>
      </c>
      <c r="AM252" s="8">
        <v>0</v>
      </c>
      <c r="AN252" s="5" t="s">
        <v>63</v>
      </c>
      <c r="AO252" s="10">
        <v>75.599999999999994</v>
      </c>
      <c r="AP252" s="8">
        <v>34</v>
      </c>
      <c r="AQ252" s="9">
        <v>46289</v>
      </c>
      <c r="AR252" s="5" t="s">
        <v>70</v>
      </c>
      <c r="AS252" s="5" t="s">
        <v>81</v>
      </c>
    </row>
    <row r="253" spans="1:45" x14ac:dyDescent="0.35">
      <c r="A253" s="5" t="s">
        <v>1339</v>
      </c>
      <c r="B253" s="5" t="s">
        <v>1340</v>
      </c>
      <c r="C253" s="6" t="s">
        <v>1341</v>
      </c>
      <c r="D253" s="7">
        <v>143000</v>
      </c>
      <c r="E253" s="5" t="s">
        <v>48</v>
      </c>
      <c r="F253" s="5" t="s">
        <v>49</v>
      </c>
      <c r="G253" s="8"/>
      <c r="H253" s="8" t="str">
        <f>IF(F253="Bullet",MIN(G253,Assumptions!$B$6),"")</f>
        <v/>
      </c>
      <c r="I253" s="8">
        <v>2</v>
      </c>
      <c r="J253" s="8">
        <f>IF(F253="Monthly interest",MAX(0,Assumptions!$B$5-I253),"")</f>
        <v>1</v>
      </c>
      <c r="K253" s="7">
        <f t="shared" si="9"/>
        <v>3336</v>
      </c>
      <c r="L253" s="9">
        <v>46245</v>
      </c>
      <c r="M253" s="5" t="s">
        <v>116</v>
      </c>
      <c r="N253" s="5" t="s">
        <v>117</v>
      </c>
      <c r="O253" s="5" t="s">
        <v>118</v>
      </c>
      <c r="P253" s="5" t="s">
        <v>72</v>
      </c>
      <c r="Q253" s="5" t="s">
        <v>119</v>
      </c>
      <c r="R253" s="5" t="s">
        <v>120</v>
      </c>
      <c r="S253" s="5" t="s">
        <v>185</v>
      </c>
      <c r="T253" s="5" t="s">
        <v>57</v>
      </c>
      <c r="U253" s="5" t="s">
        <v>104</v>
      </c>
      <c r="V253" s="5" t="s">
        <v>186</v>
      </c>
      <c r="W253" s="5" t="s">
        <v>694</v>
      </c>
      <c r="X253" s="5" t="s">
        <v>1342</v>
      </c>
      <c r="Y253" s="5" t="s">
        <v>1343</v>
      </c>
      <c r="Z253" s="9">
        <v>46184</v>
      </c>
      <c r="AA253" s="8">
        <v>18</v>
      </c>
      <c r="AB253" s="9">
        <f t="shared" si="10"/>
        <v>46732</v>
      </c>
      <c r="AC253" s="10">
        <v>14</v>
      </c>
      <c r="AD253" s="7">
        <f t="shared" si="11"/>
        <v>1668</v>
      </c>
      <c r="AE253" s="7">
        <f>IF(F253="Bullet",H253*AD253,MIN(MAX(I253,1),Assumptions!$B$6)*AD253)</f>
        <v>3336</v>
      </c>
      <c r="AF253" s="8">
        <f>IF(F253="Bullet",MAX(0,Assumptions!$B$4-AB253),MAX(0,Assumptions!$B$4-L253))</f>
        <v>53</v>
      </c>
      <c r="AG253" s="9">
        <v>46215</v>
      </c>
      <c r="AH253" s="8">
        <f>IF(AG253="","",Assumptions!$B$4-AG253)</f>
        <v>83</v>
      </c>
      <c r="AI253" s="5" t="s">
        <v>57</v>
      </c>
      <c r="AJ253" s="8">
        <v>2</v>
      </c>
      <c r="AK253" s="8">
        <v>2</v>
      </c>
      <c r="AL253" s="8">
        <v>694</v>
      </c>
      <c r="AM253" s="8">
        <v>2</v>
      </c>
      <c r="AN253" s="5" t="s">
        <v>63</v>
      </c>
      <c r="AO253" s="10">
        <v>68.7</v>
      </c>
      <c r="AP253" s="8">
        <v>55</v>
      </c>
      <c r="AQ253" s="9">
        <v>46287</v>
      </c>
      <c r="AR253" s="5" t="s">
        <v>70</v>
      </c>
      <c r="AS253" s="5" t="s">
        <v>181</v>
      </c>
    </row>
    <row r="254" spans="1:45" x14ac:dyDescent="0.35">
      <c r="A254" s="5" t="s">
        <v>1344</v>
      </c>
      <c r="B254" s="5" t="s">
        <v>1345</v>
      </c>
      <c r="C254" s="6" t="s">
        <v>1346</v>
      </c>
      <c r="D254" s="7">
        <v>50500</v>
      </c>
      <c r="E254" s="5" t="s">
        <v>48</v>
      </c>
      <c r="F254" s="5" t="s">
        <v>68</v>
      </c>
      <c r="G254" s="8">
        <v>2</v>
      </c>
      <c r="H254" s="8">
        <f>IF(F254="Bullet",MIN(G254,Assumptions!$B$6),"")</f>
        <v>2</v>
      </c>
      <c r="I254" s="8"/>
      <c r="J254" s="8" t="str">
        <f>IF(F254="Monthly interest",MAX(0,Assumptions!$B$5-I254),"")</f>
        <v/>
      </c>
      <c r="K254" s="7">
        <f t="shared" si="9"/>
        <v>1010</v>
      </c>
      <c r="L254" s="9">
        <v>46222</v>
      </c>
      <c r="M254" s="5" t="s">
        <v>50</v>
      </c>
      <c r="N254" s="5" t="s">
        <v>51</v>
      </c>
      <c r="O254" s="5" t="s">
        <v>71</v>
      </c>
      <c r="P254" s="5" t="s">
        <v>53</v>
      </c>
      <c r="Q254" s="5" t="s">
        <v>73</v>
      </c>
      <c r="R254" s="5" t="s">
        <v>74</v>
      </c>
      <c r="S254" s="5" t="s">
        <v>185</v>
      </c>
      <c r="T254" s="5" t="s">
        <v>57</v>
      </c>
      <c r="U254" s="5" t="s">
        <v>86</v>
      </c>
      <c r="V254" s="5" t="s">
        <v>200</v>
      </c>
      <c r="W254" s="5" t="s">
        <v>433</v>
      </c>
      <c r="X254" s="5" t="s">
        <v>1347</v>
      </c>
      <c r="Y254" s="5" t="s">
        <v>1348</v>
      </c>
      <c r="Z254" s="9">
        <v>46222</v>
      </c>
      <c r="AA254" s="8">
        <v>6</v>
      </c>
      <c r="AB254" s="9">
        <f t="shared" si="10"/>
        <v>46406</v>
      </c>
      <c r="AC254" s="10">
        <v>12</v>
      </c>
      <c r="AD254" s="7">
        <f t="shared" si="11"/>
        <v>505</v>
      </c>
      <c r="AE254" s="7">
        <f>IF(F254="Bullet",H254*AD254,MIN(MAX(I254,1),Assumptions!$B$6)*AD254)</f>
        <v>1010</v>
      </c>
      <c r="AF254" s="8">
        <f>IF(F254="Bullet",MAX(0,Assumptions!$B$4-AB254),MAX(0,Assumptions!$B$4-L254))</f>
        <v>0</v>
      </c>
      <c r="AG254" s="9"/>
      <c r="AH254" s="8" t="str">
        <f>IF(AG254="","",Assumptions!$B$4-AG254)</f>
        <v/>
      </c>
      <c r="AI254" s="5" t="s">
        <v>80</v>
      </c>
      <c r="AJ254" s="8"/>
      <c r="AK254" s="8">
        <v>0</v>
      </c>
      <c r="AL254" s="8">
        <v>671</v>
      </c>
      <c r="AM254" s="8">
        <v>1</v>
      </c>
      <c r="AN254" s="5" t="s">
        <v>63</v>
      </c>
      <c r="AO254" s="10">
        <v>75.099999999999994</v>
      </c>
      <c r="AP254" s="8">
        <v>17</v>
      </c>
      <c r="AQ254" s="9">
        <v>46279</v>
      </c>
      <c r="AR254" s="5" t="s">
        <v>70</v>
      </c>
      <c r="AS254" s="5" t="s">
        <v>64</v>
      </c>
    </row>
    <row r="255" spans="1:45" x14ac:dyDescent="0.35">
      <c r="A255" s="5" t="s">
        <v>1349</v>
      </c>
      <c r="B255" s="5" t="s">
        <v>1350</v>
      </c>
      <c r="C255" s="6" t="s">
        <v>1351</v>
      </c>
      <c r="D255" s="7">
        <v>113200</v>
      </c>
      <c r="E255" s="5" t="s">
        <v>48</v>
      </c>
      <c r="F255" s="5" t="s">
        <v>49</v>
      </c>
      <c r="G255" s="8"/>
      <c r="H255" s="8" t="str">
        <f>IF(F255="Bullet",MIN(G255,Assumptions!$B$6),"")</f>
        <v/>
      </c>
      <c r="I255" s="8">
        <v>2</v>
      </c>
      <c r="J255" s="8">
        <f>IF(F255="Monthly interest",MAX(0,Assumptions!$B$5-I255),"")</f>
        <v>1</v>
      </c>
      <c r="K255" s="7">
        <f t="shared" si="9"/>
        <v>3018</v>
      </c>
      <c r="L255" s="9">
        <v>46260</v>
      </c>
      <c r="M255" s="5" t="s">
        <v>69</v>
      </c>
      <c r="N255" s="5" t="s">
        <v>53</v>
      </c>
      <c r="O255" s="5" t="s">
        <v>71</v>
      </c>
      <c r="P255" s="5" t="s">
        <v>70</v>
      </c>
      <c r="Q255" s="5" t="s">
        <v>73</v>
      </c>
      <c r="R255" s="5" t="s">
        <v>74</v>
      </c>
      <c r="S255" s="5" t="s">
        <v>185</v>
      </c>
      <c r="T255" s="5" t="s">
        <v>57</v>
      </c>
      <c r="U255" s="5" t="s">
        <v>58</v>
      </c>
      <c r="V255" s="5" t="s">
        <v>200</v>
      </c>
      <c r="W255" s="5" t="s">
        <v>767</v>
      </c>
      <c r="X255" s="5" t="s">
        <v>1126</v>
      </c>
      <c r="Y255" s="5" t="s">
        <v>1352</v>
      </c>
      <c r="Z255" s="9">
        <v>46048</v>
      </c>
      <c r="AA255" s="8">
        <v>12</v>
      </c>
      <c r="AB255" s="9">
        <f t="shared" si="10"/>
        <v>46413</v>
      </c>
      <c r="AC255" s="10">
        <v>16</v>
      </c>
      <c r="AD255" s="7">
        <f t="shared" si="11"/>
        <v>1509</v>
      </c>
      <c r="AE255" s="7">
        <f>IF(F255="Bullet",H255*AD255,MIN(MAX(I255,1),Assumptions!$B$6)*AD255)</f>
        <v>3018</v>
      </c>
      <c r="AF255" s="8">
        <f>IF(F255="Bullet",MAX(0,Assumptions!$B$4-AB255),MAX(0,Assumptions!$B$4-L255))</f>
        <v>38</v>
      </c>
      <c r="AG255" s="9">
        <v>46234</v>
      </c>
      <c r="AH255" s="8">
        <f>IF(AG255="","",Assumptions!$B$4-AG255)</f>
        <v>64</v>
      </c>
      <c r="AI255" s="5" t="s">
        <v>63</v>
      </c>
      <c r="AJ255" s="8">
        <v>2</v>
      </c>
      <c r="AK255" s="8">
        <v>0</v>
      </c>
      <c r="AL255" s="8" t="s">
        <v>80</v>
      </c>
      <c r="AM255" s="8">
        <v>1</v>
      </c>
      <c r="AN255" s="5" t="s">
        <v>63</v>
      </c>
      <c r="AO255" s="10">
        <v>71.900000000000006</v>
      </c>
      <c r="AP255" s="8">
        <v>44</v>
      </c>
      <c r="AQ255" s="9">
        <v>46276</v>
      </c>
      <c r="AR255" s="5" t="s">
        <v>53</v>
      </c>
      <c r="AS255" s="5" t="s">
        <v>190</v>
      </c>
    </row>
    <row r="256" spans="1:45" x14ac:dyDescent="0.35">
      <c r="A256" s="5" t="s">
        <v>1353</v>
      </c>
      <c r="B256" s="5" t="s">
        <v>1354</v>
      </c>
      <c r="C256" s="6" t="s">
        <v>1355</v>
      </c>
      <c r="D256" s="7">
        <v>276400</v>
      </c>
      <c r="E256" s="5" t="s">
        <v>48</v>
      </c>
      <c r="F256" s="5" t="s">
        <v>49</v>
      </c>
      <c r="G256" s="8"/>
      <c r="H256" s="8" t="str">
        <f>IF(F256="Bullet",MIN(G256,Assumptions!$B$6),"")</f>
        <v/>
      </c>
      <c r="I256" s="8">
        <v>1</v>
      </c>
      <c r="J256" s="8">
        <f>IF(F256="Monthly interest",MAX(0,Assumptions!$B$5-I256),"")</f>
        <v>2</v>
      </c>
      <c r="K256" s="7">
        <f t="shared" si="9"/>
        <v>4146</v>
      </c>
      <c r="L256" s="9">
        <v>46278</v>
      </c>
      <c r="M256" s="5" t="s">
        <v>50</v>
      </c>
      <c r="N256" s="5" t="s">
        <v>53</v>
      </c>
      <c r="O256" s="5" t="s">
        <v>103</v>
      </c>
      <c r="P256" s="5" t="s">
        <v>51</v>
      </c>
      <c r="Q256" s="5" t="s">
        <v>54</v>
      </c>
      <c r="R256" s="5" t="s">
        <v>55</v>
      </c>
      <c r="S256" s="5" t="s">
        <v>85</v>
      </c>
      <c r="T256" s="5" t="s">
        <v>57</v>
      </c>
      <c r="U256" s="5" t="s">
        <v>58</v>
      </c>
      <c r="V256" s="5" t="s">
        <v>553</v>
      </c>
      <c r="W256" s="5" t="s">
        <v>554</v>
      </c>
      <c r="X256" s="5" t="s">
        <v>1356</v>
      </c>
      <c r="Y256" s="5" t="s">
        <v>1357</v>
      </c>
      <c r="Z256" s="9">
        <v>46094</v>
      </c>
      <c r="AA256" s="8">
        <v>18</v>
      </c>
      <c r="AB256" s="9">
        <f t="shared" si="10"/>
        <v>46643</v>
      </c>
      <c r="AC256" s="10">
        <v>18</v>
      </c>
      <c r="AD256" s="7">
        <f t="shared" si="11"/>
        <v>4146</v>
      </c>
      <c r="AE256" s="7">
        <f>IF(F256="Bullet",H256*AD256,MIN(MAX(I256,1),Assumptions!$B$6)*AD256)</f>
        <v>4146</v>
      </c>
      <c r="AF256" s="8">
        <f>IF(F256="Bullet",MAX(0,Assumptions!$B$4-AB256),MAX(0,Assumptions!$B$4-L256))</f>
        <v>20</v>
      </c>
      <c r="AG256" s="9">
        <v>46252</v>
      </c>
      <c r="AH256" s="8">
        <f>IF(AG256="","",Assumptions!$B$4-AG256)</f>
        <v>46</v>
      </c>
      <c r="AI256" s="5" t="s">
        <v>63</v>
      </c>
      <c r="AJ256" s="8">
        <v>2</v>
      </c>
      <c r="AK256" s="8">
        <v>0</v>
      </c>
      <c r="AL256" s="8">
        <v>794</v>
      </c>
      <c r="AM256" s="8">
        <v>2</v>
      </c>
      <c r="AN256" s="5" t="s">
        <v>63</v>
      </c>
      <c r="AO256" s="10">
        <v>63.7</v>
      </c>
      <c r="AP256" s="8">
        <v>14</v>
      </c>
      <c r="AQ256" s="9">
        <v>46294</v>
      </c>
      <c r="AR256" s="5" t="s">
        <v>51</v>
      </c>
      <c r="AS256" s="5" t="s">
        <v>81</v>
      </c>
    </row>
    <row r="257" spans="1:45" x14ac:dyDescent="0.35">
      <c r="A257" s="5" t="s">
        <v>1358</v>
      </c>
      <c r="B257" s="5" t="s">
        <v>1359</v>
      </c>
      <c r="C257" s="6" t="s">
        <v>1360</v>
      </c>
      <c r="D257" s="7">
        <v>213800</v>
      </c>
      <c r="E257" s="5" t="s">
        <v>48</v>
      </c>
      <c r="F257" s="5" t="s">
        <v>68</v>
      </c>
      <c r="G257" s="8">
        <v>5</v>
      </c>
      <c r="H257" s="8">
        <f>IF(F257="Bullet",MIN(G257,Assumptions!$B$6),"")</f>
        <v>2</v>
      </c>
      <c r="I257" s="8"/>
      <c r="J257" s="8" t="str">
        <f>IF(F257="Monthly interest",MAX(0,Assumptions!$B$5-I257),"")</f>
        <v/>
      </c>
      <c r="K257" s="7">
        <f t="shared" si="9"/>
        <v>16035</v>
      </c>
      <c r="L257" s="9">
        <v>46123</v>
      </c>
      <c r="M257" s="5" t="s">
        <v>69</v>
      </c>
      <c r="N257" s="5" t="s">
        <v>53</v>
      </c>
      <c r="O257" s="5" t="s">
        <v>168</v>
      </c>
      <c r="P257" s="5" t="s">
        <v>70</v>
      </c>
      <c r="Q257" s="5" t="s">
        <v>169</v>
      </c>
      <c r="R257" s="5" t="s">
        <v>170</v>
      </c>
      <c r="S257" s="5" t="s">
        <v>214</v>
      </c>
      <c r="T257" s="5" t="s">
        <v>57</v>
      </c>
      <c r="U257" s="5" t="s">
        <v>86</v>
      </c>
      <c r="V257" s="5" t="s">
        <v>215</v>
      </c>
      <c r="W257" s="5" t="s">
        <v>242</v>
      </c>
      <c r="X257" s="5" t="s">
        <v>1361</v>
      </c>
      <c r="Y257" s="5" t="s">
        <v>1362</v>
      </c>
      <c r="Z257" s="9">
        <v>46123</v>
      </c>
      <c r="AA257" s="8">
        <v>6</v>
      </c>
      <c r="AB257" s="9">
        <f t="shared" si="10"/>
        <v>46306</v>
      </c>
      <c r="AC257" s="10">
        <v>18</v>
      </c>
      <c r="AD257" s="7">
        <f t="shared" si="11"/>
        <v>3207</v>
      </c>
      <c r="AE257" s="7">
        <f>IF(F257="Bullet",H257*AD257,MIN(MAX(I257,1),Assumptions!$B$6)*AD257)</f>
        <v>6414</v>
      </c>
      <c r="AF257" s="8">
        <f>IF(F257="Bullet",MAX(0,Assumptions!$B$4-AB257),MAX(0,Assumptions!$B$4-L257))</f>
        <v>0</v>
      </c>
      <c r="AG257" s="9"/>
      <c r="AH257" s="8" t="str">
        <f>IF(AG257="","",Assumptions!$B$4-AG257)</f>
        <v/>
      </c>
      <c r="AI257" s="5" t="s">
        <v>80</v>
      </c>
      <c r="AJ257" s="8"/>
      <c r="AK257" s="8">
        <v>0</v>
      </c>
      <c r="AL257" s="8">
        <v>710</v>
      </c>
      <c r="AM257" s="8">
        <v>0</v>
      </c>
      <c r="AN257" s="5" t="s">
        <v>63</v>
      </c>
      <c r="AO257" s="10">
        <v>73.900000000000006</v>
      </c>
      <c r="AP257" s="8">
        <v>40</v>
      </c>
      <c r="AQ257" s="9">
        <v>46295</v>
      </c>
      <c r="AR257" s="5" t="s">
        <v>70</v>
      </c>
      <c r="AS257" s="5" t="s">
        <v>81</v>
      </c>
    </row>
    <row r="258" spans="1:45" x14ac:dyDescent="0.35">
      <c r="A258" s="5" t="s">
        <v>1363</v>
      </c>
      <c r="B258" s="5" t="s">
        <v>1364</v>
      </c>
      <c r="C258" s="6" t="s">
        <v>1365</v>
      </c>
      <c r="D258" s="7">
        <v>129200</v>
      </c>
      <c r="E258" s="5" t="s">
        <v>48</v>
      </c>
      <c r="F258" s="5" t="s">
        <v>68</v>
      </c>
      <c r="G258" s="8">
        <v>2</v>
      </c>
      <c r="H258" s="8">
        <f>IF(F258="Bullet",MIN(G258,Assumptions!$B$6),"")</f>
        <v>2</v>
      </c>
      <c r="I258" s="8"/>
      <c r="J258" s="8" t="str">
        <f>IF(F258="Monthly interest",MAX(0,Assumptions!$B$5-I258),"")</f>
        <v/>
      </c>
      <c r="K258" s="7">
        <f t="shared" ref="K258:K321" si="12">IF(F258="Bullet",G258*AD258,MAX(I258,1)*AD258)</f>
        <v>2800</v>
      </c>
      <c r="L258" s="9">
        <v>46225</v>
      </c>
      <c r="M258" s="5" t="s">
        <v>50</v>
      </c>
      <c r="N258" s="5" t="s">
        <v>51</v>
      </c>
      <c r="O258" s="5" t="s">
        <v>71</v>
      </c>
      <c r="P258" s="5" t="s">
        <v>53</v>
      </c>
      <c r="Q258" s="5" t="s">
        <v>73</v>
      </c>
      <c r="R258" s="5" t="s">
        <v>74</v>
      </c>
      <c r="S258" s="5" t="s">
        <v>185</v>
      </c>
      <c r="T258" s="5" t="s">
        <v>57</v>
      </c>
      <c r="U258" s="5" t="s">
        <v>86</v>
      </c>
      <c r="V258" s="5" t="s">
        <v>200</v>
      </c>
      <c r="W258" s="5" t="s">
        <v>767</v>
      </c>
      <c r="X258" s="5" t="s">
        <v>1366</v>
      </c>
      <c r="Y258" s="5" t="s">
        <v>1367</v>
      </c>
      <c r="Z258" s="9">
        <v>46225</v>
      </c>
      <c r="AA258" s="8">
        <v>12</v>
      </c>
      <c r="AB258" s="9">
        <f t="shared" ref="AB258:AB321" si="13">EDATE(Z258,AA258)</f>
        <v>46590</v>
      </c>
      <c r="AC258" s="10">
        <v>13</v>
      </c>
      <c r="AD258" s="7">
        <f t="shared" ref="AD258:AD321" si="14">ROUND(D258*AC258/100/12,0)</f>
        <v>1400</v>
      </c>
      <c r="AE258" s="7">
        <f>IF(F258="Bullet",H258*AD258,MIN(MAX(I258,1),Assumptions!$B$6)*AD258)</f>
        <v>2800</v>
      </c>
      <c r="AF258" s="8">
        <f>IF(F258="Bullet",MAX(0,Assumptions!$B$4-AB258),MAX(0,Assumptions!$B$4-L258))</f>
        <v>0</v>
      </c>
      <c r="AG258" s="9"/>
      <c r="AH258" s="8" t="str">
        <f>IF(AG258="","",Assumptions!$B$4-AG258)</f>
        <v/>
      </c>
      <c r="AI258" s="5" t="s">
        <v>80</v>
      </c>
      <c r="AJ258" s="8"/>
      <c r="AK258" s="8">
        <v>1</v>
      </c>
      <c r="AL258" s="8">
        <v>802</v>
      </c>
      <c r="AM258" s="8">
        <v>0</v>
      </c>
      <c r="AN258" s="5" t="s">
        <v>63</v>
      </c>
      <c r="AO258" s="10">
        <v>70.8</v>
      </c>
      <c r="AP258" s="8">
        <v>13</v>
      </c>
      <c r="AQ258" s="9">
        <v>46285</v>
      </c>
      <c r="AR258" s="5" t="s">
        <v>70</v>
      </c>
      <c r="AS258" s="5" t="s">
        <v>91</v>
      </c>
    </row>
    <row r="259" spans="1:45" x14ac:dyDescent="0.35">
      <c r="A259" s="5" t="s">
        <v>1368</v>
      </c>
      <c r="B259" s="5" t="s">
        <v>1369</v>
      </c>
      <c r="C259" s="6" t="s">
        <v>1370</v>
      </c>
      <c r="D259" s="7">
        <v>404000</v>
      </c>
      <c r="E259" s="5" t="s">
        <v>48</v>
      </c>
      <c r="F259" s="5" t="s">
        <v>49</v>
      </c>
      <c r="G259" s="8"/>
      <c r="H259" s="8" t="str">
        <f>IF(F259="Bullet",MIN(G259,Assumptions!$B$6),"")</f>
        <v/>
      </c>
      <c r="I259" s="8">
        <v>2</v>
      </c>
      <c r="J259" s="8">
        <f>IF(F259="Monthly interest",MAX(0,Assumptions!$B$5-I259),"")</f>
        <v>1</v>
      </c>
      <c r="K259" s="7">
        <f t="shared" si="12"/>
        <v>16160</v>
      </c>
      <c r="L259" s="9">
        <v>46256</v>
      </c>
      <c r="M259" s="5" t="s">
        <v>69</v>
      </c>
      <c r="N259" s="5" t="s">
        <v>70</v>
      </c>
      <c r="O259" s="5" t="s">
        <v>71</v>
      </c>
      <c r="P259" s="5" t="s">
        <v>72</v>
      </c>
      <c r="Q259" s="5" t="s">
        <v>73</v>
      </c>
      <c r="R259" s="5" t="s">
        <v>74</v>
      </c>
      <c r="S259" s="5" t="s">
        <v>85</v>
      </c>
      <c r="T259" s="5" t="s">
        <v>57</v>
      </c>
      <c r="U259" s="5" t="s">
        <v>104</v>
      </c>
      <c r="V259" s="5" t="s">
        <v>87</v>
      </c>
      <c r="W259" s="5" t="s">
        <v>88</v>
      </c>
      <c r="X259" s="5" t="s">
        <v>1371</v>
      </c>
      <c r="Y259" s="5" t="s">
        <v>1372</v>
      </c>
      <c r="Z259" s="9">
        <v>46103</v>
      </c>
      <c r="AA259" s="8">
        <v>12</v>
      </c>
      <c r="AB259" s="9">
        <f t="shared" si="13"/>
        <v>46468</v>
      </c>
      <c r="AC259" s="10">
        <v>24</v>
      </c>
      <c r="AD259" s="7">
        <f t="shared" si="14"/>
        <v>8080</v>
      </c>
      <c r="AE259" s="7">
        <f>IF(F259="Bullet",H259*AD259,MIN(MAX(I259,1),Assumptions!$B$6)*AD259)</f>
        <v>16160</v>
      </c>
      <c r="AF259" s="8">
        <f>IF(F259="Bullet",MAX(0,Assumptions!$B$4-AB259),MAX(0,Assumptions!$B$4-L259))</f>
        <v>42</v>
      </c>
      <c r="AG259" s="9">
        <v>46226</v>
      </c>
      <c r="AH259" s="8">
        <f>IF(AG259="","",Assumptions!$B$4-AG259)</f>
        <v>72</v>
      </c>
      <c r="AI259" s="5" t="s">
        <v>63</v>
      </c>
      <c r="AJ259" s="8">
        <v>2</v>
      </c>
      <c r="AK259" s="8">
        <v>0</v>
      </c>
      <c r="AL259" s="8">
        <v>770</v>
      </c>
      <c r="AM259" s="8">
        <v>2</v>
      </c>
      <c r="AN259" s="5" t="s">
        <v>63</v>
      </c>
      <c r="AO259" s="10">
        <v>75.5</v>
      </c>
      <c r="AP259" s="8">
        <v>38</v>
      </c>
      <c r="AQ259" s="9"/>
      <c r="AR259" s="5"/>
      <c r="AS259" s="5" t="s">
        <v>159</v>
      </c>
    </row>
    <row r="260" spans="1:45" x14ac:dyDescent="0.35">
      <c r="A260" s="5" t="s">
        <v>1373</v>
      </c>
      <c r="B260" s="5" t="s">
        <v>1374</v>
      </c>
      <c r="C260" s="6" t="s">
        <v>1375</v>
      </c>
      <c r="D260" s="7">
        <v>96400</v>
      </c>
      <c r="E260" s="5" t="s">
        <v>48</v>
      </c>
      <c r="F260" s="5" t="s">
        <v>49</v>
      </c>
      <c r="G260" s="8"/>
      <c r="H260" s="8" t="str">
        <f>IF(F260="Bullet",MIN(G260,Assumptions!$B$6),"")</f>
        <v/>
      </c>
      <c r="I260" s="8">
        <v>1</v>
      </c>
      <c r="J260" s="8">
        <f>IF(F260="Monthly interest",MAX(0,Assumptions!$B$5-I260),"")</f>
        <v>2</v>
      </c>
      <c r="K260" s="7">
        <f t="shared" si="12"/>
        <v>1928</v>
      </c>
      <c r="L260" s="9">
        <v>46272</v>
      </c>
      <c r="M260" s="5" t="s">
        <v>69</v>
      </c>
      <c r="N260" s="5" t="s">
        <v>51</v>
      </c>
      <c r="O260" s="5" t="s">
        <v>52</v>
      </c>
      <c r="P260" s="5" t="s">
        <v>53</v>
      </c>
      <c r="Q260" s="5" t="s">
        <v>54</v>
      </c>
      <c r="R260" s="5" t="s">
        <v>55</v>
      </c>
      <c r="S260" s="5" t="s">
        <v>85</v>
      </c>
      <c r="T260" s="5" t="s">
        <v>57</v>
      </c>
      <c r="U260" s="5" t="s">
        <v>58</v>
      </c>
      <c r="V260" s="5" t="s">
        <v>553</v>
      </c>
      <c r="W260" s="5" t="s">
        <v>554</v>
      </c>
      <c r="X260" s="5" t="s">
        <v>1376</v>
      </c>
      <c r="Y260" s="5" t="s">
        <v>1377</v>
      </c>
      <c r="Z260" s="9">
        <v>46180</v>
      </c>
      <c r="AA260" s="8">
        <v>24</v>
      </c>
      <c r="AB260" s="9">
        <f t="shared" si="13"/>
        <v>46911</v>
      </c>
      <c r="AC260" s="10">
        <v>24</v>
      </c>
      <c r="AD260" s="7">
        <f t="shared" si="14"/>
        <v>1928</v>
      </c>
      <c r="AE260" s="7">
        <f>IF(F260="Bullet",H260*AD260,MIN(MAX(I260,1),Assumptions!$B$6)*AD260)</f>
        <v>1928</v>
      </c>
      <c r="AF260" s="8">
        <f>IF(F260="Bullet",MAX(0,Assumptions!$B$4-AB260),MAX(0,Assumptions!$B$4-L260))</f>
        <v>26</v>
      </c>
      <c r="AG260" s="9">
        <v>46245</v>
      </c>
      <c r="AH260" s="8">
        <f>IF(AG260="","",Assumptions!$B$4-AG260)</f>
        <v>53</v>
      </c>
      <c r="AI260" s="5" t="s">
        <v>63</v>
      </c>
      <c r="AJ260" s="8">
        <v>1</v>
      </c>
      <c r="AK260" s="8">
        <v>0</v>
      </c>
      <c r="AL260" s="8">
        <v>639</v>
      </c>
      <c r="AM260" s="8">
        <v>0</v>
      </c>
      <c r="AN260" s="5" t="s">
        <v>57</v>
      </c>
      <c r="AO260" s="10">
        <v>76.599999999999994</v>
      </c>
      <c r="AP260" s="8">
        <v>42</v>
      </c>
      <c r="AQ260" s="9">
        <v>46292</v>
      </c>
      <c r="AR260" s="5" t="s">
        <v>51</v>
      </c>
      <c r="AS260" s="5" t="s">
        <v>190</v>
      </c>
    </row>
    <row r="261" spans="1:45" x14ac:dyDescent="0.35">
      <c r="A261" s="5" t="s">
        <v>1378</v>
      </c>
      <c r="B261" s="5" t="s">
        <v>1379</v>
      </c>
      <c r="C261" s="6" t="s">
        <v>1380</v>
      </c>
      <c r="D261" s="7">
        <v>151900</v>
      </c>
      <c r="E261" s="5" t="s">
        <v>48</v>
      </c>
      <c r="F261" s="5" t="s">
        <v>68</v>
      </c>
      <c r="G261" s="8">
        <v>3</v>
      </c>
      <c r="H261" s="8">
        <f>IF(F261="Bullet",MIN(G261,Assumptions!$B$6),"")</f>
        <v>2</v>
      </c>
      <c r="I261" s="8"/>
      <c r="J261" s="8" t="str">
        <f>IF(F261="Monthly interest",MAX(0,Assumptions!$B$5-I261),"")</f>
        <v/>
      </c>
      <c r="K261" s="7">
        <f t="shared" si="12"/>
        <v>5316</v>
      </c>
      <c r="L261" s="9">
        <v>46189</v>
      </c>
      <c r="M261" s="5" t="s">
        <v>50</v>
      </c>
      <c r="N261" s="5" t="s">
        <v>53</v>
      </c>
      <c r="O261" s="5" t="s">
        <v>71</v>
      </c>
      <c r="P261" s="5" t="s">
        <v>51</v>
      </c>
      <c r="Q261" s="5" t="s">
        <v>73</v>
      </c>
      <c r="R261" s="5" t="s">
        <v>74</v>
      </c>
      <c r="S261" s="5" t="s">
        <v>253</v>
      </c>
      <c r="T261" s="5" t="s">
        <v>57</v>
      </c>
      <c r="U261" s="5" t="s">
        <v>86</v>
      </c>
      <c r="V261" s="5" t="s">
        <v>76</v>
      </c>
      <c r="W261" s="5" t="s">
        <v>382</v>
      </c>
      <c r="X261" s="5" t="s">
        <v>1381</v>
      </c>
      <c r="Y261" s="5" t="s">
        <v>1382</v>
      </c>
      <c r="Z261" s="9">
        <v>46189</v>
      </c>
      <c r="AA261" s="8">
        <v>6</v>
      </c>
      <c r="AB261" s="9">
        <f t="shared" si="13"/>
        <v>46372</v>
      </c>
      <c r="AC261" s="10">
        <v>14</v>
      </c>
      <c r="AD261" s="7">
        <f t="shared" si="14"/>
        <v>1772</v>
      </c>
      <c r="AE261" s="7">
        <f>IF(F261="Bullet",H261*AD261,MIN(MAX(I261,1),Assumptions!$B$6)*AD261)</f>
        <v>3544</v>
      </c>
      <c r="AF261" s="8">
        <f>IF(F261="Bullet",MAX(0,Assumptions!$B$4-AB261),MAX(0,Assumptions!$B$4-L261))</f>
        <v>0</v>
      </c>
      <c r="AG261" s="9"/>
      <c r="AH261" s="8" t="str">
        <f>IF(AG261="","",Assumptions!$B$4-AG261)</f>
        <v/>
      </c>
      <c r="AI261" s="5" t="s">
        <v>80</v>
      </c>
      <c r="AJ261" s="8"/>
      <c r="AK261" s="8">
        <v>0</v>
      </c>
      <c r="AL261" s="8" t="s">
        <v>80</v>
      </c>
      <c r="AM261" s="8">
        <v>0</v>
      </c>
      <c r="AN261" s="5" t="s">
        <v>57</v>
      </c>
      <c r="AO261" s="10">
        <v>51.9</v>
      </c>
      <c r="AP261" s="8">
        <v>30</v>
      </c>
      <c r="AQ261" s="9">
        <v>46288</v>
      </c>
      <c r="AR261" s="5" t="s">
        <v>70</v>
      </c>
      <c r="AS261" s="5" t="s">
        <v>190</v>
      </c>
    </row>
    <row r="262" spans="1:45" x14ac:dyDescent="0.35">
      <c r="A262" s="5" t="s">
        <v>1383</v>
      </c>
      <c r="B262" s="5" t="s">
        <v>1384</v>
      </c>
      <c r="C262" s="6" t="s">
        <v>1385</v>
      </c>
      <c r="D262" s="7">
        <v>175900</v>
      </c>
      <c r="E262" s="5" t="s">
        <v>48</v>
      </c>
      <c r="F262" s="5" t="s">
        <v>49</v>
      </c>
      <c r="G262" s="8"/>
      <c r="H262" s="8" t="str">
        <f>IF(F262="Bullet",MIN(G262,Assumptions!$B$6),"")</f>
        <v/>
      </c>
      <c r="I262" s="8">
        <v>1</v>
      </c>
      <c r="J262" s="8">
        <f>IF(F262="Monthly interest",MAX(0,Assumptions!$B$5-I262),"")</f>
        <v>2</v>
      </c>
      <c r="K262" s="7">
        <f t="shared" si="12"/>
        <v>2932</v>
      </c>
      <c r="L262" s="9">
        <v>46278</v>
      </c>
      <c r="M262" s="5" t="s">
        <v>69</v>
      </c>
      <c r="N262" s="5" t="s">
        <v>51</v>
      </c>
      <c r="O262" s="5" t="s">
        <v>52</v>
      </c>
      <c r="P262" s="5" t="s">
        <v>53</v>
      </c>
      <c r="Q262" s="5" t="s">
        <v>54</v>
      </c>
      <c r="R262" s="5" t="s">
        <v>55</v>
      </c>
      <c r="S262" s="5" t="s">
        <v>214</v>
      </c>
      <c r="T262" s="5" t="s">
        <v>57</v>
      </c>
      <c r="U262" s="5" t="s">
        <v>86</v>
      </c>
      <c r="V262" s="5" t="s">
        <v>215</v>
      </c>
      <c r="W262" s="5" t="s">
        <v>232</v>
      </c>
      <c r="X262" s="5" t="s">
        <v>233</v>
      </c>
      <c r="Y262" s="5" t="s">
        <v>1386</v>
      </c>
      <c r="Z262" s="9">
        <v>46004</v>
      </c>
      <c r="AA262" s="8">
        <v>12</v>
      </c>
      <c r="AB262" s="9">
        <f t="shared" si="13"/>
        <v>46369</v>
      </c>
      <c r="AC262" s="10">
        <v>20</v>
      </c>
      <c r="AD262" s="7">
        <f t="shared" si="14"/>
        <v>2932</v>
      </c>
      <c r="AE262" s="7">
        <f>IF(F262="Bullet",H262*AD262,MIN(MAX(I262,1),Assumptions!$B$6)*AD262)</f>
        <v>2932</v>
      </c>
      <c r="AF262" s="8">
        <f>IF(F262="Bullet",MAX(0,Assumptions!$B$4-AB262),MAX(0,Assumptions!$B$4-L262))</f>
        <v>20</v>
      </c>
      <c r="AG262" s="9">
        <v>46248</v>
      </c>
      <c r="AH262" s="8">
        <f>IF(AG262="","",Assumptions!$B$4-AG262)</f>
        <v>50</v>
      </c>
      <c r="AI262" s="5" t="s">
        <v>57</v>
      </c>
      <c r="AJ262" s="8">
        <v>2</v>
      </c>
      <c r="AK262" s="8">
        <v>0</v>
      </c>
      <c r="AL262" s="8" t="s">
        <v>80</v>
      </c>
      <c r="AM262" s="8">
        <v>0</v>
      </c>
      <c r="AN262" s="5" t="s">
        <v>63</v>
      </c>
      <c r="AO262" s="10">
        <v>81.400000000000006</v>
      </c>
      <c r="AP262" s="8">
        <v>40</v>
      </c>
      <c r="AQ262" s="9">
        <v>46286</v>
      </c>
      <c r="AR262" s="5" t="s">
        <v>53</v>
      </c>
      <c r="AS262" s="5" t="s">
        <v>190</v>
      </c>
    </row>
    <row r="263" spans="1:45" x14ac:dyDescent="0.35">
      <c r="A263" s="5" t="s">
        <v>1387</v>
      </c>
      <c r="B263" s="5" t="s">
        <v>519</v>
      </c>
      <c r="C263" s="6" t="s">
        <v>1388</v>
      </c>
      <c r="D263" s="7">
        <v>164100</v>
      </c>
      <c r="E263" s="5" t="s">
        <v>48</v>
      </c>
      <c r="F263" s="5" t="s">
        <v>49</v>
      </c>
      <c r="G263" s="8"/>
      <c r="H263" s="8" t="str">
        <f>IF(F263="Bullet",MIN(G263,Assumptions!$B$6),"")</f>
        <v/>
      </c>
      <c r="I263" s="8">
        <v>1</v>
      </c>
      <c r="J263" s="8">
        <f>IF(F263="Monthly interest",MAX(0,Assumptions!$B$5-I263),"")</f>
        <v>2</v>
      </c>
      <c r="K263" s="7">
        <f t="shared" si="12"/>
        <v>3282</v>
      </c>
      <c r="L263" s="9">
        <v>46279</v>
      </c>
      <c r="M263" s="5" t="s">
        <v>69</v>
      </c>
      <c r="N263" s="5" t="s">
        <v>51</v>
      </c>
      <c r="O263" s="5" t="s">
        <v>52</v>
      </c>
      <c r="P263" s="5" t="s">
        <v>53</v>
      </c>
      <c r="Q263" s="5" t="s">
        <v>54</v>
      </c>
      <c r="R263" s="5" t="s">
        <v>55</v>
      </c>
      <c r="S263" s="5" t="s">
        <v>253</v>
      </c>
      <c r="T263" s="5" t="s">
        <v>57</v>
      </c>
      <c r="U263" s="5" t="s">
        <v>104</v>
      </c>
      <c r="V263" s="5" t="s">
        <v>96</v>
      </c>
      <c r="W263" s="5" t="s">
        <v>819</v>
      </c>
      <c r="X263" s="5" t="s">
        <v>1389</v>
      </c>
      <c r="Y263" s="5" t="s">
        <v>1390</v>
      </c>
      <c r="Z263" s="9">
        <v>46095</v>
      </c>
      <c r="AA263" s="8">
        <v>12</v>
      </c>
      <c r="AB263" s="9">
        <f t="shared" si="13"/>
        <v>46460</v>
      </c>
      <c r="AC263" s="10">
        <v>24</v>
      </c>
      <c r="AD263" s="7">
        <f t="shared" si="14"/>
        <v>3282</v>
      </c>
      <c r="AE263" s="7">
        <f>IF(F263="Bullet",H263*AD263,MIN(MAX(I263,1),Assumptions!$B$6)*AD263)</f>
        <v>3282</v>
      </c>
      <c r="AF263" s="8">
        <f>IF(F263="Bullet",MAX(0,Assumptions!$B$4-AB263),MAX(0,Assumptions!$B$4-L263))</f>
        <v>19</v>
      </c>
      <c r="AG263" s="9">
        <v>46248</v>
      </c>
      <c r="AH263" s="8">
        <f>IF(AG263="","",Assumptions!$B$4-AG263)</f>
        <v>50</v>
      </c>
      <c r="AI263" s="5" t="s">
        <v>63</v>
      </c>
      <c r="AJ263" s="8">
        <v>3</v>
      </c>
      <c r="AK263" s="8">
        <v>1</v>
      </c>
      <c r="AL263" s="8">
        <v>759</v>
      </c>
      <c r="AM263" s="8">
        <v>2</v>
      </c>
      <c r="AN263" s="5" t="s">
        <v>63</v>
      </c>
      <c r="AO263" s="10">
        <v>53.5</v>
      </c>
      <c r="AP263" s="8">
        <v>33</v>
      </c>
      <c r="AQ263" s="9">
        <v>46288</v>
      </c>
      <c r="AR263" s="5" t="s">
        <v>51</v>
      </c>
      <c r="AS263" s="5" t="s">
        <v>64</v>
      </c>
    </row>
    <row r="264" spans="1:45" x14ac:dyDescent="0.35">
      <c r="A264" s="5" t="s">
        <v>1391</v>
      </c>
      <c r="B264" s="5" t="s">
        <v>1392</v>
      </c>
      <c r="C264" s="6" t="s">
        <v>1393</v>
      </c>
      <c r="D264" s="7">
        <v>2500000</v>
      </c>
      <c r="E264" s="5" t="s">
        <v>48</v>
      </c>
      <c r="F264" s="5" t="s">
        <v>49</v>
      </c>
      <c r="G264" s="8"/>
      <c r="H264" s="8" t="str">
        <f>IF(F264="Bullet",MIN(G264,Assumptions!$B$6),"")</f>
        <v/>
      </c>
      <c r="I264" s="8">
        <v>1</v>
      </c>
      <c r="J264" s="8">
        <f>IF(F264="Monthly interest",MAX(0,Assumptions!$B$5-I264),"")</f>
        <v>2</v>
      </c>
      <c r="K264" s="7">
        <f t="shared" si="12"/>
        <v>50000</v>
      </c>
      <c r="L264" s="9">
        <v>46277</v>
      </c>
      <c r="M264" s="5" t="s">
        <v>50</v>
      </c>
      <c r="N264" s="5" t="s">
        <v>53</v>
      </c>
      <c r="O264" s="5" t="s">
        <v>103</v>
      </c>
      <c r="P264" s="5" t="s">
        <v>51</v>
      </c>
      <c r="Q264" s="5" t="s">
        <v>54</v>
      </c>
      <c r="R264" s="5" t="s">
        <v>55</v>
      </c>
      <c r="S264" s="5" t="s">
        <v>56</v>
      </c>
      <c r="T264" s="5" t="s">
        <v>57</v>
      </c>
      <c r="U264" s="5" t="s">
        <v>86</v>
      </c>
      <c r="V264" s="5" t="s">
        <v>59</v>
      </c>
      <c r="W264" s="5" t="s">
        <v>418</v>
      </c>
      <c r="X264" s="5" t="s">
        <v>1394</v>
      </c>
      <c r="Y264" s="5" t="s">
        <v>1395</v>
      </c>
      <c r="Z264" s="9">
        <v>46065</v>
      </c>
      <c r="AA264" s="8">
        <v>12</v>
      </c>
      <c r="AB264" s="9">
        <f t="shared" si="13"/>
        <v>46430</v>
      </c>
      <c r="AC264" s="10">
        <v>24</v>
      </c>
      <c r="AD264" s="7">
        <f t="shared" si="14"/>
        <v>50000</v>
      </c>
      <c r="AE264" s="7">
        <f>IF(F264="Bullet",H264*AD264,MIN(MAX(I264,1),Assumptions!$B$6)*AD264)</f>
        <v>50000</v>
      </c>
      <c r="AF264" s="8">
        <f>IF(F264="Bullet",MAX(0,Assumptions!$B$4-AB264),MAX(0,Assumptions!$B$4-L264))</f>
        <v>21</v>
      </c>
      <c r="AG264" s="9">
        <v>46250</v>
      </c>
      <c r="AH264" s="8">
        <f>IF(AG264="","",Assumptions!$B$4-AG264)</f>
        <v>48</v>
      </c>
      <c r="AI264" s="5" t="s">
        <v>63</v>
      </c>
      <c r="AJ264" s="8">
        <v>1</v>
      </c>
      <c r="AK264" s="8">
        <v>0</v>
      </c>
      <c r="AL264" s="8">
        <v>680</v>
      </c>
      <c r="AM264" s="8">
        <v>0</v>
      </c>
      <c r="AN264" s="5" t="s">
        <v>63</v>
      </c>
      <c r="AO264" s="10">
        <v>63.8</v>
      </c>
      <c r="AP264" s="8">
        <v>30</v>
      </c>
      <c r="AQ264" s="9">
        <v>46289</v>
      </c>
      <c r="AR264" s="5" t="s">
        <v>51</v>
      </c>
      <c r="AS264" s="5" t="s">
        <v>81</v>
      </c>
    </row>
    <row r="265" spans="1:45" x14ac:dyDescent="0.35">
      <c r="A265" s="5" t="s">
        <v>1396</v>
      </c>
      <c r="B265" s="5" t="s">
        <v>1397</v>
      </c>
      <c r="C265" s="6" t="s">
        <v>1398</v>
      </c>
      <c r="D265" s="7">
        <v>165500</v>
      </c>
      <c r="E265" s="5" t="s">
        <v>48</v>
      </c>
      <c r="F265" s="5" t="s">
        <v>49</v>
      </c>
      <c r="G265" s="8"/>
      <c r="H265" s="8" t="str">
        <f>IF(F265="Bullet",MIN(G265,Assumptions!$B$6),"")</f>
        <v/>
      </c>
      <c r="I265" s="8">
        <v>2</v>
      </c>
      <c r="J265" s="8">
        <f>IF(F265="Monthly interest",MAX(0,Assumptions!$B$5-I265),"")</f>
        <v>1</v>
      </c>
      <c r="K265" s="7">
        <f t="shared" si="12"/>
        <v>6068</v>
      </c>
      <c r="L265" s="9">
        <v>46243</v>
      </c>
      <c r="M265" s="5" t="s">
        <v>69</v>
      </c>
      <c r="N265" s="5" t="s">
        <v>53</v>
      </c>
      <c r="O265" s="5" t="s">
        <v>71</v>
      </c>
      <c r="P265" s="5" t="s">
        <v>70</v>
      </c>
      <c r="Q265" s="5" t="s">
        <v>73</v>
      </c>
      <c r="R265" s="5" t="s">
        <v>74</v>
      </c>
      <c r="S265" s="5" t="s">
        <v>85</v>
      </c>
      <c r="T265" s="5" t="s">
        <v>57</v>
      </c>
      <c r="U265" s="5" t="s">
        <v>86</v>
      </c>
      <c r="V265" s="5" t="s">
        <v>133</v>
      </c>
      <c r="W265" s="5" t="s">
        <v>594</v>
      </c>
      <c r="X265" s="5" t="s">
        <v>724</v>
      </c>
      <c r="Y265" s="5" t="s">
        <v>1399</v>
      </c>
      <c r="Z265" s="9">
        <v>46031</v>
      </c>
      <c r="AA265" s="8">
        <v>24</v>
      </c>
      <c r="AB265" s="9">
        <f t="shared" si="13"/>
        <v>46761</v>
      </c>
      <c r="AC265" s="10">
        <v>22</v>
      </c>
      <c r="AD265" s="7">
        <f t="shared" si="14"/>
        <v>3034</v>
      </c>
      <c r="AE265" s="7">
        <f>IF(F265="Bullet",H265*AD265,MIN(MAX(I265,1),Assumptions!$B$6)*AD265)</f>
        <v>6068</v>
      </c>
      <c r="AF265" s="8">
        <f>IF(F265="Bullet",MAX(0,Assumptions!$B$4-AB265),MAX(0,Assumptions!$B$4-L265))</f>
        <v>55</v>
      </c>
      <c r="AG265" s="9">
        <v>46212</v>
      </c>
      <c r="AH265" s="8">
        <f>IF(AG265="","",Assumptions!$B$4-AG265)</f>
        <v>86</v>
      </c>
      <c r="AI265" s="5" t="s">
        <v>63</v>
      </c>
      <c r="AJ265" s="8">
        <v>2</v>
      </c>
      <c r="AK265" s="8">
        <v>0</v>
      </c>
      <c r="AL265" s="8">
        <v>739</v>
      </c>
      <c r="AM265" s="8">
        <v>2</v>
      </c>
      <c r="AN265" s="5" t="s">
        <v>63</v>
      </c>
      <c r="AO265" s="10">
        <v>63.9</v>
      </c>
      <c r="AP265" s="8">
        <v>31</v>
      </c>
      <c r="AQ265" s="9">
        <v>46275</v>
      </c>
      <c r="AR265" s="5" t="s">
        <v>72</v>
      </c>
      <c r="AS265" s="5" t="s">
        <v>181</v>
      </c>
    </row>
    <row r="266" spans="1:45" x14ac:dyDescent="0.35">
      <c r="A266" s="5" t="s">
        <v>1400</v>
      </c>
      <c r="B266" s="5" t="s">
        <v>1401</v>
      </c>
      <c r="C266" s="6" t="s">
        <v>1402</v>
      </c>
      <c r="D266" s="7">
        <v>227600</v>
      </c>
      <c r="E266" s="5" t="s">
        <v>48</v>
      </c>
      <c r="F266" s="5" t="s">
        <v>49</v>
      </c>
      <c r="G266" s="8"/>
      <c r="H266" s="8" t="str">
        <f>IF(F266="Bullet",MIN(G266,Assumptions!$B$6),"")</f>
        <v/>
      </c>
      <c r="I266" s="8">
        <v>2</v>
      </c>
      <c r="J266" s="8">
        <f>IF(F266="Monthly interest",MAX(0,Assumptions!$B$5-I266),"")</f>
        <v>1</v>
      </c>
      <c r="K266" s="7">
        <f t="shared" si="12"/>
        <v>9104</v>
      </c>
      <c r="L266" s="9">
        <v>46239</v>
      </c>
      <c r="M266" s="5" t="s">
        <v>116</v>
      </c>
      <c r="N266" s="5" t="s">
        <v>117</v>
      </c>
      <c r="O266" s="5" t="s">
        <v>118</v>
      </c>
      <c r="P266" s="5" t="s">
        <v>72</v>
      </c>
      <c r="Q266" s="5" t="s">
        <v>119</v>
      </c>
      <c r="R266" s="5" t="s">
        <v>120</v>
      </c>
      <c r="S266" s="5" t="s">
        <v>75</v>
      </c>
      <c r="T266" s="5" t="s">
        <v>57</v>
      </c>
      <c r="U266" s="5" t="s">
        <v>86</v>
      </c>
      <c r="V266" s="5" t="s">
        <v>76</v>
      </c>
      <c r="W266" s="5" t="s">
        <v>444</v>
      </c>
      <c r="X266" s="5" t="s">
        <v>1403</v>
      </c>
      <c r="Y266" s="5" t="s">
        <v>1404</v>
      </c>
      <c r="Z266" s="9">
        <v>46178</v>
      </c>
      <c r="AA266" s="8">
        <v>12</v>
      </c>
      <c r="AB266" s="9">
        <f t="shared" si="13"/>
        <v>46543</v>
      </c>
      <c r="AC266" s="10">
        <v>24</v>
      </c>
      <c r="AD266" s="7">
        <f t="shared" si="14"/>
        <v>4552</v>
      </c>
      <c r="AE266" s="7">
        <f>IF(F266="Bullet",H266*AD266,MIN(MAX(I266,1),Assumptions!$B$6)*AD266)</f>
        <v>9104</v>
      </c>
      <c r="AF266" s="8">
        <f>IF(F266="Bullet",MAX(0,Assumptions!$B$4-AB266),MAX(0,Assumptions!$B$4-L266))</f>
        <v>59</v>
      </c>
      <c r="AG266" s="9">
        <v>46212</v>
      </c>
      <c r="AH266" s="8">
        <f>IF(AG266="","",Assumptions!$B$4-AG266)</f>
        <v>86</v>
      </c>
      <c r="AI266" s="5" t="s">
        <v>63</v>
      </c>
      <c r="AJ266" s="8">
        <v>2</v>
      </c>
      <c r="AK266" s="8">
        <v>1</v>
      </c>
      <c r="AL266" s="8">
        <v>694</v>
      </c>
      <c r="AM266" s="8">
        <v>1</v>
      </c>
      <c r="AN266" s="5" t="s">
        <v>63</v>
      </c>
      <c r="AO266" s="10">
        <v>63.5</v>
      </c>
      <c r="AP266" s="8">
        <v>48</v>
      </c>
      <c r="AQ266" s="9">
        <v>46287</v>
      </c>
      <c r="AR266" s="5" t="s">
        <v>70</v>
      </c>
      <c r="AS266" s="5" t="s">
        <v>64</v>
      </c>
    </row>
    <row r="267" spans="1:45" x14ac:dyDescent="0.35">
      <c r="A267" s="5" t="s">
        <v>1405</v>
      </c>
      <c r="B267" s="5" t="s">
        <v>1406</v>
      </c>
      <c r="C267" s="6" t="s">
        <v>1407</v>
      </c>
      <c r="D267" s="7">
        <v>55000</v>
      </c>
      <c r="E267" s="5" t="s">
        <v>48</v>
      </c>
      <c r="F267" s="5" t="s">
        <v>68</v>
      </c>
      <c r="G267" s="8">
        <v>5</v>
      </c>
      <c r="H267" s="8">
        <f>IF(F267="Bullet",MIN(G267,Assumptions!$B$6),"")</f>
        <v>2</v>
      </c>
      <c r="I267" s="8"/>
      <c r="J267" s="8" t="str">
        <f>IF(F267="Monthly interest",MAX(0,Assumptions!$B$5-I267),"")</f>
        <v/>
      </c>
      <c r="K267" s="7">
        <f t="shared" si="12"/>
        <v>4125</v>
      </c>
      <c r="L267" s="9">
        <v>46132</v>
      </c>
      <c r="M267" s="5" t="s">
        <v>69</v>
      </c>
      <c r="N267" s="5" t="s">
        <v>53</v>
      </c>
      <c r="O267" s="5" t="s">
        <v>168</v>
      </c>
      <c r="P267" s="5" t="s">
        <v>70</v>
      </c>
      <c r="Q267" s="5" t="s">
        <v>169</v>
      </c>
      <c r="R267" s="5" t="s">
        <v>170</v>
      </c>
      <c r="S267" s="5" t="s">
        <v>185</v>
      </c>
      <c r="T267" s="5" t="s">
        <v>57</v>
      </c>
      <c r="U267" s="5" t="s">
        <v>86</v>
      </c>
      <c r="V267" s="5" t="s">
        <v>200</v>
      </c>
      <c r="W267" s="5" t="s">
        <v>201</v>
      </c>
      <c r="X267" s="5" t="s">
        <v>1408</v>
      </c>
      <c r="Y267" s="5" t="s">
        <v>1409</v>
      </c>
      <c r="Z267" s="9">
        <v>46132</v>
      </c>
      <c r="AA267" s="8">
        <v>6</v>
      </c>
      <c r="AB267" s="9">
        <f t="shared" si="13"/>
        <v>46315</v>
      </c>
      <c r="AC267" s="10">
        <v>18</v>
      </c>
      <c r="AD267" s="7">
        <f t="shared" si="14"/>
        <v>825</v>
      </c>
      <c r="AE267" s="7">
        <f>IF(F267="Bullet",H267*AD267,MIN(MAX(I267,1),Assumptions!$B$6)*AD267)</f>
        <v>1650</v>
      </c>
      <c r="AF267" s="8">
        <f>IF(F267="Bullet",MAX(0,Assumptions!$B$4-AB267),MAX(0,Assumptions!$B$4-L267))</f>
        <v>0</v>
      </c>
      <c r="AG267" s="9"/>
      <c r="AH267" s="8" t="str">
        <f>IF(AG267="","",Assumptions!$B$4-AG267)</f>
        <v/>
      </c>
      <c r="AI267" s="5" t="s">
        <v>80</v>
      </c>
      <c r="AJ267" s="8"/>
      <c r="AK267" s="8">
        <v>0</v>
      </c>
      <c r="AL267" s="8">
        <v>680</v>
      </c>
      <c r="AM267" s="8">
        <v>0</v>
      </c>
      <c r="AN267" s="5" t="s">
        <v>63</v>
      </c>
      <c r="AO267" s="10">
        <v>69.8</v>
      </c>
      <c r="AP267" s="8">
        <v>34</v>
      </c>
      <c r="AQ267" s="9">
        <v>46280</v>
      </c>
      <c r="AR267" s="5" t="s">
        <v>70</v>
      </c>
      <c r="AS267" s="5" t="s">
        <v>91</v>
      </c>
    </row>
    <row r="268" spans="1:45" x14ac:dyDescent="0.35">
      <c r="A268" s="5" t="s">
        <v>1410</v>
      </c>
      <c r="B268" s="5" t="s">
        <v>1411</v>
      </c>
      <c r="C268" s="6" t="s">
        <v>1412</v>
      </c>
      <c r="D268" s="7">
        <v>171700</v>
      </c>
      <c r="E268" s="5" t="s">
        <v>48</v>
      </c>
      <c r="F268" s="5" t="s">
        <v>49</v>
      </c>
      <c r="G268" s="8"/>
      <c r="H268" s="8" t="str">
        <f>IF(F268="Bullet",MIN(G268,Assumptions!$B$6),"")</f>
        <v/>
      </c>
      <c r="I268" s="8">
        <v>2</v>
      </c>
      <c r="J268" s="8">
        <f>IF(F268="Monthly interest",MAX(0,Assumptions!$B$5-I268),"")</f>
        <v>1</v>
      </c>
      <c r="K268" s="7">
        <f t="shared" si="12"/>
        <v>5152</v>
      </c>
      <c r="L268" s="9">
        <v>46268</v>
      </c>
      <c r="M268" s="5" t="s">
        <v>116</v>
      </c>
      <c r="N268" s="5" t="s">
        <v>117</v>
      </c>
      <c r="O268" s="5" t="s">
        <v>118</v>
      </c>
      <c r="P268" s="5" t="s">
        <v>72</v>
      </c>
      <c r="Q268" s="5" t="s">
        <v>119</v>
      </c>
      <c r="R268" s="5" t="s">
        <v>120</v>
      </c>
      <c r="S268" s="5" t="s">
        <v>85</v>
      </c>
      <c r="T268" s="5" t="s">
        <v>57</v>
      </c>
      <c r="U268" s="5" t="s">
        <v>104</v>
      </c>
      <c r="V268" s="5" t="s">
        <v>177</v>
      </c>
      <c r="W268" s="5" t="s">
        <v>208</v>
      </c>
      <c r="X268" s="5" t="s">
        <v>1314</v>
      </c>
      <c r="Y268" s="5" t="s">
        <v>1413</v>
      </c>
      <c r="Z268" s="9">
        <v>46176</v>
      </c>
      <c r="AA268" s="8">
        <v>18</v>
      </c>
      <c r="AB268" s="9">
        <f t="shared" si="13"/>
        <v>46724</v>
      </c>
      <c r="AC268" s="10">
        <v>18</v>
      </c>
      <c r="AD268" s="7">
        <f t="shared" si="14"/>
        <v>2576</v>
      </c>
      <c r="AE268" s="7">
        <f>IF(F268="Bullet",H268*AD268,MIN(MAX(I268,1),Assumptions!$B$6)*AD268)</f>
        <v>5152</v>
      </c>
      <c r="AF268" s="8">
        <f>IF(F268="Bullet",MAX(0,Assumptions!$B$4-AB268),MAX(0,Assumptions!$B$4-L268))</f>
        <v>30</v>
      </c>
      <c r="AG268" s="9">
        <v>46239</v>
      </c>
      <c r="AH268" s="8">
        <f>IF(AG268="","",Assumptions!$B$4-AG268)</f>
        <v>59</v>
      </c>
      <c r="AI268" s="5" t="s">
        <v>57</v>
      </c>
      <c r="AJ268" s="8">
        <v>2</v>
      </c>
      <c r="AK268" s="8">
        <v>0</v>
      </c>
      <c r="AL268" s="8">
        <v>662</v>
      </c>
      <c r="AM268" s="8">
        <v>2</v>
      </c>
      <c r="AN268" s="5" t="s">
        <v>63</v>
      </c>
      <c r="AO268" s="10">
        <v>69.3</v>
      </c>
      <c r="AP268" s="8">
        <v>49</v>
      </c>
      <c r="AQ268" s="9">
        <v>46293</v>
      </c>
      <c r="AR268" s="5" t="s">
        <v>70</v>
      </c>
      <c r="AS268" s="5" t="s">
        <v>91</v>
      </c>
    </row>
    <row r="269" spans="1:45" x14ac:dyDescent="0.35">
      <c r="A269" s="5" t="s">
        <v>1414</v>
      </c>
      <c r="B269" s="5" t="s">
        <v>475</v>
      </c>
      <c r="C269" s="6" t="s">
        <v>1415</v>
      </c>
      <c r="D269" s="7">
        <v>245100</v>
      </c>
      <c r="E269" s="5" t="s">
        <v>48</v>
      </c>
      <c r="F269" s="5" t="s">
        <v>49</v>
      </c>
      <c r="G269" s="8"/>
      <c r="H269" s="8" t="str">
        <f>IF(F269="Bullet",MIN(G269,Assumptions!$B$6),"")</f>
        <v/>
      </c>
      <c r="I269" s="8">
        <v>2</v>
      </c>
      <c r="J269" s="8">
        <f>IF(F269="Monthly interest",MAX(0,Assumptions!$B$5-I269),"")</f>
        <v>1</v>
      </c>
      <c r="K269" s="7">
        <f t="shared" si="12"/>
        <v>5720</v>
      </c>
      <c r="L269" s="9">
        <v>46254</v>
      </c>
      <c r="M269" s="5" t="s">
        <v>116</v>
      </c>
      <c r="N269" s="5" t="s">
        <v>117</v>
      </c>
      <c r="O269" s="5" t="s">
        <v>118</v>
      </c>
      <c r="P269" s="5" t="s">
        <v>72</v>
      </c>
      <c r="Q269" s="5" t="s">
        <v>119</v>
      </c>
      <c r="R269" s="5" t="s">
        <v>120</v>
      </c>
      <c r="S269" s="5" t="s">
        <v>214</v>
      </c>
      <c r="T269" s="5" t="s">
        <v>57</v>
      </c>
      <c r="U269" s="5" t="s">
        <v>86</v>
      </c>
      <c r="V269" s="5" t="s">
        <v>215</v>
      </c>
      <c r="W269" s="5" t="s">
        <v>600</v>
      </c>
      <c r="X269" s="5" t="s">
        <v>1416</v>
      </c>
      <c r="Y269" s="5" t="s">
        <v>1417</v>
      </c>
      <c r="Z269" s="9">
        <v>46042</v>
      </c>
      <c r="AA269" s="8">
        <v>18</v>
      </c>
      <c r="AB269" s="9">
        <f t="shared" si="13"/>
        <v>46588</v>
      </c>
      <c r="AC269" s="10">
        <v>14</v>
      </c>
      <c r="AD269" s="7">
        <f t="shared" si="14"/>
        <v>2860</v>
      </c>
      <c r="AE269" s="7">
        <f>IF(F269="Bullet",H269*AD269,MIN(MAX(I269,1),Assumptions!$B$6)*AD269)</f>
        <v>5720</v>
      </c>
      <c r="AF269" s="8">
        <f>IF(F269="Bullet",MAX(0,Assumptions!$B$4-AB269),MAX(0,Assumptions!$B$4-L269))</f>
        <v>44</v>
      </c>
      <c r="AG269" s="9">
        <v>46226</v>
      </c>
      <c r="AH269" s="8">
        <f>IF(AG269="","",Assumptions!$B$4-AG269)</f>
        <v>72</v>
      </c>
      <c r="AI269" s="5" t="s">
        <v>63</v>
      </c>
      <c r="AJ269" s="8">
        <v>2</v>
      </c>
      <c r="AK269" s="8">
        <v>1</v>
      </c>
      <c r="AL269" s="8">
        <v>633</v>
      </c>
      <c r="AM269" s="8">
        <v>0</v>
      </c>
      <c r="AN269" s="5" t="s">
        <v>57</v>
      </c>
      <c r="AO269" s="10">
        <v>79.900000000000006</v>
      </c>
      <c r="AP269" s="8">
        <v>71</v>
      </c>
      <c r="AQ269" s="9">
        <v>46275</v>
      </c>
      <c r="AR269" s="5" t="s">
        <v>51</v>
      </c>
      <c r="AS269" s="5" t="s">
        <v>190</v>
      </c>
    </row>
    <row r="270" spans="1:45" x14ac:dyDescent="0.35">
      <c r="A270" s="5" t="s">
        <v>1418</v>
      </c>
      <c r="B270" s="5" t="s">
        <v>258</v>
      </c>
      <c r="C270" s="6" t="s">
        <v>1419</v>
      </c>
      <c r="D270" s="7">
        <v>118800</v>
      </c>
      <c r="E270" s="5" t="s">
        <v>48</v>
      </c>
      <c r="F270" s="5" t="s">
        <v>68</v>
      </c>
      <c r="G270" s="8">
        <v>2</v>
      </c>
      <c r="H270" s="8">
        <f>IF(F270="Bullet",MIN(G270,Assumptions!$B$6),"")</f>
        <v>2</v>
      </c>
      <c r="I270" s="8"/>
      <c r="J270" s="8" t="str">
        <f>IF(F270="Monthly interest",MAX(0,Assumptions!$B$5-I270),"")</f>
        <v/>
      </c>
      <c r="K270" s="7">
        <f t="shared" si="12"/>
        <v>2574</v>
      </c>
      <c r="L270" s="9">
        <v>46233</v>
      </c>
      <c r="M270" s="5" t="s">
        <v>116</v>
      </c>
      <c r="N270" s="5" t="s">
        <v>117</v>
      </c>
      <c r="O270" s="5" t="s">
        <v>207</v>
      </c>
      <c r="P270" s="5" t="s">
        <v>72</v>
      </c>
      <c r="Q270" s="5" t="s">
        <v>73</v>
      </c>
      <c r="R270" s="5" t="s">
        <v>74</v>
      </c>
      <c r="S270" s="5" t="s">
        <v>253</v>
      </c>
      <c r="T270" s="5" t="s">
        <v>57</v>
      </c>
      <c r="U270" s="5" t="s">
        <v>86</v>
      </c>
      <c r="V270" s="5" t="s">
        <v>76</v>
      </c>
      <c r="W270" s="5" t="s">
        <v>306</v>
      </c>
      <c r="X270" s="5" t="s">
        <v>371</v>
      </c>
      <c r="Y270" s="5" t="s">
        <v>1420</v>
      </c>
      <c r="Z270" s="9">
        <v>46233</v>
      </c>
      <c r="AA270" s="8">
        <v>3</v>
      </c>
      <c r="AB270" s="9">
        <f t="shared" si="13"/>
        <v>46325</v>
      </c>
      <c r="AC270" s="10">
        <v>13</v>
      </c>
      <c r="AD270" s="7">
        <f t="shared" si="14"/>
        <v>1287</v>
      </c>
      <c r="AE270" s="7">
        <f>IF(F270="Bullet",H270*AD270,MIN(MAX(I270,1),Assumptions!$B$6)*AD270)</f>
        <v>2574</v>
      </c>
      <c r="AF270" s="8">
        <f>IF(F270="Bullet",MAX(0,Assumptions!$B$4-AB270),MAX(0,Assumptions!$B$4-L270))</f>
        <v>0</v>
      </c>
      <c r="AG270" s="9"/>
      <c r="AH270" s="8" t="str">
        <f>IF(AG270="","",Assumptions!$B$4-AG270)</f>
        <v/>
      </c>
      <c r="AI270" s="5" t="s">
        <v>80</v>
      </c>
      <c r="AJ270" s="8"/>
      <c r="AK270" s="8">
        <v>1</v>
      </c>
      <c r="AL270" s="8">
        <v>567</v>
      </c>
      <c r="AM270" s="8">
        <v>5</v>
      </c>
      <c r="AN270" s="5" t="s">
        <v>57</v>
      </c>
      <c r="AO270" s="10">
        <v>75.3</v>
      </c>
      <c r="AP270" s="8">
        <v>63</v>
      </c>
      <c r="AQ270" s="9">
        <v>46293</v>
      </c>
      <c r="AR270" s="5" t="s">
        <v>51</v>
      </c>
      <c r="AS270" s="5" t="s">
        <v>64</v>
      </c>
    </row>
    <row r="271" spans="1:45" x14ac:dyDescent="0.35">
      <c r="A271" s="5" t="s">
        <v>1421</v>
      </c>
      <c r="B271" s="5" t="s">
        <v>1422</v>
      </c>
      <c r="C271" s="6" t="s">
        <v>1423</v>
      </c>
      <c r="D271" s="7">
        <v>114600</v>
      </c>
      <c r="E271" s="5" t="s">
        <v>48</v>
      </c>
      <c r="F271" s="5" t="s">
        <v>68</v>
      </c>
      <c r="G271" s="8">
        <v>2</v>
      </c>
      <c r="H271" s="8">
        <f>IF(F271="Bullet",MIN(G271,Assumptions!$B$6),"")</f>
        <v>2</v>
      </c>
      <c r="I271" s="8"/>
      <c r="J271" s="8" t="str">
        <f>IF(F271="Monthly interest",MAX(0,Assumptions!$B$5-I271),"")</f>
        <v/>
      </c>
      <c r="K271" s="7">
        <f t="shared" si="12"/>
        <v>2292</v>
      </c>
      <c r="L271" s="9">
        <v>46235</v>
      </c>
      <c r="M271" s="5" t="s">
        <v>50</v>
      </c>
      <c r="N271" s="5" t="s">
        <v>51</v>
      </c>
      <c r="O271" s="5" t="s">
        <v>71</v>
      </c>
      <c r="P271" s="5" t="s">
        <v>53</v>
      </c>
      <c r="Q271" s="5" t="s">
        <v>73</v>
      </c>
      <c r="R271" s="5" t="s">
        <v>74</v>
      </c>
      <c r="S271" s="5" t="s">
        <v>56</v>
      </c>
      <c r="T271" s="5" t="s">
        <v>57</v>
      </c>
      <c r="U271" s="5" t="s">
        <v>86</v>
      </c>
      <c r="V271" s="5" t="s">
        <v>59</v>
      </c>
      <c r="W271" s="5" t="s">
        <v>126</v>
      </c>
      <c r="X271" s="5" t="s">
        <v>1424</v>
      </c>
      <c r="Y271" s="5" t="s">
        <v>1425</v>
      </c>
      <c r="Z271" s="9">
        <v>46235</v>
      </c>
      <c r="AA271" s="8">
        <v>6</v>
      </c>
      <c r="AB271" s="9">
        <f t="shared" si="13"/>
        <v>46419</v>
      </c>
      <c r="AC271" s="10">
        <v>12</v>
      </c>
      <c r="AD271" s="7">
        <f t="shared" si="14"/>
        <v>1146</v>
      </c>
      <c r="AE271" s="7">
        <f>IF(F271="Bullet",H271*AD271,MIN(MAX(I271,1),Assumptions!$B$6)*AD271)</f>
        <v>2292</v>
      </c>
      <c r="AF271" s="8">
        <f>IF(F271="Bullet",MAX(0,Assumptions!$B$4-AB271),MAX(0,Assumptions!$B$4-L271))</f>
        <v>0</v>
      </c>
      <c r="AG271" s="9"/>
      <c r="AH271" s="8" t="str">
        <f>IF(AG271="","",Assumptions!$B$4-AG271)</f>
        <v/>
      </c>
      <c r="AI271" s="5" t="s">
        <v>80</v>
      </c>
      <c r="AJ271" s="8"/>
      <c r="AK271" s="8">
        <v>0</v>
      </c>
      <c r="AL271" s="8">
        <v>760</v>
      </c>
      <c r="AM271" s="8">
        <v>1</v>
      </c>
      <c r="AN271" s="5" t="s">
        <v>63</v>
      </c>
      <c r="AO271" s="10">
        <v>65</v>
      </c>
      <c r="AP271" s="8">
        <v>5</v>
      </c>
      <c r="AQ271" s="9">
        <v>46285</v>
      </c>
      <c r="AR271" s="5" t="s">
        <v>70</v>
      </c>
      <c r="AS271" s="5" t="s">
        <v>81</v>
      </c>
    </row>
    <row r="272" spans="1:45" x14ac:dyDescent="0.35">
      <c r="A272" s="5" t="s">
        <v>1426</v>
      </c>
      <c r="B272" s="5" t="s">
        <v>659</v>
      </c>
      <c r="C272" s="6" t="s">
        <v>1427</v>
      </c>
      <c r="D272" s="7">
        <v>343800</v>
      </c>
      <c r="E272" s="5" t="s">
        <v>48</v>
      </c>
      <c r="F272" s="5" t="s">
        <v>49</v>
      </c>
      <c r="G272" s="8"/>
      <c r="H272" s="8" t="str">
        <f>IF(F272="Bullet",MIN(G272,Assumptions!$B$6),"")</f>
        <v/>
      </c>
      <c r="I272" s="8">
        <v>1</v>
      </c>
      <c r="J272" s="8">
        <f>IF(F272="Monthly interest",MAX(0,Assumptions!$B$5-I272),"")</f>
        <v>2</v>
      </c>
      <c r="K272" s="7">
        <f t="shared" si="12"/>
        <v>4011</v>
      </c>
      <c r="L272" s="9">
        <v>46272</v>
      </c>
      <c r="M272" s="5" t="s">
        <v>50</v>
      </c>
      <c r="N272" s="5" t="s">
        <v>51</v>
      </c>
      <c r="O272" s="5" t="s">
        <v>52</v>
      </c>
      <c r="P272" s="5" t="s">
        <v>53</v>
      </c>
      <c r="Q272" s="5" t="s">
        <v>54</v>
      </c>
      <c r="R272" s="5" t="s">
        <v>55</v>
      </c>
      <c r="S272" s="5" t="s">
        <v>75</v>
      </c>
      <c r="T272" s="5" t="s">
        <v>57</v>
      </c>
      <c r="U272" s="5" t="s">
        <v>58</v>
      </c>
      <c r="V272" s="5" t="s">
        <v>76</v>
      </c>
      <c r="W272" s="5" t="s">
        <v>547</v>
      </c>
      <c r="X272" s="5" t="s">
        <v>1428</v>
      </c>
      <c r="Y272" s="5" t="s">
        <v>1429</v>
      </c>
      <c r="Z272" s="9">
        <v>46119</v>
      </c>
      <c r="AA272" s="8">
        <v>18</v>
      </c>
      <c r="AB272" s="9">
        <f t="shared" si="13"/>
        <v>46667</v>
      </c>
      <c r="AC272" s="10">
        <v>14</v>
      </c>
      <c r="AD272" s="7">
        <f t="shared" si="14"/>
        <v>4011</v>
      </c>
      <c r="AE272" s="7">
        <f>IF(F272="Bullet",H272*AD272,MIN(MAX(I272,1),Assumptions!$B$6)*AD272)</f>
        <v>4011</v>
      </c>
      <c r="AF272" s="8">
        <f>IF(F272="Bullet",MAX(0,Assumptions!$B$4-AB272),MAX(0,Assumptions!$B$4-L272))</f>
        <v>26</v>
      </c>
      <c r="AG272" s="9">
        <v>46245</v>
      </c>
      <c r="AH272" s="8">
        <f>IF(AG272="","",Assumptions!$B$4-AG272)</f>
        <v>53</v>
      </c>
      <c r="AI272" s="5" t="s">
        <v>57</v>
      </c>
      <c r="AJ272" s="8">
        <v>1</v>
      </c>
      <c r="AK272" s="8">
        <v>0</v>
      </c>
      <c r="AL272" s="8">
        <v>704</v>
      </c>
      <c r="AM272" s="8">
        <v>0</v>
      </c>
      <c r="AN272" s="5" t="s">
        <v>63</v>
      </c>
      <c r="AO272" s="10">
        <v>56.5</v>
      </c>
      <c r="AP272" s="8">
        <v>22</v>
      </c>
      <c r="AQ272" s="9"/>
      <c r="AR272" s="5"/>
      <c r="AS272" s="5" t="s">
        <v>159</v>
      </c>
    </row>
    <row r="273" spans="1:45" x14ac:dyDescent="0.35">
      <c r="A273" s="5" t="s">
        <v>1430</v>
      </c>
      <c r="B273" s="5" t="s">
        <v>1431</v>
      </c>
      <c r="C273" s="6" t="s">
        <v>1432</v>
      </c>
      <c r="D273" s="7">
        <v>133800</v>
      </c>
      <c r="E273" s="5" t="s">
        <v>48</v>
      </c>
      <c r="F273" s="5" t="s">
        <v>68</v>
      </c>
      <c r="G273" s="8">
        <v>4</v>
      </c>
      <c r="H273" s="8">
        <f>IF(F273="Bullet",MIN(G273,Assumptions!$B$6),"")</f>
        <v>2</v>
      </c>
      <c r="I273" s="8"/>
      <c r="J273" s="8" t="str">
        <f>IF(F273="Monthly interest",MAX(0,Assumptions!$B$5-I273),"")</f>
        <v/>
      </c>
      <c r="K273" s="7">
        <f t="shared" si="12"/>
        <v>5352</v>
      </c>
      <c r="L273" s="9">
        <v>46176</v>
      </c>
      <c r="M273" s="5" t="s">
        <v>69</v>
      </c>
      <c r="N273" s="5" t="s">
        <v>70</v>
      </c>
      <c r="O273" s="5" t="s">
        <v>531</v>
      </c>
      <c r="P273" s="5" t="s">
        <v>72</v>
      </c>
      <c r="Q273" s="5" t="s">
        <v>73</v>
      </c>
      <c r="R273" s="5" t="s">
        <v>74</v>
      </c>
      <c r="S273" s="5" t="s">
        <v>85</v>
      </c>
      <c r="T273" s="5" t="s">
        <v>63</v>
      </c>
      <c r="U273" s="5" t="s">
        <v>86</v>
      </c>
      <c r="V273" s="5" t="s">
        <v>96</v>
      </c>
      <c r="W273" s="5" t="s">
        <v>171</v>
      </c>
      <c r="X273" s="5" t="s">
        <v>1248</v>
      </c>
      <c r="Y273" s="5" t="s">
        <v>1433</v>
      </c>
      <c r="Z273" s="9">
        <v>46176</v>
      </c>
      <c r="AA273" s="8">
        <v>12</v>
      </c>
      <c r="AB273" s="9">
        <f t="shared" si="13"/>
        <v>46541</v>
      </c>
      <c r="AC273" s="10">
        <v>12</v>
      </c>
      <c r="AD273" s="7">
        <f t="shared" si="14"/>
        <v>1338</v>
      </c>
      <c r="AE273" s="7">
        <f>IF(F273="Bullet",H273*AD273,MIN(MAX(I273,1),Assumptions!$B$6)*AD273)</f>
        <v>2676</v>
      </c>
      <c r="AF273" s="8">
        <f>IF(F273="Bullet",MAX(0,Assumptions!$B$4-AB273),MAX(0,Assumptions!$B$4-L273))</f>
        <v>0</v>
      </c>
      <c r="AG273" s="9"/>
      <c r="AH273" s="8" t="str">
        <f>IF(AG273="","",Assumptions!$B$4-AG273)</f>
        <v/>
      </c>
      <c r="AI273" s="5" t="s">
        <v>80</v>
      </c>
      <c r="AJ273" s="8"/>
      <c r="AK273" s="8">
        <v>2</v>
      </c>
      <c r="AL273" s="8">
        <v>699</v>
      </c>
      <c r="AM273" s="8">
        <v>3</v>
      </c>
      <c r="AN273" s="5" t="s">
        <v>63</v>
      </c>
      <c r="AO273" s="10">
        <v>64.099999999999994</v>
      </c>
      <c r="AP273" s="8">
        <v>44</v>
      </c>
      <c r="AQ273" s="9">
        <v>46289</v>
      </c>
      <c r="AR273" s="5" t="s">
        <v>53</v>
      </c>
      <c r="AS273" s="5" t="s">
        <v>81</v>
      </c>
    </row>
    <row r="274" spans="1:45" x14ac:dyDescent="0.35">
      <c r="A274" s="5" t="s">
        <v>1434</v>
      </c>
      <c r="B274" s="5" t="s">
        <v>1435</v>
      </c>
      <c r="C274" s="6" t="s">
        <v>1436</v>
      </c>
      <c r="D274" s="7">
        <v>317100</v>
      </c>
      <c r="E274" s="5" t="s">
        <v>48</v>
      </c>
      <c r="F274" s="5" t="s">
        <v>68</v>
      </c>
      <c r="G274" s="8">
        <v>5</v>
      </c>
      <c r="H274" s="8">
        <f>IF(F274="Bullet",MIN(G274,Assumptions!$B$6),"")</f>
        <v>2</v>
      </c>
      <c r="I274" s="8"/>
      <c r="J274" s="8" t="str">
        <f>IF(F274="Monthly interest",MAX(0,Assumptions!$B$5-I274),"")</f>
        <v/>
      </c>
      <c r="K274" s="7">
        <f t="shared" si="12"/>
        <v>17175</v>
      </c>
      <c r="L274" s="9">
        <v>46134</v>
      </c>
      <c r="M274" s="5" t="s">
        <v>69</v>
      </c>
      <c r="N274" s="5" t="s">
        <v>53</v>
      </c>
      <c r="O274" s="5" t="s">
        <v>168</v>
      </c>
      <c r="P274" s="5" t="s">
        <v>70</v>
      </c>
      <c r="Q274" s="5" t="s">
        <v>169</v>
      </c>
      <c r="R274" s="5" t="s">
        <v>170</v>
      </c>
      <c r="S274" s="5" t="s">
        <v>56</v>
      </c>
      <c r="T274" s="5" t="s">
        <v>57</v>
      </c>
      <c r="U274" s="5" t="s">
        <v>86</v>
      </c>
      <c r="V274" s="5" t="s">
        <v>59</v>
      </c>
      <c r="W274" s="5" t="s">
        <v>194</v>
      </c>
      <c r="X274" s="5" t="s">
        <v>1437</v>
      </c>
      <c r="Y274" s="5" t="s">
        <v>1438</v>
      </c>
      <c r="Z274" s="9">
        <v>46134</v>
      </c>
      <c r="AA274" s="8">
        <v>6</v>
      </c>
      <c r="AB274" s="9">
        <f t="shared" si="13"/>
        <v>46317</v>
      </c>
      <c r="AC274" s="10">
        <v>13</v>
      </c>
      <c r="AD274" s="7">
        <f t="shared" si="14"/>
        <v>3435</v>
      </c>
      <c r="AE274" s="7">
        <f>IF(F274="Bullet",H274*AD274,MIN(MAX(I274,1),Assumptions!$B$6)*AD274)</f>
        <v>6870</v>
      </c>
      <c r="AF274" s="8">
        <f>IF(F274="Bullet",MAX(0,Assumptions!$B$4-AB274),MAX(0,Assumptions!$B$4-L274))</f>
        <v>0</v>
      </c>
      <c r="AG274" s="9"/>
      <c r="AH274" s="8" t="str">
        <f>IF(AG274="","",Assumptions!$B$4-AG274)</f>
        <v/>
      </c>
      <c r="AI274" s="5" t="s">
        <v>80</v>
      </c>
      <c r="AJ274" s="8"/>
      <c r="AK274" s="8">
        <v>1</v>
      </c>
      <c r="AL274" s="8">
        <v>876</v>
      </c>
      <c r="AM274" s="8">
        <v>0</v>
      </c>
      <c r="AN274" s="5" t="s">
        <v>63</v>
      </c>
      <c r="AO274" s="10">
        <v>78.2</v>
      </c>
      <c r="AP274" s="8">
        <v>31</v>
      </c>
      <c r="AQ274" s="9">
        <v>46277</v>
      </c>
      <c r="AR274" s="5" t="s">
        <v>53</v>
      </c>
      <c r="AS274" s="5" t="s">
        <v>64</v>
      </c>
    </row>
    <row r="275" spans="1:45" x14ac:dyDescent="0.35">
      <c r="A275" s="5" t="s">
        <v>1439</v>
      </c>
      <c r="B275" s="5" t="s">
        <v>1440</v>
      </c>
      <c r="C275" s="6" t="s">
        <v>1441</v>
      </c>
      <c r="D275" s="7">
        <v>15000</v>
      </c>
      <c r="E275" s="5" t="s">
        <v>48</v>
      </c>
      <c r="F275" s="5" t="s">
        <v>49</v>
      </c>
      <c r="G275" s="8"/>
      <c r="H275" s="8" t="str">
        <f>IF(F275="Bullet",MIN(G275,Assumptions!$B$6),"")</f>
        <v/>
      </c>
      <c r="I275" s="8">
        <v>1</v>
      </c>
      <c r="J275" s="8">
        <f>IF(F275="Monthly interest",MAX(0,Assumptions!$B$5-I275),"")</f>
        <v>2</v>
      </c>
      <c r="K275" s="7">
        <f t="shared" si="12"/>
        <v>300</v>
      </c>
      <c r="L275" s="9">
        <v>46281</v>
      </c>
      <c r="M275" s="5" t="s">
        <v>50</v>
      </c>
      <c r="N275" s="5" t="s">
        <v>51</v>
      </c>
      <c r="O275" s="5" t="s">
        <v>152</v>
      </c>
      <c r="P275" s="5" t="s">
        <v>53</v>
      </c>
      <c r="Q275" s="5" t="s">
        <v>154</v>
      </c>
      <c r="R275" s="5" t="s">
        <v>155</v>
      </c>
      <c r="S275" s="5" t="s">
        <v>185</v>
      </c>
      <c r="T275" s="5" t="s">
        <v>57</v>
      </c>
      <c r="U275" s="5" t="s">
        <v>86</v>
      </c>
      <c r="V275" s="5" t="s">
        <v>200</v>
      </c>
      <c r="W275" s="5" t="s">
        <v>500</v>
      </c>
      <c r="X275" s="5" t="s">
        <v>570</v>
      </c>
      <c r="Y275" s="5" t="s">
        <v>1442</v>
      </c>
      <c r="Z275" s="9">
        <v>46189</v>
      </c>
      <c r="AA275" s="8">
        <v>24</v>
      </c>
      <c r="AB275" s="9">
        <f t="shared" si="13"/>
        <v>46920</v>
      </c>
      <c r="AC275" s="10">
        <v>24</v>
      </c>
      <c r="AD275" s="7">
        <f t="shared" si="14"/>
        <v>300</v>
      </c>
      <c r="AE275" s="7">
        <f>IF(F275="Bullet",H275*AD275,MIN(MAX(I275,1),Assumptions!$B$6)*AD275)</f>
        <v>300</v>
      </c>
      <c r="AF275" s="8">
        <f>IF(F275="Bullet",MAX(0,Assumptions!$B$4-AB275),MAX(0,Assumptions!$B$4-L275))</f>
        <v>17</v>
      </c>
      <c r="AG275" s="9">
        <v>46250</v>
      </c>
      <c r="AH275" s="8">
        <f>IF(AG275="","",Assumptions!$B$4-AG275)</f>
        <v>48</v>
      </c>
      <c r="AI275" s="5" t="s">
        <v>57</v>
      </c>
      <c r="AJ275" s="8">
        <v>1</v>
      </c>
      <c r="AK275" s="8">
        <v>0</v>
      </c>
      <c r="AL275" s="8">
        <v>715</v>
      </c>
      <c r="AM275" s="8">
        <v>1</v>
      </c>
      <c r="AN275" s="5" t="s">
        <v>63</v>
      </c>
      <c r="AO275" s="10">
        <v>74</v>
      </c>
      <c r="AP275" s="8">
        <v>17</v>
      </c>
      <c r="AQ275" s="9">
        <v>46273</v>
      </c>
      <c r="AR275" s="5" t="s">
        <v>53</v>
      </c>
      <c r="AS275" s="5" t="s">
        <v>81</v>
      </c>
    </row>
    <row r="276" spans="1:45" x14ac:dyDescent="0.35">
      <c r="A276" s="5" t="s">
        <v>1443</v>
      </c>
      <c r="B276" s="5" t="s">
        <v>1444</v>
      </c>
      <c r="C276" s="6" t="s">
        <v>1445</v>
      </c>
      <c r="D276" s="7">
        <v>114200</v>
      </c>
      <c r="E276" s="5" t="s">
        <v>48</v>
      </c>
      <c r="F276" s="5" t="s">
        <v>49</v>
      </c>
      <c r="G276" s="8"/>
      <c r="H276" s="8" t="str">
        <f>IF(F276="Bullet",MIN(G276,Assumptions!$B$6),"")</f>
        <v/>
      </c>
      <c r="I276" s="8">
        <v>1</v>
      </c>
      <c r="J276" s="8">
        <f>IF(F276="Monthly interest",MAX(0,Assumptions!$B$5-I276),"")</f>
        <v>2</v>
      </c>
      <c r="K276" s="7">
        <f t="shared" si="12"/>
        <v>2284</v>
      </c>
      <c r="L276" s="9">
        <v>46276</v>
      </c>
      <c r="M276" s="5" t="s">
        <v>50</v>
      </c>
      <c r="N276" s="5" t="s">
        <v>51</v>
      </c>
      <c r="O276" s="5" t="s">
        <v>52</v>
      </c>
      <c r="P276" s="5" t="s">
        <v>53</v>
      </c>
      <c r="Q276" s="5" t="s">
        <v>54</v>
      </c>
      <c r="R276" s="5" t="s">
        <v>55</v>
      </c>
      <c r="S276" s="5" t="s">
        <v>185</v>
      </c>
      <c r="T276" s="5" t="s">
        <v>57</v>
      </c>
      <c r="U276" s="5" t="s">
        <v>86</v>
      </c>
      <c r="V276" s="5" t="s">
        <v>186</v>
      </c>
      <c r="W276" s="5" t="s">
        <v>694</v>
      </c>
      <c r="X276" s="5" t="s">
        <v>695</v>
      </c>
      <c r="Y276" s="5" t="s">
        <v>1446</v>
      </c>
      <c r="Z276" s="9">
        <v>46214</v>
      </c>
      <c r="AA276" s="8">
        <v>24</v>
      </c>
      <c r="AB276" s="9">
        <f t="shared" si="13"/>
        <v>46945</v>
      </c>
      <c r="AC276" s="10">
        <v>24</v>
      </c>
      <c r="AD276" s="7">
        <f t="shared" si="14"/>
        <v>2284</v>
      </c>
      <c r="AE276" s="7">
        <f>IF(F276="Bullet",H276*AD276,MIN(MAX(I276,1),Assumptions!$B$6)*AD276)</f>
        <v>2284</v>
      </c>
      <c r="AF276" s="8">
        <f>IF(F276="Bullet",MAX(0,Assumptions!$B$4-AB276),MAX(0,Assumptions!$B$4-L276))</f>
        <v>22</v>
      </c>
      <c r="AG276" s="9">
        <v>46249</v>
      </c>
      <c r="AH276" s="8">
        <f>IF(AG276="","",Assumptions!$B$4-AG276)</f>
        <v>49</v>
      </c>
      <c r="AI276" s="5" t="s">
        <v>63</v>
      </c>
      <c r="AJ276" s="8">
        <v>2</v>
      </c>
      <c r="AK276" s="8">
        <v>2</v>
      </c>
      <c r="AL276" s="8">
        <v>761</v>
      </c>
      <c r="AM276" s="8">
        <v>0</v>
      </c>
      <c r="AN276" s="5" t="s">
        <v>63</v>
      </c>
      <c r="AO276" s="10">
        <v>61.7</v>
      </c>
      <c r="AP276" s="8">
        <v>29</v>
      </c>
      <c r="AQ276" s="9">
        <v>46282</v>
      </c>
      <c r="AR276" s="5" t="s">
        <v>70</v>
      </c>
      <c r="AS276" s="5" t="s">
        <v>274</v>
      </c>
    </row>
    <row r="277" spans="1:45" x14ac:dyDescent="0.35">
      <c r="A277" s="5" t="s">
        <v>1447</v>
      </c>
      <c r="B277" s="5" t="s">
        <v>1448</v>
      </c>
      <c r="C277" s="6" t="s">
        <v>1449</v>
      </c>
      <c r="D277" s="7">
        <v>62300</v>
      </c>
      <c r="E277" s="5" t="s">
        <v>48</v>
      </c>
      <c r="F277" s="5" t="s">
        <v>49</v>
      </c>
      <c r="G277" s="8"/>
      <c r="H277" s="8" t="str">
        <f>IF(F277="Bullet",MIN(G277,Assumptions!$B$6),"")</f>
        <v/>
      </c>
      <c r="I277" s="8">
        <v>2</v>
      </c>
      <c r="J277" s="8">
        <f>IF(F277="Monthly interest",MAX(0,Assumptions!$B$5-I277),"")</f>
        <v>1</v>
      </c>
      <c r="K277" s="7">
        <f t="shared" si="12"/>
        <v>1870</v>
      </c>
      <c r="L277" s="9">
        <v>46245</v>
      </c>
      <c r="M277" s="5" t="s">
        <v>116</v>
      </c>
      <c r="N277" s="5" t="s">
        <v>117</v>
      </c>
      <c r="O277" s="5" t="s">
        <v>118</v>
      </c>
      <c r="P277" s="5" t="s">
        <v>72</v>
      </c>
      <c r="Q277" s="5" t="s">
        <v>119</v>
      </c>
      <c r="R277" s="5" t="s">
        <v>120</v>
      </c>
      <c r="S277" s="5" t="s">
        <v>85</v>
      </c>
      <c r="T277" s="5" t="s">
        <v>57</v>
      </c>
      <c r="U277" s="5" t="s">
        <v>58</v>
      </c>
      <c r="V277" s="5" t="s">
        <v>133</v>
      </c>
      <c r="W277" s="5" t="s">
        <v>317</v>
      </c>
      <c r="X277" s="5" t="s">
        <v>1024</v>
      </c>
      <c r="Y277" s="5" t="s">
        <v>1450</v>
      </c>
      <c r="Z277" s="9">
        <v>46123</v>
      </c>
      <c r="AA277" s="8">
        <v>12</v>
      </c>
      <c r="AB277" s="9">
        <f t="shared" si="13"/>
        <v>46488</v>
      </c>
      <c r="AC277" s="10">
        <v>18</v>
      </c>
      <c r="AD277" s="7">
        <f t="shared" si="14"/>
        <v>935</v>
      </c>
      <c r="AE277" s="7">
        <f>IF(F277="Bullet",H277*AD277,MIN(MAX(I277,1),Assumptions!$B$6)*AD277)</f>
        <v>1870</v>
      </c>
      <c r="AF277" s="8">
        <f>IF(F277="Bullet",MAX(0,Assumptions!$B$4-AB277),MAX(0,Assumptions!$B$4-L277))</f>
        <v>53</v>
      </c>
      <c r="AG277" s="9">
        <v>46217</v>
      </c>
      <c r="AH277" s="8">
        <f>IF(AG277="","",Assumptions!$B$4-AG277)</f>
        <v>81</v>
      </c>
      <c r="AI277" s="5" t="s">
        <v>63</v>
      </c>
      <c r="AJ277" s="8">
        <v>2</v>
      </c>
      <c r="AK277" s="8">
        <v>1</v>
      </c>
      <c r="AL277" s="8">
        <v>626</v>
      </c>
      <c r="AM277" s="8">
        <v>0</v>
      </c>
      <c r="AN277" s="5" t="s">
        <v>63</v>
      </c>
      <c r="AO277" s="10">
        <v>71.5</v>
      </c>
      <c r="AP277" s="8">
        <v>53</v>
      </c>
      <c r="AQ277" s="9">
        <v>46273</v>
      </c>
      <c r="AR277" s="5" t="s">
        <v>70</v>
      </c>
      <c r="AS277" s="5" t="s">
        <v>190</v>
      </c>
    </row>
    <row r="278" spans="1:45" x14ac:dyDescent="0.35">
      <c r="A278" s="5" t="s">
        <v>1451</v>
      </c>
      <c r="B278" s="5" t="s">
        <v>1452</v>
      </c>
      <c r="C278" s="6" t="s">
        <v>1453</v>
      </c>
      <c r="D278" s="7">
        <v>21900</v>
      </c>
      <c r="E278" s="5" t="s">
        <v>48</v>
      </c>
      <c r="F278" s="5" t="s">
        <v>68</v>
      </c>
      <c r="G278" s="8">
        <v>2</v>
      </c>
      <c r="H278" s="8">
        <f>IF(F278="Bullet",MIN(G278,Assumptions!$B$6),"")</f>
        <v>2</v>
      </c>
      <c r="I278" s="8"/>
      <c r="J278" s="8" t="str">
        <f>IF(F278="Monthly interest",MAX(0,Assumptions!$B$5-I278),"")</f>
        <v/>
      </c>
      <c r="K278" s="7">
        <f t="shared" si="12"/>
        <v>474</v>
      </c>
      <c r="L278" s="9">
        <v>46217</v>
      </c>
      <c r="M278" s="5" t="s">
        <v>50</v>
      </c>
      <c r="N278" s="5" t="s">
        <v>53</v>
      </c>
      <c r="O278" s="5" t="s">
        <v>152</v>
      </c>
      <c r="P278" s="5" t="s">
        <v>153</v>
      </c>
      <c r="Q278" s="5" t="s">
        <v>154</v>
      </c>
      <c r="R278" s="5" t="s">
        <v>155</v>
      </c>
      <c r="S278" s="5" t="s">
        <v>185</v>
      </c>
      <c r="T278" s="5" t="s">
        <v>57</v>
      </c>
      <c r="U278" s="5" t="s">
        <v>104</v>
      </c>
      <c r="V278" s="5" t="s">
        <v>186</v>
      </c>
      <c r="W278" s="5" t="s">
        <v>329</v>
      </c>
      <c r="X278" s="5" t="s">
        <v>1454</v>
      </c>
      <c r="Y278" s="5" t="s">
        <v>1455</v>
      </c>
      <c r="Z278" s="9">
        <v>46217</v>
      </c>
      <c r="AA278" s="8">
        <v>6</v>
      </c>
      <c r="AB278" s="9">
        <f t="shared" si="13"/>
        <v>46401</v>
      </c>
      <c r="AC278" s="10">
        <v>13</v>
      </c>
      <c r="AD278" s="7">
        <f t="shared" si="14"/>
        <v>237</v>
      </c>
      <c r="AE278" s="7">
        <f>IF(F278="Bullet",H278*AD278,MIN(MAX(I278,1),Assumptions!$B$6)*AD278)</f>
        <v>474</v>
      </c>
      <c r="AF278" s="8">
        <f>IF(F278="Bullet",MAX(0,Assumptions!$B$4-AB278),MAX(0,Assumptions!$B$4-L278))</f>
        <v>0</v>
      </c>
      <c r="AG278" s="9"/>
      <c r="AH278" s="8" t="str">
        <f>IF(AG278="","",Assumptions!$B$4-AG278)</f>
        <v/>
      </c>
      <c r="AI278" s="5" t="s">
        <v>80</v>
      </c>
      <c r="AJ278" s="8"/>
      <c r="AK278" s="8">
        <v>0</v>
      </c>
      <c r="AL278" s="8">
        <v>714</v>
      </c>
      <c r="AM278" s="8">
        <v>3</v>
      </c>
      <c r="AN278" s="5" t="s">
        <v>63</v>
      </c>
      <c r="AO278" s="10">
        <v>66.2</v>
      </c>
      <c r="AP278" s="8">
        <v>18</v>
      </c>
      <c r="AQ278" s="9">
        <v>46290</v>
      </c>
      <c r="AR278" s="5" t="s">
        <v>51</v>
      </c>
      <c r="AS278" s="5" t="s">
        <v>81</v>
      </c>
    </row>
    <row r="279" spans="1:45" x14ac:dyDescent="0.35">
      <c r="A279" s="5" t="s">
        <v>1456</v>
      </c>
      <c r="B279" s="5" t="s">
        <v>1457</v>
      </c>
      <c r="C279" s="6" t="s">
        <v>1458</v>
      </c>
      <c r="D279" s="7">
        <v>188100</v>
      </c>
      <c r="E279" s="5" t="s">
        <v>48</v>
      </c>
      <c r="F279" s="5" t="s">
        <v>49</v>
      </c>
      <c r="G279" s="8"/>
      <c r="H279" s="8" t="str">
        <f>IF(F279="Bullet",MIN(G279,Assumptions!$B$6),"")</f>
        <v/>
      </c>
      <c r="I279" s="8">
        <v>1</v>
      </c>
      <c r="J279" s="8">
        <f>IF(F279="Monthly interest",MAX(0,Assumptions!$B$5-I279),"")</f>
        <v>2</v>
      </c>
      <c r="K279" s="7">
        <f t="shared" si="12"/>
        <v>3449</v>
      </c>
      <c r="L279" s="9">
        <v>46271</v>
      </c>
      <c r="M279" s="5" t="s">
        <v>69</v>
      </c>
      <c r="N279" s="5" t="s">
        <v>53</v>
      </c>
      <c r="O279" s="5" t="s">
        <v>103</v>
      </c>
      <c r="P279" s="5" t="s">
        <v>70</v>
      </c>
      <c r="Q279" s="5" t="s">
        <v>54</v>
      </c>
      <c r="R279" s="5" t="s">
        <v>55</v>
      </c>
      <c r="S279" s="5" t="s">
        <v>85</v>
      </c>
      <c r="T279" s="5" t="s">
        <v>57</v>
      </c>
      <c r="U279" s="5" t="s">
        <v>86</v>
      </c>
      <c r="V279" s="5" t="s">
        <v>96</v>
      </c>
      <c r="W279" s="5" t="s">
        <v>819</v>
      </c>
      <c r="X279" s="5" t="s">
        <v>1459</v>
      </c>
      <c r="Y279" s="5" t="s">
        <v>1460</v>
      </c>
      <c r="Z279" s="9">
        <v>46087</v>
      </c>
      <c r="AA279" s="8">
        <v>12</v>
      </c>
      <c r="AB279" s="9">
        <f t="shared" si="13"/>
        <v>46452</v>
      </c>
      <c r="AC279" s="10">
        <v>22</v>
      </c>
      <c r="AD279" s="7">
        <f t="shared" si="14"/>
        <v>3449</v>
      </c>
      <c r="AE279" s="7">
        <f>IF(F279="Bullet",H279*AD279,MIN(MAX(I279,1),Assumptions!$B$6)*AD279)</f>
        <v>3449</v>
      </c>
      <c r="AF279" s="8">
        <f>IF(F279="Bullet",MAX(0,Assumptions!$B$4-AB279),MAX(0,Assumptions!$B$4-L279))</f>
        <v>27</v>
      </c>
      <c r="AG279" s="9">
        <v>46245</v>
      </c>
      <c r="AH279" s="8">
        <f>IF(AG279="","",Assumptions!$B$4-AG279)</f>
        <v>53</v>
      </c>
      <c r="AI279" s="5" t="s">
        <v>57</v>
      </c>
      <c r="AJ279" s="8">
        <v>2</v>
      </c>
      <c r="AK279" s="8">
        <v>0</v>
      </c>
      <c r="AL279" s="8">
        <v>685</v>
      </c>
      <c r="AM279" s="8">
        <v>1</v>
      </c>
      <c r="AN279" s="5" t="s">
        <v>63</v>
      </c>
      <c r="AO279" s="10">
        <v>75.5</v>
      </c>
      <c r="AP279" s="8">
        <v>31</v>
      </c>
      <c r="AQ279" s="9">
        <v>46282</v>
      </c>
      <c r="AR279" s="5" t="s">
        <v>51</v>
      </c>
      <c r="AS279" s="5" t="s">
        <v>81</v>
      </c>
    </row>
    <row r="280" spans="1:45" x14ac:dyDescent="0.35">
      <c r="A280" s="5" t="s">
        <v>1461</v>
      </c>
      <c r="B280" s="5" t="s">
        <v>1462</v>
      </c>
      <c r="C280" s="6" t="s">
        <v>1463</v>
      </c>
      <c r="D280" s="7">
        <v>208600</v>
      </c>
      <c r="E280" s="5" t="s">
        <v>48</v>
      </c>
      <c r="F280" s="5" t="s">
        <v>68</v>
      </c>
      <c r="G280" s="8">
        <v>5</v>
      </c>
      <c r="H280" s="8">
        <f>IF(F280="Bullet",MIN(G280,Assumptions!$B$6),"")</f>
        <v>2</v>
      </c>
      <c r="I280" s="8"/>
      <c r="J280" s="8" t="str">
        <f>IF(F280="Monthly interest",MAX(0,Assumptions!$B$5-I280),"")</f>
        <v/>
      </c>
      <c r="K280" s="7">
        <f t="shared" si="12"/>
        <v>15645</v>
      </c>
      <c r="L280" s="9">
        <v>46126</v>
      </c>
      <c r="M280" s="5" t="s">
        <v>69</v>
      </c>
      <c r="N280" s="5" t="s">
        <v>53</v>
      </c>
      <c r="O280" s="5" t="s">
        <v>168</v>
      </c>
      <c r="P280" s="5" t="s">
        <v>70</v>
      </c>
      <c r="Q280" s="5" t="s">
        <v>169</v>
      </c>
      <c r="R280" s="5" t="s">
        <v>170</v>
      </c>
      <c r="S280" s="5" t="s">
        <v>75</v>
      </c>
      <c r="T280" s="5" t="s">
        <v>63</v>
      </c>
      <c r="U280" s="5" t="s">
        <v>86</v>
      </c>
      <c r="V280" s="5" t="s">
        <v>76</v>
      </c>
      <c r="W280" s="5" t="s">
        <v>444</v>
      </c>
      <c r="X280" s="5" t="s">
        <v>661</v>
      </c>
      <c r="Y280" s="5" t="s">
        <v>1464</v>
      </c>
      <c r="Z280" s="9">
        <v>46126</v>
      </c>
      <c r="AA280" s="8">
        <v>12</v>
      </c>
      <c r="AB280" s="9">
        <f t="shared" si="13"/>
        <v>46491</v>
      </c>
      <c r="AC280" s="10">
        <v>18</v>
      </c>
      <c r="AD280" s="7">
        <f t="shared" si="14"/>
        <v>3129</v>
      </c>
      <c r="AE280" s="7">
        <f>IF(F280="Bullet",H280*AD280,MIN(MAX(I280,1),Assumptions!$B$6)*AD280)</f>
        <v>6258</v>
      </c>
      <c r="AF280" s="8">
        <f>IF(F280="Bullet",MAX(0,Assumptions!$B$4-AB280),MAX(0,Assumptions!$B$4-L280))</f>
        <v>0</v>
      </c>
      <c r="AG280" s="9"/>
      <c r="AH280" s="8" t="str">
        <f>IF(AG280="","",Assumptions!$B$4-AG280)</f>
        <v/>
      </c>
      <c r="AI280" s="5" t="s">
        <v>80</v>
      </c>
      <c r="AJ280" s="8"/>
      <c r="AK280" s="8">
        <v>0</v>
      </c>
      <c r="AL280" s="8">
        <v>696</v>
      </c>
      <c r="AM280" s="8">
        <v>1</v>
      </c>
      <c r="AN280" s="5" t="s">
        <v>63</v>
      </c>
      <c r="AO280" s="10">
        <v>77.599999999999994</v>
      </c>
      <c r="AP280" s="8">
        <v>36</v>
      </c>
      <c r="AQ280" s="9">
        <v>46291</v>
      </c>
      <c r="AR280" s="5" t="s">
        <v>70</v>
      </c>
      <c r="AS280" s="5" t="s">
        <v>81</v>
      </c>
    </row>
    <row r="281" spans="1:45" x14ac:dyDescent="0.35">
      <c r="A281" s="5" t="s">
        <v>1465</v>
      </c>
      <c r="B281" s="5" t="s">
        <v>1466</v>
      </c>
      <c r="C281" s="6" t="s">
        <v>1467</v>
      </c>
      <c r="D281" s="7">
        <v>183400</v>
      </c>
      <c r="E281" s="5" t="s">
        <v>48</v>
      </c>
      <c r="F281" s="5" t="s">
        <v>49</v>
      </c>
      <c r="G281" s="8"/>
      <c r="H281" s="8" t="str">
        <f>IF(F281="Bullet",MIN(G281,Assumptions!$B$6),"")</f>
        <v/>
      </c>
      <c r="I281" s="8">
        <v>2</v>
      </c>
      <c r="J281" s="8">
        <f>IF(F281="Monthly interest",MAX(0,Assumptions!$B$5-I281),"")</f>
        <v>1</v>
      </c>
      <c r="K281" s="7">
        <f t="shared" si="12"/>
        <v>6114</v>
      </c>
      <c r="L281" s="9">
        <v>46257</v>
      </c>
      <c r="M281" s="5" t="s">
        <v>69</v>
      </c>
      <c r="N281" s="5" t="s">
        <v>70</v>
      </c>
      <c r="O281" s="5" t="s">
        <v>271</v>
      </c>
      <c r="P281" s="5" t="s">
        <v>72</v>
      </c>
      <c r="Q281" s="5" t="s">
        <v>73</v>
      </c>
      <c r="R281" s="5" t="s">
        <v>74</v>
      </c>
      <c r="S281" s="5" t="s">
        <v>253</v>
      </c>
      <c r="T281" s="5" t="s">
        <v>57</v>
      </c>
      <c r="U281" s="5" t="s">
        <v>58</v>
      </c>
      <c r="V281" s="5" t="s">
        <v>76</v>
      </c>
      <c r="W281" s="5" t="s">
        <v>105</v>
      </c>
      <c r="X281" s="5" t="s">
        <v>762</v>
      </c>
      <c r="Y281" s="5" t="s">
        <v>1468</v>
      </c>
      <c r="Z281" s="9">
        <v>45984</v>
      </c>
      <c r="AA281" s="8">
        <v>12</v>
      </c>
      <c r="AB281" s="9">
        <f t="shared" si="13"/>
        <v>46349</v>
      </c>
      <c r="AC281" s="10">
        <v>20</v>
      </c>
      <c r="AD281" s="7">
        <f t="shared" si="14"/>
        <v>3057</v>
      </c>
      <c r="AE281" s="7">
        <f>IF(F281="Bullet",H281*AD281,MIN(MAX(I281,1),Assumptions!$B$6)*AD281)</f>
        <v>6114</v>
      </c>
      <c r="AF281" s="8">
        <f>IF(F281="Bullet",MAX(0,Assumptions!$B$4-AB281),MAX(0,Assumptions!$B$4-L281))</f>
        <v>41</v>
      </c>
      <c r="AG281" s="9">
        <v>46226</v>
      </c>
      <c r="AH281" s="8">
        <f>IF(AG281="","",Assumptions!$B$4-AG281)</f>
        <v>72</v>
      </c>
      <c r="AI281" s="5" t="s">
        <v>63</v>
      </c>
      <c r="AJ281" s="8">
        <v>4</v>
      </c>
      <c r="AK281" s="8">
        <v>1</v>
      </c>
      <c r="AL281" s="8">
        <v>773</v>
      </c>
      <c r="AM281" s="8">
        <v>1</v>
      </c>
      <c r="AN281" s="5" t="s">
        <v>63</v>
      </c>
      <c r="AO281" s="10">
        <v>69.599999999999994</v>
      </c>
      <c r="AP281" s="8">
        <v>45</v>
      </c>
      <c r="AQ281" s="9">
        <v>46294</v>
      </c>
      <c r="AR281" s="5" t="s">
        <v>53</v>
      </c>
      <c r="AS281" s="5" t="s">
        <v>274</v>
      </c>
    </row>
    <row r="282" spans="1:45" x14ac:dyDescent="0.35">
      <c r="A282" s="5" t="s">
        <v>1469</v>
      </c>
      <c r="B282" s="5" t="s">
        <v>1470</v>
      </c>
      <c r="C282" s="6" t="s">
        <v>1471</v>
      </c>
      <c r="D282" s="7">
        <v>284600</v>
      </c>
      <c r="E282" s="5" t="s">
        <v>48</v>
      </c>
      <c r="F282" s="5" t="s">
        <v>49</v>
      </c>
      <c r="G282" s="8"/>
      <c r="H282" s="8" t="str">
        <f>IF(F282="Bullet",MIN(G282,Assumptions!$B$6),"")</f>
        <v/>
      </c>
      <c r="I282" s="8">
        <v>1</v>
      </c>
      <c r="J282" s="8">
        <f>IF(F282="Monthly interest",MAX(0,Assumptions!$B$5-I282),"")</f>
        <v>2</v>
      </c>
      <c r="K282" s="7">
        <f t="shared" si="12"/>
        <v>3795</v>
      </c>
      <c r="L282" s="9">
        <v>46286</v>
      </c>
      <c r="M282" s="5" t="s">
        <v>69</v>
      </c>
      <c r="N282" s="5" t="s">
        <v>53</v>
      </c>
      <c r="O282" s="5" t="s">
        <v>103</v>
      </c>
      <c r="P282" s="5" t="s">
        <v>70</v>
      </c>
      <c r="Q282" s="5" t="s">
        <v>54</v>
      </c>
      <c r="R282" s="5" t="s">
        <v>55</v>
      </c>
      <c r="S282" s="5" t="s">
        <v>56</v>
      </c>
      <c r="T282" s="5" t="s">
        <v>57</v>
      </c>
      <c r="U282" s="5" t="s">
        <v>86</v>
      </c>
      <c r="V282" s="5" t="s">
        <v>59</v>
      </c>
      <c r="W282" s="5" t="s">
        <v>156</v>
      </c>
      <c r="X282" s="5" t="s">
        <v>506</v>
      </c>
      <c r="Y282" s="5" t="s">
        <v>1472</v>
      </c>
      <c r="Z282" s="9">
        <v>46194</v>
      </c>
      <c r="AA282" s="8">
        <v>12</v>
      </c>
      <c r="AB282" s="9">
        <f t="shared" si="13"/>
        <v>46559</v>
      </c>
      <c r="AC282" s="10">
        <v>16</v>
      </c>
      <c r="AD282" s="7">
        <f t="shared" si="14"/>
        <v>3795</v>
      </c>
      <c r="AE282" s="7">
        <f>IF(F282="Bullet",H282*AD282,MIN(MAX(I282,1),Assumptions!$B$6)*AD282)</f>
        <v>3795</v>
      </c>
      <c r="AF282" s="8">
        <f>IF(F282="Bullet",MAX(0,Assumptions!$B$4-AB282),MAX(0,Assumptions!$B$4-L282))</f>
        <v>12</v>
      </c>
      <c r="AG282" s="9">
        <v>46255</v>
      </c>
      <c r="AH282" s="8">
        <f>IF(AG282="","",Assumptions!$B$4-AG282)</f>
        <v>43</v>
      </c>
      <c r="AI282" s="5" t="s">
        <v>63</v>
      </c>
      <c r="AJ282" s="8">
        <v>2</v>
      </c>
      <c r="AK282" s="8">
        <v>0</v>
      </c>
      <c r="AL282" s="8">
        <v>673</v>
      </c>
      <c r="AM282" s="8">
        <v>0</v>
      </c>
      <c r="AN282" s="5" t="s">
        <v>63</v>
      </c>
      <c r="AO282" s="10">
        <v>65.2</v>
      </c>
      <c r="AP282" s="8">
        <v>33</v>
      </c>
      <c r="AQ282" s="9">
        <v>46295</v>
      </c>
      <c r="AR282" s="5" t="s">
        <v>51</v>
      </c>
      <c r="AS282" s="5" t="s">
        <v>81</v>
      </c>
    </row>
    <row r="283" spans="1:45" x14ac:dyDescent="0.35">
      <c r="A283" s="5" t="s">
        <v>1473</v>
      </c>
      <c r="B283" s="5" t="s">
        <v>1474</v>
      </c>
      <c r="C283" s="6" t="s">
        <v>1475</v>
      </c>
      <c r="D283" s="7">
        <v>49700</v>
      </c>
      <c r="E283" s="5" t="s">
        <v>48</v>
      </c>
      <c r="F283" s="5" t="s">
        <v>49</v>
      </c>
      <c r="G283" s="8"/>
      <c r="H283" s="8" t="str">
        <f>IF(F283="Bullet",MIN(G283,Assumptions!$B$6),"")</f>
        <v/>
      </c>
      <c r="I283" s="8">
        <v>2</v>
      </c>
      <c r="J283" s="8">
        <f>IF(F283="Monthly interest",MAX(0,Assumptions!$B$5-I283),"")</f>
        <v>1</v>
      </c>
      <c r="K283" s="7">
        <f t="shared" si="12"/>
        <v>1656</v>
      </c>
      <c r="L283" s="9">
        <v>46238</v>
      </c>
      <c r="M283" s="5" t="s">
        <v>69</v>
      </c>
      <c r="N283" s="5" t="s">
        <v>53</v>
      </c>
      <c r="O283" s="5" t="s">
        <v>152</v>
      </c>
      <c r="P283" s="5" t="s">
        <v>153</v>
      </c>
      <c r="Q283" s="5" t="s">
        <v>154</v>
      </c>
      <c r="R283" s="5" t="s">
        <v>155</v>
      </c>
      <c r="S283" s="5" t="s">
        <v>85</v>
      </c>
      <c r="T283" s="5" t="s">
        <v>57</v>
      </c>
      <c r="U283" s="5" t="s">
        <v>104</v>
      </c>
      <c r="V283" s="5" t="s">
        <v>177</v>
      </c>
      <c r="W283" s="5" t="s">
        <v>208</v>
      </c>
      <c r="X283" s="5" t="s">
        <v>1314</v>
      </c>
      <c r="Y283" s="5" t="s">
        <v>1476</v>
      </c>
      <c r="Z283" s="9">
        <v>46057</v>
      </c>
      <c r="AA283" s="8">
        <v>24</v>
      </c>
      <c r="AB283" s="9">
        <f t="shared" si="13"/>
        <v>46787</v>
      </c>
      <c r="AC283" s="10">
        <v>20</v>
      </c>
      <c r="AD283" s="7">
        <f t="shared" si="14"/>
        <v>828</v>
      </c>
      <c r="AE283" s="7">
        <f>IF(F283="Bullet",H283*AD283,MIN(MAX(I283,1),Assumptions!$B$6)*AD283)</f>
        <v>1656</v>
      </c>
      <c r="AF283" s="8">
        <f>IF(F283="Bullet",MAX(0,Assumptions!$B$4-AB283),MAX(0,Assumptions!$B$4-L283))</f>
        <v>60</v>
      </c>
      <c r="AG283" s="9">
        <v>46208</v>
      </c>
      <c r="AH283" s="8">
        <f>IF(AG283="","",Assumptions!$B$4-AG283)</f>
        <v>90</v>
      </c>
      <c r="AI283" s="5" t="s">
        <v>63</v>
      </c>
      <c r="AJ283" s="8">
        <v>2</v>
      </c>
      <c r="AK283" s="8">
        <v>0</v>
      </c>
      <c r="AL283" s="8">
        <v>718</v>
      </c>
      <c r="AM283" s="8">
        <v>2</v>
      </c>
      <c r="AN283" s="5" t="s">
        <v>63</v>
      </c>
      <c r="AO283" s="10">
        <v>68.7</v>
      </c>
      <c r="AP283" s="8">
        <v>41</v>
      </c>
      <c r="AQ283" s="9">
        <v>46290</v>
      </c>
      <c r="AR283" s="5" t="s">
        <v>53</v>
      </c>
      <c r="AS283" s="5" t="s">
        <v>91</v>
      </c>
    </row>
    <row r="284" spans="1:45" x14ac:dyDescent="0.35">
      <c r="A284" s="5" t="s">
        <v>1477</v>
      </c>
      <c r="B284" s="5" t="s">
        <v>1478</v>
      </c>
      <c r="C284" s="6" t="s">
        <v>1479</v>
      </c>
      <c r="D284" s="7">
        <v>196500</v>
      </c>
      <c r="E284" s="5" t="s">
        <v>48</v>
      </c>
      <c r="F284" s="5" t="s">
        <v>49</v>
      </c>
      <c r="G284" s="8"/>
      <c r="H284" s="8" t="str">
        <f>IF(F284="Bullet",MIN(G284,Assumptions!$B$6),"")</f>
        <v/>
      </c>
      <c r="I284" s="8">
        <v>2</v>
      </c>
      <c r="J284" s="8">
        <f>IF(F284="Monthly interest",MAX(0,Assumptions!$B$5-I284),"")</f>
        <v>1</v>
      </c>
      <c r="K284" s="7">
        <f t="shared" si="12"/>
        <v>5240</v>
      </c>
      <c r="L284" s="9">
        <v>46251</v>
      </c>
      <c r="M284" s="5" t="s">
        <v>116</v>
      </c>
      <c r="N284" s="5" t="s">
        <v>117</v>
      </c>
      <c r="O284" s="5" t="s">
        <v>118</v>
      </c>
      <c r="P284" s="5" t="s">
        <v>72</v>
      </c>
      <c r="Q284" s="5" t="s">
        <v>119</v>
      </c>
      <c r="R284" s="5" t="s">
        <v>120</v>
      </c>
      <c r="S284" s="5" t="s">
        <v>85</v>
      </c>
      <c r="T284" s="5" t="s">
        <v>57</v>
      </c>
      <c r="U284" s="5" t="s">
        <v>104</v>
      </c>
      <c r="V284" s="5" t="s">
        <v>133</v>
      </c>
      <c r="W284" s="5" t="s">
        <v>594</v>
      </c>
      <c r="X284" s="5" t="s">
        <v>1480</v>
      </c>
      <c r="Y284" s="5" t="s">
        <v>1481</v>
      </c>
      <c r="Z284" s="9">
        <v>46098</v>
      </c>
      <c r="AA284" s="8">
        <v>18</v>
      </c>
      <c r="AB284" s="9">
        <f t="shared" si="13"/>
        <v>46647</v>
      </c>
      <c r="AC284" s="10">
        <v>16</v>
      </c>
      <c r="AD284" s="7">
        <f t="shared" si="14"/>
        <v>2620</v>
      </c>
      <c r="AE284" s="7">
        <f>IF(F284="Bullet",H284*AD284,MIN(MAX(I284,1),Assumptions!$B$6)*AD284)</f>
        <v>5240</v>
      </c>
      <c r="AF284" s="8">
        <f>IF(F284="Bullet",MAX(0,Assumptions!$B$4-AB284),MAX(0,Assumptions!$B$4-L284))</f>
        <v>47</v>
      </c>
      <c r="AG284" s="9">
        <v>46225</v>
      </c>
      <c r="AH284" s="8">
        <f>IF(AG284="","",Assumptions!$B$4-AG284)</f>
        <v>73</v>
      </c>
      <c r="AI284" s="5" t="s">
        <v>57</v>
      </c>
      <c r="AJ284" s="8">
        <v>2</v>
      </c>
      <c r="AK284" s="8">
        <v>0</v>
      </c>
      <c r="AL284" s="8">
        <v>685</v>
      </c>
      <c r="AM284" s="8">
        <v>1</v>
      </c>
      <c r="AN284" s="5" t="s">
        <v>63</v>
      </c>
      <c r="AO284" s="10">
        <v>88</v>
      </c>
      <c r="AP284" s="8">
        <v>58</v>
      </c>
      <c r="AQ284" s="9"/>
      <c r="AR284" s="5"/>
      <c r="AS284" s="5" t="s">
        <v>159</v>
      </c>
    </row>
    <row r="285" spans="1:45" x14ac:dyDescent="0.35">
      <c r="A285" s="5" t="s">
        <v>1482</v>
      </c>
      <c r="B285" s="5" t="s">
        <v>1483</v>
      </c>
      <c r="C285" s="6" t="s">
        <v>1484</v>
      </c>
      <c r="D285" s="7">
        <v>28200</v>
      </c>
      <c r="E285" s="5" t="s">
        <v>48</v>
      </c>
      <c r="F285" s="5" t="s">
        <v>68</v>
      </c>
      <c r="G285" s="8">
        <v>3</v>
      </c>
      <c r="H285" s="8">
        <f>IF(F285="Bullet",MIN(G285,Assumptions!$B$6),"")</f>
        <v>2</v>
      </c>
      <c r="I285" s="8"/>
      <c r="J285" s="8" t="str">
        <f>IF(F285="Monthly interest",MAX(0,Assumptions!$B$5-I285),"")</f>
        <v/>
      </c>
      <c r="K285" s="7">
        <f t="shared" si="12"/>
        <v>1128</v>
      </c>
      <c r="L285" s="9">
        <v>46191</v>
      </c>
      <c r="M285" s="5" t="s">
        <v>50</v>
      </c>
      <c r="N285" s="5" t="s">
        <v>53</v>
      </c>
      <c r="O285" s="5" t="s">
        <v>152</v>
      </c>
      <c r="P285" s="5" t="s">
        <v>153</v>
      </c>
      <c r="Q285" s="5" t="s">
        <v>154</v>
      </c>
      <c r="R285" s="5" t="s">
        <v>155</v>
      </c>
      <c r="S285" s="5" t="s">
        <v>56</v>
      </c>
      <c r="T285" s="5" t="s">
        <v>57</v>
      </c>
      <c r="U285" s="5" t="s">
        <v>86</v>
      </c>
      <c r="V285" s="5" t="s">
        <v>59</v>
      </c>
      <c r="W285" s="5" t="s">
        <v>323</v>
      </c>
      <c r="X285" s="5" t="s">
        <v>1485</v>
      </c>
      <c r="Y285" s="5" t="s">
        <v>1486</v>
      </c>
      <c r="Z285" s="9">
        <v>46191</v>
      </c>
      <c r="AA285" s="8">
        <v>6</v>
      </c>
      <c r="AB285" s="9">
        <f t="shared" si="13"/>
        <v>46374</v>
      </c>
      <c r="AC285" s="10">
        <v>16</v>
      </c>
      <c r="AD285" s="7">
        <f t="shared" si="14"/>
        <v>376</v>
      </c>
      <c r="AE285" s="7">
        <f>IF(F285="Bullet",H285*AD285,MIN(MAX(I285,1),Assumptions!$B$6)*AD285)</f>
        <v>752</v>
      </c>
      <c r="AF285" s="8">
        <f>IF(F285="Bullet",MAX(0,Assumptions!$B$4-AB285),MAX(0,Assumptions!$B$4-L285))</f>
        <v>0</v>
      </c>
      <c r="AG285" s="9"/>
      <c r="AH285" s="8" t="str">
        <f>IF(AG285="","",Assumptions!$B$4-AG285)</f>
        <v/>
      </c>
      <c r="AI285" s="5" t="s">
        <v>80</v>
      </c>
      <c r="AJ285" s="8"/>
      <c r="AK285" s="8">
        <v>2</v>
      </c>
      <c r="AL285" s="8">
        <v>752</v>
      </c>
      <c r="AM285" s="8">
        <v>1</v>
      </c>
      <c r="AN285" s="5" t="s">
        <v>63</v>
      </c>
      <c r="AO285" s="10">
        <v>69.3</v>
      </c>
      <c r="AP285" s="8">
        <v>26</v>
      </c>
      <c r="AQ285" s="9">
        <v>46296</v>
      </c>
      <c r="AR285" s="5" t="s">
        <v>51</v>
      </c>
      <c r="AS285" s="5" t="s">
        <v>64</v>
      </c>
    </row>
    <row r="286" spans="1:45" x14ac:dyDescent="0.35">
      <c r="A286" s="5" t="s">
        <v>1487</v>
      </c>
      <c r="B286" s="5" t="s">
        <v>1488</v>
      </c>
      <c r="C286" s="6" t="s">
        <v>1489</v>
      </c>
      <c r="D286" s="7">
        <v>74100</v>
      </c>
      <c r="E286" s="5" t="s">
        <v>48</v>
      </c>
      <c r="F286" s="5" t="s">
        <v>68</v>
      </c>
      <c r="G286" s="8">
        <v>4</v>
      </c>
      <c r="H286" s="8">
        <f>IF(F286="Bullet",MIN(G286,Assumptions!$B$6),"")</f>
        <v>2</v>
      </c>
      <c r="I286" s="8"/>
      <c r="J286" s="8" t="str">
        <f>IF(F286="Monthly interest",MAX(0,Assumptions!$B$5-I286),"")</f>
        <v/>
      </c>
      <c r="K286" s="7">
        <f t="shared" si="12"/>
        <v>3952</v>
      </c>
      <c r="L286" s="9">
        <v>46160</v>
      </c>
      <c r="M286" s="5" t="s">
        <v>116</v>
      </c>
      <c r="N286" s="5" t="s">
        <v>117</v>
      </c>
      <c r="O286" s="5" t="s">
        <v>207</v>
      </c>
      <c r="P286" s="5" t="s">
        <v>72</v>
      </c>
      <c r="Q286" s="5" t="s">
        <v>73</v>
      </c>
      <c r="R286" s="5" t="s">
        <v>74</v>
      </c>
      <c r="S286" s="5" t="s">
        <v>56</v>
      </c>
      <c r="T286" s="5" t="s">
        <v>63</v>
      </c>
      <c r="U286" s="5" t="s">
        <v>86</v>
      </c>
      <c r="V286" s="5" t="s">
        <v>59</v>
      </c>
      <c r="W286" s="5" t="s">
        <v>156</v>
      </c>
      <c r="X286" s="5" t="s">
        <v>1490</v>
      </c>
      <c r="Y286" s="5" t="s">
        <v>1491</v>
      </c>
      <c r="Z286" s="9">
        <v>46160</v>
      </c>
      <c r="AA286" s="8">
        <v>6</v>
      </c>
      <c r="AB286" s="9">
        <f t="shared" si="13"/>
        <v>46344</v>
      </c>
      <c r="AC286" s="10">
        <v>16</v>
      </c>
      <c r="AD286" s="7">
        <f t="shared" si="14"/>
        <v>988</v>
      </c>
      <c r="AE286" s="7">
        <f>IF(F286="Bullet",H286*AD286,MIN(MAX(I286,1),Assumptions!$B$6)*AD286)</f>
        <v>1976</v>
      </c>
      <c r="AF286" s="8">
        <f>IF(F286="Bullet",MAX(0,Assumptions!$B$4-AB286),MAX(0,Assumptions!$B$4-L286))</f>
        <v>0</v>
      </c>
      <c r="AG286" s="9"/>
      <c r="AH286" s="8" t="str">
        <f>IF(AG286="","",Assumptions!$B$4-AG286)</f>
        <v/>
      </c>
      <c r="AI286" s="5" t="s">
        <v>80</v>
      </c>
      <c r="AJ286" s="8"/>
      <c r="AK286" s="8">
        <v>1</v>
      </c>
      <c r="AL286" s="8">
        <v>584</v>
      </c>
      <c r="AM286" s="8">
        <v>0</v>
      </c>
      <c r="AN286" s="5" t="s">
        <v>57</v>
      </c>
      <c r="AO286" s="10">
        <v>84.1</v>
      </c>
      <c r="AP286" s="8">
        <v>68</v>
      </c>
      <c r="AQ286" s="9">
        <v>46274</v>
      </c>
      <c r="AR286" s="5" t="s">
        <v>70</v>
      </c>
      <c r="AS286" s="5" t="s">
        <v>64</v>
      </c>
    </row>
    <row r="287" spans="1:45" x14ac:dyDescent="0.35">
      <c r="A287" s="5" t="s">
        <v>1492</v>
      </c>
      <c r="B287" s="5" t="s">
        <v>1493</v>
      </c>
      <c r="C287" s="6" t="s">
        <v>1494</v>
      </c>
      <c r="D287" s="7">
        <v>281000</v>
      </c>
      <c r="E287" s="5" t="s">
        <v>48</v>
      </c>
      <c r="F287" s="5" t="s">
        <v>49</v>
      </c>
      <c r="G287" s="8"/>
      <c r="H287" s="8" t="str">
        <f>IF(F287="Bullet",MIN(G287,Assumptions!$B$6),"")</f>
        <v/>
      </c>
      <c r="I287" s="8">
        <v>2</v>
      </c>
      <c r="J287" s="8">
        <f>IF(F287="Monthly interest",MAX(0,Assumptions!$B$5-I287),"")</f>
        <v>1</v>
      </c>
      <c r="K287" s="7">
        <f t="shared" si="12"/>
        <v>10304</v>
      </c>
      <c r="L287" s="9">
        <v>46267</v>
      </c>
      <c r="M287" s="5" t="s">
        <v>116</v>
      </c>
      <c r="N287" s="5" t="s">
        <v>117</v>
      </c>
      <c r="O287" s="5" t="s">
        <v>118</v>
      </c>
      <c r="P287" s="5" t="s">
        <v>72</v>
      </c>
      <c r="Q287" s="5" t="s">
        <v>119</v>
      </c>
      <c r="R287" s="5" t="s">
        <v>120</v>
      </c>
      <c r="S287" s="5" t="s">
        <v>185</v>
      </c>
      <c r="T287" s="5" t="s">
        <v>57</v>
      </c>
      <c r="U287" s="5" t="s">
        <v>86</v>
      </c>
      <c r="V287" s="5" t="s">
        <v>200</v>
      </c>
      <c r="W287" s="5" t="s">
        <v>500</v>
      </c>
      <c r="X287" s="5" t="s">
        <v>1495</v>
      </c>
      <c r="Y287" s="5" t="s">
        <v>1496</v>
      </c>
      <c r="Z287" s="9">
        <v>46144</v>
      </c>
      <c r="AA287" s="8">
        <v>12</v>
      </c>
      <c r="AB287" s="9">
        <f t="shared" si="13"/>
        <v>46509</v>
      </c>
      <c r="AC287" s="10">
        <v>22</v>
      </c>
      <c r="AD287" s="7">
        <f t="shared" si="14"/>
        <v>5152</v>
      </c>
      <c r="AE287" s="7">
        <f>IF(F287="Bullet",H287*AD287,MIN(MAX(I287,1),Assumptions!$B$6)*AD287)</f>
        <v>10304</v>
      </c>
      <c r="AF287" s="8">
        <f>IF(F287="Bullet",MAX(0,Assumptions!$B$4-AB287),MAX(0,Assumptions!$B$4-L287))</f>
        <v>31</v>
      </c>
      <c r="AG287" s="9">
        <v>46238</v>
      </c>
      <c r="AH287" s="8">
        <f>IF(AG287="","",Assumptions!$B$4-AG287)</f>
        <v>60</v>
      </c>
      <c r="AI287" s="5" t="s">
        <v>57</v>
      </c>
      <c r="AJ287" s="8">
        <v>2</v>
      </c>
      <c r="AK287" s="8">
        <v>3</v>
      </c>
      <c r="AL287" s="8">
        <v>736</v>
      </c>
      <c r="AM287" s="8">
        <v>1</v>
      </c>
      <c r="AN287" s="5" t="s">
        <v>63</v>
      </c>
      <c r="AO287" s="10">
        <v>80.2</v>
      </c>
      <c r="AP287" s="8">
        <v>60</v>
      </c>
      <c r="AQ287" s="9">
        <v>46273</v>
      </c>
      <c r="AR287" s="5" t="s">
        <v>70</v>
      </c>
      <c r="AS287" s="5" t="s">
        <v>91</v>
      </c>
    </row>
    <row r="288" spans="1:45" x14ac:dyDescent="0.35">
      <c r="A288" s="5" t="s">
        <v>1497</v>
      </c>
      <c r="B288" s="5" t="s">
        <v>1498</v>
      </c>
      <c r="C288" s="6" t="s">
        <v>1499</v>
      </c>
      <c r="D288" s="7">
        <v>122500</v>
      </c>
      <c r="E288" s="5" t="s">
        <v>48</v>
      </c>
      <c r="F288" s="5" t="s">
        <v>49</v>
      </c>
      <c r="G288" s="8"/>
      <c r="H288" s="8" t="str">
        <f>IF(F288="Bullet",MIN(G288,Assumptions!$B$6),"")</f>
        <v/>
      </c>
      <c r="I288" s="8">
        <v>2</v>
      </c>
      <c r="J288" s="8">
        <f>IF(F288="Monthly interest",MAX(0,Assumptions!$B$5-I288),"")</f>
        <v>1</v>
      </c>
      <c r="K288" s="7">
        <f t="shared" si="12"/>
        <v>2858</v>
      </c>
      <c r="L288" s="9">
        <v>46245</v>
      </c>
      <c r="M288" s="5" t="s">
        <v>116</v>
      </c>
      <c r="N288" s="5" t="s">
        <v>117</v>
      </c>
      <c r="O288" s="5" t="s">
        <v>118</v>
      </c>
      <c r="P288" s="5" t="s">
        <v>72</v>
      </c>
      <c r="Q288" s="5" t="s">
        <v>119</v>
      </c>
      <c r="R288" s="5" t="s">
        <v>120</v>
      </c>
      <c r="S288" s="5" t="s">
        <v>56</v>
      </c>
      <c r="T288" s="5" t="s">
        <v>57</v>
      </c>
      <c r="U288" s="5" t="s">
        <v>86</v>
      </c>
      <c r="V288" s="5" t="s">
        <v>59</v>
      </c>
      <c r="W288" s="5" t="s">
        <v>156</v>
      </c>
      <c r="X288" s="5" t="s">
        <v>1500</v>
      </c>
      <c r="Y288" s="5" t="s">
        <v>1501</v>
      </c>
      <c r="Z288" s="9">
        <v>46153</v>
      </c>
      <c r="AA288" s="8">
        <v>12</v>
      </c>
      <c r="AB288" s="9">
        <f t="shared" si="13"/>
        <v>46518</v>
      </c>
      <c r="AC288" s="10">
        <v>14</v>
      </c>
      <c r="AD288" s="7">
        <f t="shared" si="14"/>
        <v>1429</v>
      </c>
      <c r="AE288" s="7">
        <f>IF(F288="Bullet",H288*AD288,MIN(MAX(I288,1),Assumptions!$B$6)*AD288)</f>
        <v>2858</v>
      </c>
      <c r="AF288" s="8">
        <f>IF(F288="Bullet",MAX(0,Assumptions!$B$4-AB288),MAX(0,Assumptions!$B$4-L288))</f>
        <v>53</v>
      </c>
      <c r="AG288" s="9">
        <v>46218</v>
      </c>
      <c r="AH288" s="8">
        <f>IF(AG288="","",Assumptions!$B$4-AG288)</f>
        <v>80</v>
      </c>
      <c r="AI288" s="5" t="s">
        <v>63</v>
      </c>
      <c r="AJ288" s="8">
        <v>3</v>
      </c>
      <c r="AK288" s="8">
        <v>1</v>
      </c>
      <c r="AL288" s="8">
        <v>715</v>
      </c>
      <c r="AM288" s="8">
        <v>1</v>
      </c>
      <c r="AN288" s="5" t="s">
        <v>63</v>
      </c>
      <c r="AO288" s="10">
        <v>78.3</v>
      </c>
      <c r="AP288" s="8">
        <v>56</v>
      </c>
      <c r="AQ288" s="9">
        <v>46279</v>
      </c>
      <c r="AR288" s="5" t="s">
        <v>70</v>
      </c>
      <c r="AS288" s="5" t="s">
        <v>64</v>
      </c>
    </row>
    <row r="289" spans="1:45" x14ac:dyDescent="0.35">
      <c r="A289" s="5" t="s">
        <v>1502</v>
      </c>
      <c r="B289" s="5" t="s">
        <v>1503</v>
      </c>
      <c r="C289" s="6" t="s">
        <v>1504</v>
      </c>
      <c r="D289" s="7">
        <v>951400</v>
      </c>
      <c r="E289" s="5" t="s">
        <v>48</v>
      </c>
      <c r="F289" s="5" t="s">
        <v>68</v>
      </c>
      <c r="G289" s="8">
        <v>5</v>
      </c>
      <c r="H289" s="8">
        <f>IF(F289="Bullet",MIN(G289,Assumptions!$B$6),"")</f>
        <v>2</v>
      </c>
      <c r="I289" s="8"/>
      <c r="J289" s="8" t="str">
        <f>IF(F289="Monthly interest",MAX(0,Assumptions!$B$5-I289),"")</f>
        <v/>
      </c>
      <c r="K289" s="7">
        <f t="shared" si="12"/>
        <v>47570</v>
      </c>
      <c r="L289" s="9">
        <v>46142</v>
      </c>
      <c r="M289" s="5" t="s">
        <v>69</v>
      </c>
      <c r="N289" s="5" t="s">
        <v>53</v>
      </c>
      <c r="O289" s="5" t="s">
        <v>168</v>
      </c>
      <c r="P289" s="5" t="s">
        <v>70</v>
      </c>
      <c r="Q289" s="5" t="s">
        <v>169</v>
      </c>
      <c r="R289" s="5" t="s">
        <v>170</v>
      </c>
      <c r="S289" s="5" t="s">
        <v>214</v>
      </c>
      <c r="T289" s="5" t="s">
        <v>57</v>
      </c>
      <c r="U289" s="5" t="s">
        <v>104</v>
      </c>
      <c r="V289" s="5" t="s">
        <v>215</v>
      </c>
      <c r="W289" s="5" t="s">
        <v>216</v>
      </c>
      <c r="X289" s="5" t="s">
        <v>1505</v>
      </c>
      <c r="Y289" s="5" t="s">
        <v>1506</v>
      </c>
      <c r="Z289" s="9">
        <v>46142</v>
      </c>
      <c r="AA289" s="8">
        <v>6</v>
      </c>
      <c r="AB289" s="9">
        <f t="shared" si="13"/>
        <v>46325</v>
      </c>
      <c r="AC289" s="10">
        <v>12</v>
      </c>
      <c r="AD289" s="7">
        <f t="shared" si="14"/>
        <v>9514</v>
      </c>
      <c r="AE289" s="7">
        <f>IF(F289="Bullet",H289*AD289,MIN(MAX(I289,1),Assumptions!$B$6)*AD289)</f>
        <v>19028</v>
      </c>
      <c r="AF289" s="8">
        <f>IF(F289="Bullet",MAX(0,Assumptions!$B$4-AB289),MAX(0,Assumptions!$B$4-L289))</f>
        <v>0</v>
      </c>
      <c r="AG289" s="9"/>
      <c r="AH289" s="8" t="str">
        <f>IF(AG289="","",Assumptions!$B$4-AG289)</f>
        <v/>
      </c>
      <c r="AI289" s="5" t="s">
        <v>80</v>
      </c>
      <c r="AJ289" s="8"/>
      <c r="AK289" s="8">
        <v>0</v>
      </c>
      <c r="AL289" s="8">
        <v>756</v>
      </c>
      <c r="AM289" s="8">
        <v>2</v>
      </c>
      <c r="AN289" s="5" t="s">
        <v>63</v>
      </c>
      <c r="AO289" s="10">
        <v>68.900000000000006</v>
      </c>
      <c r="AP289" s="8">
        <v>36</v>
      </c>
      <c r="AQ289" s="9">
        <v>46282</v>
      </c>
      <c r="AR289" s="5" t="s">
        <v>72</v>
      </c>
      <c r="AS289" s="5" t="s">
        <v>181</v>
      </c>
    </row>
    <row r="290" spans="1:45" x14ac:dyDescent="0.35">
      <c r="A290" s="5" t="s">
        <v>1507</v>
      </c>
      <c r="B290" s="5" t="s">
        <v>1508</v>
      </c>
      <c r="C290" s="6" t="s">
        <v>1509</v>
      </c>
      <c r="D290" s="7">
        <v>111200</v>
      </c>
      <c r="E290" s="5" t="s">
        <v>48</v>
      </c>
      <c r="F290" s="5" t="s">
        <v>68</v>
      </c>
      <c r="G290" s="8">
        <v>3</v>
      </c>
      <c r="H290" s="8">
        <f>IF(F290="Bullet",MIN(G290,Assumptions!$B$6),"")</f>
        <v>2</v>
      </c>
      <c r="I290" s="8"/>
      <c r="J290" s="8" t="str">
        <f>IF(F290="Monthly interest",MAX(0,Assumptions!$B$5-I290),"")</f>
        <v/>
      </c>
      <c r="K290" s="7">
        <f t="shared" si="12"/>
        <v>3615</v>
      </c>
      <c r="L290" s="9">
        <v>46185</v>
      </c>
      <c r="M290" s="5" t="s">
        <v>69</v>
      </c>
      <c r="N290" s="5" t="s">
        <v>53</v>
      </c>
      <c r="O290" s="5" t="s">
        <v>71</v>
      </c>
      <c r="P290" s="5" t="s">
        <v>70</v>
      </c>
      <c r="Q290" s="5" t="s">
        <v>73</v>
      </c>
      <c r="R290" s="5" t="s">
        <v>74</v>
      </c>
      <c r="S290" s="5" t="s">
        <v>85</v>
      </c>
      <c r="T290" s="5" t="s">
        <v>57</v>
      </c>
      <c r="U290" s="5" t="s">
        <v>86</v>
      </c>
      <c r="V290" s="5" t="s">
        <v>553</v>
      </c>
      <c r="W290" s="5" t="s">
        <v>554</v>
      </c>
      <c r="X290" s="5" t="s">
        <v>1510</v>
      </c>
      <c r="Y290" s="5" t="s">
        <v>1511</v>
      </c>
      <c r="Z290" s="9">
        <v>46185</v>
      </c>
      <c r="AA290" s="8">
        <v>12</v>
      </c>
      <c r="AB290" s="9">
        <f t="shared" si="13"/>
        <v>46550</v>
      </c>
      <c r="AC290" s="10">
        <v>13</v>
      </c>
      <c r="AD290" s="7">
        <f t="shared" si="14"/>
        <v>1205</v>
      </c>
      <c r="AE290" s="7">
        <f>IF(F290="Bullet",H290*AD290,MIN(MAX(I290,1),Assumptions!$B$6)*AD290)</f>
        <v>2410</v>
      </c>
      <c r="AF290" s="8">
        <f>IF(F290="Bullet",MAX(0,Assumptions!$B$4-AB290),MAX(0,Assumptions!$B$4-L290))</f>
        <v>0</v>
      </c>
      <c r="AG290" s="9"/>
      <c r="AH290" s="8" t="str">
        <f>IF(AG290="","",Assumptions!$B$4-AG290)</f>
        <v/>
      </c>
      <c r="AI290" s="5" t="s">
        <v>80</v>
      </c>
      <c r="AJ290" s="8"/>
      <c r="AK290" s="8">
        <v>0</v>
      </c>
      <c r="AL290" s="8">
        <v>671</v>
      </c>
      <c r="AM290" s="8">
        <v>2</v>
      </c>
      <c r="AN290" s="5" t="s">
        <v>57</v>
      </c>
      <c r="AO290" s="10">
        <v>84.4</v>
      </c>
      <c r="AP290" s="8">
        <v>43</v>
      </c>
      <c r="AQ290" s="9">
        <v>46274</v>
      </c>
      <c r="AR290" s="5" t="s">
        <v>53</v>
      </c>
      <c r="AS290" s="5" t="s">
        <v>64</v>
      </c>
    </row>
    <row r="291" spans="1:45" x14ac:dyDescent="0.35">
      <c r="A291" s="5" t="s">
        <v>1512</v>
      </c>
      <c r="B291" s="5" t="s">
        <v>1513</v>
      </c>
      <c r="C291" s="6" t="s">
        <v>1514</v>
      </c>
      <c r="D291" s="7">
        <v>79100</v>
      </c>
      <c r="E291" s="5" t="s">
        <v>48</v>
      </c>
      <c r="F291" s="5" t="s">
        <v>68</v>
      </c>
      <c r="G291" s="8">
        <v>6</v>
      </c>
      <c r="H291" s="8">
        <f>IF(F291="Bullet",MIN(G291,Assumptions!$B$6),"")</f>
        <v>2</v>
      </c>
      <c r="I291" s="8"/>
      <c r="J291" s="8" t="str">
        <f>IF(F291="Monthly interest",MAX(0,Assumptions!$B$5-I291),"")</f>
        <v/>
      </c>
      <c r="K291" s="7">
        <f t="shared" si="12"/>
        <v>6330</v>
      </c>
      <c r="L291" s="9">
        <v>46102</v>
      </c>
      <c r="M291" s="5" t="s">
        <v>116</v>
      </c>
      <c r="N291" s="5" t="s">
        <v>117</v>
      </c>
      <c r="O291" s="5" t="s">
        <v>461</v>
      </c>
      <c r="P291" s="5" t="s">
        <v>72</v>
      </c>
      <c r="Q291" s="5" t="s">
        <v>169</v>
      </c>
      <c r="R291" s="5" t="s">
        <v>170</v>
      </c>
      <c r="S291" s="5" t="s">
        <v>56</v>
      </c>
      <c r="T291" s="5" t="s">
        <v>57</v>
      </c>
      <c r="U291" s="5" t="s">
        <v>104</v>
      </c>
      <c r="V291" s="5" t="s">
        <v>59</v>
      </c>
      <c r="W291" s="5" t="s">
        <v>156</v>
      </c>
      <c r="X291" s="5" t="s">
        <v>1490</v>
      </c>
      <c r="Y291" s="5" t="s">
        <v>1515</v>
      </c>
      <c r="Z291" s="9">
        <v>46102</v>
      </c>
      <c r="AA291" s="8">
        <v>6</v>
      </c>
      <c r="AB291" s="9">
        <f t="shared" si="13"/>
        <v>46286</v>
      </c>
      <c r="AC291" s="10">
        <v>16</v>
      </c>
      <c r="AD291" s="7">
        <f t="shared" si="14"/>
        <v>1055</v>
      </c>
      <c r="AE291" s="7">
        <f>IF(F291="Bullet",H291*AD291,MIN(MAX(I291,1),Assumptions!$B$6)*AD291)</f>
        <v>2110</v>
      </c>
      <c r="AF291" s="8">
        <f>IF(F291="Bullet",MAX(0,Assumptions!$B$4-AB291),MAX(0,Assumptions!$B$4-L291))</f>
        <v>12</v>
      </c>
      <c r="AG291" s="9"/>
      <c r="AH291" s="8" t="str">
        <f>IF(AG291="","",Assumptions!$B$4-AG291)</f>
        <v/>
      </c>
      <c r="AI291" s="5" t="s">
        <v>80</v>
      </c>
      <c r="AJ291" s="8"/>
      <c r="AK291" s="8">
        <v>0</v>
      </c>
      <c r="AL291" s="8">
        <v>682</v>
      </c>
      <c r="AM291" s="8">
        <v>1</v>
      </c>
      <c r="AN291" s="5" t="s">
        <v>63</v>
      </c>
      <c r="AO291" s="10">
        <v>80</v>
      </c>
      <c r="AP291" s="8">
        <v>64</v>
      </c>
      <c r="AQ291" s="9"/>
      <c r="AR291" s="5"/>
      <c r="AS291" s="5" t="s">
        <v>159</v>
      </c>
    </row>
    <row r="292" spans="1:45" x14ac:dyDescent="0.35">
      <c r="A292" s="5" t="s">
        <v>1516</v>
      </c>
      <c r="B292" s="5" t="s">
        <v>1517</v>
      </c>
      <c r="C292" s="6" t="s">
        <v>1518</v>
      </c>
      <c r="D292" s="7">
        <v>75600</v>
      </c>
      <c r="E292" s="5" t="s">
        <v>48</v>
      </c>
      <c r="F292" s="5" t="s">
        <v>68</v>
      </c>
      <c r="G292" s="8">
        <v>2</v>
      </c>
      <c r="H292" s="8">
        <f>IF(F292="Bullet",MIN(G292,Assumptions!$B$6),"")</f>
        <v>2</v>
      </c>
      <c r="I292" s="8"/>
      <c r="J292" s="8" t="str">
        <f>IF(F292="Monthly interest",MAX(0,Assumptions!$B$5-I292),"")</f>
        <v/>
      </c>
      <c r="K292" s="7">
        <f t="shared" si="12"/>
        <v>1512</v>
      </c>
      <c r="L292" s="9">
        <v>46214</v>
      </c>
      <c r="M292" s="5" t="s">
        <v>50</v>
      </c>
      <c r="N292" s="5" t="s">
        <v>51</v>
      </c>
      <c r="O292" s="5" t="s">
        <v>71</v>
      </c>
      <c r="P292" s="5" t="s">
        <v>53</v>
      </c>
      <c r="Q292" s="5" t="s">
        <v>73</v>
      </c>
      <c r="R292" s="5" t="s">
        <v>74</v>
      </c>
      <c r="S292" s="5" t="s">
        <v>75</v>
      </c>
      <c r="T292" s="5" t="s">
        <v>57</v>
      </c>
      <c r="U292" s="5" t="s">
        <v>104</v>
      </c>
      <c r="V292" s="5" t="s">
        <v>76</v>
      </c>
      <c r="W292" s="5" t="s">
        <v>547</v>
      </c>
      <c r="X292" s="5" t="s">
        <v>1519</v>
      </c>
      <c r="Y292" s="5" t="s">
        <v>1520</v>
      </c>
      <c r="Z292" s="9">
        <v>46214</v>
      </c>
      <c r="AA292" s="8">
        <v>6</v>
      </c>
      <c r="AB292" s="9">
        <f t="shared" si="13"/>
        <v>46398</v>
      </c>
      <c r="AC292" s="10">
        <v>12</v>
      </c>
      <c r="AD292" s="7">
        <f t="shared" si="14"/>
        <v>756</v>
      </c>
      <c r="AE292" s="7">
        <f>IF(F292="Bullet",H292*AD292,MIN(MAX(I292,1),Assumptions!$B$6)*AD292)</f>
        <v>1512</v>
      </c>
      <c r="AF292" s="8">
        <f>IF(F292="Bullet",MAX(0,Assumptions!$B$4-AB292),MAX(0,Assumptions!$B$4-L292))</f>
        <v>0</v>
      </c>
      <c r="AG292" s="9"/>
      <c r="AH292" s="8" t="str">
        <f>IF(AG292="","",Assumptions!$B$4-AG292)</f>
        <v/>
      </c>
      <c r="AI292" s="5" t="s">
        <v>80</v>
      </c>
      <c r="AJ292" s="8"/>
      <c r="AK292" s="8">
        <v>0</v>
      </c>
      <c r="AL292" s="8">
        <v>724</v>
      </c>
      <c r="AM292" s="8">
        <v>3</v>
      </c>
      <c r="AN292" s="5" t="s">
        <v>63</v>
      </c>
      <c r="AO292" s="10">
        <v>72.599999999999994</v>
      </c>
      <c r="AP292" s="8">
        <v>13</v>
      </c>
      <c r="AQ292" s="9"/>
      <c r="AR292" s="5"/>
      <c r="AS292" s="5" t="s">
        <v>159</v>
      </c>
    </row>
    <row r="293" spans="1:45" x14ac:dyDescent="0.35">
      <c r="A293" s="5" t="s">
        <v>1521</v>
      </c>
      <c r="B293" s="5" t="s">
        <v>1522</v>
      </c>
      <c r="C293" s="6" t="s">
        <v>1523</v>
      </c>
      <c r="D293" s="7">
        <v>81000</v>
      </c>
      <c r="E293" s="5" t="s">
        <v>48</v>
      </c>
      <c r="F293" s="5" t="s">
        <v>49</v>
      </c>
      <c r="G293" s="8"/>
      <c r="H293" s="8" t="str">
        <f>IF(F293="Bullet",MIN(G293,Assumptions!$B$6),"")</f>
        <v/>
      </c>
      <c r="I293" s="8">
        <v>2</v>
      </c>
      <c r="J293" s="8">
        <f>IF(F293="Monthly interest",MAX(0,Assumptions!$B$5-I293),"")</f>
        <v>1</v>
      </c>
      <c r="K293" s="7">
        <f t="shared" si="12"/>
        <v>2700</v>
      </c>
      <c r="L293" s="9">
        <v>46242</v>
      </c>
      <c r="M293" s="5" t="s">
        <v>116</v>
      </c>
      <c r="N293" s="5" t="s">
        <v>117</v>
      </c>
      <c r="O293" s="5" t="s">
        <v>118</v>
      </c>
      <c r="P293" s="5" t="s">
        <v>72</v>
      </c>
      <c r="Q293" s="5" t="s">
        <v>119</v>
      </c>
      <c r="R293" s="5" t="s">
        <v>120</v>
      </c>
      <c r="S293" s="5" t="s">
        <v>56</v>
      </c>
      <c r="T293" s="5" t="s">
        <v>63</v>
      </c>
      <c r="U293" s="5" t="s">
        <v>86</v>
      </c>
      <c r="V293" s="5" t="s">
        <v>59</v>
      </c>
      <c r="W293" s="5" t="s">
        <v>194</v>
      </c>
      <c r="X293" s="5" t="s">
        <v>526</v>
      </c>
      <c r="Y293" s="5" t="s">
        <v>1524</v>
      </c>
      <c r="Z293" s="9">
        <v>46061</v>
      </c>
      <c r="AA293" s="8">
        <v>12</v>
      </c>
      <c r="AB293" s="9">
        <f t="shared" si="13"/>
        <v>46426</v>
      </c>
      <c r="AC293" s="10">
        <v>20</v>
      </c>
      <c r="AD293" s="7">
        <f t="shared" si="14"/>
        <v>1350</v>
      </c>
      <c r="AE293" s="7">
        <f>IF(F293="Bullet",H293*AD293,MIN(MAX(I293,1),Assumptions!$B$6)*AD293)</f>
        <v>2700</v>
      </c>
      <c r="AF293" s="8">
        <f>IF(F293="Bullet",MAX(0,Assumptions!$B$4-AB293),MAX(0,Assumptions!$B$4-L293))</f>
        <v>56</v>
      </c>
      <c r="AG293" s="9">
        <v>46215</v>
      </c>
      <c r="AH293" s="8">
        <f>IF(AG293="","",Assumptions!$B$4-AG293)</f>
        <v>83</v>
      </c>
      <c r="AI293" s="5" t="s">
        <v>63</v>
      </c>
      <c r="AJ293" s="8">
        <v>2</v>
      </c>
      <c r="AK293" s="8">
        <v>2</v>
      </c>
      <c r="AL293" s="8">
        <v>668</v>
      </c>
      <c r="AM293" s="8">
        <v>3</v>
      </c>
      <c r="AN293" s="5" t="s">
        <v>57</v>
      </c>
      <c r="AO293" s="10">
        <v>67.900000000000006</v>
      </c>
      <c r="AP293" s="8">
        <v>73</v>
      </c>
      <c r="AQ293" s="9">
        <v>46291</v>
      </c>
      <c r="AR293" s="5" t="s">
        <v>53</v>
      </c>
      <c r="AS293" s="5" t="s">
        <v>274</v>
      </c>
    </row>
    <row r="294" spans="1:45" x14ac:dyDescent="0.35">
      <c r="A294" s="5" t="s">
        <v>1525</v>
      </c>
      <c r="B294" s="5" t="s">
        <v>1526</v>
      </c>
      <c r="C294" s="6" t="s">
        <v>1527</v>
      </c>
      <c r="D294" s="7">
        <v>1463300</v>
      </c>
      <c r="E294" s="5" t="s">
        <v>48</v>
      </c>
      <c r="F294" s="5" t="s">
        <v>68</v>
      </c>
      <c r="G294" s="8">
        <v>3</v>
      </c>
      <c r="H294" s="8">
        <f>IF(F294="Bullet",MIN(G294,Assumptions!$B$6),"")</f>
        <v>2</v>
      </c>
      <c r="I294" s="8"/>
      <c r="J294" s="8" t="str">
        <f>IF(F294="Monthly interest",MAX(0,Assumptions!$B$5-I294),"")</f>
        <v/>
      </c>
      <c r="K294" s="7">
        <f t="shared" si="12"/>
        <v>54873</v>
      </c>
      <c r="L294" s="9">
        <v>46200</v>
      </c>
      <c r="M294" s="5" t="s">
        <v>69</v>
      </c>
      <c r="N294" s="5" t="s">
        <v>70</v>
      </c>
      <c r="O294" s="5" t="s">
        <v>71</v>
      </c>
      <c r="P294" s="5" t="s">
        <v>72</v>
      </c>
      <c r="Q294" s="5" t="s">
        <v>73</v>
      </c>
      <c r="R294" s="5" t="s">
        <v>74</v>
      </c>
      <c r="S294" s="5" t="s">
        <v>85</v>
      </c>
      <c r="T294" s="5" t="s">
        <v>57</v>
      </c>
      <c r="U294" s="5" t="s">
        <v>86</v>
      </c>
      <c r="V294" s="5" t="s">
        <v>177</v>
      </c>
      <c r="W294" s="5" t="s">
        <v>178</v>
      </c>
      <c r="X294" s="5" t="s">
        <v>1528</v>
      </c>
      <c r="Y294" s="5" t="s">
        <v>1529</v>
      </c>
      <c r="Z294" s="9">
        <v>46200</v>
      </c>
      <c r="AA294" s="8">
        <v>6</v>
      </c>
      <c r="AB294" s="9">
        <f t="shared" si="13"/>
        <v>46383</v>
      </c>
      <c r="AC294" s="10">
        <v>15</v>
      </c>
      <c r="AD294" s="7">
        <f t="shared" si="14"/>
        <v>18291</v>
      </c>
      <c r="AE294" s="7">
        <f>IF(F294="Bullet",H294*AD294,MIN(MAX(I294,1),Assumptions!$B$6)*AD294)</f>
        <v>36582</v>
      </c>
      <c r="AF294" s="8">
        <f>IF(F294="Bullet",MAX(0,Assumptions!$B$4-AB294),MAX(0,Assumptions!$B$4-L294))</f>
        <v>0</v>
      </c>
      <c r="AG294" s="9"/>
      <c r="AH294" s="8" t="str">
        <f>IF(AG294="","",Assumptions!$B$4-AG294)</f>
        <v/>
      </c>
      <c r="AI294" s="5" t="s">
        <v>80</v>
      </c>
      <c r="AJ294" s="8"/>
      <c r="AK294" s="8">
        <v>1</v>
      </c>
      <c r="AL294" s="8">
        <v>664</v>
      </c>
      <c r="AM294" s="8">
        <v>1</v>
      </c>
      <c r="AN294" s="5" t="s">
        <v>63</v>
      </c>
      <c r="AO294" s="10">
        <v>70.099999999999994</v>
      </c>
      <c r="AP294" s="8">
        <v>33</v>
      </c>
      <c r="AQ294" s="9">
        <v>46292</v>
      </c>
      <c r="AR294" s="5" t="s">
        <v>70</v>
      </c>
      <c r="AS294" s="5" t="s">
        <v>91</v>
      </c>
    </row>
    <row r="295" spans="1:45" x14ac:dyDescent="0.35">
      <c r="A295" s="5" t="s">
        <v>1530</v>
      </c>
      <c r="B295" s="5" t="s">
        <v>1531</v>
      </c>
      <c r="C295" s="6" t="s">
        <v>1532</v>
      </c>
      <c r="D295" s="7">
        <v>42700</v>
      </c>
      <c r="E295" s="5" t="s">
        <v>48</v>
      </c>
      <c r="F295" s="5" t="s">
        <v>68</v>
      </c>
      <c r="G295" s="8">
        <v>5</v>
      </c>
      <c r="H295" s="8">
        <f>IF(F295="Bullet",MIN(G295,Assumptions!$B$6),"")</f>
        <v>2</v>
      </c>
      <c r="I295" s="8"/>
      <c r="J295" s="8" t="str">
        <f>IF(F295="Monthly interest",MAX(0,Assumptions!$B$5-I295),"")</f>
        <v/>
      </c>
      <c r="K295" s="7">
        <f t="shared" si="12"/>
        <v>2490</v>
      </c>
      <c r="L295" s="9">
        <v>46131</v>
      </c>
      <c r="M295" s="5" t="s">
        <v>116</v>
      </c>
      <c r="N295" s="5" t="s">
        <v>117</v>
      </c>
      <c r="O295" s="5" t="s">
        <v>461</v>
      </c>
      <c r="P295" s="5" t="s">
        <v>72</v>
      </c>
      <c r="Q295" s="5" t="s">
        <v>169</v>
      </c>
      <c r="R295" s="5" t="s">
        <v>170</v>
      </c>
      <c r="S295" s="5" t="s">
        <v>75</v>
      </c>
      <c r="T295" s="5" t="s">
        <v>57</v>
      </c>
      <c r="U295" s="5" t="s">
        <v>58</v>
      </c>
      <c r="V295" s="5" t="s">
        <v>76</v>
      </c>
      <c r="W295" s="5" t="s">
        <v>306</v>
      </c>
      <c r="X295" s="5" t="s">
        <v>371</v>
      </c>
      <c r="Y295" s="5" t="s">
        <v>1533</v>
      </c>
      <c r="Z295" s="9">
        <v>46131</v>
      </c>
      <c r="AA295" s="8">
        <v>6</v>
      </c>
      <c r="AB295" s="9">
        <f t="shared" si="13"/>
        <v>46314</v>
      </c>
      <c r="AC295" s="10">
        <v>14</v>
      </c>
      <c r="AD295" s="7">
        <f t="shared" si="14"/>
        <v>498</v>
      </c>
      <c r="AE295" s="7">
        <f>IF(F295="Bullet",H295*AD295,MIN(MAX(I295,1),Assumptions!$B$6)*AD295)</f>
        <v>996</v>
      </c>
      <c r="AF295" s="8">
        <f>IF(F295="Bullet",MAX(0,Assumptions!$B$4-AB295),MAX(0,Assumptions!$B$4-L295))</f>
        <v>0</v>
      </c>
      <c r="AG295" s="9"/>
      <c r="AH295" s="8" t="str">
        <f>IF(AG295="","",Assumptions!$B$4-AG295)</f>
        <v/>
      </c>
      <c r="AI295" s="5" t="s">
        <v>80</v>
      </c>
      <c r="AJ295" s="8"/>
      <c r="AK295" s="8">
        <v>0</v>
      </c>
      <c r="AL295" s="8">
        <v>638</v>
      </c>
      <c r="AM295" s="8">
        <v>2</v>
      </c>
      <c r="AN295" s="5" t="s">
        <v>57</v>
      </c>
      <c r="AO295" s="10">
        <v>71.099999999999994</v>
      </c>
      <c r="AP295" s="8">
        <v>58</v>
      </c>
      <c r="AQ295" s="9">
        <v>46280</v>
      </c>
      <c r="AR295" s="5" t="s">
        <v>72</v>
      </c>
      <c r="AS295" s="5" t="s">
        <v>81</v>
      </c>
    </row>
    <row r="296" spans="1:45" x14ac:dyDescent="0.35">
      <c r="A296" s="5" t="s">
        <v>1534</v>
      </c>
      <c r="B296" s="5" t="s">
        <v>1535</v>
      </c>
      <c r="C296" s="6" t="s">
        <v>1536</v>
      </c>
      <c r="D296" s="7">
        <v>30800</v>
      </c>
      <c r="E296" s="5" t="s">
        <v>48</v>
      </c>
      <c r="F296" s="5" t="s">
        <v>68</v>
      </c>
      <c r="G296" s="8">
        <v>2</v>
      </c>
      <c r="H296" s="8">
        <f>IF(F296="Bullet",MIN(G296,Assumptions!$B$6),"")</f>
        <v>2</v>
      </c>
      <c r="I296" s="8"/>
      <c r="J296" s="8" t="str">
        <f>IF(F296="Monthly interest",MAX(0,Assumptions!$B$5-I296),"")</f>
        <v/>
      </c>
      <c r="K296" s="7">
        <f t="shared" si="12"/>
        <v>770</v>
      </c>
      <c r="L296" s="9">
        <v>46215</v>
      </c>
      <c r="M296" s="5" t="s">
        <v>50</v>
      </c>
      <c r="N296" s="5" t="s">
        <v>53</v>
      </c>
      <c r="O296" s="5" t="s">
        <v>152</v>
      </c>
      <c r="P296" s="5" t="s">
        <v>153</v>
      </c>
      <c r="Q296" s="5" t="s">
        <v>154</v>
      </c>
      <c r="R296" s="5" t="s">
        <v>155</v>
      </c>
      <c r="S296" s="5" t="s">
        <v>185</v>
      </c>
      <c r="T296" s="5" t="s">
        <v>57</v>
      </c>
      <c r="U296" s="5" t="s">
        <v>86</v>
      </c>
      <c r="V296" s="5" t="s">
        <v>186</v>
      </c>
      <c r="W296" s="5" t="s">
        <v>329</v>
      </c>
      <c r="X296" s="5" t="s">
        <v>537</v>
      </c>
      <c r="Y296" s="5" t="s">
        <v>1537</v>
      </c>
      <c r="Z296" s="9">
        <v>46215</v>
      </c>
      <c r="AA296" s="8">
        <v>3</v>
      </c>
      <c r="AB296" s="9">
        <f t="shared" si="13"/>
        <v>46307</v>
      </c>
      <c r="AC296" s="10">
        <v>15</v>
      </c>
      <c r="AD296" s="7">
        <f t="shared" si="14"/>
        <v>385</v>
      </c>
      <c r="AE296" s="7">
        <f>IF(F296="Bullet",H296*AD296,MIN(MAX(I296,1),Assumptions!$B$6)*AD296)</f>
        <v>770</v>
      </c>
      <c r="AF296" s="8">
        <f>IF(F296="Bullet",MAX(0,Assumptions!$B$4-AB296),MAX(0,Assumptions!$B$4-L296))</f>
        <v>0</v>
      </c>
      <c r="AG296" s="9"/>
      <c r="AH296" s="8" t="str">
        <f>IF(AG296="","",Assumptions!$B$4-AG296)</f>
        <v/>
      </c>
      <c r="AI296" s="5" t="s">
        <v>80</v>
      </c>
      <c r="AJ296" s="8"/>
      <c r="AK296" s="8">
        <v>0</v>
      </c>
      <c r="AL296" s="8">
        <v>694</v>
      </c>
      <c r="AM296" s="8">
        <v>1</v>
      </c>
      <c r="AN296" s="5" t="s">
        <v>63</v>
      </c>
      <c r="AO296" s="10">
        <v>72.2</v>
      </c>
      <c r="AP296" s="8">
        <v>28</v>
      </c>
      <c r="AQ296" s="9">
        <v>46293</v>
      </c>
      <c r="AR296" s="5" t="s">
        <v>51</v>
      </c>
      <c r="AS296" s="5" t="s">
        <v>64</v>
      </c>
    </row>
    <row r="297" spans="1:45" x14ac:dyDescent="0.35">
      <c r="A297" s="5" t="s">
        <v>1538</v>
      </c>
      <c r="B297" s="5" t="s">
        <v>1539</v>
      </c>
      <c r="C297" s="6" t="s">
        <v>1540</v>
      </c>
      <c r="D297" s="7">
        <v>42000</v>
      </c>
      <c r="E297" s="5" t="s">
        <v>48</v>
      </c>
      <c r="F297" s="5" t="s">
        <v>68</v>
      </c>
      <c r="G297" s="8">
        <v>4</v>
      </c>
      <c r="H297" s="8">
        <f>IF(F297="Bullet",MIN(G297,Assumptions!$B$6),"")</f>
        <v>2</v>
      </c>
      <c r="I297" s="8"/>
      <c r="J297" s="8" t="str">
        <f>IF(F297="Monthly interest",MAX(0,Assumptions!$B$5-I297),"")</f>
        <v/>
      </c>
      <c r="K297" s="7">
        <f t="shared" si="12"/>
        <v>2100</v>
      </c>
      <c r="L297" s="9">
        <v>46165</v>
      </c>
      <c r="M297" s="5" t="s">
        <v>50</v>
      </c>
      <c r="N297" s="5" t="s">
        <v>53</v>
      </c>
      <c r="O297" s="5" t="s">
        <v>152</v>
      </c>
      <c r="P297" s="5" t="s">
        <v>153</v>
      </c>
      <c r="Q297" s="5" t="s">
        <v>154</v>
      </c>
      <c r="R297" s="5" t="s">
        <v>155</v>
      </c>
      <c r="S297" s="5" t="s">
        <v>185</v>
      </c>
      <c r="T297" s="5" t="s">
        <v>57</v>
      </c>
      <c r="U297" s="5" t="s">
        <v>86</v>
      </c>
      <c r="V297" s="5" t="s">
        <v>200</v>
      </c>
      <c r="W297" s="5" t="s">
        <v>201</v>
      </c>
      <c r="X297" s="5" t="s">
        <v>1541</v>
      </c>
      <c r="Y297" s="5" t="s">
        <v>1542</v>
      </c>
      <c r="Z297" s="9">
        <v>46165</v>
      </c>
      <c r="AA297" s="8">
        <v>6</v>
      </c>
      <c r="AB297" s="9">
        <f t="shared" si="13"/>
        <v>46349</v>
      </c>
      <c r="AC297" s="10">
        <v>15</v>
      </c>
      <c r="AD297" s="7">
        <f t="shared" si="14"/>
        <v>525</v>
      </c>
      <c r="AE297" s="7">
        <f>IF(F297="Bullet",H297*AD297,MIN(MAX(I297,1),Assumptions!$B$6)*AD297)</f>
        <v>1050</v>
      </c>
      <c r="AF297" s="8">
        <f>IF(F297="Bullet",MAX(0,Assumptions!$B$4-AB297),MAX(0,Assumptions!$B$4-L297))</f>
        <v>0</v>
      </c>
      <c r="AG297" s="9"/>
      <c r="AH297" s="8" t="str">
        <f>IF(AG297="","",Assumptions!$B$4-AG297)</f>
        <v/>
      </c>
      <c r="AI297" s="5" t="s">
        <v>80</v>
      </c>
      <c r="AJ297" s="8"/>
      <c r="AK297" s="8">
        <v>1</v>
      </c>
      <c r="AL297" s="8">
        <v>790</v>
      </c>
      <c r="AM297" s="8">
        <v>0</v>
      </c>
      <c r="AN297" s="5" t="s">
        <v>63</v>
      </c>
      <c r="AO297" s="10">
        <v>69.7</v>
      </c>
      <c r="AP297" s="8">
        <v>16</v>
      </c>
      <c r="AQ297" s="9">
        <v>46280</v>
      </c>
      <c r="AR297" s="5" t="s">
        <v>51</v>
      </c>
      <c r="AS297" s="5" t="s">
        <v>274</v>
      </c>
    </row>
    <row r="298" spans="1:45" x14ac:dyDescent="0.35">
      <c r="A298" s="5" t="s">
        <v>1543</v>
      </c>
      <c r="B298" s="5" t="s">
        <v>1544</v>
      </c>
      <c r="C298" s="6" t="s">
        <v>1545</v>
      </c>
      <c r="D298" s="7">
        <v>256500</v>
      </c>
      <c r="E298" s="5" t="s">
        <v>48</v>
      </c>
      <c r="F298" s="5" t="s">
        <v>49</v>
      </c>
      <c r="G298" s="8"/>
      <c r="H298" s="8" t="str">
        <f>IF(F298="Bullet",MIN(G298,Assumptions!$B$6),"")</f>
        <v/>
      </c>
      <c r="I298" s="8">
        <v>2</v>
      </c>
      <c r="J298" s="8">
        <f>IF(F298="Monthly interest",MAX(0,Assumptions!$B$5-I298),"")</f>
        <v>1</v>
      </c>
      <c r="K298" s="7">
        <f t="shared" si="12"/>
        <v>8550</v>
      </c>
      <c r="L298" s="9">
        <v>46255</v>
      </c>
      <c r="M298" s="5" t="s">
        <v>69</v>
      </c>
      <c r="N298" s="5" t="s">
        <v>70</v>
      </c>
      <c r="O298" s="5" t="s">
        <v>71</v>
      </c>
      <c r="P298" s="5" t="s">
        <v>72</v>
      </c>
      <c r="Q298" s="5" t="s">
        <v>73</v>
      </c>
      <c r="R298" s="5" t="s">
        <v>74</v>
      </c>
      <c r="S298" s="5" t="s">
        <v>75</v>
      </c>
      <c r="T298" s="5" t="s">
        <v>57</v>
      </c>
      <c r="U298" s="5" t="s">
        <v>58</v>
      </c>
      <c r="V298" s="5" t="s">
        <v>76</v>
      </c>
      <c r="W298" s="5" t="s">
        <v>146</v>
      </c>
      <c r="X298" s="5" t="s">
        <v>1546</v>
      </c>
      <c r="Y298" s="5" t="s">
        <v>1547</v>
      </c>
      <c r="Z298" s="9">
        <v>46194</v>
      </c>
      <c r="AA298" s="8">
        <v>12</v>
      </c>
      <c r="AB298" s="9">
        <f t="shared" si="13"/>
        <v>46559</v>
      </c>
      <c r="AC298" s="10">
        <v>20</v>
      </c>
      <c r="AD298" s="7">
        <f t="shared" si="14"/>
        <v>4275</v>
      </c>
      <c r="AE298" s="7">
        <f>IF(F298="Bullet",H298*AD298,MIN(MAX(I298,1),Assumptions!$B$6)*AD298)</f>
        <v>8550</v>
      </c>
      <c r="AF298" s="8">
        <f>IF(F298="Bullet",MAX(0,Assumptions!$B$4-AB298),MAX(0,Assumptions!$B$4-L298))</f>
        <v>43</v>
      </c>
      <c r="AG298" s="9">
        <v>46224</v>
      </c>
      <c r="AH298" s="8">
        <f>IF(AG298="","",Assumptions!$B$4-AG298)</f>
        <v>74</v>
      </c>
      <c r="AI298" s="5" t="s">
        <v>63</v>
      </c>
      <c r="AJ298" s="8">
        <v>2</v>
      </c>
      <c r="AK298" s="8">
        <v>1</v>
      </c>
      <c r="AL298" s="8">
        <v>844</v>
      </c>
      <c r="AM298" s="8">
        <v>1</v>
      </c>
      <c r="AN298" s="5" t="s">
        <v>63</v>
      </c>
      <c r="AO298" s="10">
        <v>62.5</v>
      </c>
      <c r="AP298" s="8">
        <v>31</v>
      </c>
      <c r="AQ298" s="9">
        <v>46285</v>
      </c>
      <c r="AR298" s="5" t="s">
        <v>70</v>
      </c>
      <c r="AS298" s="5" t="s">
        <v>64</v>
      </c>
    </row>
    <row r="299" spans="1:45" x14ac:dyDescent="0.35">
      <c r="A299" s="5" t="s">
        <v>1548</v>
      </c>
      <c r="B299" s="5" t="s">
        <v>1549</v>
      </c>
      <c r="C299" s="6" t="s">
        <v>1550</v>
      </c>
      <c r="D299" s="7">
        <v>68000</v>
      </c>
      <c r="E299" s="5" t="s">
        <v>48</v>
      </c>
      <c r="F299" s="5" t="s">
        <v>68</v>
      </c>
      <c r="G299" s="8">
        <v>1</v>
      </c>
      <c r="H299" s="8">
        <f>IF(F299="Bullet",MIN(G299,Assumptions!$B$6),"")</f>
        <v>1</v>
      </c>
      <c r="I299" s="8"/>
      <c r="J299" s="8" t="str">
        <f>IF(F299="Monthly interest",MAX(0,Assumptions!$B$5-I299),"")</f>
        <v/>
      </c>
      <c r="K299" s="7">
        <f t="shared" si="12"/>
        <v>1020</v>
      </c>
      <c r="L299" s="9">
        <v>46265</v>
      </c>
      <c r="M299" s="5" t="s">
        <v>50</v>
      </c>
      <c r="N299" s="5" t="s">
        <v>51</v>
      </c>
      <c r="O299" s="5" t="s">
        <v>71</v>
      </c>
      <c r="P299" s="5" t="s">
        <v>53</v>
      </c>
      <c r="Q299" s="5" t="s">
        <v>73</v>
      </c>
      <c r="R299" s="5" t="s">
        <v>74</v>
      </c>
      <c r="S299" s="5" t="s">
        <v>85</v>
      </c>
      <c r="T299" s="5" t="s">
        <v>57</v>
      </c>
      <c r="U299" s="5" t="s">
        <v>58</v>
      </c>
      <c r="V299" s="5" t="s">
        <v>133</v>
      </c>
      <c r="W299" s="5" t="s">
        <v>134</v>
      </c>
      <c r="X299" s="5" t="s">
        <v>1551</v>
      </c>
      <c r="Y299" s="5" t="s">
        <v>1552</v>
      </c>
      <c r="Z299" s="9">
        <v>46265</v>
      </c>
      <c r="AA299" s="8">
        <v>12</v>
      </c>
      <c r="AB299" s="9">
        <f t="shared" si="13"/>
        <v>46630</v>
      </c>
      <c r="AC299" s="10">
        <v>18</v>
      </c>
      <c r="AD299" s="7">
        <f t="shared" si="14"/>
        <v>1020</v>
      </c>
      <c r="AE299" s="7">
        <f>IF(F299="Bullet",H299*AD299,MIN(MAX(I299,1),Assumptions!$B$6)*AD299)</f>
        <v>1020</v>
      </c>
      <c r="AF299" s="8">
        <f>IF(F299="Bullet",MAX(0,Assumptions!$B$4-AB299),MAX(0,Assumptions!$B$4-L299))</f>
        <v>0</v>
      </c>
      <c r="AG299" s="9"/>
      <c r="AH299" s="8" t="str">
        <f>IF(AG299="","",Assumptions!$B$4-AG299)</f>
        <v/>
      </c>
      <c r="AI299" s="5" t="s">
        <v>80</v>
      </c>
      <c r="AJ299" s="8"/>
      <c r="AK299" s="8">
        <v>1</v>
      </c>
      <c r="AL299" s="8">
        <v>819</v>
      </c>
      <c r="AM299" s="8">
        <v>2</v>
      </c>
      <c r="AN299" s="5" t="s">
        <v>63</v>
      </c>
      <c r="AO299" s="10">
        <v>73.2</v>
      </c>
      <c r="AP299" s="8">
        <v>2</v>
      </c>
      <c r="AQ299" s="9">
        <v>46295</v>
      </c>
      <c r="AR299" s="5" t="s">
        <v>51</v>
      </c>
      <c r="AS299" s="5" t="s">
        <v>64</v>
      </c>
    </row>
    <row r="300" spans="1:45" x14ac:dyDescent="0.35">
      <c r="A300" s="5" t="s">
        <v>1553</v>
      </c>
      <c r="B300" s="5" t="s">
        <v>1554</v>
      </c>
      <c r="C300" s="6" t="s">
        <v>1555</v>
      </c>
      <c r="D300" s="7">
        <v>93900</v>
      </c>
      <c r="E300" s="5" t="s">
        <v>48</v>
      </c>
      <c r="F300" s="5" t="s">
        <v>49</v>
      </c>
      <c r="G300" s="8"/>
      <c r="H300" s="8" t="str">
        <f>IF(F300="Bullet",MIN(G300,Assumptions!$B$6),"")</f>
        <v/>
      </c>
      <c r="I300" s="8">
        <v>1</v>
      </c>
      <c r="J300" s="8">
        <f>IF(F300="Monthly interest",MAX(0,Assumptions!$B$5-I300),"")</f>
        <v>2</v>
      </c>
      <c r="K300" s="7">
        <f t="shared" si="12"/>
        <v>1252</v>
      </c>
      <c r="L300" s="9">
        <v>46290</v>
      </c>
      <c r="M300" s="5" t="s">
        <v>50</v>
      </c>
      <c r="N300" s="5" t="s">
        <v>51</v>
      </c>
      <c r="O300" s="5" t="s">
        <v>52</v>
      </c>
      <c r="P300" s="5" t="s">
        <v>53</v>
      </c>
      <c r="Q300" s="5" t="s">
        <v>54</v>
      </c>
      <c r="R300" s="5" t="s">
        <v>55</v>
      </c>
      <c r="S300" s="5" t="s">
        <v>214</v>
      </c>
      <c r="T300" s="5" t="s">
        <v>57</v>
      </c>
      <c r="U300" s="5" t="s">
        <v>104</v>
      </c>
      <c r="V300" s="5" t="s">
        <v>215</v>
      </c>
      <c r="W300" s="5" t="s">
        <v>278</v>
      </c>
      <c r="X300" s="5" t="s">
        <v>1072</v>
      </c>
      <c r="Y300" s="5" t="s">
        <v>1556</v>
      </c>
      <c r="Z300" s="9">
        <v>46106</v>
      </c>
      <c r="AA300" s="8">
        <v>12</v>
      </c>
      <c r="AB300" s="9">
        <f t="shared" si="13"/>
        <v>46471</v>
      </c>
      <c r="AC300" s="10">
        <v>16</v>
      </c>
      <c r="AD300" s="7">
        <f t="shared" si="14"/>
        <v>1252</v>
      </c>
      <c r="AE300" s="7">
        <f>IF(F300="Bullet",H300*AD300,MIN(MAX(I300,1),Assumptions!$B$6)*AD300)</f>
        <v>1252</v>
      </c>
      <c r="AF300" s="8">
        <f>IF(F300="Bullet",MAX(0,Assumptions!$B$4-AB300),MAX(0,Assumptions!$B$4-L300))</f>
        <v>8</v>
      </c>
      <c r="AG300" s="9">
        <v>46260</v>
      </c>
      <c r="AH300" s="8">
        <f>IF(AG300="","",Assumptions!$B$4-AG300)</f>
        <v>38</v>
      </c>
      <c r="AI300" s="5" t="s">
        <v>63</v>
      </c>
      <c r="AJ300" s="8">
        <v>2</v>
      </c>
      <c r="AK300" s="8">
        <v>0</v>
      </c>
      <c r="AL300" s="8">
        <v>778</v>
      </c>
      <c r="AM300" s="8">
        <v>4</v>
      </c>
      <c r="AN300" s="5" t="s">
        <v>63</v>
      </c>
      <c r="AO300" s="10">
        <v>77.2</v>
      </c>
      <c r="AP300" s="8">
        <v>25</v>
      </c>
      <c r="AQ300" s="9">
        <v>46284</v>
      </c>
      <c r="AR300" s="5" t="s">
        <v>70</v>
      </c>
      <c r="AS300" s="5" t="s">
        <v>64</v>
      </c>
    </row>
    <row r="301" spans="1:45" x14ac:dyDescent="0.35">
      <c r="A301" s="5" t="s">
        <v>1557</v>
      </c>
      <c r="B301" s="5" t="s">
        <v>1558</v>
      </c>
      <c r="C301" s="6" t="s">
        <v>1559</v>
      </c>
      <c r="D301" s="7">
        <v>118000</v>
      </c>
      <c r="E301" s="5" t="s">
        <v>48</v>
      </c>
      <c r="F301" s="5" t="s">
        <v>49</v>
      </c>
      <c r="G301" s="8"/>
      <c r="H301" s="8" t="str">
        <f>IF(F301="Bullet",MIN(G301,Assumptions!$B$6),"")</f>
        <v/>
      </c>
      <c r="I301" s="8">
        <v>1</v>
      </c>
      <c r="J301" s="8">
        <f>IF(F301="Monthly interest",MAX(0,Assumptions!$B$5-I301),"")</f>
        <v>2</v>
      </c>
      <c r="K301" s="7">
        <f t="shared" si="12"/>
        <v>2163</v>
      </c>
      <c r="L301" s="9">
        <v>46270</v>
      </c>
      <c r="M301" s="5" t="s">
        <v>69</v>
      </c>
      <c r="N301" s="5" t="s">
        <v>53</v>
      </c>
      <c r="O301" s="5" t="s">
        <v>103</v>
      </c>
      <c r="P301" s="5" t="s">
        <v>70</v>
      </c>
      <c r="Q301" s="5" t="s">
        <v>54</v>
      </c>
      <c r="R301" s="5" t="s">
        <v>55</v>
      </c>
      <c r="S301" s="5" t="s">
        <v>85</v>
      </c>
      <c r="T301" s="5" t="s">
        <v>63</v>
      </c>
      <c r="U301" s="5" t="s">
        <v>58</v>
      </c>
      <c r="V301" s="5" t="s">
        <v>87</v>
      </c>
      <c r="W301" s="5" t="s">
        <v>254</v>
      </c>
      <c r="X301" s="5" t="s">
        <v>1560</v>
      </c>
      <c r="Y301" s="5" t="s">
        <v>1561</v>
      </c>
      <c r="Z301" s="9">
        <v>46208</v>
      </c>
      <c r="AA301" s="8">
        <v>12</v>
      </c>
      <c r="AB301" s="9">
        <f t="shared" si="13"/>
        <v>46573</v>
      </c>
      <c r="AC301" s="10">
        <v>22</v>
      </c>
      <c r="AD301" s="7">
        <f t="shared" si="14"/>
        <v>2163</v>
      </c>
      <c r="AE301" s="7">
        <f>IF(F301="Bullet",H301*AD301,MIN(MAX(I301,1),Assumptions!$B$6)*AD301)</f>
        <v>2163</v>
      </c>
      <c r="AF301" s="8">
        <f>IF(F301="Bullet",MAX(0,Assumptions!$B$4-AB301),MAX(0,Assumptions!$B$4-L301))</f>
        <v>28</v>
      </c>
      <c r="AG301" s="9">
        <v>46243</v>
      </c>
      <c r="AH301" s="8">
        <f>IF(AG301="","",Assumptions!$B$4-AG301)</f>
        <v>55</v>
      </c>
      <c r="AI301" s="5" t="s">
        <v>57</v>
      </c>
      <c r="AJ301" s="8">
        <v>1</v>
      </c>
      <c r="AK301" s="8">
        <v>0</v>
      </c>
      <c r="AL301" s="8">
        <v>631</v>
      </c>
      <c r="AM301" s="8">
        <v>1</v>
      </c>
      <c r="AN301" s="5" t="s">
        <v>63</v>
      </c>
      <c r="AO301" s="10">
        <v>75.900000000000006</v>
      </c>
      <c r="AP301" s="8">
        <v>39</v>
      </c>
      <c r="AQ301" s="9">
        <v>46278</v>
      </c>
      <c r="AR301" s="5" t="s">
        <v>51</v>
      </c>
      <c r="AS301" s="5" t="s">
        <v>81</v>
      </c>
    </row>
    <row r="302" spans="1:45" x14ac:dyDescent="0.35">
      <c r="A302" s="5" t="s">
        <v>1562</v>
      </c>
      <c r="B302" s="5" t="s">
        <v>1563</v>
      </c>
      <c r="C302" s="6" t="s">
        <v>1564</v>
      </c>
      <c r="D302" s="7">
        <v>45900</v>
      </c>
      <c r="E302" s="5" t="s">
        <v>48</v>
      </c>
      <c r="F302" s="5" t="s">
        <v>49</v>
      </c>
      <c r="G302" s="8"/>
      <c r="H302" s="8" t="str">
        <f>IF(F302="Bullet",MIN(G302,Assumptions!$B$6),"")</f>
        <v/>
      </c>
      <c r="I302" s="8">
        <v>1</v>
      </c>
      <c r="J302" s="8">
        <f>IF(F302="Monthly interest",MAX(0,Assumptions!$B$5-I302),"")</f>
        <v>2</v>
      </c>
      <c r="K302" s="7">
        <f t="shared" si="12"/>
        <v>574</v>
      </c>
      <c r="L302" s="9">
        <v>46291</v>
      </c>
      <c r="M302" s="5" t="s">
        <v>69</v>
      </c>
      <c r="N302" s="5" t="s">
        <v>53</v>
      </c>
      <c r="O302" s="5" t="s">
        <v>95</v>
      </c>
      <c r="P302" s="5" t="s">
        <v>153</v>
      </c>
      <c r="Q302" s="5" t="s">
        <v>154</v>
      </c>
      <c r="R302" s="5" t="s">
        <v>155</v>
      </c>
      <c r="S302" s="5" t="s">
        <v>253</v>
      </c>
      <c r="T302" s="5" t="s">
        <v>63</v>
      </c>
      <c r="U302" s="5" t="s">
        <v>104</v>
      </c>
      <c r="V302" s="5" t="s">
        <v>76</v>
      </c>
      <c r="W302" s="5" t="s">
        <v>77</v>
      </c>
      <c r="X302" s="5" t="s">
        <v>1565</v>
      </c>
      <c r="Y302" s="5" t="s">
        <v>1566</v>
      </c>
      <c r="Z302" s="9">
        <v>46079</v>
      </c>
      <c r="AA302" s="8">
        <v>18</v>
      </c>
      <c r="AB302" s="9">
        <f t="shared" si="13"/>
        <v>46625</v>
      </c>
      <c r="AC302" s="10">
        <v>15</v>
      </c>
      <c r="AD302" s="7">
        <f t="shared" si="14"/>
        <v>574</v>
      </c>
      <c r="AE302" s="7">
        <f>IF(F302="Bullet",H302*AD302,MIN(MAX(I302,1),Assumptions!$B$6)*AD302)</f>
        <v>574</v>
      </c>
      <c r="AF302" s="8">
        <f>IF(F302="Bullet",MAX(0,Assumptions!$B$4-AB302),MAX(0,Assumptions!$B$4-L302))</f>
        <v>7</v>
      </c>
      <c r="AG302" s="9">
        <v>46263</v>
      </c>
      <c r="AH302" s="8">
        <f>IF(AG302="","",Assumptions!$B$4-AG302)</f>
        <v>35</v>
      </c>
      <c r="AI302" s="5" t="s">
        <v>63</v>
      </c>
      <c r="AJ302" s="8">
        <v>1</v>
      </c>
      <c r="AK302" s="8">
        <v>0</v>
      </c>
      <c r="AL302" s="8">
        <v>617</v>
      </c>
      <c r="AM302" s="8">
        <v>3</v>
      </c>
      <c r="AN302" s="5" t="s">
        <v>63</v>
      </c>
      <c r="AO302" s="10">
        <v>72.3</v>
      </c>
      <c r="AP302" s="8">
        <v>41</v>
      </c>
      <c r="AQ302" s="9"/>
      <c r="AR302" s="5"/>
      <c r="AS302" s="5" t="s">
        <v>159</v>
      </c>
    </row>
    <row r="303" spans="1:45" x14ac:dyDescent="0.35">
      <c r="A303" s="5" t="s">
        <v>1567</v>
      </c>
      <c r="B303" s="5" t="s">
        <v>1568</v>
      </c>
      <c r="C303" s="6" t="s">
        <v>1569</v>
      </c>
      <c r="D303" s="7">
        <v>40700</v>
      </c>
      <c r="E303" s="5" t="s">
        <v>48</v>
      </c>
      <c r="F303" s="5" t="s">
        <v>68</v>
      </c>
      <c r="G303" s="8">
        <v>3</v>
      </c>
      <c r="H303" s="8">
        <f>IF(F303="Bullet",MIN(G303,Assumptions!$B$6),"")</f>
        <v>2</v>
      </c>
      <c r="I303" s="8"/>
      <c r="J303" s="8" t="str">
        <f>IF(F303="Monthly interest",MAX(0,Assumptions!$B$5-I303),"")</f>
        <v/>
      </c>
      <c r="K303" s="7">
        <f t="shared" si="12"/>
        <v>1323</v>
      </c>
      <c r="L303" s="9">
        <v>46188</v>
      </c>
      <c r="M303" s="5" t="s">
        <v>50</v>
      </c>
      <c r="N303" s="5" t="s">
        <v>53</v>
      </c>
      <c r="O303" s="5" t="s">
        <v>152</v>
      </c>
      <c r="P303" s="5" t="s">
        <v>153</v>
      </c>
      <c r="Q303" s="5" t="s">
        <v>154</v>
      </c>
      <c r="R303" s="5" t="s">
        <v>155</v>
      </c>
      <c r="S303" s="5" t="s">
        <v>253</v>
      </c>
      <c r="T303" s="5" t="s">
        <v>57</v>
      </c>
      <c r="U303" s="5" t="s">
        <v>86</v>
      </c>
      <c r="V303" s="5" t="s">
        <v>186</v>
      </c>
      <c r="W303" s="5" t="s">
        <v>329</v>
      </c>
      <c r="X303" s="5" t="s">
        <v>537</v>
      </c>
      <c r="Y303" s="5" t="s">
        <v>1570</v>
      </c>
      <c r="Z303" s="9">
        <v>46188</v>
      </c>
      <c r="AA303" s="8">
        <v>12</v>
      </c>
      <c r="AB303" s="9">
        <f t="shared" si="13"/>
        <v>46553</v>
      </c>
      <c r="AC303" s="10">
        <v>13</v>
      </c>
      <c r="AD303" s="7">
        <f t="shared" si="14"/>
        <v>441</v>
      </c>
      <c r="AE303" s="7">
        <f>IF(F303="Bullet",H303*AD303,MIN(MAX(I303,1),Assumptions!$B$6)*AD303)</f>
        <v>882</v>
      </c>
      <c r="AF303" s="8">
        <f>IF(F303="Bullet",MAX(0,Assumptions!$B$4-AB303),MAX(0,Assumptions!$B$4-L303))</f>
        <v>0</v>
      </c>
      <c r="AG303" s="9"/>
      <c r="AH303" s="8" t="str">
        <f>IF(AG303="","",Assumptions!$B$4-AG303)</f>
        <v/>
      </c>
      <c r="AI303" s="5" t="s">
        <v>80</v>
      </c>
      <c r="AJ303" s="8"/>
      <c r="AK303" s="8">
        <v>0</v>
      </c>
      <c r="AL303" s="8">
        <v>759</v>
      </c>
      <c r="AM303" s="8">
        <v>0</v>
      </c>
      <c r="AN303" s="5" t="s">
        <v>63</v>
      </c>
      <c r="AO303" s="10">
        <v>51.7</v>
      </c>
      <c r="AP303" s="8">
        <v>16</v>
      </c>
      <c r="AQ303" s="9"/>
      <c r="AR303" s="5"/>
      <c r="AS303" s="5" t="s">
        <v>159</v>
      </c>
    </row>
    <row r="304" spans="1:45" x14ac:dyDescent="0.35">
      <c r="A304" s="5" t="s">
        <v>1571</v>
      </c>
      <c r="B304" s="5" t="s">
        <v>1572</v>
      </c>
      <c r="C304" s="6" t="s">
        <v>1573</v>
      </c>
      <c r="D304" s="7">
        <v>108100</v>
      </c>
      <c r="E304" s="5" t="s">
        <v>48</v>
      </c>
      <c r="F304" s="5" t="s">
        <v>68</v>
      </c>
      <c r="G304" s="8">
        <v>4</v>
      </c>
      <c r="H304" s="8">
        <f>IF(F304="Bullet",MIN(G304,Assumptions!$B$6),"")</f>
        <v>2</v>
      </c>
      <c r="I304" s="8"/>
      <c r="J304" s="8" t="str">
        <f>IF(F304="Monthly interest",MAX(0,Assumptions!$B$5-I304),"")</f>
        <v/>
      </c>
      <c r="K304" s="7">
        <f t="shared" si="12"/>
        <v>5044</v>
      </c>
      <c r="L304" s="9">
        <v>46159</v>
      </c>
      <c r="M304" s="5" t="s">
        <v>69</v>
      </c>
      <c r="N304" s="5" t="s">
        <v>70</v>
      </c>
      <c r="O304" s="5" t="s">
        <v>295</v>
      </c>
      <c r="P304" s="5" t="s">
        <v>72</v>
      </c>
      <c r="Q304" s="5" t="s">
        <v>73</v>
      </c>
      <c r="R304" s="5" t="s">
        <v>74</v>
      </c>
      <c r="S304" s="5" t="s">
        <v>214</v>
      </c>
      <c r="T304" s="5" t="s">
        <v>57</v>
      </c>
      <c r="U304" s="5" t="s">
        <v>58</v>
      </c>
      <c r="V304" s="5" t="s">
        <v>215</v>
      </c>
      <c r="W304" s="5" t="s">
        <v>1057</v>
      </c>
      <c r="X304" s="5" t="s">
        <v>1292</v>
      </c>
      <c r="Y304" s="5" t="s">
        <v>1574</v>
      </c>
      <c r="Z304" s="9">
        <v>46159</v>
      </c>
      <c r="AA304" s="8">
        <v>6</v>
      </c>
      <c r="AB304" s="9">
        <f t="shared" si="13"/>
        <v>46343</v>
      </c>
      <c r="AC304" s="10">
        <v>14</v>
      </c>
      <c r="AD304" s="7">
        <f t="shared" si="14"/>
        <v>1261</v>
      </c>
      <c r="AE304" s="7">
        <f>IF(F304="Bullet",H304*AD304,MIN(MAX(I304,1),Assumptions!$B$6)*AD304)</f>
        <v>2522</v>
      </c>
      <c r="AF304" s="8">
        <f>IF(F304="Bullet",MAX(0,Assumptions!$B$4-AB304),MAX(0,Assumptions!$B$4-L304))</f>
        <v>0</v>
      </c>
      <c r="AG304" s="9"/>
      <c r="AH304" s="8" t="str">
        <f>IF(AG304="","",Assumptions!$B$4-AG304)</f>
        <v/>
      </c>
      <c r="AI304" s="5" t="s">
        <v>80</v>
      </c>
      <c r="AJ304" s="8"/>
      <c r="AK304" s="8">
        <v>2</v>
      </c>
      <c r="AL304" s="8">
        <v>670</v>
      </c>
      <c r="AM304" s="8">
        <v>0</v>
      </c>
      <c r="AN304" s="5" t="s">
        <v>63</v>
      </c>
      <c r="AO304" s="10">
        <v>64.2</v>
      </c>
      <c r="AP304" s="8">
        <v>37</v>
      </c>
      <c r="AQ304" s="9">
        <v>46277</v>
      </c>
      <c r="AR304" s="5" t="s">
        <v>53</v>
      </c>
      <c r="AS304" s="5" t="s">
        <v>91</v>
      </c>
    </row>
    <row r="305" spans="1:45" x14ac:dyDescent="0.35">
      <c r="A305" s="5" t="s">
        <v>1575</v>
      </c>
      <c r="B305" s="5" t="s">
        <v>1576</v>
      </c>
      <c r="C305" s="6" t="s">
        <v>1577</v>
      </c>
      <c r="D305" s="7">
        <v>548100</v>
      </c>
      <c r="E305" s="5" t="s">
        <v>48</v>
      </c>
      <c r="F305" s="5" t="s">
        <v>49</v>
      </c>
      <c r="G305" s="8"/>
      <c r="H305" s="8" t="str">
        <f>IF(F305="Bullet",MIN(G305,Assumptions!$B$6),"")</f>
        <v/>
      </c>
      <c r="I305" s="8">
        <v>1</v>
      </c>
      <c r="J305" s="8">
        <f>IF(F305="Monthly interest",MAX(0,Assumptions!$B$5-I305),"")</f>
        <v>2</v>
      </c>
      <c r="K305" s="7">
        <f t="shared" si="12"/>
        <v>9135</v>
      </c>
      <c r="L305" s="9">
        <v>46280</v>
      </c>
      <c r="M305" s="5" t="s">
        <v>50</v>
      </c>
      <c r="N305" s="5" t="s">
        <v>51</v>
      </c>
      <c r="O305" s="5" t="s">
        <v>52</v>
      </c>
      <c r="P305" s="5" t="s">
        <v>53</v>
      </c>
      <c r="Q305" s="5" t="s">
        <v>54</v>
      </c>
      <c r="R305" s="5" t="s">
        <v>55</v>
      </c>
      <c r="S305" s="5" t="s">
        <v>214</v>
      </c>
      <c r="T305" s="5" t="s">
        <v>57</v>
      </c>
      <c r="U305" s="5" t="s">
        <v>58</v>
      </c>
      <c r="V305" s="5" t="s">
        <v>215</v>
      </c>
      <c r="W305" s="5" t="s">
        <v>216</v>
      </c>
      <c r="X305" s="5" t="s">
        <v>1578</v>
      </c>
      <c r="Y305" s="5" t="s">
        <v>1579</v>
      </c>
      <c r="Z305" s="9">
        <v>46096</v>
      </c>
      <c r="AA305" s="8">
        <v>12</v>
      </c>
      <c r="AB305" s="9">
        <f t="shared" si="13"/>
        <v>46461</v>
      </c>
      <c r="AC305" s="10">
        <v>20</v>
      </c>
      <c r="AD305" s="7">
        <f t="shared" si="14"/>
        <v>9135</v>
      </c>
      <c r="AE305" s="7">
        <f>IF(F305="Bullet",H305*AD305,MIN(MAX(I305,1),Assumptions!$B$6)*AD305)</f>
        <v>9135</v>
      </c>
      <c r="AF305" s="8">
        <f>IF(F305="Bullet",MAX(0,Assumptions!$B$4-AB305),MAX(0,Assumptions!$B$4-L305))</f>
        <v>18</v>
      </c>
      <c r="AG305" s="9">
        <v>46254</v>
      </c>
      <c r="AH305" s="8">
        <f>IF(AG305="","",Assumptions!$B$4-AG305)</f>
        <v>44</v>
      </c>
      <c r="AI305" s="5" t="s">
        <v>57</v>
      </c>
      <c r="AJ305" s="8">
        <v>1</v>
      </c>
      <c r="AK305" s="8">
        <v>0</v>
      </c>
      <c r="AL305" s="8">
        <v>691</v>
      </c>
      <c r="AM305" s="8">
        <v>2</v>
      </c>
      <c r="AN305" s="5" t="s">
        <v>63</v>
      </c>
      <c r="AO305" s="10">
        <v>40</v>
      </c>
      <c r="AP305" s="8">
        <v>19</v>
      </c>
      <c r="AQ305" s="9">
        <v>46291</v>
      </c>
      <c r="AR305" s="5" t="s">
        <v>51</v>
      </c>
      <c r="AS305" s="5" t="s">
        <v>64</v>
      </c>
    </row>
    <row r="306" spans="1:45" x14ac:dyDescent="0.35">
      <c r="A306" s="5" t="s">
        <v>1580</v>
      </c>
      <c r="B306" s="5" t="s">
        <v>1581</v>
      </c>
      <c r="C306" s="6" t="s">
        <v>1582</v>
      </c>
      <c r="D306" s="7">
        <v>59100</v>
      </c>
      <c r="E306" s="5" t="s">
        <v>48</v>
      </c>
      <c r="F306" s="5" t="s">
        <v>68</v>
      </c>
      <c r="G306" s="8">
        <v>5</v>
      </c>
      <c r="H306" s="8">
        <f>IF(F306="Bullet",MIN(G306,Assumptions!$B$6),"")</f>
        <v>2</v>
      </c>
      <c r="I306" s="8"/>
      <c r="J306" s="8" t="str">
        <f>IF(F306="Monthly interest",MAX(0,Assumptions!$B$5-I306),"")</f>
        <v/>
      </c>
      <c r="K306" s="7">
        <f t="shared" si="12"/>
        <v>3695</v>
      </c>
      <c r="L306" s="9">
        <v>46121</v>
      </c>
      <c r="M306" s="5" t="s">
        <v>116</v>
      </c>
      <c r="N306" s="5" t="s">
        <v>117</v>
      </c>
      <c r="O306" s="5" t="s">
        <v>461</v>
      </c>
      <c r="P306" s="5" t="s">
        <v>72</v>
      </c>
      <c r="Q306" s="5" t="s">
        <v>169</v>
      </c>
      <c r="R306" s="5" t="s">
        <v>170</v>
      </c>
      <c r="S306" s="5" t="s">
        <v>56</v>
      </c>
      <c r="T306" s="5" t="s">
        <v>57</v>
      </c>
      <c r="U306" s="5" t="s">
        <v>104</v>
      </c>
      <c r="V306" s="5" t="s">
        <v>59</v>
      </c>
      <c r="W306" s="5" t="s">
        <v>126</v>
      </c>
      <c r="X306" s="5" t="s">
        <v>1583</v>
      </c>
      <c r="Y306" s="5" t="s">
        <v>1584</v>
      </c>
      <c r="Z306" s="9">
        <v>46121</v>
      </c>
      <c r="AA306" s="8">
        <v>6</v>
      </c>
      <c r="AB306" s="9">
        <f t="shared" si="13"/>
        <v>46304</v>
      </c>
      <c r="AC306" s="10">
        <v>15</v>
      </c>
      <c r="AD306" s="7">
        <f t="shared" si="14"/>
        <v>739</v>
      </c>
      <c r="AE306" s="7">
        <f>IF(F306="Bullet",H306*AD306,MIN(MAX(I306,1),Assumptions!$B$6)*AD306)</f>
        <v>1478</v>
      </c>
      <c r="AF306" s="8">
        <f>IF(F306="Bullet",MAX(0,Assumptions!$B$4-AB306),MAX(0,Assumptions!$B$4-L306))</f>
        <v>0</v>
      </c>
      <c r="AG306" s="9"/>
      <c r="AH306" s="8" t="str">
        <f>IF(AG306="","",Assumptions!$B$4-AG306)</f>
        <v/>
      </c>
      <c r="AI306" s="5" t="s">
        <v>80</v>
      </c>
      <c r="AJ306" s="8"/>
      <c r="AK306" s="8">
        <v>0</v>
      </c>
      <c r="AL306" s="8">
        <v>645</v>
      </c>
      <c r="AM306" s="8">
        <v>0</v>
      </c>
      <c r="AN306" s="5" t="s">
        <v>57</v>
      </c>
      <c r="AO306" s="10">
        <v>72.900000000000006</v>
      </c>
      <c r="AP306" s="8">
        <v>49</v>
      </c>
      <c r="AQ306" s="9">
        <v>46290</v>
      </c>
      <c r="AR306" s="5" t="s">
        <v>70</v>
      </c>
      <c r="AS306" s="5" t="s">
        <v>181</v>
      </c>
    </row>
    <row r="307" spans="1:45" x14ac:dyDescent="0.35">
      <c r="A307" s="5" t="s">
        <v>1585</v>
      </c>
      <c r="B307" s="5" t="s">
        <v>1586</v>
      </c>
      <c r="C307" s="6" t="s">
        <v>1587</v>
      </c>
      <c r="D307" s="7">
        <v>30800</v>
      </c>
      <c r="E307" s="5" t="s">
        <v>48</v>
      </c>
      <c r="F307" s="5" t="s">
        <v>68</v>
      </c>
      <c r="G307" s="8">
        <v>4</v>
      </c>
      <c r="H307" s="8">
        <f>IF(F307="Bullet",MIN(G307,Assumptions!$B$6),"")</f>
        <v>2</v>
      </c>
      <c r="I307" s="8"/>
      <c r="J307" s="8" t="str">
        <f>IF(F307="Monthly interest",MAX(0,Assumptions!$B$5-I307),"")</f>
        <v/>
      </c>
      <c r="K307" s="7">
        <f t="shared" si="12"/>
        <v>1336</v>
      </c>
      <c r="L307" s="9">
        <v>46156</v>
      </c>
      <c r="M307" s="5" t="s">
        <v>50</v>
      </c>
      <c r="N307" s="5" t="s">
        <v>53</v>
      </c>
      <c r="O307" s="5" t="s">
        <v>152</v>
      </c>
      <c r="P307" s="5" t="s">
        <v>153</v>
      </c>
      <c r="Q307" s="5" t="s">
        <v>154</v>
      </c>
      <c r="R307" s="5" t="s">
        <v>155</v>
      </c>
      <c r="S307" s="5" t="s">
        <v>75</v>
      </c>
      <c r="T307" s="5" t="s">
        <v>63</v>
      </c>
      <c r="U307" s="5" t="s">
        <v>86</v>
      </c>
      <c r="V307" s="5" t="s">
        <v>76</v>
      </c>
      <c r="W307" s="5" t="s">
        <v>105</v>
      </c>
      <c r="X307" s="5" t="s">
        <v>1588</v>
      </c>
      <c r="Y307" s="5" t="s">
        <v>1589</v>
      </c>
      <c r="Z307" s="9">
        <v>46156</v>
      </c>
      <c r="AA307" s="8">
        <v>6</v>
      </c>
      <c r="AB307" s="9">
        <f t="shared" si="13"/>
        <v>46340</v>
      </c>
      <c r="AC307" s="10">
        <v>13</v>
      </c>
      <c r="AD307" s="7">
        <f t="shared" si="14"/>
        <v>334</v>
      </c>
      <c r="AE307" s="7">
        <f>IF(F307="Bullet",H307*AD307,MIN(MAX(I307,1),Assumptions!$B$6)*AD307)</f>
        <v>668</v>
      </c>
      <c r="AF307" s="8">
        <f>IF(F307="Bullet",MAX(0,Assumptions!$B$4-AB307),MAX(0,Assumptions!$B$4-L307))</f>
        <v>0</v>
      </c>
      <c r="AG307" s="9"/>
      <c r="AH307" s="8" t="str">
        <f>IF(AG307="","",Assumptions!$B$4-AG307)</f>
        <v/>
      </c>
      <c r="AI307" s="5" t="s">
        <v>80</v>
      </c>
      <c r="AJ307" s="8"/>
      <c r="AK307" s="8">
        <v>0</v>
      </c>
      <c r="AL307" s="8">
        <v>681</v>
      </c>
      <c r="AM307" s="8">
        <v>0</v>
      </c>
      <c r="AN307" s="5" t="s">
        <v>63</v>
      </c>
      <c r="AO307" s="10">
        <v>74.900000000000006</v>
      </c>
      <c r="AP307" s="8">
        <v>30</v>
      </c>
      <c r="AQ307" s="9">
        <v>46296</v>
      </c>
      <c r="AR307" s="5" t="s">
        <v>70</v>
      </c>
      <c r="AS307" s="5" t="s">
        <v>181</v>
      </c>
    </row>
    <row r="308" spans="1:45" x14ac:dyDescent="0.35">
      <c r="A308" s="5" t="s">
        <v>1590</v>
      </c>
      <c r="B308" s="5" t="s">
        <v>682</v>
      </c>
      <c r="C308" s="6" t="s">
        <v>1591</v>
      </c>
      <c r="D308" s="7">
        <v>15000</v>
      </c>
      <c r="E308" s="5" t="s">
        <v>48</v>
      </c>
      <c r="F308" s="5" t="s">
        <v>49</v>
      </c>
      <c r="G308" s="8"/>
      <c r="H308" s="8" t="str">
        <f>IF(F308="Bullet",MIN(G308,Assumptions!$B$6),"")</f>
        <v/>
      </c>
      <c r="I308" s="8">
        <v>1</v>
      </c>
      <c r="J308" s="8">
        <f>IF(F308="Monthly interest",MAX(0,Assumptions!$B$5-I308),"")</f>
        <v>2</v>
      </c>
      <c r="K308" s="7">
        <f t="shared" si="12"/>
        <v>188</v>
      </c>
      <c r="L308" s="9">
        <v>46292</v>
      </c>
      <c r="M308" s="5" t="s">
        <v>50</v>
      </c>
      <c r="N308" s="5" t="s">
        <v>53</v>
      </c>
      <c r="O308" s="5" t="s">
        <v>95</v>
      </c>
      <c r="P308" s="5" t="s">
        <v>153</v>
      </c>
      <c r="Q308" s="5" t="s">
        <v>154</v>
      </c>
      <c r="R308" s="5" t="s">
        <v>155</v>
      </c>
      <c r="S308" s="5" t="s">
        <v>85</v>
      </c>
      <c r="T308" s="5" t="s">
        <v>63</v>
      </c>
      <c r="U308" s="5" t="s">
        <v>86</v>
      </c>
      <c r="V308" s="5" t="s">
        <v>177</v>
      </c>
      <c r="W308" s="5" t="s">
        <v>178</v>
      </c>
      <c r="X308" s="5" t="s">
        <v>222</v>
      </c>
      <c r="Y308" s="5" t="s">
        <v>1592</v>
      </c>
      <c r="Z308" s="9">
        <v>46139</v>
      </c>
      <c r="AA308" s="8">
        <v>24</v>
      </c>
      <c r="AB308" s="9">
        <f t="shared" si="13"/>
        <v>46870</v>
      </c>
      <c r="AC308" s="10">
        <v>15</v>
      </c>
      <c r="AD308" s="7">
        <f t="shared" si="14"/>
        <v>188</v>
      </c>
      <c r="AE308" s="7">
        <f>IF(F308="Bullet",H308*AD308,MIN(MAX(I308,1),Assumptions!$B$6)*AD308)</f>
        <v>188</v>
      </c>
      <c r="AF308" s="8">
        <f>IF(F308="Bullet",MAX(0,Assumptions!$B$4-AB308),MAX(0,Assumptions!$B$4-L308))</f>
        <v>6</v>
      </c>
      <c r="AG308" s="9">
        <v>46262</v>
      </c>
      <c r="AH308" s="8">
        <f>IF(AG308="","",Assumptions!$B$4-AG308)</f>
        <v>36</v>
      </c>
      <c r="AI308" s="5" t="s">
        <v>57</v>
      </c>
      <c r="AJ308" s="8">
        <v>1</v>
      </c>
      <c r="AK308" s="8">
        <v>0</v>
      </c>
      <c r="AL308" s="8">
        <v>647</v>
      </c>
      <c r="AM308" s="8">
        <v>0</v>
      </c>
      <c r="AN308" s="5" t="s">
        <v>63</v>
      </c>
      <c r="AO308" s="10">
        <v>76</v>
      </c>
      <c r="AP308" s="8">
        <v>29</v>
      </c>
      <c r="AQ308" s="9">
        <v>46291</v>
      </c>
      <c r="AR308" s="5" t="s">
        <v>51</v>
      </c>
      <c r="AS308" s="5" t="s">
        <v>190</v>
      </c>
    </row>
    <row r="309" spans="1:45" x14ac:dyDescent="0.35">
      <c r="A309" s="5" t="s">
        <v>1593</v>
      </c>
      <c r="B309" s="5" t="s">
        <v>1033</v>
      </c>
      <c r="C309" s="6" t="s">
        <v>1594</v>
      </c>
      <c r="D309" s="7">
        <v>316100</v>
      </c>
      <c r="E309" s="5" t="s">
        <v>48</v>
      </c>
      <c r="F309" s="5" t="s">
        <v>49</v>
      </c>
      <c r="G309" s="8"/>
      <c r="H309" s="8" t="str">
        <f>IF(F309="Bullet",MIN(G309,Assumptions!$B$6),"")</f>
        <v/>
      </c>
      <c r="I309" s="8">
        <v>1</v>
      </c>
      <c r="J309" s="8">
        <f>IF(F309="Monthly interest",MAX(0,Assumptions!$B$5-I309),"")</f>
        <v>2</v>
      </c>
      <c r="K309" s="7">
        <f t="shared" si="12"/>
        <v>5268</v>
      </c>
      <c r="L309" s="9">
        <v>46270</v>
      </c>
      <c r="M309" s="5" t="s">
        <v>50</v>
      </c>
      <c r="N309" s="5" t="s">
        <v>53</v>
      </c>
      <c r="O309" s="5" t="s">
        <v>103</v>
      </c>
      <c r="P309" s="5" t="s">
        <v>51</v>
      </c>
      <c r="Q309" s="5" t="s">
        <v>54</v>
      </c>
      <c r="R309" s="5" t="s">
        <v>55</v>
      </c>
      <c r="S309" s="5" t="s">
        <v>56</v>
      </c>
      <c r="T309" s="5" t="s">
        <v>57</v>
      </c>
      <c r="U309" s="5" t="s">
        <v>86</v>
      </c>
      <c r="V309" s="5" t="s">
        <v>59</v>
      </c>
      <c r="W309" s="5" t="s">
        <v>60</v>
      </c>
      <c r="X309" s="5" t="s">
        <v>1595</v>
      </c>
      <c r="Y309" s="5" t="s">
        <v>1596</v>
      </c>
      <c r="Z309" s="9">
        <v>46208</v>
      </c>
      <c r="AA309" s="8">
        <v>12</v>
      </c>
      <c r="AB309" s="9">
        <f t="shared" si="13"/>
        <v>46573</v>
      </c>
      <c r="AC309" s="10">
        <v>20</v>
      </c>
      <c r="AD309" s="7">
        <f t="shared" si="14"/>
        <v>5268</v>
      </c>
      <c r="AE309" s="7">
        <f>IF(F309="Bullet",H309*AD309,MIN(MAX(I309,1),Assumptions!$B$6)*AD309)</f>
        <v>5268</v>
      </c>
      <c r="AF309" s="8">
        <f>IF(F309="Bullet",MAX(0,Assumptions!$B$4-AB309),MAX(0,Assumptions!$B$4-L309))</f>
        <v>28</v>
      </c>
      <c r="AG309" s="9">
        <v>46242</v>
      </c>
      <c r="AH309" s="8">
        <f>IF(AG309="","",Assumptions!$B$4-AG309)</f>
        <v>56</v>
      </c>
      <c r="AI309" s="5" t="s">
        <v>63</v>
      </c>
      <c r="AJ309" s="8">
        <v>1</v>
      </c>
      <c r="AK309" s="8">
        <v>0</v>
      </c>
      <c r="AL309" s="8">
        <v>722</v>
      </c>
      <c r="AM309" s="8">
        <v>2</v>
      </c>
      <c r="AN309" s="5" t="s">
        <v>63</v>
      </c>
      <c r="AO309" s="10">
        <v>62.3</v>
      </c>
      <c r="AP309" s="8">
        <v>24</v>
      </c>
      <c r="AQ309" s="9">
        <v>46284</v>
      </c>
      <c r="AR309" s="5" t="s">
        <v>51</v>
      </c>
      <c r="AS309" s="5" t="s">
        <v>81</v>
      </c>
    </row>
    <row r="310" spans="1:45" x14ac:dyDescent="0.35">
      <c r="A310" s="5" t="s">
        <v>1597</v>
      </c>
      <c r="B310" s="5" t="s">
        <v>1598</v>
      </c>
      <c r="C310" s="6" t="s">
        <v>1599</v>
      </c>
      <c r="D310" s="7">
        <v>149200</v>
      </c>
      <c r="E310" s="5" t="s">
        <v>48</v>
      </c>
      <c r="F310" s="5" t="s">
        <v>49</v>
      </c>
      <c r="G310" s="8"/>
      <c r="H310" s="8" t="str">
        <f>IF(F310="Bullet",MIN(G310,Assumptions!$B$6),"")</f>
        <v/>
      </c>
      <c r="I310" s="8">
        <v>1</v>
      </c>
      <c r="J310" s="8">
        <f>IF(F310="Monthly interest",MAX(0,Assumptions!$B$5-I310),"")</f>
        <v>2</v>
      </c>
      <c r="K310" s="7">
        <f t="shared" si="12"/>
        <v>2735</v>
      </c>
      <c r="L310" s="9">
        <v>46285</v>
      </c>
      <c r="M310" s="5" t="s">
        <v>50</v>
      </c>
      <c r="N310" s="5" t="s">
        <v>51</v>
      </c>
      <c r="O310" s="5" t="s">
        <v>52</v>
      </c>
      <c r="P310" s="5" t="s">
        <v>53</v>
      </c>
      <c r="Q310" s="5" t="s">
        <v>54</v>
      </c>
      <c r="R310" s="5" t="s">
        <v>55</v>
      </c>
      <c r="S310" s="5" t="s">
        <v>75</v>
      </c>
      <c r="T310" s="5" t="s">
        <v>57</v>
      </c>
      <c r="U310" s="5" t="s">
        <v>86</v>
      </c>
      <c r="V310" s="5" t="s">
        <v>76</v>
      </c>
      <c r="W310" s="5" t="s">
        <v>382</v>
      </c>
      <c r="X310" s="5" t="s">
        <v>575</v>
      </c>
      <c r="Y310" s="5" t="s">
        <v>1600</v>
      </c>
      <c r="Z310" s="9">
        <v>46162</v>
      </c>
      <c r="AA310" s="8">
        <v>24</v>
      </c>
      <c r="AB310" s="9">
        <f t="shared" si="13"/>
        <v>46893</v>
      </c>
      <c r="AC310" s="10">
        <v>22</v>
      </c>
      <c r="AD310" s="7">
        <f t="shared" si="14"/>
        <v>2735</v>
      </c>
      <c r="AE310" s="7">
        <f>IF(F310="Bullet",H310*AD310,MIN(MAX(I310,1),Assumptions!$B$6)*AD310)</f>
        <v>2735</v>
      </c>
      <c r="AF310" s="8">
        <f>IF(F310="Bullet",MAX(0,Assumptions!$B$4-AB310),MAX(0,Assumptions!$B$4-L310))</f>
        <v>13</v>
      </c>
      <c r="AG310" s="9">
        <v>46257</v>
      </c>
      <c r="AH310" s="8">
        <f>IF(AG310="","",Assumptions!$B$4-AG310)</f>
        <v>41</v>
      </c>
      <c r="AI310" s="5" t="s">
        <v>57</v>
      </c>
      <c r="AJ310" s="8">
        <v>1</v>
      </c>
      <c r="AK310" s="8">
        <v>1</v>
      </c>
      <c r="AL310" s="8">
        <v>812</v>
      </c>
      <c r="AM310" s="8">
        <v>0</v>
      </c>
      <c r="AN310" s="5" t="s">
        <v>63</v>
      </c>
      <c r="AO310" s="10">
        <v>69.599999999999994</v>
      </c>
      <c r="AP310" s="8">
        <v>15</v>
      </c>
      <c r="AQ310" s="9"/>
      <c r="AR310" s="5"/>
      <c r="AS310" s="5" t="s">
        <v>159</v>
      </c>
    </row>
    <row r="311" spans="1:45" x14ac:dyDescent="0.35">
      <c r="A311" s="5" t="s">
        <v>1601</v>
      </c>
      <c r="B311" s="5" t="s">
        <v>1602</v>
      </c>
      <c r="C311" s="6" t="s">
        <v>1603</v>
      </c>
      <c r="D311" s="7">
        <v>243500</v>
      </c>
      <c r="E311" s="5" t="s">
        <v>48</v>
      </c>
      <c r="F311" s="5" t="s">
        <v>49</v>
      </c>
      <c r="G311" s="8"/>
      <c r="H311" s="8" t="str">
        <f>IF(F311="Bullet",MIN(G311,Assumptions!$B$6),"")</f>
        <v/>
      </c>
      <c r="I311" s="8">
        <v>1</v>
      </c>
      <c r="J311" s="8">
        <f>IF(F311="Monthly interest",MAX(0,Assumptions!$B$5-I311),"")</f>
        <v>2</v>
      </c>
      <c r="K311" s="7">
        <f t="shared" si="12"/>
        <v>2841</v>
      </c>
      <c r="L311" s="9">
        <v>46291</v>
      </c>
      <c r="M311" s="5" t="s">
        <v>50</v>
      </c>
      <c r="N311" s="5" t="s">
        <v>51</v>
      </c>
      <c r="O311" s="5" t="s">
        <v>52</v>
      </c>
      <c r="P311" s="5" t="s">
        <v>53</v>
      </c>
      <c r="Q311" s="5" t="s">
        <v>54</v>
      </c>
      <c r="R311" s="5" t="s">
        <v>55</v>
      </c>
      <c r="S311" s="5" t="s">
        <v>185</v>
      </c>
      <c r="T311" s="5" t="s">
        <v>57</v>
      </c>
      <c r="U311" s="5" t="s">
        <v>86</v>
      </c>
      <c r="V311" s="5" t="s">
        <v>186</v>
      </c>
      <c r="W311" s="5" t="s">
        <v>329</v>
      </c>
      <c r="X311" s="5" t="s">
        <v>1604</v>
      </c>
      <c r="Y311" s="5" t="s">
        <v>1605</v>
      </c>
      <c r="Z311" s="9">
        <v>46168</v>
      </c>
      <c r="AA311" s="8">
        <v>12</v>
      </c>
      <c r="AB311" s="9">
        <f t="shared" si="13"/>
        <v>46533</v>
      </c>
      <c r="AC311" s="10">
        <v>14</v>
      </c>
      <c r="AD311" s="7">
        <f t="shared" si="14"/>
        <v>2841</v>
      </c>
      <c r="AE311" s="7">
        <f>IF(F311="Bullet",H311*AD311,MIN(MAX(I311,1),Assumptions!$B$6)*AD311)</f>
        <v>2841</v>
      </c>
      <c r="AF311" s="8">
        <f>IF(F311="Bullet",MAX(0,Assumptions!$B$4-AB311),MAX(0,Assumptions!$B$4-L311))</f>
        <v>7</v>
      </c>
      <c r="AG311" s="9">
        <v>46262</v>
      </c>
      <c r="AH311" s="8">
        <f>IF(AG311="","",Assumptions!$B$4-AG311)</f>
        <v>36</v>
      </c>
      <c r="AI311" s="5" t="s">
        <v>63</v>
      </c>
      <c r="AJ311" s="8">
        <v>1</v>
      </c>
      <c r="AK311" s="8">
        <v>0</v>
      </c>
      <c r="AL311" s="8">
        <v>778</v>
      </c>
      <c r="AM311" s="8">
        <v>0</v>
      </c>
      <c r="AN311" s="5" t="s">
        <v>63</v>
      </c>
      <c r="AO311" s="10">
        <v>64.099999999999994</v>
      </c>
      <c r="AP311" s="8">
        <v>8</v>
      </c>
      <c r="AQ311" s="9">
        <v>46295</v>
      </c>
      <c r="AR311" s="5" t="s">
        <v>51</v>
      </c>
      <c r="AS311" s="5" t="s">
        <v>64</v>
      </c>
    </row>
    <row r="312" spans="1:45" x14ac:dyDescent="0.35">
      <c r="A312" s="5" t="s">
        <v>1606</v>
      </c>
      <c r="B312" s="5" t="s">
        <v>1607</v>
      </c>
      <c r="C312" s="6" t="s">
        <v>1608</v>
      </c>
      <c r="D312" s="7">
        <v>80700</v>
      </c>
      <c r="E312" s="5" t="s">
        <v>48</v>
      </c>
      <c r="F312" s="5" t="s">
        <v>49</v>
      </c>
      <c r="G312" s="8"/>
      <c r="H312" s="8" t="str">
        <f>IF(F312="Bullet",MIN(G312,Assumptions!$B$6),"")</f>
        <v/>
      </c>
      <c r="I312" s="8">
        <v>2</v>
      </c>
      <c r="J312" s="8">
        <f>IF(F312="Monthly interest",MAX(0,Assumptions!$B$5-I312),"")</f>
        <v>1</v>
      </c>
      <c r="K312" s="7">
        <f t="shared" si="12"/>
        <v>2960</v>
      </c>
      <c r="L312" s="9">
        <v>46239</v>
      </c>
      <c r="M312" s="5" t="s">
        <v>116</v>
      </c>
      <c r="N312" s="5" t="s">
        <v>117</v>
      </c>
      <c r="O312" s="5" t="s">
        <v>118</v>
      </c>
      <c r="P312" s="5" t="s">
        <v>72</v>
      </c>
      <c r="Q312" s="5" t="s">
        <v>119</v>
      </c>
      <c r="R312" s="5" t="s">
        <v>120</v>
      </c>
      <c r="S312" s="5" t="s">
        <v>85</v>
      </c>
      <c r="T312" s="5" t="s">
        <v>57</v>
      </c>
      <c r="U312" s="5" t="s">
        <v>104</v>
      </c>
      <c r="V312" s="5" t="s">
        <v>177</v>
      </c>
      <c r="W312" s="5" t="s">
        <v>345</v>
      </c>
      <c r="X312" s="5" t="s">
        <v>388</v>
      </c>
      <c r="Y312" s="5" t="s">
        <v>1609</v>
      </c>
      <c r="Z312" s="9">
        <v>46117</v>
      </c>
      <c r="AA312" s="8">
        <v>18</v>
      </c>
      <c r="AB312" s="9">
        <f t="shared" si="13"/>
        <v>46665</v>
      </c>
      <c r="AC312" s="10">
        <v>22</v>
      </c>
      <c r="AD312" s="7">
        <f t="shared" si="14"/>
        <v>1480</v>
      </c>
      <c r="AE312" s="7">
        <f>IF(F312="Bullet",H312*AD312,MIN(MAX(I312,1),Assumptions!$B$6)*AD312)</f>
        <v>2960</v>
      </c>
      <c r="AF312" s="8">
        <f>IF(F312="Bullet",MAX(0,Assumptions!$B$4-AB312),MAX(0,Assumptions!$B$4-L312))</f>
        <v>59</v>
      </c>
      <c r="AG312" s="9">
        <v>46211</v>
      </c>
      <c r="AH312" s="8">
        <f>IF(AG312="","",Assumptions!$B$4-AG312)</f>
        <v>87</v>
      </c>
      <c r="AI312" s="5" t="s">
        <v>63</v>
      </c>
      <c r="AJ312" s="8">
        <v>2</v>
      </c>
      <c r="AK312" s="8">
        <v>0</v>
      </c>
      <c r="AL312" s="8">
        <v>647</v>
      </c>
      <c r="AM312" s="8">
        <v>3</v>
      </c>
      <c r="AN312" s="5" t="s">
        <v>63</v>
      </c>
      <c r="AO312" s="10">
        <v>48.3</v>
      </c>
      <c r="AP312" s="8">
        <v>59</v>
      </c>
      <c r="AQ312" s="9"/>
      <c r="AR312" s="5"/>
      <c r="AS312" s="5" t="s">
        <v>159</v>
      </c>
    </row>
    <row r="313" spans="1:45" x14ac:dyDescent="0.35">
      <c r="A313" s="5" t="s">
        <v>1610</v>
      </c>
      <c r="B313" s="5" t="s">
        <v>1611</v>
      </c>
      <c r="C313" s="6" t="s">
        <v>1612</v>
      </c>
      <c r="D313" s="7">
        <v>119300</v>
      </c>
      <c r="E313" s="5" t="s">
        <v>48</v>
      </c>
      <c r="F313" s="5" t="s">
        <v>49</v>
      </c>
      <c r="G313" s="8"/>
      <c r="H313" s="8" t="str">
        <f>IF(F313="Bullet",MIN(G313,Assumptions!$B$6),"")</f>
        <v/>
      </c>
      <c r="I313" s="8">
        <v>1</v>
      </c>
      <c r="J313" s="8">
        <f>IF(F313="Monthly interest",MAX(0,Assumptions!$B$5-I313),"")</f>
        <v>2</v>
      </c>
      <c r="K313" s="7">
        <f t="shared" si="12"/>
        <v>1790</v>
      </c>
      <c r="L313" s="9">
        <v>46272</v>
      </c>
      <c r="M313" s="5" t="s">
        <v>50</v>
      </c>
      <c r="N313" s="5" t="s">
        <v>51</v>
      </c>
      <c r="O313" s="5" t="s">
        <v>52</v>
      </c>
      <c r="P313" s="5" t="s">
        <v>53</v>
      </c>
      <c r="Q313" s="5" t="s">
        <v>54</v>
      </c>
      <c r="R313" s="5" t="s">
        <v>55</v>
      </c>
      <c r="S313" s="5" t="s">
        <v>75</v>
      </c>
      <c r="T313" s="5" t="s">
        <v>57</v>
      </c>
      <c r="U313" s="5" t="s">
        <v>86</v>
      </c>
      <c r="V313" s="5" t="s">
        <v>76</v>
      </c>
      <c r="W313" s="5" t="s">
        <v>77</v>
      </c>
      <c r="X313" s="5" t="s">
        <v>1613</v>
      </c>
      <c r="Y313" s="5" t="s">
        <v>1614</v>
      </c>
      <c r="Z313" s="9">
        <v>46149</v>
      </c>
      <c r="AA313" s="8">
        <v>12</v>
      </c>
      <c r="AB313" s="9">
        <f t="shared" si="13"/>
        <v>46514</v>
      </c>
      <c r="AC313" s="10">
        <v>18</v>
      </c>
      <c r="AD313" s="7">
        <f t="shared" si="14"/>
        <v>1790</v>
      </c>
      <c r="AE313" s="7">
        <f>IF(F313="Bullet",H313*AD313,MIN(MAX(I313,1),Assumptions!$B$6)*AD313)</f>
        <v>1790</v>
      </c>
      <c r="AF313" s="8">
        <f>IF(F313="Bullet",MAX(0,Assumptions!$B$4-AB313),MAX(0,Assumptions!$B$4-L313))</f>
        <v>26</v>
      </c>
      <c r="AG313" s="9">
        <v>46243</v>
      </c>
      <c r="AH313" s="8">
        <f>IF(AG313="","",Assumptions!$B$4-AG313)</f>
        <v>55</v>
      </c>
      <c r="AI313" s="5" t="s">
        <v>63</v>
      </c>
      <c r="AJ313" s="8">
        <v>1</v>
      </c>
      <c r="AK313" s="8">
        <v>0</v>
      </c>
      <c r="AL313" s="8">
        <v>687</v>
      </c>
      <c r="AM313" s="8">
        <v>0</v>
      </c>
      <c r="AN313" s="5" t="s">
        <v>63</v>
      </c>
      <c r="AO313" s="10">
        <v>70.7</v>
      </c>
      <c r="AP313" s="8">
        <v>25</v>
      </c>
      <c r="AQ313" s="9">
        <v>46288</v>
      </c>
      <c r="AR313" s="5" t="s">
        <v>53</v>
      </c>
      <c r="AS313" s="5" t="s">
        <v>181</v>
      </c>
    </row>
    <row r="314" spans="1:45" x14ac:dyDescent="0.35">
      <c r="A314" s="5" t="s">
        <v>1615</v>
      </c>
      <c r="B314" s="5" t="s">
        <v>1616</v>
      </c>
      <c r="C314" s="6" t="s">
        <v>1617</v>
      </c>
      <c r="D314" s="7">
        <v>288000</v>
      </c>
      <c r="E314" s="5" t="s">
        <v>48</v>
      </c>
      <c r="F314" s="5" t="s">
        <v>49</v>
      </c>
      <c r="G314" s="8"/>
      <c r="H314" s="8" t="str">
        <f>IF(F314="Bullet",MIN(G314,Assumptions!$B$6),"")</f>
        <v/>
      </c>
      <c r="I314" s="8">
        <v>1</v>
      </c>
      <c r="J314" s="8">
        <f>IF(F314="Monthly interest",MAX(0,Assumptions!$B$5-I314),"")</f>
        <v>2</v>
      </c>
      <c r="K314" s="7">
        <f t="shared" si="12"/>
        <v>5280</v>
      </c>
      <c r="L314" s="9">
        <v>46297</v>
      </c>
      <c r="M314" s="5" t="s">
        <v>69</v>
      </c>
      <c r="N314" s="5" t="s">
        <v>51</v>
      </c>
      <c r="O314" s="5" t="s">
        <v>52</v>
      </c>
      <c r="P314" s="5" t="s">
        <v>53</v>
      </c>
      <c r="Q314" s="5" t="s">
        <v>54</v>
      </c>
      <c r="R314" s="5" t="s">
        <v>55</v>
      </c>
      <c r="S314" s="5" t="s">
        <v>185</v>
      </c>
      <c r="T314" s="5" t="s">
        <v>57</v>
      </c>
      <c r="U314" s="5" t="s">
        <v>86</v>
      </c>
      <c r="V314" s="5" t="s">
        <v>200</v>
      </c>
      <c r="W314" s="5" t="s">
        <v>1332</v>
      </c>
      <c r="X314" s="5" t="s">
        <v>1618</v>
      </c>
      <c r="Y314" s="5" t="s">
        <v>1619</v>
      </c>
      <c r="Z314" s="9">
        <v>46055</v>
      </c>
      <c r="AA314" s="8">
        <v>12</v>
      </c>
      <c r="AB314" s="9">
        <f t="shared" si="13"/>
        <v>46420</v>
      </c>
      <c r="AC314" s="10">
        <v>22</v>
      </c>
      <c r="AD314" s="7">
        <f t="shared" si="14"/>
        <v>5280</v>
      </c>
      <c r="AE314" s="7">
        <f>IF(F314="Bullet",H314*AD314,MIN(MAX(I314,1),Assumptions!$B$6)*AD314)</f>
        <v>5280</v>
      </c>
      <c r="AF314" s="8">
        <f>IF(F314="Bullet",MAX(0,Assumptions!$B$4-AB314),MAX(0,Assumptions!$B$4-L314))</f>
        <v>1</v>
      </c>
      <c r="AG314" s="9">
        <v>46267</v>
      </c>
      <c r="AH314" s="8">
        <f>IF(AG314="","",Assumptions!$B$4-AG314)</f>
        <v>31</v>
      </c>
      <c r="AI314" s="5" t="s">
        <v>63</v>
      </c>
      <c r="AJ314" s="8">
        <v>1</v>
      </c>
      <c r="AK314" s="8">
        <v>1</v>
      </c>
      <c r="AL314" s="8">
        <v>694</v>
      </c>
      <c r="AM314" s="8">
        <v>2</v>
      </c>
      <c r="AN314" s="5" t="s">
        <v>63</v>
      </c>
      <c r="AO314" s="10">
        <v>59.7</v>
      </c>
      <c r="AP314" s="8">
        <v>34</v>
      </c>
      <c r="AQ314" s="9"/>
      <c r="AR314" s="5"/>
      <c r="AS314" s="5" t="s">
        <v>159</v>
      </c>
    </row>
    <row r="315" spans="1:45" x14ac:dyDescent="0.35">
      <c r="A315" s="5" t="s">
        <v>1620</v>
      </c>
      <c r="B315" s="5" t="s">
        <v>1621</v>
      </c>
      <c r="C315" s="6" t="s">
        <v>1622</v>
      </c>
      <c r="D315" s="7">
        <v>199000</v>
      </c>
      <c r="E315" s="5" t="s">
        <v>48</v>
      </c>
      <c r="F315" s="5" t="s">
        <v>49</v>
      </c>
      <c r="G315" s="8"/>
      <c r="H315" s="8" t="str">
        <f>IF(F315="Bullet",MIN(G315,Assumptions!$B$6),"")</f>
        <v/>
      </c>
      <c r="I315" s="8">
        <v>1</v>
      </c>
      <c r="J315" s="8">
        <f>IF(F315="Monthly interest",MAX(0,Assumptions!$B$5-I315),"")</f>
        <v>2</v>
      </c>
      <c r="K315" s="7">
        <f t="shared" si="12"/>
        <v>2653</v>
      </c>
      <c r="L315" s="9">
        <v>46298</v>
      </c>
      <c r="M315" s="5" t="s">
        <v>69</v>
      </c>
      <c r="N315" s="5" t="s">
        <v>51</v>
      </c>
      <c r="O315" s="5" t="s">
        <v>52</v>
      </c>
      <c r="P315" s="5" t="s">
        <v>53</v>
      </c>
      <c r="Q315" s="5" t="s">
        <v>54</v>
      </c>
      <c r="R315" s="5" t="s">
        <v>55</v>
      </c>
      <c r="S315" s="5" t="s">
        <v>214</v>
      </c>
      <c r="T315" s="5" t="s">
        <v>57</v>
      </c>
      <c r="U315" s="5" t="s">
        <v>86</v>
      </c>
      <c r="V315" s="5" t="s">
        <v>215</v>
      </c>
      <c r="W315" s="5" t="s">
        <v>242</v>
      </c>
      <c r="X315" s="5" t="s">
        <v>1215</v>
      </c>
      <c r="Y315" s="5" t="s">
        <v>1623</v>
      </c>
      <c r="Z315" s="9">
        <v>46025</v>
      </c>
      <c r="AA315" s="8">
        <v>18</v>
      </c>
      <c r="AB315" s="9">
        <f t="shared" si="13"/>
        <v>46571</v>
      </c>
      <c r="AC315" s="10">
        <v>16</v>
      </c>
      <c r="AD315" s="7">
        <f t="shared" si="14"/>
        <v>2653</v>
      </c>
      <c r="AE315" s="7">
        <f>IF(F315="Bullet",H315*AD315,MIN(MAX(I315,1),Assumptions!$B$6)*AD315)</f>
        <v>2653</v>
      </c>
      <c r="AF315" s="8">
        <f>IF(F315="Bullet",MAX(0,Assumptions!$B$4-AB315),MAX(0,Assumptions!$B$4-L315))</f>
        <v>0</v>
      </c>
      <c r="AG315" s="9">
        <v>46272</v>
      </c>
      <c r="AH315" s="8">
        <f>IF(AG315="","",Assumptions!$B$4-AG315)</f>
        <v>26</v>
      </c>
      <c r="AI315" s="5" t="s">
        <v>57</v>
      </c>
      <c r="AJ315" s="8">
        <v>2</v>
      </c>
      <c r="AK315" s="8">
        <v>0</v>
      </c>
      <c r="AL315" s="8">
        <v>624</v>
      </c>
      <c r="AM315" s="8">
        <v>1</v>
      </c>
      <c r="AN315" s="5" t="s">
        <v>57</v>
      </c>
      <c r="AO315" s="10">
        <v>57.7</v>
      </c>
      <c r="AP315" s="8">
        <v>46</v>
      </c>
      <c r="AQ315" s="9"/>
      <c r="AR315" s="5"/>
      <c r="AS315" s="5" t="s">
        <v>159</v>
      </c>
    </row>
    <row r="316" spans="1:45" x14ac:dyDescent="0.35">
      <c r="A316" s="5" t="s">
        <v>1624</v>
      </c>
      <c r="B316" s="5" t="s">
        <v>1625</v>
      </c>
      <c r="C316" s="6" t="s">
        <v>1626</v>
      </c>
      <c r="D316" s="7">
        <v>222000</v>
      </c>
      <c r="E316" s="5" t="s">
        <v>48</v>
      </c>
      <c r="F316" s="5" t="s">
        <v>49</v>
      </c>
      <c r="G316" s="8"/>
      <c r="H316" s="8" t="str">
        <f>IF(F316="Bullet",MIN(G316,Assumptions!$B$6),"")</f>
        <v/>
      </c>
      <c r="I316" s="8">
        <v>1</v>
      </c>
      <c r="J316" s="8">
        <f>IF(F316="Monthly interest",MAX(0,Assumptions!$B$5-I316),"")</f>
        <v>2</v>
      </c>
      <c r="K316" s="7">
        <f t="shared" si="12"/>
        <v>2960</v>
      </c>
      <c r="L316" s="9">
        <v>46272</v>
      </c>
      <c r="M316" s="5" t="s">
        <v>69</v>
      </c>
      <c r="N316" s="5" t="s">
        <v>51</v>
      </c>
      <c r="O316" s="5" t="s">
        <v>52</v>
      </c>
      <c r="P316" s="5" t="s">
        <v>53</v>
      </c>
      <c r="Q316" s="5" t="s">
        <v>54</v>
      </c>
      <c r="R316" s="5" t="s">
        <v>55</v>
      </c>
      <c r="S316" s="5" t="s">
        <v>214</v>
      </c>
      <c r="T316" s="5" t="s">
        <v>57</v>
      </c>
      <c r="U316" s="5" t="s">
        <v>104</v>
      </c>
      <c r="V316" s="5" t="s">
        <v>215</v>
      </c>
      <c r="W316" s="5" t="s">
        <v>242</v>
      </c>
      <c r="X316" s="5" t="s">
        <v>1627</v>
      </c>
      <c r="Y316" s="5" t="s">
        <v>1628</v>
      </c>
      <c r="Z316" s="9">
        <v>46060</v>
      </c>
      <c r="AA316" s="8">
        <v>24</v>
      </c>
      <c r="AB316" s="9">
        <f t="shared" si="13"/>
        <v>46790</v>
      </c>
      <c r="AC316" s="10">
        <v>16</v>
      </c>
      <c r="AD316" s="7">
        <f t="shared" si="14"/>
        <v>2960</v>
      </c>
      <c r="AE316" s="7">
        <f>IF(F316="Bullet",H316*AD316,MIN(MAX(I316,1),Assumptions!$B$6)*AD316)</f>
        <v>2960</v>
      </c>
      <c r="AF316" s="8">
        <f>IF(F316="Bullet",MAX(0,Assumptions!$B$4-AB316),MAX(0,Assumptions!$B$4-L316))</f>
        <v>26</v>
      </c>
      <c r="AG316" s="9">
        <v>46242</v>
      </c>
      <c r="AH316" s="8">
        <f>IF(AG316="","",Assumptions!$B$4-AG316)</f>
        <v>56</v>
      </c>
      <c r="AI316" s="5" t="s">
        <v>63</v>
      </c>
      <c r="AJ316" s="8">
        <v>1</v>
      </c>
      <c r="AK316" s="8">
        <v>0</v>
      </c>
      <c r="AL316" s="8">
        <v>651</v>
      </c>
      <c r="AM316" s="8">
        <v>2</v>
      </c>
      <c r="AN316" s="5" t="s">
        <v>63</v>
      </c>
      <c r="AO316" s="10">
        <v>81.400000000000006</v>
      </c>
      <c r="AP316" s="8">
        <v>38</v>
      </c>
      <c r="AQ316" s="9">
        <v>46288</v>
      </c>
      <c r="AR316" s="5" t="s">
        <v>51</v>
      </c>
      <c r="AS316" s="5" t="s">
        <v>190</v>
      </c>
    </row>
    <row r="317" spans="1:45" x14ac:dyDescent="0.35">
      <c r="A317" s="5" t="s">
        <v>1629</v>
      </c>
      <c r="B317" s="5" t="s">
        <v>1630</v>
      </c>
      <c r="C317" s="6" t="s">
        <v>1631</v>
      </c>
      <c r="D317" s="7">
        <v>305400</v>
      </c>
      <c r="E317" s="5" t="s">
        <v>48</v>
      </c>
      <c r="F317" s="5" t="s">
        <v>68</v>
      </c>
      <c r="G317" s="8">
        <v>6</v>
      </c>
      <c r="H317" s="8">
        <f>IF(F317="Bullet",MIN(G317,Assumptions!$B$6),"")</f>
        <v>2</v>
      </c>
      <c r="I317" s="8"/>
      <c r="J317" s="8" t="str">
        <f>IF(F317="Monthly interest",MAX(0,Assumptions!$B$5-I317),"")</f>
        <v/>
      </c>
      <c r="K317" s="7">
        <f t="shared" si="12"/>
        <v>21378</v>
      </c>
      <c r="L317" s="9">
        <v>46109</v>
      </c>
      <c r="M317" s="5" t="s">
        <v>116</v>
      </c>
      <c r="N317" s="5" t="s">
        <v>117</v>
      </c>
      <c r="O317" s="5" t="s">
        <v>461</v>
      </c>
      <c r="P317" s="5" t="s">
        <v>72</v>
      </c>
      <c r="Q317" s="5" t="s">
        <v>169</v>
      </c>
      <c r="R317" s="5" t="s">
        <v>170</v>
      </c>
      <c r="S317" s="5" t="s">
        <v>185</v>
      </c>
      <c r="T317" s="5" t="s">
        <v>57</v>
      </c>
      <c r="U317" s="5" t="s">
        <v>86</v>
      </c>
      <c r="V317" s="5" t="s">
        <v>186</v>
      </c>
      <c r="W317" s="5" t="s">
        <v>694</v>
      </c>
      <c r="X317" s="5" t="s">
        <v>1632</v>
      </c>
      <c r="Y317" s="5" t="s">
        <v>1633</v>
      </c>
      <c r="Z317" s="9">
        <v>46109</v>
      </c>
      <c r="AA317" s="8">
        <v>6</v>
      </c>
      <c r="AB317" s="9">
        <f t="shared" si="13"/>
        <v>46293</v>
      </c>
      <c r="AC317" s="10">
        <v>14</v>
      </c>
      <c r="AD317" s="7">
        <f t="shared" si="14"/>
        <v>3563</v>
      </c>
      <c r="AE317" s="7">
        <f>IF(F317="Bullet",H317*AD317,MIN(MAX(I317,1),Assumptions!$B$6)*AD317)</f>
        <v>7126</v>
      </c>
      <c r="AF317" s="8">
        <f>IF(F317="Bullet",MAX(0,Assumptions!$B$4-AB317),MAX(0,Assumptions!$B$4-L317))</f>
        <v>5</v>
      </c>
      <c r="AG317" s="9"/>
      <c r="AH317" s="8" t="str">
        <f>IF(AG317="","",Assumptions!$B$4-AG317)</f>
        <v/>
      </c>
      <c r="AI317" s="5" t="s">
        <v>80</v>
      </c>
      <c r="AJ317" s="8"/>
      <c r="AK317" s="8">
        <v>1</v>
      </c>
      <c r="AL317" s="8">
        <v>578</v>
      </c>
      <c r="AM317" s="8">
        <v>3</v>
      </c>
      <c r="AN317" s="5" t="s">
        <v>63</v>
      </c>
      <c r="AO317" s="10">
        <v>67.8</v>
      </c>
      <c r="AP317" s="8">
        <v>79</v>
      </c>
      <c r="AQ317" s="9"/>
      <c r="AR317" s="5"/>
      <c r="AS317" s="5" t="s">
        <v>159</v>
      </c>
    </row>
    <row r="318" spans="1:45" x14ac:dyDescent="0.35">
      <c r="A318" s="5" t="s">
        <v>1634</v>
      </c>
      <c r="B318" s="5" t="s">
        <v>1635</v>
      </c>
      <c r="C318" s="6" t="s">
        <v>1636</v>
      </c>
      <c r="D318" s="7">
        <v>395000</v>
      </c>
      <c r="E318" s="5" t="s">
        <v>48</v>
      </c>
      <c r="F318" s="5" t="s">
        <v>68</v>
      </c>
      <c r="G318" s="8">
        <v>3</v>
      </c>
      <c r="H318" s="8">
        <f>IF(F318="Bullet",MIN(G318,Assumptions!$B$6),"")</f>
        <v>2</v>
      </c>
      <c r="I318" s="8"/>
      <c r="J318" s="8" t="str">
        <f>IF(F318="Monthly interest",MAX(0,Assumptions!$B$5-I318),"")</f>
        <v/>
      </c>
      <c r="K318" s="7">
        <f t="shared" si="12"/>
        <v>12837</v>
      </c>
      <c r="L318" s="9">
        <v>46194</v>
      </c>
      <c r="M318" s="5" t="s">
        <v>69</v>
      </c>
      <c r="N318" s="5" t="s">
        <v>70</v>
      </c>
      <c r="O318" s="5" t="s">
        <v>71</v>
      </c>
      <c r="P318" s="5" t="s">
        <v>72</v>
      </c>
      <c r="Q318" s="5" t="s">
        <v>73</v>
      </c>
      <c r="R318" s="5" t="s">
        <v>74</v>
      </c>
      <c r="S318" s="5" t="s">
        <v>85</v>
      </c>
      <c r="T318" s="5" t="s">
        <v>57</v>
      </c>
      <c r="U318" s="5" t="s">
        <v>86</v>
      </c>
      <c r="V318" s="5" t="s">
        <v>177</v>
      </c>
      <c r="W318" s="5" t="s">
        <v>178</v>
      </c>
      <c r="X318" s="5" t="s">
        <v>1528</v>
      </c>
      <c r="Y318" s="5" t="s">
        <v>1637</v>
      </c>
      <c r="Z318" s="9">
        <v>46194</v>
      </c>
      <c r="AA318" s="8">
        <v>6</v>
      </c>
      <c r="AB318" s="9">
        <f t="shared" si="13"/>
        <v>46377</v>
      </c>
      <c r="AC318" s="10">
        <v>13</v>
      </c>
      <c r="AD318" s="7">
        <f t="shared" si="14"/>
        <v>4279</v>
      </c>
      <c r="AE318" s="7">
        <f>IF(F318="Bullet",H318*AD318,MIN(MAX(I318,1),Assumptions!$B$6)*AD318)</f>
        <v>8558</v>
      </c>
      <c r="AF318" s="8">
        <f>IF(F318="Bullet",MAX(0,Assumptions!$B$4-AB318),MAX(0,Assumptions!$B$4-L318))</f>
        <v>0</v>
      </c>
      <c r="AG318" s="9"/>
      <c r="AH318" s="8" t="str">
        <f>IF(AG318="","",Assumptions!$B$4-AG318)</f>
        <v/>
      </c>
      <c r="AI318" s="5" t="s">
        <v>80</v>
      </c>
      <c r="AJ318" s="8"/>
      <c r="AK318" s="8">
        <v>1</v>
      </c>
      <c r="AL318" s="8">
        <v>694</v>
      </c>
      <c r="AM318" s="8">
        <v>3</v>
      </c>
      <c r="AN318" s="5" t="s">
        <v>63</v>
      </c>
      <c r="AO318" s="10">
        <v>88</v>
      </c>
      <c r="AP318" s="8">
        <v>43</v>
      </c>
      <c r="AQ318" s="9">
        <v>46278</v>
      </c>
      <c r="AR318" s="5" t="s">
        <v>70</v>
      </c>
      <c r="AS318" s="5" t="s">
        <v>81</v>
      </c>
    </row>
    <row r="319" spans="1:45" x14ac:dyDescent="0.35">
      <c r="A319" s="5" t="s">
        <v>1638</v>
      </c>
      <c r="B319" s="5" t="s">
        <v>1639</v>
      </c>
      <c r="C319" s="6" t="s">
        <v>1640</v>
      </c>
      <c r="D319" s="7">
        <v>240100</v>
      </c>
      <c r="E319" s="5" t="s">
        <v>48</v>
      </c>
      <c r="F319" s="5" t="s">
        <v>68</v>
      </c>
      <c r="G319" s="8">
        <v>2</v>
      </c>
      <c r="H319" s="8">
        <f>IF(F319="Bullet",MIN(G319,Assumptions!$B$6),"")</f>
        <v>2</v>
      </c>
      <c r="I319" s="8"/>
      <c r="J319" s="8" t="str">
        <f>IF(F319="Monthly interest",MAX(0,Assumptions!$B$5-I319),"")</f>
        <v/>
      </c>
      <c r="K319" s="7">
        <f t="shared" si="12"/>
        <v>7204</v>
      </c>
      <c r="L319" s="9">
        <v>46237</v>
      </c>
      <c r="M319" s="5" t="s">
        <v>50</v>
      </c>
      <c r="N319" s="5" t="s">
        <v>51</v>
      </c>
      <c r="O319" s="5" t="s">
        <v>71</v>
      </c>
      <c r="P319" s="5" t="s">
        <v>53</v>
      </c>
      <c r="Q319" s="5" t="s">
        <v>73</v>
      </c>
      <c r="R319" s="5" t="s">
        <v>74</v>
      </c>
      <c r="S319" s="5" t="s">
        <v>85</v>
      </c>
      <c r="T319" s="5" t="s">
        <v>57</v>
      </c>
      <c r="U319" s="5" t="s">
        <v>58</v>
      </c>
      <c r="V319" s="5" t="s">
        <v>96</v>
      </c>
      <c r="W319" s="5" t="s">
        <v>265</v>
      </c>
      <c r="X319" s="5" t="s">
        <v>1641</v>
      </c>
      <c r="Y319" s="5" t="s">
        <v>1642</v>
      </c>
      <c r="Z319" s="9">
        <v>46237</v>
      </c>
      <c r="AA319" s="8">
        <v>6</v>
      </c>
      <c r="AB319" s="9">
        <f t="shared" si="13"/>
        <v>46421</v>
      </c>
      <c r="AC319" s="10">
        <v>18</v>
      </c>
      <c r="AD319" s="7">
        <f t="shared" si="14"/>
        <v>3602</v>
      </c>
      <c r="AE319" s="7">
        <f>IF(F319="Bullet",H319*AD319,MIN(MAX(I319,1),Assumptions!$B$6)*AD319)</f>
        <v>7204</v>
      </c>
      <c r="AF319" s="8">
        <f>IF(F319="Bullet",MAX(0,Assumptions!$B$4-AB319),MAX(0,Assumptions!$B$4-L319))</f>
        <v>0</v>
      </c>
      <c r="AG319" s="9"/>
      <c r="AH319" s="8" t="str">
        <f>IF(AG319="","",Assumptions!$B$4-AG319)</f>
        <v/>
      </c>
      <c r="AI319" s="5" t="s">
        <v>80</v>
      </c>
      <c r="AJ319" s="8"/>
      <c r="AK319" s="8">
        <v>0</v>
      </c>
      <c r="AL319" s="8">
        <v>630</v>
      </c>
      <c r="AM319" s="8">
        <v>0</v>
      </c>
      <c r="AN319" s="5" t="s">
        <v>63</v>
      </c>
      <c r="AO319" s="10">
        <v>71</v>
      </c>
      <c r="AP319" s="8">
        <v>24</v>
      </c>
      <c r="AQ319" s="9"/>
      <c r="AR319" s="5"/>
      <c r="AS319" s="5" t="s">
        <v>159</v>
      </c>
    </row>
    <row r="320" spans="1:45" x14ac:dyDescent="0.35">
      <c r="A320" s="5" t="s">
        <v>1643</v>
      </c>
      <c r="B320" s="5" t="s">
        <v>1644</v>
      </c>
      <c r="C320" s="6" t="s">
        <v>1645</v>
      </c>
      <c r="D320" s="7">
        <v>202800</v>
      </c>
      <c r="E320" s="5" t="s">
        <v>48</v>
      </c>
      <c r="F320" s="5" t="s">
        <v>49</v>
      </c>
      <c r="G320" s="8"/>
      <c r="H320" s="8" t="str">
        <f>IF(F320="Bullet",MIN(G320,Assumptions!$B$6),"")</f>
        <v/>
      </c>
      <c r="I320" s="8">
        <v>1</v>
      </c>
      <c r="J320" s="8">
        <f>IF(F320="Monthly interest",MAX(0,Assumptions!$B$5-I320),"")</f>
        <v>2</v>
      </c>
      <c r="K320" s="7">
        <f t="shared" si="12"/>
        <v>4056</v>
      </c>
      <c r="L320" s="9">
        <v>46288</v>
      </c>
      <c r="M320" s="5" t="s">
        <v>69</v>
      </c>
      <c r="N320" s="5" t="s">
        <v>53</v>
      </c>
      <c r="O320" s="5" t="s">
        <v>103</v>
      </c>
      <c r="P320" s="5" t="s">
        <v>70</v>
      </c>
      <c r="Q320" s="5" t="s">
        <v>54</v>
      </c>
      <c r="R320" s="5" t="s">
        <v>55</v>
      </c>
      <c r="S320" s="5" t="s">
        <v>56</v>
      </c>
      <c r="T320" s="5" t="s">
        <v>57</v>
      </c>
      <c r="U320" s="5" t="s">
        <v>104</v>
      </c>
      <c r="V320" s="5" t="s">
        <v>59</v>
      </c>
      <c r="W320" s="5" t="s">
        <v>300</v>
      </c>
      <c r="X320" s="5" t="s">
        <v>1646</v>
      </c>
      <c r="Y320" s="5" t="s">
        <v>1647</v>
      </c>
      <c r="Z320" s="9">
        <v>46226</v>
      </c>
      <c r="AA320" s="8">
        <v>12</v>
      </c>
      <c r="AB320" s="9">
        <f t="shared" si="13"/>
        <v>46591</v>
      </c>
      <c r="AC320" s="10">
        <v>24</v>
      </c>
      <c r="AD320" s="7">
        <f t="shared" si="14"/>
        <v>4056</v>
      </c>
      <c r="AE320" s="7">
        <f>IF(F320="Bullet",H320*AD320,MIN(MAX(I320,1),Assumptions!$B$6)*AD320)</f>
        <v>4056</v>
      </c>
      <c r="AF320" s="8">
        <f>IF(F320="Bullet",MAX(0,Assumptions!$B$4-AB320),MAX(0,Assumptions!$B$4-L320))</f>
        <v>10</v>
      </c>
      <c r="AG320" s="9">
        <v>46261</v>
      </c>
      <c r="AH320" s="8">
        <f>IF(AG320="","",Assumptions!$B$4-AG320)</f>
        <v>37</v>
      </c>
      <c r="AI320" s="5" t="s">
        <v>63</v>
      </c>
      <c r="AJ320" s="8">
        <v>2</v>
      </c>
      <c r="AK320" s="8">
        <v>0</v>
      </c>
      <c r="AL320" s="8">
        <v>688</v>
      </c>
      <c r="AM320" s="8">
        <v>0</v>
      </c>
      <c r="AN320" s="5" t="s">
        <v>63</v>
      </c>
      <c r="AO320" s="10">
        <v>67.3</v>
      </c>
      <c r="AP320" s="8">
        <v>39</v>
      </c>
      <c r="AQ320" s="9">
        <v>46294</v>
      </c>
      <c r="AR320" s="5" t="s">
        <v>51</v>
      </c>
      <c r="AS320" s="5" t="s">
        <v>81</v>
      </c>
    </row>
    <row r="321" spans="1:45" x14ac:dyDescent="0.35">
      <c r="A321" s="5" t="s">
        <v>1648</v>
      </c>
      <c r="B321" s="5" t="s">
        <v>1649</v>
      </c>
      <c r="C321" s="6" t="s">
        <v>1650</v>
      </c>
      <c r="D321" s="7">
        <v>45800</v>
      </c>
      <c r="E321" s="5" t="s">
        <v>48</v>
      </c>
      <c r="F321" s="5" t="s">
        <v>49</v>
      </c>
      <c r="G321" s="8"/>
      <c r="H321" s="8" t="str">
        <f>IF(F321="Bullet",MIN(G321,Assumptions!$B$6),"")</f>
        <v/>
      </c>
      <c r="I321" s="8">
        <v>2</v>
      </c>
      <c r="J321" s="8">
        <f>IF(F321="Monthly interest",MAX(0,Assumptions!$B$5-I321),"")</f>
        <v>1</v>
      </c>
      <c r="K321" s="7">
        <f t="shared" si="12"/>
        <v>1222</v>
      </c>
      <c r="L321" s="9">
        <v>46246</v>
      </c>
      <c r="M321" s="5" t="s">
        <v>116</v>
      </c>
      <c r="N321" s="5" t="s">
        <v>117</v>
      </c>
      <c r="O321" s="5" t="s">
        <v>450</v>
      </c>
      <c r="P321" s="5" t="s">
        <v>72</v>
      </c>
      <c r="Q321" s="5" t="s">
        <v>154</v>
      </c>
      <c r="R321" s="5" t="s">
        <v>155</v>
      </c>
      <c r="S321" s="5" t="s">
        <v>214</v>
      </c>
      <c r="T321" s="5" t="s">
        <v>63</v>
      </c>
      <c r="U321" s="5" t="s">
        <v>104</v>
      </c>
      <c r="V321" s="5" t="s">
        <v>215</v>
      </c>
      <c r="W321" s="5" t="s">
        <v>1057</v>
      </c>
      <c r="X321" s="5" t="s">
        <v>1651</v>
      </c>
      <c r="Y321" s="5" t="s">
        <v>1652</v>
      </c>
      <c r="Z321" s="9">
        <v>46003</v>
      </c>
      <c r="AA321" s="8">
        <v>24</v>
      </c>
      <c r="AB321" s="9">
        <f t="shared" si="13"/>
        <v>46733</v>
      </c>
      <c r="AC321" s="10">
        <v>16</v>
      </c>
      <c r="AD321" s="7">
        <f t="shared" si="14"/>
        <v>611</v>
      </c>
      <c r="AE321" s="7">
        <f>IF(F321="Bullet",H321*AD321,MIN(MAX(I321,1),Assumptions!$B$6)*AD321)</f>
        <v>1222</v>
      </c>
      <c r="AF321" s="8">
        <f>IF(F321="Bullet",MAX(0,Assumptions!$B$4-AB321),MAX(0,Assumptions!$B$4-L321))</f>
        <v>52</v>
      </c>
      <c r="AG321" s="9">
        <v>46219</v>
      </c>
      <c r="AH321" s="8">
        <f>IF(AG321="","",Assumptions!$B$4-AG321)</f>
        <v>79</v>
      </c>
      <c r="AI321" s="5" t="s">
        <v>63</v>
      </c>
      <c r="AJ321" s="8">
        <v>2</v>
      </c>
      <c r="AK321" s="8">
        <v>0</v>
      </c>
      <c r="AL321" s="8">
        <v>650</v>
      </c>
      <c r="AM321" s="8">
        <v>1</v>
      </c>
      <c r="AN321" s="5" t="s">
        <v>63</v>
      </c>
      <c r="AO321" s="10">
        <v>82.7</v>
      </c>
      <c r="AP321" s="8">
        <v>61</v>
      </c>
      <c r="AQ321" s="9">
        <v>46280</v>
      </c>
      <c r="AR321" s="5" t="s">
        <v>51</v>
      </c>
      <c r="AS321" s="5" t="s">
        <v>81</v>
      </c>
    </row>
    <row r="322" spans="1:45" x14ac:dyDescent="0.35">
      <c r="A322" s="5" t="s">
        <v>1653</v>
      </c>
      <c r="B322" s="5" t="s">
        <v>1654</v>
      </c>
      <c r="C322" s="6" t="s">
        <v>1655</v>
      </c>
      <c r="D322" s="7">
        <v>65700</v>
      </c>
      <c r="E322" s="5" t="s">
        <v>48</v>
      </c>
      <c r="F322" s="5" t="s">
        <v>68</v>
      </c>
      <c r="G322" s="8">
        <v>6</v>
      </c>
      <c r="H322" s="8">
        <f>IF(F322="Bullet",MIN(G322,Assumptions!$B$6),"")</f>
        <v>2</v>
      </c>
      <c r="I322" s="8"/>
      <c r="J322" s="8" t="str">
        <f>IF(F322="Monthly interest",MAX(0,Assumptions!$B$5-I322),"")</f>
        <v/>
      </c>
      <c r="K322" s="7">
        <f t="shared" ref="K322:K385" si="15">IF(F322="Bullet",G322*AD322,MAX(I322,1)*AD322)</f>
        <v>4602</v>
      </c>
      <c r="L322" s="9">
        <v>46093</v>
      </c>
      <c r="M322" s="5" t="s">
        <v>116</v>
      </c>
      <c r="N322" s="5" t="s">
        <v>117</v>
      </c>
      <c r="O322" s="5" t="s">
        <v>461</v>
      </c>
      <c r="P322" s="5" t="s">
        <v>72</v>
      </c>
      <c r="Q322" s="5" t="s">
        <v>169</v>
      </c>
      <c r="R322" s="5" t="s">
        <v>170</v>
      </c>
      <c r="S322" s="5" t="s">
        <v>56</v>
      </c>
      <c r="T322" s="5" t="s">
        <v>57</v>
      </c>
      <c r="U322" s="5" t="s">
        <v>86</v>
      </c>
      <c r="V322" s="5" t="s">
        <v>59</v>
      </c>
      <c r="W322" s="5" t="s">
        <v>156</v>
      </c>
      <c r="X322" s="5" t="s">
        <v>947</v>
      </c>
      <c r="Y322" s="5" t="s">
        <v>1656</v>
      </c>
      <c r="Z322" s="9">
        <v>46093</v>
      </c>
      <c r="AA322" s="8">
        <v>6</v>
      </c>
      <c r="AB322" s="9">
        <f t="shared" ref="AB322:AB385" si="16">EDATE(Z322,AA322)</f>
        <v>46277</v>
      </c>
      <c r="AC322" s="10">
        <v>14</v>
      </c>
      <c r="AD322" s="7">
        <f t="shared" ref="AD322:AD385" si="17">ROUND(D322*AC322/100/12,0)</f>
        <v>767</v>
      </c>
      <c r="AE322" s="7">
        <f>IF(F322="Bullet",H322*AD322,MIN(MAX(I322,1),Assumptions!$B$6)*AD322)</f>
        <v>1534</v>
      </c>
      <c r="AF322" s="8">
        <f>IF(F322="Bullet",MAX(0,Assumptions!$B$4-AB322),MAX(0,Assumptions!$B$4-L322))</f>
        <v>21</v>
      </c>
      <c r="AG322" s="9"/>
      <c r="AH322" s="8" t="str">
        <f>IF(AG322="","",Assumptions!$B$4-AG322)</f>
        <v/>
      </c>
      <c r="AI322" s="5" t="s">
        <v>80</v>
      </c>
      <c r="AJ322" s="8"/>
      <c r="AK322" s="8">
        <v>2</v>
      </c>
      <c r="AL322" s="8">
        <v>775</v>
      </c>
      <c r="AM322" s="8">
        <v>2</v>
      </c>
      <c r="AN322" s="5" t="s">
        <v>63</v>
      </c>
      <c r="AO322" s="10">
        <v>65.3</v>
      </c>
      <c r="AP322" s="8">
        <v>55</v>
      </c>
      <c r="AQ322" s="9">
        <v>46296</v>
      </c>
      <c r="AR322" s="5" t="s">
        <v>51</v>
      </c>
      <c r="AS322" s="5" t="s">
        <v>81</v>
      </c>
    </row>
    <row r="323" spans="1:45" x14ac:dyDescent="0.35">
      <c r="A323" s="5" t="s">
        <v>1657</v>
      </c>
      <c r="B323" s="5" t="s">
        <v>1658</v>
      </c>
      <c r="C323" s="6" t="s">
        <v>1659</v>
      </c>
      <c r="D323" s="7">
        <v>36800</v>
      </c>
      <c r="E323" s="5" t="s">
        <v>48</v>
      </c>
      <c r="F323" s="5" t="s">
        <v>49</v>
      </c>
      <c r="G323" s="8"/>
      <c r="H323" s="8" t="str">
        <f>IF(F323="Bullet",MIN(G323,Assumptions!$B$6),"")</f>
        <v/>
      </c>
      <c r="I323" s="8">
        <v>2</v>
      </c>
      <c r="J323" s="8">
        <f>IF(F323="Monthly interest",MAX(0,Assumptions!$B$5-I323),"")</f>
        <v>1</v>
      </c>
      <c r="K323" s="7">
        <f t="shared" si="15"/>
        <v>920</v>
      </c>
      <c r="L323" s="9">
        <v>46238</v>
      </c>
      <c r="M323" s="5" t="s">
        <v>69</v>
      </c>
      <c r="N323" s="5" t="s">
        <v>53</v>
      </c>
      <c r="O323" s="5" t="s">
        <v>152</v>
      </c>
      <c r="P323" s="5" t="s">
        <v>153</v>
      </c>
      <c r="Q323" s="5" t="s">
        <v>154</v>
      </c>
      <c r="R323" s="5" t="s">
        <v>155</v>
      </c>
      <c r="S323" s="5" t="s">
        <v>56</v>
      </c>
      <c r="T323" s="5" t="s">
        <v>57</v>
      </c>
      <c r="U323" s="5" t="s">
        <v>86</v>
      </c>
      <c r="V323" s="5" t="s">
        <v>59</v>
      </c>
      <c r="W323" s="5" t="s">
        <v>60</v>
      </c>
      <c r="X323" s="5" t="s">
        <v>1660</v>
      </c>
      <c r="Y323" s="5" t="s">
        <v>1661</v>
      </c>
      <c r="Z323" s="9">
        <v>46026</v>
      </c>
      <c r="AA323" s="8">
        <v>12</v>
      </c>
      <c r="AB323" s="9">
        <f t="shared" si="16"/>
        <v>46391</v>
      </c>
      <c r="AC323" s="10">
        <v>15</v>
      </c>
      <c r="AD323" s="7">
        <f t="shared" si="17"/>
        <v>460</v>
      </c>
      <c r="AE323" s="7">
        <f>IF(F323="Bullet",H323*AD323,MIN(MAX(I323,1),Assumptions!$B$6)*AD323)</f>
        <v>920</v>
      </c>
      <c r="AF323" s="8">
        <f>IF(F323="Bullet",MAX(0,Assumptions!$B$4-AB323),MAX(0,Assumptions!$B$4-L323))</f>
        <v>60</v>
      </c>
      <c r="AG323" s="9">
        <v>46207</v>
      </c>
      <c r="AH323" s="8">
        <f>IF(AG323="","",Assumptions!$B$4-AG323)</f>
        <v>91</v>
      </c>
      <c r="AI323" s="5" t="s">
        <v>63</v>
      </c>
      <c r="AJ323" s="8">
        <v>3</v>
      </c>
      <c r="AK323" s="8">
        <v>0</v>
      </c>
      <c r="AL323" s="8">
        <v>752</v>
      </c>
      <c r="AM323" s="8">
        <v>0</v>
      </c>
      <c r="AN323" s="5" t="s">
        <v>57</v>
      </c>
      <c r="AO323" s="10">
        <v>68.099999999999994</v>
      </c>
      <c r="AP323" s="8">
        <v>46</v>
      </c>
      <c r="AQ323" s="9">
        <v>46284</v>
      </c>
      <c r="AR323" s="5" t="s">
        <v>51</v>
      </c>
      <c r="AS323" s="5" t="s">
        <v>181</v>
      </c>
    </row>
    <row r="324" spans="1:45" x14ac:dyDescent="0.35">
      <c r="A324" s="5" t="s">
        <v>1662</v>
      </c>
      <c r="B324" s="5" t="s">
        <v>1663</v>
      </c>
      <c r="C324" s="6" t="s">
        <v>1664</v>
      </c>
      <c r="D324" s="7">
        <v>473900</v>
      </c>
      <c r="E324" s="5" t="s">
        <v>48</v>
      </c>
      <c r="F324" s="5" t="s">
        <v>49</v>
      </c>
      <c r="G324" s="8"/>
      <c r="H324" s="8" t="str">
        <f>IF(F324="Bullet",MIN(G324,Assumptions!$B$6),"")</f>
        <v/>
      </c>
      <c r="I324" s="8">
        <v>2</v>
      </c>
      <c r="J324" s="8">
        <f>IF(F324="Monthly interest",MAX(0,Assumptions!$B$5-I324),"")</f>
        <v>1</v>
      </c>
      <c r="K324" s="7">
        <f t="shared" si="15"/>
        <v>18956</v>
      </c>
      <c r="L324" s="9">
        <v>46238</v>
      </c>
      <c r="M324" s="5" t="s">
        <v>116</v>
      </c>
      <c r="N324" s="5" t="s">
        <v>117</v>
      </c>
      <c r="O324" s="5" t="s">
        <v>118</v>
      </c>
      <c r="P324" s="5" t="s">
        <v>72</v>
      </c>
      <c r="Q324" s="5" t="s">
        <v>119</v>
      </c>
      <c r="R324" s="5" t="s">
        <v>120</v>
      </c>
      <c r="S324" s="5" t="s">
        <v>85</v>
      </c>
      <c r="T324" s="5" t="s">
        <v>63</v>
      </c>
      <c r="U324" s="5" t="s">
        <v>86</v>
      </c>
      <c r="V324" s="5" t="s">
        <v>177</v>
      </c>
      <c r="W324" s="5" t="s">
        <v>208</v>
      </c>
      <c r="X324" s="5" t="s">
        <v>1665</v>
      </c>
      <c r="Y324" s="5" t="s">
        <v>1666</v>
      </c>
      <c r="Z324" s="9">
        <v>46116</v>
      </c>
      <c r="AA324" s="8">
        <v>24</v>
      </c>
      <c r="AB324" s="9">
        <f t="shared" si="16"/>
        <v>46847</v>
      </c>
      <c r="AC324" s="10">
        <v>24</v>
      </c>
      <c r="AD324" s="7">
        <f t="shared" si="17"/>
        <v>9478</v>
      </c>
      <c r="AE324" s="7">
        <f>IF(F324="Bullet",H324*AD324,MIN(MAX(I324,1),Assumptions!$B$6)*AD324)</f>
        <v>18956</v>
      </c>
      <c r="AF324" s="8">
        <f>IF(F324="Bullet",MAX(0,Assumptions!$B$4-AB324),MAX(0,Assumptions!$B$4-L324))</f>
        <v>60</v>
      </c>
      <c r="AG324" s="9">
        <v>46212</v>
      </c>
      <c r="AH324" s="8">
        <f>IF(AG324="","",Assumptions!$B$4-AG324)</f>
        <v>86</v>
      </c>
      <c r="AI324" s="5" t="s">
        <v>63</v>
      </c>
      <c r="AJ324" s="8">
        <v>2</v>
      </c>
      <c r="AK324" s="8">
        <v>1</v>
      </c>
      <c r="AL324" s="8">
        <v>642</v>
      </c>
      <c r="AM324" s="8">
        <v>1</v>
      </c>
      <c r="AN324" s="5" t="s">
        <v>57</v>
      </c>
      <c r="AO324" s="10">
        <v>83</v>
      </c>
      <c r="AP324" s="8">
        <v>74</v>
      </c>
      <c r="AQ324" s="9">
        <v>46274</v>
      </c>
      <c r="AR324" s="5" t="s">
        <v>51</v>
      </c>
      <c r="AS324" s="5" t="s">
        <v>91</v>
      </c>
    </row>
    <row r="325" spans="1:45" x14ac:dyDescent="0.35">
      <c r="A325" s="5" t="s">
        <v>1667</v>
      </c>
      <c r="B325" s="5" t="s">
        <v>1668</v>
      </c>
      <c r="C325" s="6" t="s">
        <v>1669</v>
      </c>
      <c r="D325" s="7">
        <v>159800</v>
      </c>
      <c r="E325" s="5" t="s">
        <v>48</v>
      </c>
      <c r="F325" s="5" t="s">
        <v>49</v>
      </c>
      <c r="G325" s="8"/>
      <c r="H325" s="8" t="str">
        <f>IF(F325="Bullet",MIN(G325,Assumptions!$B$6),"")</f>
        <v/>
      </c>
      <c r="I325" s="8">
        <v>2</v>
      </c>
      <c r="J325" s="8">
        <f>IF(F325="Monthly interest",MAX(0,Assumptions!$B$5-I325),"")</f>
        <v>1</v>
      </c>
      <c r="K325" s="7">
        <f t="shared" si="15"/>
        <v>4262</v>
      </c>
      <c r="L325" s="9">
        <v>46258</v>
      </c>
      <c r="M325" s="5" t="s">
        <v>69</v>
      </c>
      <c r="N325" s="5" t="s">
        <v>53</v>
      </c>
      <c r="O325" s="5" t="s">
        <v>71</v>
      </c>
      <c r="P325" s="5" t="s">
        <v>70</v>
      </c>
      <c r="Q325" s="5" t="s">
        <v>73</v>
      </c>
      <c r="R325" s="5" t="s">
        <v>74</v>
      </c>
      <c r="S325" s="5" t="s">
        <v>185</v>
      </c>
      <c r="T325" s="5" t="s">
        <v>57</v>
      </c>
      <c r="U325" s="5" t="s">
        <v>86</v>
      </c>
      <c r="V325" s="5" t="s">
        <v>200</v>
      </c>
      <c r="W325" s="5" t="s">
        <v>767</v>
      </c>
      <c r="X325" s="5" t="s">
        <v>1670</v>
      </c>
      <c r="Y325" s="5" t="s">
        <v>1671</v>
      </c>
      <c r="Z325" s="9">
        <v>46077</v>
      </c>
      <c r="AA325" s="8">
        <v>12</v>
      </c>
      <c r="AB325" s="9">
        <f t="shared" si="16"/>
        <v>46442</v>
      </c>
      <c r="AC325" s="10">
        <v>16</v>
      </c>
      <c r="AD325" s="7">
        <f t="shared" si="17"/>
        <v>2131</v>
      </c>
      <c r="AE325" s="7">
        <f>IF(F325="Bullet",H325*AD325,MIN(MAX(I325,1),Assumptions!$B$6)*AD325)</f>
        <v>4262</v>
      </c>
      <c r="AF325" s="8">
        <f>IF(F325="Bullet",MAX(0,Assumptions!$B$4-AB325),MAX(0,Assumptions!$B$4-L325))</f>
        <v>40</v>
      </c>
      <c r="AG325" s="9">
        <v>46229</v>
      </c>
      <c r="AH325" s="8">
        <f>IF(AG325="","",Assumptions!$B$4-AG325)</f>
        <v>69</v>
      </c>
      <c r="AI325" s="5" t="s">
        <v>63</v>
      </c>
      <c r="AJ325" s="8">
        <v>2</v>
      </c>
      <c r="AK325" s="8">
        <v>1</v>
      </c>
      <c r="AL325" s="8">
        <v>796</v>
      </c>
      <c r="AM325" s="8">
        <v>2</v>
      </c>
      <c r="AN325" s="5" t="s">
        <v>63</v>
      </c>
      <c r="AO325" s="10">
        <v>77.400000000000006</v>
      </c>
      <c r="AP325" s="8">
        <v>41</v>
      </c>
      <c r="AQ325" s="9">
        <v>46286</v>
      </c>
      <c r="AR325" s="5" t="s">
        <v>53</v>
      </c>
      <c r="AS325" s="5" t="s">
        <v>64</v>
      </c>
    </row>
    <row r="326" spans="1:45" x14ac:dyDescent="0.35">
      <c r="A326" s="5" t="s">
        <v>1672</v>
      </c>
      <c r="B326" s="5" t="s">
        <v>1673</v>
      </c>
      <c r="C326" s="6" t="s">
        <v>1674</v>
      </c>
      <c r="D326" s="7">
        <v>450100</v>
      </c>
      <c r="E326" s="5" t="s">
        <v>48</v>
      </c>
      <c r="F326" s="5" t="s">
        <v>49</v>
      </c>
      <c r="G326" s="8"/>
      <c r="H326" s="8" t="str">
        <f>IF(F326="Bullet",MIN(G326,Assumptions!$B$6),"")</f>
        <v/>
      </c>
      <c r="I326" s="8">
        <v>1</v>
      </c>
      <c r="J326" s="8">
        <f>IF(F326="Monthly interest",MAX(0,Assumptions!$B$5-I326),"")</f>
        <v>2</v>
      </c>
      <c r="K326" s="7">
        <f t="shared" si="15"/>
        <v>6752</v>
      </c>
      <c r="L326" s="9">
        <v>46277</v>
      </c>
      <c r="M326" s="5" t="s">
        <v>50</v>
      </c>
      <c r="N326" s="5" t="s">
        <v>51</v>
      </c>
      <c r="O326" s="5" t="s">
        <v>52</v>
      </c>
      <c r="P326" s="5" t="s">
        <v>53</v>
      </c>
      <c r="Q326" s="5" t="s">
        <v>54</v>
      </c>
      <c r="R326" s="5" t="s">
        <v>55</v>
      </c>
      <c r="S326" s="5" t="s">
        <v>85</v>
      </c>
      <c r="T326" s="5" t="s">
        <v>57</v>
      </c>
      <c r="U326" s="5" t="s">
        <v>86</v>
      </c>
      <c r="V326" s="5" t="s">
        <v>177</v>
      </c>
      <c r="W326" s="5" t="s">
        <v>208</v>
      </c>
      <c r="X326" s="5" t="s">
        <v>1665</v>
      </c>
      <c r="Y326" s="5" t="s">
        <v>1675</v>
      </c>
      <c r="Z326" s="9">
        <v>46154</v>
      </c>
      <c r="AA326" s="8">
        <v>24</v>
      </c>
      <c r="AB326" s="9">
        <f t="shared" si="16"/>
        <v>46885</v>
      </c>
      <c r="AC326" s="10">
        <v>18</v>
      </c>
      <c r="AD326" s="7">
        <f t="shared" si="17"/>
        <v>6752</v>
      </c>
      <c r="AE326" s="7">
        <f>IF(F326="Bullet",H326*AD326,MIN(MAX(I326,1),Assumptions!$B$6)*AD326)</f>
        <v>6752</v>
      </c>
      <c r="AF326" s="8">
        <f>IF(F326="Bullet",MAX(0,Assumptions!$B$4-AB326),MAX(0,Assumptions!$B$4-L326))</f>
        <v>21</v>
      </c>
      <c r="AG326" s="9">
        <v>46251</v>
      </c>
      <c r="AH326" s="8">
        <f>IF(AG326="","",Assumptions!$B$4-AG326)</f>
        <v>47</v>
      </c>
      <c r="AI326" s="5" t="s">
        <v>63</v>
      </c>
      <c r="AJ326" s="8">
        <v>1</v>
      </c>
      <c r="AK326" s="8">
        <v>1</v>
      </c>
      <c r="AL326" s="8">
        <v>742</v>
      </c>
      <c r="AM326" s="8">
        <v>1</v>
      </c>
      <c r="AN326" s="5" t="s">
        <v>63</v>
      </c>
      <c r="AO326" s="10">
        <v>74.3</v>
      </c>
      <c r="AP326" s="8">
        <v>24</v>
      </c>
      <c r="AQ326" s="9">
        <v>46273</v>
      </c>
      <c r="AR326" s="5" t="s">
        <v>53</v>
      </c>
      <c r="AS326" s="5" t="s">
        <v>81</v>
      </c>
    </row>
    <row r="327" spans="1:45" x14ac:dyDescent="0.35">
      <c r="A327" s="5" t="s">
        <v>1676</v>
      </c>
      <c r="B327" s="5" t="s">
        <v>1677</v>
      </c>
      <c r="C327" s="6" t="s">
        <v>1678</v>
      </c>
      <c r="D327" s="7">
        <v>86200</v>
      </c>
      <c r="E327" s="5" t="s">
        <v>48</v>
      </c>
      <c r="F327" s="5" t="s">
        <v>68</v>
      </c>
      <c r="G327" s="8">
        <v>1</v>
      </c>
      <c r="H327" s="8">
        <f>IF(F327="Bullet",MIN(G327,Assumptions!$B$6),"")</f>
        <v>1</v>
      </c>
      <c r="I327" s="8"/>
      <c r="J327" s="8" t="str">
        <f>IF(F327="Monthly interest",MAX(0,Assumptions!$B$5-I327),"")</f>
        <v/>
      </c>
      <c r="K327" s="7">
        <f t="shared" si="15"/>
        <v>1149</v>
      </c>
      <c r="L327" s="9">
        <v>46252</v>
      </c>
      <c r="M327" s="5" t="s">
        <v>50</v>
      </c>
      <c r="N327" s="5" t="s">
        <v>51</v>
      </c>
      <c r="O327" s="5" t="s">
        <v>71</v>
      </c>
      <c r="P327" s="5" t="s">
        <v>53</v>
      </c>
      <c r="Q327" s="5" t="s">
        <v>73</v>
      </c>
      <c r="R327" s="5" t="s">
        <v>74</v>
      </c>
      <c r="S327" s="5" t="s">
        <v>85</v>
      </c>
      <c r="T327" s="5" t="s">
        <v>57</v>
      </c>
      <c r="U327" s="5" t="s">
        <v>86</v>
      </c>
      <c r="V327" s="5" t="s">
        <v>96</v>
      </c>
      <c r="W327" s="5" t="s">
        <v>819</v>
      </c>
      <c r="X327" s="5" t="s">
        <v>820</v>
      </c>
      <c r="Y327" s="5" t="s">
        <v>1679</v>
      </c>
      <c r="Z327" s="9">
        <v>46252</v>
      </c>
      <c r="AA327" s="8">
        <v>6</v>
      </c>
      <c r="AB327" s="9">
        <f t="shared" si="16"/>
        <v>46436</v>
      </c>
      <c r="AC327" s="10">
        <v>16</v>
      </c>
      <c r="AD327" s="7">
        <f t="shared" si="17"/>
        <v>1149</v>
      </c>
      <c r="AE327" s="7">
        <f>IF(F327="Bullet",H327*AD327,MIN(MAX(I327,1),Assumptions!$B$6)*AD327)</f>
        <v>1149</v>
      </c>
      <c r="AF327" s="8">
        <f>IF(F327="Bullet",MAX(0,Assumptions!$B$4-AB327),MAX(0,Assumptions!$B$4-L327))</f>
        <v>0</v>
      </c>
      <c r="AG327" s="9"/>
      <c r="AH327" s="8" t="str">
        <f>IF(AG327="","",Assumptions!$B$4-AG327)</f>
        <v/>
      </c>
      <c r="AI327" s="5" t="s">
        <v>80</v>
      </c>
      <c r="AJ327" s="8"/>
      <c r="AK327" s="8">
        <v>2</v>
      </c>
      <c r="AL327" s="8">
        <v>711</v>
      </c>
      <c r="AM327" s="8">
        <v>0</v>
      </c>
      <c r="AN327" s="5" t="s">
        <v>57</v>
      </c>
      <c r="AO327" s="10">
        <v>66.900000000000006</v>
      </c>
      <c r="AP327" s="8">
        <v>25</v>
      </c>
      <c r="AQ327" s="9">
        <v>46280</v>
      </c>
      <c r="AR327" s="5" t="s">
        <v>53</v>
      </c>
      <c r="AS327" s="5" t="s">
        <v>81</v>
      </c>
    </row>
    <row r="328" spans="1:45" x14ac:dyDescent="0.35">
      <c r="A328" s="5" t="s">
        <v>1680</v>
      </c>
      <c r="B328" s="5" t="s">
        <v>1681</v>
      </c>
      <c r="C328" s="6" t="s">
        <v>1682</v>
      </c>
      <c r="D328" s="7">
        <v>49800</v>
      </c>
      <c r="E328" s="5" t="s">
        <v>48</v>
      </c>
      <c r="F328" s="5" t="s">
        <v>68</v>
      </c>
      <c r="G328" s="8">
        <v>1</v>
      </c>
      <c r="H328" s="8">
        <f>IF(F328="Bullet",MIN(G328,Assumptions!$B$6),"")</f>
        <v>1</v>
      </c>
      <c r="I328" s="8"/>
      <c r="J328" s="8" t="str">
        <f>IF(F328="Monthly interest",MAX(0,Assumptions!$B$5-I328),"")</f>
        <v/>
      </c>
      <c r="K328" s="7">
        <f t="shared" si="15"/>
        <v>664</v>
      </c>
      <c r="L328" s="9">
        <v>46248</v>
      </c>
      <c r="M328" s="5" t="s">
        <v>50</v>
      </c>
      <c r="N328" s="5" t="s">
        <v>53</v>
      </c>
      <c r="O328" s="5" t="s">
        <v>103</v>
      </c>
      <c r="P328" s="5" t="s">
        <v>153</v>
      </c>
      <c r="Q328" s="5" t="s">
        <v>154</v>
      </c>
      <c r="R328" s="5" t="s">
        <v>155</v>
      </c>
      <c r="S328" s="5" t="s">
        <v>85</v>
      </c>
      <c r="T328" s="5" t="s">
        <v>63</v>
      </c>
      <c r="U328" s="5" t="s">
        <v>104</v>
      </c>
      <c r="V328" s="5" t="s">
        <v>96</v>
      </c>
      <c r="W328" s="5" t="s">
        <v>265</v>
      </c>
      <c r="X328" s="5" t="s">
        <v>1683</v>
      </c>
      <c r="Y328" s="5" t="s">
        <v>1684</v>
      </c>
      <c r="Z328" s="9">
        <v>46248</v>
      </c>
      <c r="AA328" s="8">
        <v>12</v>
      </c>
      <c r="AB328" s="9">
        <f t="shared" si="16"/>
        <v>46613</v>
      </c>
      <c r="AC328" s="10">
        <v>16</v>
      </c>
      <c r="AD328" s="7">
        <f t="shared" si="17"/>
        <v>664</v>
      </c>
      <c r="AE328" s="7">
        <f>IF(F328="Bullet",H328*AD328,MIN(MAX(I328,1),Assumptions!$B$6)*AD328)</f>
        <v>664</v>
      </c>
      <c r="AF328" s="8">
        <f>IF(F328="Bullet",MAX(0,Assumptions!$B$4-AB328),MAX(0,Assumptions!$B$4-L328))</f>
        <v>0</v>
      </c>
      <c r="AG328" s="9"/>
      <c r="AH328" s="8" t="str">
        <f>IF(AG328="","",Assumptions!$B$4-AG328)</f>
        <v/>
      </c>
      <c r="AI328" s="5" t="s">
        <v>80</v>
      </c>
      <c r="AJ328" s="8"/>
      <c r="AK328" s="8">
        <v>1</v>
      </c>
      <c r="AL328" s="8">
        <v>711</v>
      </c>
      <c r="AM328" s="8">
        <v>1</v>
      </c>
      <c r="AN328" s="5" t="s">
        <v>63</v>
      </c>
      <c r="AO328" s="10">
        <v>67.599999999999994</v>
      </c>
      <c r="AP328" s="8">
        <v>11</v>
      </c>
      <c r="AQ328" s="9">
        <v>46295</v>
      </c>
      <c r="AR328" s="5" t="s">
        <v>51</v>
      </c>
      <c r="AS328" s="5" t="s">
        <v>81</v>
      </c>
    </row>
    <row r="329" spans="1:45" x14ac:dyDescent="0.35">
      <c r="A329" s="5" t="s">
        <v>1685</v>
      </c>
      <c r="B329" s="5" t="s">
        <v>1686</v>
      </c>
      <c r="C329" s="6" t="s">
        <v>1687</v>
      </c>
      <c r="D329" s="7">
        <v>30000</v>
      </c>
      <c r="E329" s="5" t="s">
        <v>48</v>
      </c>
      <c r="F329" s="5" t="s">
        <v>49</v>
      </c>
      <c r="G329" s="8"/>
      <c r="H329" s="8" t="str">
        <f>IF(F329="Bullet",MIN(G329,Assumptions!$B$6),"")</f>
        <v/>
      </c>
      <c r="I329" s="8">
        <v>1</v>
      </c>
      <c r="J329" s="8">
        <f>IF(F329="Monthly interest",MAX(0,Assumptions!$B$5-I329),"")</f>
        <v>2</v>
      </c>
      <c r="K329" s="7">
        <f t="shared" si="15"/>
        <v>400</v>
      </c>
      <c r="L329" s="9">
        <v>46286</v>
      </c>
      <c r="M329" s="5" t="s">
        <v>50</v>
      </c>
      <c r="N329" s="5" t="s">
        <v>51</v>
      </c>
      <c r="O329" s="5" t="s">
        <v>152</v>
      </c>
      <c r="P329" s="5" t="s">
        <v>53</v>
      </c>
      <c r="Q329" s="5" t="s">
        <v>154</v>
      </c>
      <c r="R329" s="5" t="s">
        <v>155</v>
      </c>
      <c r="S329" s="5" t="s">
        <v>214</v>
      </c>
      <c r="T329" s="5" t="s">
        <v>57</v>
      </c>
      <c r="U329" s="5" t="s">
        <v>86</v>
      </c>
      <c r="V329" s="5" t="s">
        <v>215</v>
      </c>
      <c r="W329" s="5" t="s">
        <v>278</v>
      </c>
      <c r="X329" s="5" t="s">
        <v>1688</v>
      </c>
      <c r="Y329" s="5" t="s">
        <v>1689</v>
      </c>
      <c r="Z329" s="9">
        <v>46194</v>
      </c>
      <c r="AA329" s="8">
        <v>18</v>
      </c>
      <c r="AB329" s="9">
        <f t="shared" si="16"/>
        <v>46742</v>
      </c>
      <c r="AC329" s="10">
        <v>16</v>
      </c>
      <c r="AD329" s="7">
        <f t="shared" si="17"/>
        <v>400</v>
      </c>
      <c r="AE329" s="7">
        <f>IF(F329="Bullet",H329*AD329,MIN(MAX(I329,1),Assumptions!$B$6)*AD329)</f>
        <v>400</v>
      </c>
      <c r="AF329" s="8">
        <f>IF(F329="Bullet",MAX(0,Assumptions!$B$4-AB329),MAX(0,Assumptions!$B$4-L329))</f>
        <v>12</v>
      </c>
      <c r="AG329" s="9">
        <v>46258</v>
      </c>
      <c r="AH329" s="8">
        <f>IF(AG329="","",Assumptions!$B$4-AG329)</f>
        <v>40</v>
      </c>
      <c r="AI329" s="5" t="s">
        <v>57</v>
      </c>
      <c r="AJ329" s="8">
        <v>1</v>
      </c>
      <c r="AK329" s="8">
        <v>0</v>
      </c>
      <c r="AL329" s="8">
        <v>733</v>
      </c>
      <c r="AM329" s="8">
        <v>2</v>
      </c>
      <c r="AN329" s="5" t="s">
        <v>63</v>
      </c>
      <c r="AO329" s="10">
        <v>64.7</v>
      </c>
      <c r="AP329" s="8">
        <v>20</v>
      </c>
      <c r="AQ329" s="9">
        <v>46283</v>
      </c>
      <c r="AR329" s="5" t="s">
        <v>53</v>
      </c>
      <c r="AS329" s="5" t="s">
        <v>190</v>
      </c>
    </row>
    <row r="330" spans="1:45" x14ac:dyDescent="0.35">
      <c r="A330" s="5" t="s">
        <v>1690</v>
      </c>
      <c r="B330" s="5" t="s">
        <v>1691</v>
      </c>
      <c r="C330" s="6" t="s">
        <v>1692</v>
      </c>
      <c r="D330" s="7">
        <v>163800</v>
      </c>
      <c r="E330" s="5" t="s">
        <v>48</v>
      </c>
      <c r="F330" s="5" t="s">
        <v>49</v>
      </c>
      <c r="G330" s="8"/>
      <c r="H330" s="8" t="str">
        <f>IF(F330="Bullet",MIN(G330,Assumptions!$B$6),"")</f>
        <v/>
      </c>
      <c r="I330" s="8">
        <v>1</v>
      </c>
      <c r="J330" s="8">
        <f>IF(F330="Monthly interest",MAX(0,Assumptions!$B$5-I330),"")</f>
        <v>2</v>
      </c>
      <c r="K330" s="7">
        <f t="shared" si="15"/>
        <v>2730</v>
      </c>
      <c r="L330" s="9">
        <v>46291</v>
      </c>
      <c r="M330" s="5" t="s">
        <v>50</v>
      </c>
      <c r="N330" s="5" t="s">
        <v>51</v>
      </c>
      <c r="O330" s="5" t="s">
        <v>52</v>
      </c>
      <c r="P330" s="5" t="s">
        <v>53</v>
      </c>
      <c r="Q330" s="5" t="s">
        <v>54</v>
      </c>
      <c r="R330" s="5" t="s">
        <v>55</v>
      </c>
      <c r="S330" s="5" t="s">
        <v>85</v>
      </c>
      <c r="T330" s="5" t="s">
        <v>57</v>
      </c>
      <c r="U330" s="5" t="s">
        <v>104</v>
      </c>
      <c r="V330" s="5" t="s">
        <v>553</v>
      </c>
      <c r="W330" s="5" t="s">
        <v>554</v>
      </c>
      <c r="X330" s="5" t="s">
        <v>1693</v>
      </c>
      <c r="Y330" s="5" t="s">
        <v>1694</v>
      </c>
      <c r="Z330" s="9">
        <v>46229</v>
      </c>
      <c r="AA330" s="8">
        <v>12</v>
      </c>
      <c r="AB330" s="9">
        <f t="shared" si="16"/>
        <v>46594</v>
      </c>
      <c r="AC330" s="10">
        <v>20</v>
      </c>
      <c r="AD330" s="7">
        <f t="shared" si="17"/>
        <v>2730</v>
      </c>
      <c r="AE330" s="7">
        <f>IF(F330="Bullet",H330*AD330,MIN(MAX(I330,1),Assumptions!$B$6)*AD330)</f>
        <v>2730</v>
      </c>
      <c r="AF330" s="8">
        <f>IF(F330="Bullet",MAX(0,Assumptions!$B$4-AB330),MAX(0,Assumptions!$B$4-L330))</f>
        <v>7</v>
      </c>
      <c r="AG330" s="9">
        <v>46262</v>
      </c>
      <c r="AH330" s="8">
        <f>IF(AG330="","",Assumptions!$B$4-AG330)</f>
        <v>36</v>
      </c>
      <c r="AI330" s="5" t="s">
        <v>57</v>
      </c>
      <c r="AJ330" s="8">
        <v>1</v>
      </c>
      <c r="AK330" s="8">
        <v>0</v>
      </c>
      <c r="AL330" s="8">
        <v>724</v>
      </c>
      <c r="AM330" s="8">
        <v>1</v>
      </c>
      <c r="AN330" s="5" t="s">
        <v>63</v>
      </c>
      <c r="AO330" s="10">
        <v>56.1</v>
      </c>
      <c r="AP330" s="8">
        <v>20</v>
      </c>
      <c r="AQ330" s="9">
        <v>46284</v>
      </c>
      <c r="AR330" s="5" t="s">
        <v>70</v>
      </c>
      <c r="AS330" s="5" t="s">
        <v>64</v>
      </c>
    </row>
    <row r="331" spans="1:45" x14ac:dyDescent="0.35">
      <c r="A331" s="5" t="s">
        <v>1695</v>
      </c>
      <c r="B331" s="5" t="s">
        <v>1696</v>
      </c>
      <c r="C331" s="6" t="s">
        <v>1697</v>
      </c>
      <c r="D331" s="7">
        <v>648600</v>
      </c>
      <c r="E331" s="5" t="s">
        <v>48</v>
      </c>
      <c r="F331" s="5" t="s">
        <v>68</v>
      </c>
      <c r="G331" s="8">
        <v>3</v>
      </c>
      <c r="H331" s="8">
        <f>IF(F331="Bullet",MIN(G331,Assumptions!$B$6),"")</f>
        <v>2</v>
      </c>
      <c r="I331" s="8"/>
      <c r="J331" s="8" t="str">
        <f>IF(F331="Monthly interest",MAX(0,Assumptions!$B$5-I331),"")</f>
        <v/>
      </c>
      <c r="K331" s="7">
        <f t="shared" si="15"/>
        <v>21081</v>
      </c>
      <c r="L331" s="9">
        <v>46196</v>
      </c>
      <c r="M331" s="5" t="s">
        <v>50</v>
      </c>
      <c r="N331" s="5" t="s">
        <v>53</v>
      </c>
      <c r="O331" s="5" t="s">
        <v>71</v>
      </c>
      <c r="P331" s="5" t="s">
        <v>70</v>
      </c>
      <c r="Q331" s="5" t="s">
        <v>73</v>
      </c>
      <c r="R331" s="5" t="s">
        <v>74</v>
      </c>
      <c r="S331" s="5" t="s">
        <v>75</v>
      </c>
      <c r="T331" s="5" t="s">
        <v>63</v>
      </c>
      <c r="U331" s="5" t="s">
        <v>86</v>
      </c>
      <c r="V331" s="5" t="s">
        <v>76</v>
      </c>
      <c r="W331" s="5" t="s">
        <v>105</v>
      </c>
      <c r="X331" s="5" t="s">
        <v>106</v>
      </c>
      <c r="Y331" s="5" t="s">
        <v>1698</v>
      </c>
      <c r="Z331" s="9">
        <v>46196</v>
      </c>
      <c r="AA331" s="8">
        <v>6</v>
      </c>
      <c r="AB331" s="9">
        <f t="shared" si="16"/>
        <v>46379</v>
      </c>
      <c r="AC331" s="10">
        <v>13</v>
      </c>
      <c r="AD331" s="7">
        <f t="shared" si="17"/>
        <v>7027</v>
      </c>
      <c r="AE331" s="7">
        <f>IF(F331="Bullet",H331*AD331,MIN(MAX(I331,1),Assumptions!$B$6)*AD331)</f>
        <v>14054</v>
      </c>
      <c r="AF331" s="8">
        <f>IF(F331="Bullet",MAX(0,Assumptions!$B$4-AB331),MAX(0,Assumptions!$B$4-L331))</f>
        <v>0</v>
      </c>
      <c r="AG331" s="9"/>
      <c r="AH331" s="8" t="str">
        <f>IF(AG331="","",Assumptions!$B$4-AG331)</f>
        <v/>
      </c>
      <c r="AI331" s="5" t="s">
        <v>80</v>
      </c>
      <c r="AJ331" s="8"/>
      <c r="AK331" s="8">
        <v>0</v>
      </c>
      <c r="AL331" s="8">
        <v>671</v>
      </c>
      <c r="AM331" s="8">
        <v>0</v>
      </c>
      <c r="AN331" s="5" t="s">
        <v>63</v>
      </c>
      <c r="AO331" s="10">
        <v>64.5</v>
      </c>
      <c r="AP331" s="8">
        <v>25</v>
      </c>
      <c r="AQ331" s="9">
        <v>46289</v>
      </c>
      <c r="AR331" s="5" t="s">
        <v>72</v>
      </c>
      <c r="AS331" s="5" t="s">
        <v>64</v>
      </c>
    </row>
    <row r="332" spans="1:45" x14ac:dyDescent="0.35">
      <c r="A332" s="5" t="s">
        <v>1699</v>
      </c>
      <c r="B332" s="5" t="s">
        <v>1700</v>
      </c>
      <c r="C332" s="6" t="s">
        <v>1701</v>
      </c>
      <c r="D332" s="7">
        <v>19200</v>
      </c>
      <c r="E332" s="5" t="s">
        <v>48</v>
      </c>
      <c r="F332" s="5" t="s">
        <v>49</v>
      </c>
      <c r="G332" s="8"/>
      <c r="H332" s="8" t="str">
        <f>IF(F332="Bullet",MIN(G332,Assumptions!$B$6),"")</f>
        <v/>
      </c>
      <c r="I332" s="8">
        <v>2</v>
      </c>
      <c r="J332" s="8">
        <f>IF(F332="Monthly interest",MAX(0,Assumptions!$B$5-I332),"")</f>
        <v>1</v>
      </c>
      <c r="K332" s="7">
        <f t="shared" si="15"/>
        <v>768</v>
      </c>
      <c r="L332" s="9">
        <v>46250</v>
      </c>
      <c r="M332" s="5" t="s">
        <v>116</v>
      </c>
      <c r="N332" s="5" t="s">
        <v>117</v>
      </c>
      <c r="O332" s="5" t="s">
        <v>450</v>
      </c>
      <c r="P332" s="5" t="s">
        <v>72</v>
      </c>
      <c r="Q332" s="5" t="s">
        <v>154</v>
      </c>
      <c r="R332" s="5" t="s">
        <v>155</v>
      </c>
      <c r="S332" s="5" t="s">
        <v>214</v>
      </c>
      <c r="T332" s="5" t="s">
        <v>57</v>
      </c>
      <c r="U332" s="5" t="s">
        <v>58</v>
      </c>
      <c r="V332" s="5" t="s">
        <v>215</v>
      </c>
      <c r="W332" s="5" t="s">
        <v>242</v>
      </c>
      <c r="X332" s="5" t="s">
        <v>1627</v>
      </c>
      <c r="Y332" s="5" t="s">
        <v>1702</v>
      </c>
      <c r="Z332" s="9">
        <v>45977</v>
      </c>
      <c r="AA332" s="8">
        <v>12</v>
      </c>
      <c r="AB332" s="9">
        <f t="shared" si="16"/>
        <v>46342</v>
      </c>
      <c r="AC332" s="10">
        <v>24</v>
      </c>
      <c r="AD332" s="7">
        <f t="shared" si="17"/>
        <v>384</v>
      </c>
      <c r="AE332" s="7">
        <f>IF(F332="Bullet",H332*AD332,MIN(MAX(I332,1),Assumptions!$B$6)*AD332)</f>
        <v>768</v>
      </c>
      <c r="AF332" s="8">
        <f>IF(F332="Bullet",MAX(0,Assumptions!$B$4-AB332),MAX(0,Assumptions!$B$4-L332))</f>
        <v>48</v>
      </c>
      <c r="AG332" s="9">
        <v>46224</v>
      </c>
      <c r="AH332" s="8">
        <f>IF(AG332="","",Assumptions!$B$4-AG332)</f>
        <v>74</v>
      </c>
      <c r="AI332" s="5" t="s">
        <v>63</v>
      </c>
      <c r="AJ332" s="8">
        <v>4</v>
      </c>
      <c r="AK332" s="8">
        <v>1</v>
      </c>
      <c r="AL332" s="8">
        <v>659</v>
      </c>
      <c r="AM332" s="8">
        <v>0</v>
      </c>
      <c r="AN332" s="5" t="s">
        <v>63</v>
      </c>
      <c r="AO332" s="10">
        <v>54.4</v>
      </c>
      <c r="AP332" s="8">
        <v>56</v>
      </c>
      <c r="AQ332" s="9">
        <v>46290</v>
      </c>
      <c r="AR332" s="5" t="s">
        <v>72</v>
      </c>
      <c r="AS332" s="5" t="s">
        <v>81</v>
      </c>
    </row>
    <row r="333" spans="1:45" x14ac:dyDescent="0.35">
      <c r="A333" s="5" t="s">
        <v>1703</v>
      </c>
      <c r="B333" s="5" t="s">
        <v>1704</v>
      </c>
      <c r="C333" s="6" t="s">
        <v>1705</v>
      </c>
      <c r="D333" s="7">
        <v>252600</v>
      </c>
      <c r="E333" s="5" t="s">
        <v>48</v>
      </c>
      <c r="F333" s="5" t="s">
        <v>49</v>
      </c>
      <c r="G333" s="8"/>
      <c r="H333" s="8" t="str">
        <f>IF(F333="Bullet",MIN(G333,Assumptions!$B$6),"")</f>
        <v/>
      </c>
      <c r="I333" s="8">
        <v>1</v>
      </c>
      <c r="J333" s="8">
        <f>IF(F333="Monthly interest",MAX(0,Assumptions!$B$5-I333),"")</f>
        <v>2</v>
      </c>
      <c r="K333" s="7">
        <f t="shared" si="15"/>
        <v>4631</v>
      </c>
      <c r="L333" s="9">
        <v>46292</v>
      </c>
      <c r="M333" s="5" t="s">
        <v>50</v>
      </c>
      <c r="N333" s="5" t="s">
        <v>51</v>
      </c>
      <c r="O333" s="5" t="s">
        <v>52</v>
      </c>
      <c r="P333" s="5" t="s">
        <v>53</v>
      </c>
      <c r="Q333" s="5" t="s">
        <v>54</v>
      </c>
      <c r="R333" s="5" t="s">
        <v>55</v>
      </c>
      <c r="S333" s="5" t="s">
        <v>75</v>
      </c>
      <c r="T333" s="5" t="s">
        <v>57</v>
      </c>
      <c r="U333" s="5" t="s">
        <v>104</v>
      </c>
      <c r="V333" s="5" t="s">
        <v>76</v>
      </c>
      <c r="W333" s="5" t="s">
        <v>77</v>
      </c>
      <c r="X333" s="5" t="s">
        <v>1706</v>
      </c>
      <c r="Y333" s="5" t="s">
        <v>1707</v>
      </c>
      <c r="Z333" s="9">
        <v>46108</v>
      </c>
      <c r="AA333" s="8">
        <v>18</v>
      </c>
      <c r="AB333" s="9">
        <f t="shared" si="16"/>
        <v>46657</v>
      </c>
      <c r="AC333" s="10">
        <v>22</v>
      </c>
      <c r="AD333" s="7">
        <f t="shared" si="17"/>
        <v>4631</v>
      </c>
      <c r="AE333" s="7">
        <f>IF(F333="Bullet",H333*AD333,MIN(MAX(I333,1),Assumptions!$B$6)*AD333)</f>
        <v>4631</v>
      </c>
      <c r="AF333" s="8">
        <f>IF(F333="Bullet",MAX(0,Assumptions!$B$4-AB333),MAX(0,Assumptions!$B$4-L333))</f>
        <v>6</v>
      </c>
      <c r="AG333" s="9">
        <v>46264</v>
      </c>
      <c r="AH333" s="8">
        <f>IF(AG333="","",Assumptions!$B$4-AG333)</f>
        <v>34</v>
      </c>
      <c r="AI333" s="5" t="s">
        <v>57</v>
      </c>
      <c r="AJ333" s="8">
        <v>1</v>
      </c>
      <c r="AK333" s="8">
        <v>0</v>
      </c>
      <c r="AL333" s="8">
        <v>763</v>
      </c>
      <c r="AM333" s="8">
        <v>1</v>
      </c>
      <c r="AN333" s="5" t="s">
        <v>63</v>
      </c>
      <c r="AO333" s="10">
        <v>63.9</v>
      </c>
      <c r="AP333" s="8">
        <v>15</v>
      </c>
      <c r="AQ333" s="9">
        <v>46289</v>
      </c>
      <c r="AR333" s="5" t="s">
        <v>51</v>
      </c>
      <c r="AS333" s="5" t="s">
        <v>274</v>
      </c>
    </row>
    <row r="334" spans="1:45" x14ac:dyDescent="0.35">
      <c r="A334" s="5" t="s">
        <v>1708</v>
      </c>
      <c r="B334" s="5" t="s">
        <v>1709</v>
      </c>
      <c r="C334" s="6" t="s">
        <v>1710</v>
      </c>
      <c r="D334" s="7">
        <v>182500</v>
      </c>
      <c r="E334" s="5" t="s">
        <v>48</v>
      </c>
      <c r="F334" s="5" t="s">
        <v>49</v>
      </c>
      <c r="G334" s="8"/>
      <c r="H334" s="8" t="str">
        <f>IF(F334="Bullet",MIN(G334,Assumptions!$B$6),"")</f>
        <v/>
      </c>
      <c r="I334" s="8">
        <v>1</v>
      </c>
      <c r="J334" s="8">
        <f>IF(F334="Monthly interest",MAX(0,Assumptions!$B$5-I334),"")</f>
        <v>2</v>
      </c>
      <c r="K334" s="7">
        <f t="shared" si="15"/>
        <v>2738</v>
      </c>
      <c r="L334" s="9">
        <v>46286</v>
      </c>
      <c r="M334" s="5" t="s">
        <v>50</v>
      </c>
      <c r="N334" s="5" t="s">
        <v>51</v>
      </c>
      <c r="O334" s="5" t="s">
        <v>52</v>
      </c>
      <c r="P334" s="5" t="s">
        <v>53</v>
      </c>
      <c r="Q334" s="5" t="s">
        <v>54</v>
      </c>
      <c r="R334" s="5" t="s">
        <v>55</v>
      </c>
      <c r="S334" s="5" t="s">
        <v>56</v>
      </c>
      <c r="T334" s="5" t="s">
        <v>57</v>
      </c>
      <c r="U334" s="5" t="s">
        <v>104</v>
      </c>
      <c r="V334" s="5" t="s">
        <v>59</v>
      </c>
      <c r="W334" s="5" t="s">
        <v>156</v>
      </c>
      <c r="X334" s="5" t="s">
        <v>670</v>
      </c>
      <c r="Y334" s="5" t="s">
        <v>1711</v>
      </c>
      <c r="Z334" s="9">
        <v>46133</v>
      </c>
      <c r="AA334" s="8">
        <v>24</v>
      </c>
      <c r="AB334" s="9">
        <f t="shared" si="16"/>
        <v>46864</v>
      </c>
      <c r="AC334" s="10">
        <v>18</v>
      </c>
      <c r="AD334" s="7">
        <f t="shared" si="17"/>
        <v>2738</v>
      </c>
      <c r="AE334" s="7">
        <f>IF(F334="Bullet",H334*AD334,MIN(MAX(I334,1),Assumptions!$B$6)*AD334)</f>
        <v>2738</v>
      </c>
      <c r="AF334" s="8">
        <f>IF(F334="Bullet",MAX(0,Assumptions!$B$4-AB334),MAX(0,Assumptions!$B$4-L334))</f>
        <v>12</v>
      </c>
      <c r="AG334" s="9">
        <v>46255</v>
      </c>
      <c r="AH334" s="8">
        <f>IF(AG334="","",Assumptions!$B$4-AG334)</f>
        <v>43</v>
      </c>
      <c r="AI334" s="5" t="s">
        <v>57</v>
      </c>
      <c r="AJ334" s="8">
        <v>1</v>
      </c>
      <c r="AK334" s="8">
        <v>0</v>
      </c>
      <c r="AL334" s="8">
        <v>780</v>
      </c>
      <c r="AM334" s="8">
        <v>1</v>
      </c>
      <c r="AN334" s="5" t="s">
        <v>63</v>
      </c>
      <c r="AO334" s="10">
        <v>79.7</v>
      </c>
      <c r="AP334" s="8">
        <v>19</v>
      </c>
      <c r="AQ334" s="9">
        <v>46280</v>
      </c>
      <c r="AR334" s="5" t="s">
        <v>51</v>
      </c>
      <c r="AS334" s="5" t="s">
        <v>64</v>
      </c>
    </row>
    <row r="335" spans="1:45" x14ac:dyDescent="0.35">
      <c r="A335" s="5" t="s">
        <v>1712</v>
      </c>
      <c r="B335" s="5" t="s">
        <v>1713</v>
      </c>
      <c r="C335" s="6" t="s">
        <v>1714</v>
      </c>
      <c r="D335" s="7">
        <v>181400</v>
      </c>
      <c r="E335" s="5" t="s">
        <v>48</v>
      </c>
      <c r="F335" s="5" t="s">
        <v>49</v>
      </c>
      <c r="G335" s="8"/>
      <c r="H335" s="8" t="str">
        <f>IF(F335="Bullet",MIN(G335,Assumptions!$B$6),"")</f>
        <v/>
      </c>
      <c r="I335" s="8">
        <v>2</v>
      </c>
      <c r="J335" s="8">
        <f>IF(F335="Monthly interest",MAX(0,Assumptions!$B$5-I335),"")</f>
        <v>1</v>
      </c>
      <c r="K335" s="7">
        <f t="shared" si="15"/>
        <v>6046</v>
      </c>
      <c r="L335" s="9">
        <v>46257</v>
      </c>
      <c r="M335" s="5" t="s">
        <v>116</v>
      </c>
      <c r="N335" s="5" t="s">
        <v>117</v>
      </c>
      <c r="O335" s="5" t="s">
        <v>118</v>
      </c>
      <c r="P335" s="5" t="s">
        <v>72</v>
      </c>
      <c r="Q335" s="5" t="s">
        <v>119</v>
      </c>
      <c r="R335" s="5" t="s">
        <v>120</v>
      </c>
      <c r="S335" s="5" t="s">
        <v>85</v>
      </c>
      <c r="T335" s="5" t="s">
        <v>57</v>
      </c>
      <c r="U335" s="5" t="s">
        <v>86</v>
      </c>
      <c r="V335" s="5" t="s">
        <v>553</v>
      </c>
      <c r="W335" s="5" t="s">
        <v>554</v>
      </c>
      <c r="X335" s="5" t="s">
        <v>1510</v>
      </c>
      <c r="Y335" s="5" t="s">
        <v>1715</v>
      </c>
      <c r="Z335" s="9">
        <v>46014</v>
      </c>
      <c r="AA335" s="8">
        <v>12</v>
      </c>
      <c r="AB335" s="9">
        <f t="shared" si="16"/>
        <v>46379</v>
      </c>
      <c r="AC335" s="10">
        <v>20</v>
      </c>
      <c r="AD335" s="7">
        <f t="shared" si="17"/>
        <v>3023</v>
      </c>
      <c r="AE335" s="7">
        <f>IF(F335="Bullet",H335*AD335,MIN(MAX(I335,1),Assumptions!$B$6)*AD335)</f>
        <v>6046</v>
      </c>
      <c r="AF335" s="8">
        <f>IF(F335="Bullet",MAX(0,Assumptions!$B$4-AB335),MAX(0,Assumptions!$B$4-L335))</f>
        <v>41</v>
      </c>
      <c r="AG335" s="9">
        <v>46230</v>
      </c>
      <c r="AH335" s="8">
        <f>IF(AG335="","",Assumptions!$B$4-AG335)</f>
        <v>68</v>
      </c>
      <c r="AI335" s="5" t="s">
        <v>63</v>
      </c>
      <c r="AJ335" s="8">
        <v>3</v>
      </c>
      <c r="AK335" s="8">
        <v>0</v>
      </c>
      <c r="AL335" s="8" t="s">
        <v>80</v>
      </c>
      <c r="AM335" s="8">
        <v>3</v>
      </c>
      <c r="AN335" s="5" t="s">
        <v>63</v>
      </c>
      <c r="AO335" s="10">
        <v>59.4</v>
      </c>
      <c r="AP335" s="8">
        <v>51</v>
      </c>
      <c r="AQ335" s="9">
        <v>46297</v>
      </c>
      <c r="AR335" s="5" t="s">
        <v>70</v>
      </c>
      <c r="AS335" s="5" t="s">
        <v>91</v>
      </c>
    </row>
    <row r="336" spans="1:45" x14ac:dyDescent="0.35">
      <c r="A336" s="5" t="s">
        <v>1716</v>
      </c>
      <c r="B336" s="5" t="s">
        <v>1717</v>
      </c>
      <c r="C336" s="6" t="s">
        <v>1718</v>
      </c>
      <c r="D336" s="7">
        <v>547100</v>
      </c>
      <c r="E336" s="5" t="s">
        <v>48</v>
      </c>
      <c r="F336" s="5" t="s">
        <v>68</v>
      </c>
      <c r="G336" s="8">
        <v>3</v>
      </c>
      <c r="H336" s="8">
        <f>IF(F336="Bullet",MIN(G336,Assumptions!$B$6),"")</f>
        <v>2</v>
      </c>
      <c r="I336" s="8"/>
      <c r="J336" s="8" t="str">
        <f>IF(F336="Monthly interest",MAX(0,Assumptions!$B$5-I336),"")</f>
        <v/>
      </c>
      <c r="K336" s="7">
        <f t="shared" si="15"/>
        <v>16413</v>
      </c>
      <c r="L336" s="9">
        <v>46191</v>
      </c>
      <c r="M336" s="5" t="s">
        <v>69</v>
      </c>
      <c r="N336" s="5" t="s">
        <v>70</v>
      </c>
      <c r="O336" s="5" t="s">
        <v>71</v>
      </c>
      <c r="P336" s="5" t="s">
        <v>72</v>
      </c>
      <c r="Q336" s="5" t="s">
        <v>73</v>
      </c>
      <c r="R336" s="5" t="s">
        <v>74</v>
      </c>
      <c r="S336" s="5" t="s">
        <v>75</v>
      </c>
      <c r="T336" s="5" t="s">
        <v>57</v>
      </c>
      <c r="U336" s="5" t="s">
        <v>86</v>
      </c>
      <c r="V336" s="5" t="s">
        <v>76</v>
      </c>
      <c r="W336" s="5" t="s">
        <v>382</v>
      </c>
      <c r="X336" s="5" t="s">
        <v>1381</v>
      </c>
      <c r="Y336" s="5" t="s">
        <v>1719</v>
      </c>
      <c r="Z336" s="9">
        <v>46191</v>
      </c>
      <c r="AA336" s="8">
        <v>3</v>
      </c>
      <c r="AB336" s="9">
        <f t="shared" si="16"/>
        <v>46283</v>
      </c>
      <c r="AC336" s="10">
        <v>12</v>
      </c>
      <c r="AD336" s="7">
        <f t="shared" si="17"/>
        <v>5471</v>
      </c>
      <c r="AE336" s="7">
        <f>IF(F336="Bullet",H336*AD336,MIN(MAX(I336,1),Assumptions!$B$6)*AD336)</f>
        <v>10942</v>
      </c>
      <c r="AF336" s="8">
        <f>IF(F336="Bullet",MAX(0,Assumptions!$B$4-AB336),MAX(0,Assumptions!$B$4-L336))</f>
        <v>15</v>
      </c>
      <c r="AG336" s="9"/>
      <c r="AH336" s="8" t="str">
        <f>IF(AG336="","",Assumptions!$B$4-AG336)</f>
        <v/>
      </c>
      <c r="AI336" s="5" t="s">
        <v>80</v>
      </c>
      <c r="AJ336" s="8"/>
      <c r="AK336" s="8">
        <v>1</v>
      </c>
      <c r="AL336" s="8">
        <v>708</v>
      </c>
      <c r="AM336" s="8">
        <v>0</v>
      </c>
      <c r="AN336" s="5" t="s">
        <v>63</v>
      </c>
      <c r="AO336" s="10">
        <v>68.8</v>
      </c>
      <c r="AP336" s="8">
        <v>34</v>
      </c>
      <c r="AQ336" s="9">
        <v>46297</v>
      </c>
      <c r="AR336" s="5" t="s">
        <v>51</v>
      </c>
      <c r="AS336" s="5" t="s">
        <v>91</v>
      </c>
    </row>
    <row r="337" spans="1:45" x14ac:dyDescent="0.35">
      <c r="A337" s="5" t="s">
        <v>1720</v>
      </c>
      <c r="B337" s="5" t="s">
        <v>1721</v>
      </c>
      <c r="C337" s="6" t="s">
        <v>1722</v>
      </c>
      <c r="D337" s="7">
        <v>325800</v>
      </c>
      <c r="E337" s="5" t="s">
        <v>48</v>
      </c>
      <c r="F337" s="5" t="s">
        <v>68</v>
      </c>
      <c r="G337" s="8">
        <v>4</v>
      </c>
      <c r="H337" s="8">
        <f>IF(F337="Bullet",MIN(G337,Assumptions!$B$6),"")</f>
        <v>2</v>
      </c>
      <c r="I337" s="8"/>
      <c r="J337" s="8" t="str">
        <f>IF(F337="Monthly interest",MAX(0,Assumptions!$B$5-I337),"")</f>
        <v/>
      </c>
      <c r="K337" s="7">
        <f t="shared" si="15"/>
        <v>17376</v>
      </c>
      <c r="L337" s="9">
        <v>46172</v>
      </c>
      <c r="M337" s="5" t="s">
        <v>69</v>
      </c>
      <c r="N337" s="5" t="s">
        <v>70</v>
      </c>
      <c r="O337" s="5" t="s">
        <v>71</v>
      </c>
      <c r="P337" s="5" t="s">
        <v>72</v>
      </c>
      <c r="Q337" s="5" t="s">
        <v>73</v>
      </c>
      <c r="R337" s="5" t="s">
        <v>74</v>
      </c>
      <c r="S337" s="5" t="s">
        <v>75</v>
      </c>
      <c r="T337" s="5" t="s">
        <v>57</v>
      </c>
      <c r="U337" s="5" t="s">
        <v>104</v>
      </c>
      <c r="V337" s="5" t="s">
        <v>76</v>
      </c>
      <c r="W337" s="5" t="s">
        <v>146</v>
      </c>
      <c r="X337" s="5" t="s">
        <v>1723</v>
      </c>
      <c r="Y337" s="5" t="s">
        <v>1724</v>
      </c>
      <c r="Z337" s="9">
        <v>46172</v>
      </c>
      <c r="AA337" s="8">
        <v>12</v>
      </c>
      <c r="AB337" s="9">
        <f t="shared" si="16"/>
        <v>46537</v>
      </c>
      <c r="AC337" s="10">
        <v>16</v>
      </c>
      <c r="AD337" s="7">
        <f t="shared" si="17"/>
        <v>4344</v>
      </c>
      <c r="AE337" s="7">
        <f>IF(F337="Bullet",H337*AD337,MIN(MAX(I337,1),Assumptions!$B$6)*AD337)</f>
        <v>8688</v>
      </c>
      <c r="AF337" s="8">
        <f>IF(F337="Bullet",MAX(0,Assumptions!$B$4-AB337),MAX(0,Assumptions!$B$4-L337))</f>
        <v>0</v>
      </c>
      <c r="AG337" s="9"/>
      <c r="AH337" s="8" t="str">
        <f>IF(AG337="","",Assumptions!$B$4-AG337)</f>
        <v/>
      </c>
      <c r="AI337" s="5" t="s">
        <v>80</v>
      </c>
      <c r="AJ337" s="8"/>
      <c r="AK337" s="8">
        <v>1</v>
      </c>
      <c r="AL337" s="8">
        <v>680</v>
      </c>
      <c r="AM337" s="8">
        <v>2</v>
      </c>
      <c r="AN337" s="5" t="s">
        <v>57</v>
      </c>
      <c r="AO337" s="10">
        <v>63.4</v>
      </c>
      <c r="AP337" s="8">
        <v>40</v>
      </c>
      <c r="AQ337" s="9">
        <v>46281</v>
      </c>
      <c r="AR337" s="5" t="s">
        <v>51</v>
      </c>
      <c r="AS337" s="5" t="s">
        <v>190</v>
      </c>
    </row>
    <row r="338" spans="1:45" x14ac:dyDescent="0.35">
      <c r="A338" s="5" t="s">
        <v>1725</v>
      </c>
      <c r="B338" s="5" t="s">
        <v>1726</v>
      </c>
      <c r="C338" s="6" t="s">
        <v>1727</v>
      </c>
      <c r="D338" s="7">
        <v>165500</v>
      </c>
      <c r="E338" s="5" t="s">
        <v>48</v>
      </c>
      <c r="F338" s="5" t="s">
        <v>68</v>
      </c>
      <c r="G338" s="8">
        <v>3</v>
      </c>
      <c r="H338" s="8">
        <f>IF(F338="Bullet",MIN(G338,Assumptions!$B$6),"")</f>
        <v>2</v>
      </c>
      <c r="I338" s="8"/>
      <c r="J338" s="8" t="str">
        <f>IF(F338="Monthly interest",MAX(0,Assumptions!$B$5-I338),"")</f>
        <v/>
      </c>
      <c r="K338" s="7">
        <f t="shared" si="15"/>
        <v>6207</v>
      </c>
      <c r="L338" s="9">
        <v>46200</v>
      </c>
      <c r="M338" s="5" t="s">
        <v>116</v>
      </c>
      <c r="N338" s="5" t="s">
        <v>117</v>
      </c>
      <c r="O338" s="5" t="s">
        <v>207</v>
      </c>
      <c r="P338" s="5" t="s">
        <v>72</v>
      </c>
      <c r="Q338" s="5" t="s">
        <v>73</v>
      </c>
      <c r="R338" s="5" t="s">
        <v>74</v>
      </c>
      <c r="S338" s="5" t="s">
        <v>56</v>
      </c>
      <c r="T338" s="5" t="s">
        <v>57</v>
      </c>
      <c r="U338" s="5" t="s">
        <v>104</v>
      </c>
      <c r="V338" s="5" t="s">
        <v>59</v>
      </c>
      <c r="W338" s="5" t="s">
        <v>194</v>
      </c>
      <c r="X338" s="5" t="s">
        <v>1437</v>
      </c>
      <c r="Y338" s="5" t="s">
        <v>1728</v>
      </c>
      <c r="Z338" s="9">
        <v>46200</v>
      </c>
      <c r="AA338" s="8">
        <v>3</v>
      </c>
      <c r="AB338" s="9">
        <f t="shared" si="16"/>
        <v>46292</v>
      </c>
      <c r="AC338" s="10">
        <v>15</v>
      </c>
      <c r="AD338" s="7">
        <f t="shared" si="17"/>
        <v>2069</v>
      </c>
      <c r="AE338" s="7">
        <f>IF(F338="Bullet",H338*AD338,MIN(MAX(I338,1),Assumptions!$B$6)*AD338)</f>
        <v>4138</v>
      </c>
      <c r="AF338" s="8">
        <f>IF(F338="Bullet",MAX(0,Assumptions!$B$4-AB338),MAX(0,Assumptions!$B$4-L338))</f>
        <v>6</v>
      </c>
      <c r="AG338" s="9"/>
      <c r="AH338" s="8" t="str">
        <f>IF(AG338="","",Assumptions!$B$4-AG338)</f>
        <v/>
      </c>
      <c r="AI338" s="5" t="s">
        <v>80</v>
      </c>
      <c r="AJ338" s="8"/>
      <c r="AK338" s="8">
        <v>0</v>
      </c>
      <c r="AL338" s="8">
        <v>672</v>
      </c>
      <c r="AM338" s="8">
        <v>2</v>
      </c>
      <c r="AN338" s="5" t="s">
        <v>57</v>
      </c>
      <c r="AO338" s="10">
        <v>72.900000000000006</v>
      </c>
      <c r="AP338" s="8">
        <v>48</v>
      </c>
      <c r="AQ338" s="9">
        <v>46276</v>
      </c>
      <c r="AR338" s="5" t="s">
        <v>51</v>
      </c>
      <c r="AS338" s="5" t="s">
        <v>81</v>
      </c>
    </row>
    <row r="339" spans="1:45" x14ac:dyDescent="0.35">
      <c r="A339" s="5" t="s">
        <v>1729</v>
      </c>
      <c r="B339" s="5" t="s">
        <v>282</v>
      </c>
      <c r="C339" s="6" t="s">
        <v>1730</v>
      </c>
      <c r="D339" s="7">
        <v>212500</v>
      </c>
      <c r="E339" s="5" t="s">
        <v>48</v>
      </c>
      <c r="F339" s="5" t="s">
        <v>49</v>
      </c>
      <c r="G339" s="8"/>
      <c r="H339" s="8" t="str">
        <f>IF(F339="Bullet",MIN(G339,Assumptions!$B$6),"")</f>
        <v/>
      </c>
      <c r="I339" s="8">
        <v>1</v>
      </c>
      <c r="J339" s="8">
        <f>IF(F339="Monthly interest",MAX(0,Assumptions!$B$5-I339),"")</f>
        <v>2</v>
      </c>
      <c r="K339" s="7">
        <f t="shared" si="15"/>
        <v>3896</v>
      </c>
      <c r="L339" s="9">
        <v>46288</v>
      </c>
      <c r="M339" s="5" t="s">
        <v>69</v>
      </c>
      <c r="N339" s="5" t="s">
        <v>51</v>
      </c>
      <c r="O339" s="5" t="s">
        <v>52</v>
      </c>
      <c r="P339" s="5" t="s">
        <v>53</v>
      </c>
      <c r="Q339" s="5" t="s">
        <v>54</v>
      </c>
      <c r="R339" s="5" t="s">
        <v>55</v>
      </c>
      <c r="S339" s="5" t="s">
        <v>214</v>
      </c>
      <c r="T339" s="5" t="s">
        <v>57</v>
      </c>
      <c r="U339" s="5" t="s">
        <v>58</v>
      </c>
      <c r="V339" s="5" t="s">
        <v>215</v>
      </c>
      <c r="W339" s="5" t="s">
        <v>284</v>
      </c>
      <c r="X339" s="5" t="s">
        <v>1731</v>
      </c>
      <c r="Y339" s="5" t="s">
        <v>1732</v>
      </c>
      <c r="Z339" s="9">
        <v>46045</v>
      </c>
      <c r="AA339" s="8">
        <v>12</v>
      </c>
      <c r="AB339" s="9">
        <f t="shared" si="16"/>
        <v>46410</v>
      </c>
      <c r="AC339" s="10">
        <v>22</v>
      </c>
      <c r="AD339" s="7">
        <f t="shared" si="17"/>
        <v>3896</v>
      </c>
      <c r="AE339" s="7">
        <f>IF(F339="Bullet",H339*AD339,MIN(MAX(I339,1),Assumptions!$B$6)*AD339)</f>
        <v>3896</v>
      </c>
      <c r="AF339" s="8">
        <f>IF(F339="Bullet",MAX(0,Assumptions!$B$4-AB339),MAX(0,Assumptions!$B$4-L339))</f>
        <v>10</v>
      </c>
      <c r="AG339" s="9">
        <v>46259</v>
      </c>
      <c r="AH339" s="8">
        <f>IF(AG339="","",Assumptions!$B$4-AG339)</f>
        <v>39</v>
      </c>
      <c r="AI339" s="5" t="s">
        <v>63</v>
      </c>
      <c r="AJ339" s="8">
        <v>1</v>
      </c>
      <c r="AK339" s="8">
        <v>0</v>
      </c>
      <c r="AL339" s="8">
        <v>645</v>
      </c>
      <c r="AM339" s="8">
        <v>1</v>
      </c>
      <c r="AN339" s="5" t="s">
        <v>57</v>
      </c>
      <c r="AO339" s="10">
        <v>73.8</v>
      </c>
      <c r="AP339" s="8">
        <v>47</v>
      </c>
      <c r="AQ339" s="9"/>
      <c r="AR339" s="5"/>
      <c r="AS339" s="5" t="s">
        <v>159</v>
      </c>
    </row>
    <row r="340" spans="1:45" x14ac:dyDescent="0.35">
      <c r="A340" s="5" t="s">
        <v>1733</v>
      </c>
      <c r="B340" s="5" t="s">
        <v>1734</v>
      </c>
      <c r="C340" s="6" t="s">
        <v>1735</v>
      </c>
      <c r="D340" s="7">
        <v>97500</v>
      </c>
      <c r="E340" s="5" t="s">
        <v>48</v>
      </c>
      <c r="F340" s="5" t="s">
        <v>49</v>
      </c>
      <c r="G340" s="8"/>
      <c r="H340" s="8" t="str">
        <f>IF(F340="Bullet",MIN(G340,Assumptions!$B$6),"")</f>
        <v/>
      </c>
      <c r="I340" s="8">
        <v>1</v>
      </c>
      <c r="J340" s="8">
        <f>IF(F340="Monthly interest",MAX(0,Assumptions!$B$5-I340),"")</f>
        <v>2</v>
      </c>
      <c r="K340" s="7">
        <f t="shared" si="15"/>
        <v>1625</v>
      </c>
      <c r="L340" s="9">
        <v>46277</v>
      </c>
      <c r="M340" s="5" t="s">
        <v>69</v>
      </c>
      <c r="N340" s="5" t="s">
        <v>51</v>
      </c>
      <c r="O340" s="5" t="s">
        <v>52</v>
      </c>
      <c r="P340" s="5" t="s">
        <v>53</v>
      </c>
      <c r="Q340" s="5" t="s">
        <v>54</v>
      </c>
      <c r="R340" s="5" t="s">
        <v>55</v>
      </c>
      <c r="S340" s="5" t="s">
        <v>85</v>
      </c>
      <c r="T340" s="5" t="s">
        <v>57</v>
      </c>
      <c r="U340" s="5" t="s">
        <v>86</v>
      </c>
      <c r="V340" s="5" t="s">
        <v>177</v>
      </c>
      <c r="W340" s="5" t="s">
        <v>208</v>
      </c>
      <c r="X340" s="5" t="s">
        <v>1736</v>
      </c>
      <c r="Y340" s="5" t="s">
        <v>1737</v>
      </c>
      <c r="Z340" s="9">
        <v>46093</v>
      </c>
      <c r="AA340" s="8">
        <v>12</v>
      </c>
      <c r="AB340" s="9">
        <f t="shared" si="16"/>
        <v>46458</v>
      </c>
      <c r="AC340" s="10">
        <v>20</v>
      </c>
      <c r="AD340" s="7">
        <f t="shared" si="17"/>
        <v>1625</v>
      </c>
      <c r="AE340" s="7">
        <f>IF(F340="Bullet",H340*AD340,MIN(MAX(I340,1),Assumptions!$B$6)*AD340)</f>
        <v>1625</v>
      </c>
      <c r="AF340" s="8">
        <f>IF(F340="Bullet",MAX(0,Assumptions!$B$4-AB340),MAX(0,Assumptions!$B$4-L340))</f>
        <v>21</v>
      </c>
      <c r="AG340" s="9">
        <v>46247</v>
      </c>
      <c r="AH340" s="8">
        <f>IF(AG340="","",Assumptions!$B$4-AG340)</f>
        <v>51</v>
      </c>
      <c r="AI340" s="5" t="s">
        <v>57</v>
      </c>
      <c r="AJ340" s="8">
        <v>1</v>
      </c>
      <c r="AK340" s="8">
        <v>0</v>
      </c>
      <c r="AL340" s="8">
        <v>662</v>
      </c>
      <c r="AM340" s="8">
        <v>1</v>
      </c>
      <c r="AN340" s="5" t="s">
        <v>63</v>
      </c>
      <c r="AO340" s="10">
        <v>73.900000000000006</v>
      </c>
      <c r="AP340" s="8">
        <v>34</v>
      </c>
      <c r="AQ340" s="9">
        <v>46273</v>
      </c>
      <c r="AR340" s="5" t="s">
        <v>53</v>
      </c>
      <c r="AS340" s="5" t="s">
        <v>91</v>
      </c>
    </row>
    <row r="341" spans="1:45" x14ac:dyDescent="0.35">
      <c r="A341" s="5" t="s">
        <v>1738</v>
      </c>
      <c r="B341" s="5" t="s">
        <v>448</v>
      </c>
      <c r="C341" s="6" t="s">
        <v>1739</v>
      </c>
      <c r="D341" s="7">
        <v>137500</v>
      </c>
      <c r="E341" s="5" t="s">
        <v>48</v>
      </c>
      <c r="F341" s="5" t="s">
        <v>49</v>
      </c>
      <c r="G341" s="8"/>
      <c r="H341" s="8" t="str">
        <f>IF(F341="Bullet",MIN(G341,Assumptions!$B$6),"")</f>
        <v/>
      </c>
      <c r="I341" s="8">
        <v>1</v>
      </c>
      <c r="J341" s="8">
        <f>IF(F341="Monthly interest",MAX(0,Assumptions!$B$5-I341),"")</f>
        <v>2</v>
      </c>
      <c r="K341" s="7">
        <f t="shared" si="15"/>
        <v>2292</v>
      </c>
      <c r="L341" s="9">
        <v>46289</v>
      </c>
      <c r="M341" s="5" t="s">
        <v>69</v>
      </c>
      <c r="N341" s="5" t="s">
        <v>51</v>
      </c>
      <c r="O341" s="5" t="s">
        <v>52</v>
      </c>
      <c r="P341" s="5" t="s">
        <v>53</v>
      </c>
      <c r="Q341" s="5" t="s">
        <v>54</v>
      </c>
      <c r="R341" s="5" t="s">
        <v>55</v>
      </c>
      <c r="S341" s="5" t="s">
        <v>56</v>
      </c>
      <c r="T341" s="5" t="s">
        <v>57</v>
      </c>
      <c r="U341" s="5" t="s">
        <v>86</v>
      </c>
      <c r="V341" s="5" t="s">
        <v>59</v>
      </c>
      <c r="W341" s="5" t="s">
        <v>467</v>
      </c>
      <c r="X341" s="5" t="s">
        <v>1740</v>
      </c>
      <c r="Y341" s="5" t="s">
        <v>1741</v>
      </c>
      <c r="Z341" s="9">
        <v>46197</v>
      </c>
      <c r="AA341" s="8">
        <v>18</v>
      </c>
      <c r="AB341" s="9">
        <f t="shared" si="16"/>
        <v>46745</v>
      </c>
      <c r="AC341" s="10">
        <v>20</v>
      </c>
      <c r="AD341" s="7">
        <f t="shared" si="17"/>
        <v>2292</v>
      </c>
      <c r="AE341" s="7">
        <f>IF(F341="Bullet",H341*AD341,MIN(MAX(I341,1),Assumptions!$B$6)*AD341)</f>
        <v>2292</v>
      </c>
      <c r="AF341" s="8">
        <f>IF(F341="Bullet",MAX(0,Assumptions!$B$4-AB341),MAX(0,Assumptions!$B$4-L341))</f>
        <v>9</v>
      </c>
      <c r="AG341" s="9">
        <v>46260</v>
      </c>
      <c r="AH341" s="8">
        <f>IF(AG341="","",Assumptions!$B$4-AG341)</f>
        <v>38</v>
      </c>
      <c r="AI341" s="5" t="s">
        <v>63</v>
      </c>
      <c r="AJ341" s="8">
        <v>1</v>
      </c>
      <c r="AK341" s="8">
        <v>1</v>
      </c>
      <c r="AL341" s="8" t="s">
        <v>80</v>
      </c>
      <c r="AM341" s="8">
        <v>4</v>
      </c>
      <c r="AN341" s="5" t="s">
        <v>63</v>
      </c>
      <c r="AO341" s="10">
        <v>65.400000000000006</v>
      </c>
      <c r="AP341" s="8">
        <v>31</v>
      </c>
      <c r="AQ341" s="9">
        <v>46290</v>
      </c>
      <c r="AR341" s="5" t="s">
        <v>70</v>
      </c>
      <c r="AS341" s="5" t="s">
        <v>91</v>
      </c>
    </row>
    <row r="342" spans="1:45" x14ac:dyDescent="0.35">
      <c r="A342" s="5" t="s">
        <v>1742</v>
      </c>
      <c r="B342" s="5" t="s">
        <v>889</v>
      </c>
      <c r="C342" s="6" t="s">
        <v>1743</v>
      </c>
      <c r="D342" s="7">
        <v>184500</v>
      </c>
      <c r="E342" s="5" t="s">
        <v>48</v>
      </c>
      <c r="F342" s="5" t="s">
        <v>49</v>
      </c>
      <c r="G342" s="8"/>
      <c r="H342" s="8" t="str">
        <f>IF(F342="Bullet",MIN(G342,Assumptions!$B$6),"")</f>
        <v/>
      </c>
      <c r="I342" s="8">
        <v>1</v>
      </c>
      <c r="J342" s="8">
        <f>IF(F342="Monthly interest",MAX(0,Assumptions!$B$5-I342),"")</f>
        <v>2</v>
      </c>
      <c r="K342" s="7">
        <f t="shared" si="15"/>
        <v>2153</v>
      </c>
      <c r="L342" s="9">
        <v>46298</v>
      </c>
      <c r="M342" s="5" t="s">
        <v>69</v>
      </c>
      <c r="N342" s="5" t="s">
        <v>53</v>
      </c>
      <c r="O342" s="5" t="s">
        <v>103</v>
      </c>
      <c r="P342" s="5" t="s">
        <v>70</v>
      </c>
      <c r="Q342" s="5" t="s">
        <v>54</v>
      </c>
      <c r="R342" s="5" t="s">
        <v>55</v>
      </c>
      <c r="S342" s="5" t="s">
        <v>85</v>
      </c>
      <c r="T342" s="5" t="s">
        <v>57</v>
      </c>
      <c r="U342" s="5" t="s">
        <v>58</v>
      </c>
      <c r="V342" s="5" t="s">
        <v>553</v>
      </c>
      <c r="W342" s="5" t="s">
        <v>554</v>
      </c>
      <c r="X342" s="5" t="s">
        <v>1356</v>
      </c>
      <c r="Y342" s="5" t="s">
        <v>1744</v>
      </c>
      <c r="Z342" s="9">
        <v>46237</v>
      </c>
      <c r="AA342" s="8">
        <v>12</v>
      </c>
      <c r="AB342" s="9">
        <f t="shared" si="16"/>
        <v>46602</v>
      </c>
      <c r="AC342" s="10">
        <v>14</v>
      </c>
      <c r="AD342" s="7">
        <f t="shared" si="17"/>
        <v>2153</v>
      </c>
      <c r="AE342" s="7">
        <f>IF(F342="Bullet",H342*AD342,MIN(MAX(I342,1),Assumptions!$B$6)*AD342)</f>
        <v>2153</v>
      </c>
      <c r="AF342" s="8">
        <f>IF(F342="Bullet",MAX(0,Assumptions!$B$4-AB342),MAX(0,Assumptions!$B$4-L342))</f>
        <v>0</v>
      </c>
      <c r="AG342" s="9">
        <v>46270</v>
      </c>
      <c r="AH342" s="8">
        <f>IF(AG342="","",Assumptions!$B$4-AG342)</f>
        <v>28</v>
      </c>
      <c r="AI342" s="5" t="s">
        <v>63</v>
      </c>
      <c r="AJ342" s="8">
        <v>4</v>
      </c>
      <c r="AK342" s="8">
        <v>1</v>
      </c>
      <c r="AL342" s="8">
        <v>745</v>
      </c>
      <c r="AM342" s="8">
        <v>0</v>
      </c>
      <c r="AN342" s="5" t="s">
        <v>63</v>
      </c>
      <c r="AO342" s="10">
        <v>71.400000000000006</v>
      </c>
      <c r="AP342" s="8">
        <v>31</v>
      </c>
      <c r="AQ342" s="9">
        <v>46297</v>
      </c>
      <c r="AR342" s="5" t="s">
        <v>51</v>
      </c>
      <c r="AS342" s="5" t="s">
        <v>81</v>
      </c>
    </row>
    <row r="343" spans="1:45" x14ac:dyDescent="0.35">
      <c r="A343" s="5" t="s">
        <v>1745</v>
      </c>
      <c r="B343" s="5" t="s">
        <v>293</v>
      </c>
      <c r="C343" s="6" t="s">
        <v>1746</v>
      </c>
      <c r="D343" s="7">
        <v>278200</v>
      </c>
      <c r="E343" s="5" t="s">
        <v>48</v>
      </c>
      <c r="F343" s="5" t="s">
        <v>49</v>
      </c>
      <c r="G343" s="8"/>
      <c r="H343" s="8" t="str">
        <f>IF(F343="Bullet",MIN(G343,Assumptions!$B$6),"")</f>
        <v/>
      </c>
      <c r="I343" s="8">
        <v>1</v>
      </c>
      <c r="J343" s="8">
        <f>IF(F343="Monthly interest",MAX(0,Assumptions!$B$5-I343),"")</f>
        <v>2</v>
      </c>
      <c r="K343" s="7">
        <f t="shared" si="15"/>
        <v>5100</v>
      </c>
      <c r="L343" s="9">
        <v>46276</v>
      </c>
      <c r="M343" s="5" t="s">
        <v>50</v>
      </c>
      <c r="N343" s="5" t="s">
        <v>51</v>
      </c>
      <c r="O343" s="5" t="s">
        <v>52</v>
      </c>
      <c r="P343" s="5" t="s">
        <v>53</v>
      </c>
      <c r="Q343" s="5" t="s">
        <v>54</v>
      </c>
      <c r="R343" s="5" t="s">
        <v>55</v>
      </c>
      <c r="S343" s="5" t="s">
        <v>253</v>
      </c>
      <c r="T343" s="5" t="s">
        <v>57</v>
      </c>
      <c r="U343" s="5" t="s">
        <v>104</v>
      </c>
      <c r="V343" s="5" t="s">
        <v>59</v>
      </c>
      <c r="W343" s="5" t="s">
        <v>300</v>
      </c>
      <c r="X343" s="5" t="s">
        <v>1747</v>
      </c>
      <c r="Y343" s="5" t="s">
        <v>1748</v>
      </c>
      <c r="Z343" s="9">
        <v>46184</v>
      </c>
      <c r="AA343" s="8">
        <v>18</v>
      </c>
      <c r="AB343" s="9">
        <f t="shared" si="16"/>
        <v>46732</v>
      </c>
      <c r="AC343" s="10">
        <v>22</v>
      </c>
      <c r="AD343" s="7">
        <f t="shared" si="17"/>
        <v>5100</v>
      </c>
      <c r="AE343" s="7">
        <f>IF(F343="Bullet",H343*AD343,MIN(MAX(I343,1),Assumptions!$B$6)*AD343)</f>
        <v>5100</v>
      </c>
      <c r="AF343" s="8">
        <f>IF(F343="Bullet",MAX(0,Assumptions!$B$4-AB343),MAX(0,Assumptions!$B$4-L343))</f>
        <v>22</v>
      </c>
      <c r="AG343" s="9">
        <v>46246</v>
      </c>
      <c r="AH343" s="8">
        <f>IF(AG343="","",Assumptions!$B$4-AG343)</f>
        <v>52</v>
      </c>
      <c r="AI343" s="5" t="s">
        <v>57</v>
      </c>
      <c r="AJ343" s="8">
        <v>1</v>
      </c>
      <c r="AK343" s="8">
        <v>0</v>
      </c>
      <c r="AL343" s="8" t="s">
        <v>80</v>
      </c>
      <c r="AM343" s="8">
        <v>0</v>
      </c>
      <c r="AN343" s="5" t="s">
        <v>63</v>
      </c>
      <c r="AO343" s="10">
        <v>74.099999999999994</v>
      </c>
      <c r="AP343" s="8">
        <v>20</v>
      </c>
      <c r="AQ343" s="9">
        <v>46281</v>
      </c>
      <c r="AR343" s="5" t="s">
        <v>51</v>
      </c>
      <c r="AS343" s="5" t="s">
        <v>190</v>
      </c>
    </row>
    <row r="344" spans="1:45" x14ac:dyDescent="0.35">
      <c r="A344" s="5" t="s">
        <v>1749</v>
      </c>
      <c r="B344" s="5" t="s">
        <v>1750</v>
      </c>
      <c r="C344" s="6" t="s">
        <v>1751</v>
      </c>
      <c r="D344" s="7">
        <v>351300</v>
      </c>
      <c r="E344" s="5" t="s">
        <v>48</v>
      </c>
      <c r="F344" s="5" t="s">
        <v>49</v>
      </c>
      <c r="G344" s="8"/>
      <c r="H344" s="8" t="str">
        <f>IF(F344="Bullet",MIN(G344,Assumptions!$B$6),"")</f>
        <v/>
      </c>
      <c r="I344" s="8">
        <v>2</v>
      </c>
      <c r="J344" s="8">
        <f>IF(F344="Monthly interest",MAX(0,Assumptions!$B$5-I344),"")</f>
        <v>1</v>
      </c>
      <c r="K344" s="7">
        <f t="shared" si="15"/>
        <v>11710</v>
      </c>
      <c r="L344" s="9">
        <v>46268</v>
      </c>
      <c r="M344" s="5" t="s">
        <v>116</v>
      </c>
      <c r="N344" s="5" t="s">
        <v>117</v>
      </c>
      <c r="O344" s="5" t="s">
        <v>118</v>
      </c>
      <c r="P344" s="5" t="s">
        <v>72</v>
      </c>
      <c r="Q344" s="5" t="s">
        <v>119</v>
      </c>
      <c r="R344" s="5" t="s">
        <v>120</v>
      </c>
      <c r="S344" s="5" t="s">
        <v>75</v>
      </c>
      <c r="T344" s="5" t="s">
        <v>57</v>
      </c>
      <c r="U344" s="5" t="s">
        <v>86</v>
      </c>
      <c r="V344" s="5" t="s">
        <v>76</v>
      </c>
      <c r="W344" s="5" t="s">
        <v>444</v>
      </c>
      <c r="X344" s="5" t="s">
        <v>1752</v>
      </c>
      <c r="Y344" s="5" t="s">
        <v>1753</v>
      </c>
      <c r="Z344" s="9">
        <v>46176</v>
      </c>
      <c r="AA344" s="8">
        <v>24</v>
      </c>
      <c r="AB344" s="9">
        <f t="shared" si="16"/>
        <v>46907</v>
      </c>
      <c r="AC344" s="10">
        <v>20</v>
      </c>
      <c r="AD344" s="7">
        <f t="shared" si="17"/>
        <v>5855</v>
      </c>
      <c r="AE344" s="7">
        <f>IF(F344="Bullet",H344*AD344,MIN(MAX(I344,1),Assumptions!$B$6)*AD344)</f>
        <v>11710</v>
      </c>
      <c r="AF344" s="8">
        <f>IF(F344="Bullet",MAX(0,Assumptions!$B$4-AB344),MAX(0,Assumptions!$B$4-L344))</f>
        <v>30</v>
      </c>
      <c r="AG344" s="9">
        <v>46237</v>
      </c>
      <c r="AH344" s="8">
        <f>IF(AG344="","",Assumptions!$B$4-AG344)</f>
        <v>61</v>
      </c>
      <c r="AI344" s="5" t="s">
        <v>57</v>
      </c>
      <c r="AJ344" s="8">
        <v>3</v>
      </c>
      <c r="AK344" s="8">
        <v>0</v>
      </c>
      <c r="AL344" s="8">
        <v>700</v>
      </c>
      <c r="AM344" s="8">
        <v>0</v>
      </c>
      <c r="AN344" s="5" t="s">
        <v>63</v>
      </c>
      <c r="AO344" s="10">
        <v>79.7</v>
      </c>
      <c r="AP344" s="8">
        <v>52</v>
      </c>
      <c r="AQ344" s="9"/>
      <c r="AR344" s="5"/>
      <c r="AS344" s="5" t="s">
        <v>159</v>
      </c>
    </row>
    <row r="345" spans="1:45" x14ac:dyDescent="0.35">
      <c r="A345" s="5" t="s">
        <v>1754</v>
      </c>
      <c r="B345" s="5" t="s">
        <v>1755</v>
      </c>
      <c r="C345" s="6" t="s">
        <v>1756</v>
      </c>
      <c r="D345" s="7">
        <v>97600</v>
      </c>
      <c r="E345" s="5" t="s">
        <v>48</v>
      </c>
      <c r="F345" s="5" t="s">
        <v>68</v>
      </c>
      <c r="G345" s="8">
        <v>2</v>
      </c>
      <c r="H345" s="8">
        <f>IF(F345="Bullet",MIN(G345,Assumptions!$B$6),"")</f>
        <v>2</v>
      </c>
      <c r="I345" s="8"/>
      <c r="J345" s="8" t="str">
        <f>IF(F345="Monthly interest",MAX(0,Assumptions!$B$5-I345),"")</f>
        <v/>
      </c>
      <c r="K345" s="7">
        <f t="shared" si="15"/>
        <v>1952</v>
      </c>
      <c r="L345" s="9">
        <v>46215</v>
      </c>
      <c r="M345" s="5" t="s">
        <v>50</v>
      </c>
      <c r="N345" s="5" t="s">
        <v>51</v>
      </c>
      <c r="O345" s="5" t="s">
        <v>71</v>
      </c>
      <c r="P345" s="5" t="s">
        <v>53</v>
      </c>
      <c r="Q345" s="5" t="s">
        <v>73</v>
      </c>
      <c r="R345" s="5" t="s">
        <v>74</v>
      </c>
      <c r="S345" s="5" t="s">
        <v>185</v>
      </c>
      <c r="T345" s="5" t="s">
        <v>57</v>
      </c>
      <c r="U345" s="5" t="s">
        <v>86</v>
      </c>
      <c r="V345" s="5" t="s">
        <v>200</v>
      </c>
      <c r="W345" s="5" t="s">
        <v>500</v>
      </c>
      <c r="X345" s="5" t="s">
        <v>1495</v>
      </c>
      <c r="Y345" s="5" t="s">
        <v>1757</v>
      </c>
      <c r="Z345" s="9">
        <v>46215</v>
      </c>
      <c r="AA345" s="8">
        <v>6</v>
      </c>
      <c r="AB345" s="9">
        <f t="shared" si="16"/>
        <v>46399</v>
      </c>
      <c r="AC345" s="10">
        <v>12</v>
      </c>
      <c r="AD345" s="7">
        <f t="shared" si="17"/>
        <v>976</v>
      </c>
      <c r="AE345" s="7">
        <f>IF(F345="Bullet",H345*AD345,MIN(MAX(I345,1),Assumptions!$B$6)*AD345)</f>
        <v>1952</v>
      </c>
      <c r="AF345" s="8">
        <f>IF(F345="Bullet",MAX(0,Assumptions!$B$4-AB345),MAX(0,Assumptions!$B$4-L345))</f>
        <v>0</v>
      </c>
      <c r="AG345" s="9"/>
      <c r="AH345" s="8" t="str">
        <f>IF(AG345="","",Assumptions!$B$4-AG345)</f>
        <v/>
      </c>
      <c r="AI345" s="5" t="s">
        <v>80</v>
      </c>
      <c r="AJ345" s="8"/>
      <c r="AK345" s="8">
        <v>0</v>
      </c>
      <c r="AL345" s="8">
        <v>707</v>
      </c>
      <c r="AM345" s="8">
        <v>0</v>
      </c>
      <c r="AN345" s="5" t="s">
        <v>63</v>
      </c>
      <c r="AO345" s="10">
        <v>59</v>
      </c>
      <c r="AP345" s="8">
        <v>15</v>
      </c>
      <c r="AQ345" s="9">
        <v>46282</v>
      </c>
      <c r="AR345" s="5" t="s">
        <v>53</v>
      </c>
      <c r="AS345" s="5" t="s">
        <v>81</v>
      </c>
    </row>
    <row r="346" spans="1:45" x14ac:dyDescent="0.35">
      <c r="A346" s="5" t="s">
        <v>1758</v>
      </c>
      <c r="B346" s="5" t="s">
        <v>907</v>
      </c>
      <c r="C346" s="6" t="s">
        <v>1759</v>
      </c>
      <c r="D346" s="7">
        <v>444600</v>
      </c>
      <c r="E346" s="5" t="s">
        <v>48</v>
      </c>
      <c r="F346" s="5" t="s">
        <v>49</v>
      </c>
      <c r="G346" s="8"/>
      <c r="H346" s="8" t="str">
        <f>IF(F346="Bullet",MIN(G346,Assumptions!$B$6),"")</f>
        <v/>
      </c>
      <c r="I346" s="8">
        <v>2</v>
      </c>
      <c r="J346" s="8">
        <f>IF(F346="Monthly interest",MAX(0,Assumptions!$B$5-I346),"")</f>
        <v>1</v>
      </c>
      <c r="K346" s="7">
        <f t="shared" si="15"/>
        <v>11856</v>
      </c>
      <c r="L346" s="9">
        <v>46267</v>
      </c>
      <c r="M346" s="5" t="s">
        <v>116</v>
      </c>
      <c r="N346" s="5" t="s">
        <v>117</v>
      </c>
      <c r="O346" s="5" t="s">
        <v>118</v>
      </c>
      <c r="P346" s="5" t="s">
        <v>72</v>
      </c>
      <c r="Q346" s="5" t="s">
        <v>119</v>
      </c>
      <c r="R346" s="5" t="s">
        <v>120</v>
      </c>
      <c r="S346" s="5" t="s">
        <v>85</v>
      </c>
      <c r="T346" s="5" t="s">
        <v>57</v>
      </c>
      <c r="U346" s="5" t="s">
        <v>58</v>
      </c>
      <c r="V346" s="5" t="s">
        <v>96</v>
      </c>
      <c r="W346" s="5" t="s">
        <v>171</v>
      </c>
      <c r="X346" s="5" t="s">
        <v>1760</v>
      </c>
      <c r="Y346" s="5" t="s">
        <v>1761</v>
      </c>
      <c r="Z346" s="9">
        <v>46083</v>
      </c>
      <c r="AA346" s="8">
        <v>12</v>
      </c>
      <c r="AB346" s="9">
        <f t="shared" si="16"/>
        <v>46448</v>
      </c>
      <c r="AC346" s="10">
        <v>16</v>
      </c>
      <c r="AD346" s="7">
        <f t="shared" si="17"/>
        <v>5928</v>
      </c>
      <c r="AE346" s="7">
        <f>IF(F346="Bullet",H346*AD346,MIN(MAX(I346,1),Assumptions!$B$6)*AD346)</f>
        <v>11856</v>
      </c>
      <c r="AF346" s="8">
        <f>IF(F346="Bullet",MAX(0,Assumptions!$B$4-AB346),MAX(0,Assumptions!$B$4-L346))</f>
        <v>31</v>
      </c>
      <c r="AG346" s="9">
        <v>46237</v>
      </c>
      <c r="AH346" s="8">
        <f>IF(AG346="","",Assumptions!$B$4-AG346)</f>
        <v>61</v>
      </c>
      <c r="AI346" s="5" t="s">
        <v>63</v>
      </c>
      <c r="AJ346" s="8">
        <v>4</v>
      </c>
      <c r="AK346" s="8">
        <v>0</v>
      </c>
      <c r="AL346" s="8">
        <v>659</v>
      </c>
      <c r="AM346" s="8">
        <v>0</v>
      </c>
      <c r="AN346" s="5" t="s">
        <v>63</v>
      </c>
      <c r="AO346" s="10">
        <v>66.2</v>
      </c>
      <c r="AP346" s="8">
        <v>60</v>
      </c>
      <c r="AQ346" s="9">
        <v>46293</v>
      </c>
      <c r="AR346" s="5" t="s">
        <v>51</v>
      </c>
      <c r="AS346" s="5" t="s">
        <v>64</v>
      </c>
    </row>
    <row r="347" spans="1:45" x14ac:dyDescent="0.35">
      <c r="A347" s="5" t="s">
        <v>1762</v>
      </c>
      <c r="B347" s="5" t="s">
        <v>1763</v>
      </c>
      <c r="C347" s="6" t="s">
        <v>1764</v>
      </c>
      <c r="D347" s="7">
        <v>54000</v>
      </c>
      <c r="E347" s="5" t="s">
        <v>48</v>
      </c>
      <c r="F347" s="5" t="s">
        <v>68</v>
      </c>
      <c r="G347" s="8">
        <v>6</v>
      </c>
      <c r="H347" s="8">
        <f>IF(F347="Bullet",MIN(G347,Assumptions!$B$6),"")</f>
        <v>2</v>
      </c>
      <c r="I347" s="8"/>
      <c r="J347" s="8" t="str">
        <f>IF(F347="Monthly interest",MAX(0,Assumptions!$B$5-I347),"")</f>
        <v/>
      </c>
      <c r="K347" s="7">
        <f t="shared" si="15"/>
        <v>4860</v>
      </c>
      <c r="L347" s="9">
        <v>46096</v>
      </c>
      <c r="M347" s="5" t="s">
        <v>116</v>
      </c>
      <c r="N347" s="5" t="s">
        <v>117</v>
      </c>
      <c r="O347" s="5" t="s">
        <v>461</v>
      </c>
      <c r="P347" s="5" t="s">
        <v>72</v>
      </c>
      <c r="Q347" s="5" t="s">
        <v>169</v>
      </c>
      <c r="R347" s="5" t="s">
        <v>170</v>
      </c>
      <c r="S347" s="5" t="s">
        <v>75</v>
      </c>
      <c r="T347" s="5" t="s">
        <v>63</v>
      </c>
      <c r="U347" s="5" t="s">
        <v>58</v>
      </c>
      <c r="V347" s="5" t="s">
        <v>76</v>
      </c>
      <c r="W347" s="5" t="s">
        <v>146</v>
      </c>
      <c r="X347" s="5" t="s">
        <v>147</v>
      </c>
      <c r="Y347" s="5" t="s">
        <v>1765</v>
      </c>
      <c r="Z347" s="9">
        <v>46096</v>
      </c>
      <c r="AA347" s="8">
        <v>6</v>
      </c>
      <c r="AB347" s="9">
        <f t="shared" si="16"/>
        <v>46280</v>
      </c>
      <c r="AC347" s="10">
        <v>18</v>
      </c>
      <c r="AD347" s="7">
        <f t="shared" si="17"/>
        <v>810</v>
      </c>
      <c r="AE347" s="7">
        <f>IF(F347="Bullet",H347*AD347,MIN(MAX(I347,1),Assumptions!$B$6)*AD347)</f>
        <v>1620</v>
      </c>
      <c r="AF347" s="8">
        <f>IF(F347="Bullet",MAX(0,Assumptions!$B$4-AB347),MAX(0,Assumptions!$B$4-L347))</f>
        <v>18</v>
      </c>
      <c r="AG347" s="9"/>
      <c r="AH347" s="8" t="str">
        <f>IF(AG347="","",Assumptions!$B$4-AG347)</f>
        <v/>
      </c>
      <c r="AI347" s="5" t="s">
        <v>80</v>
      </c>
      <c r="AJ347" s="8"/>
      <c r="AK347" s="8">
        <v>1</v>
      </c>
      <c r="AL347" s="8">
        <v>698</v>
      </c>
      <c r="AM347" s="8">
        <v>2</v>
      </c>
      <c r="AN347" s="5" t="s">
        <v>63</v>
      </c>
      <c r="AO347" s="10">
        <v>65.3</v>
      </c>
      <c r="AP347" s="8">
        <v>55</v>
      </c>
      <c r="AQ347" s="9">
        <v>46276</v>
      </c>
      <c r="AR347" s="5" t="s">
        <v>70</v>
      </c>
      <c r="AS347" s="5" t="s">
        <v>81</v>
      </c>
    </row>
    <row r="348" spans="1:45" x14ac:dyDescent="0.35">
      <c r="A348" s="5" t="s">
        <v>1766</v>
      </c>
      <c r="B348" s="5" t="s">
        <v>1767</v>
      </c>
      <c r="C348" s="6" t="s">
        <v>1768</v>
      </c>
      <c r="D348" s="7">
        <v>25900</v>
      </c>
      <c r="E348" s="5" t="s">
        <v>48</v>
      </c>
      <c r="F348" s="5" t="s">
        <v>68</v>
      </c>
      <c r="G348" s="8">
        <v>2</v>
      </c>
      <c r="H348" s="8">
        <f>IF(F348="Bullet",MIN(G348,Assumptions!$B$6),"")</f>
        <v>2</v>
      </c>
      <c r="I348" s="8"/>
      <c r="J348" s="8" t="str">
        <f>IF(F348="Monthly interest",MAX(0,Assumptions!$B$5-I348),"")</f>
        <v/>
      </c>
      <c r="K348" s="7">
        <f t="shared" si="15"/>
        <v>778</v>
      </c>
      <c r="L348" s="9">
        <v>46226</v>
      </c>
      <c r="M348" s="5" t="s">
        <v>50</v>
      </c>
      <c r="N348" s="5" t="s">
        <v>53</v>
      </c>
      <c r="O348" s="5" t="s">
        <v>152</v>
      </c>
      <c r="P348" s="5" t="s">
        <v>153</v>
      </c>
      <c r="Q348" s="5" t="s">
        <v>154</v>
      </c>
      <c r="R348" s="5" t="s">
        <v>155</v>
      </c>
      <c r="S348" s="5" t="s">
        <v>185</v>
      </c>
      <c r="T348" s="5" t="s">
        <v>57</v>
      </c>
      <c r="U348" s="5" t="s">
        <v>86</v>
      </c>
      <c r="V348" s="5" t="s">
        <v>200</v>
      </c>
      <c r="W348" s="5" t="s">
        <v>500</v>
      </c>
      <c r="X348" s="5" t="s">
        <v>1769</v>
      </c>
      <c r="Y348" s="5" t="s">
        <v>1770</v>
      </c>
      <c r="Z348" s="9">
        <v>46226</v>
      </c>
      <c r="AA348" s="8">
        <v>6</v>
      </c>
      <c r="AB348" s="9">
        <f t="shared" si="16"/>
        <v>46410</v>
      </c>
      <c r="AC348" s="10">
        <v>18</v>
      </c>
      <c r="AD348" s="7">
        <f t="shared" si="17"/>
        <v>389</v>
      </c>
      <c r="AE348" s="7">
        <f>IF(F348="Bullet",H348*AD348,MIN(MAX(I348,1),Assumptions!$B$6)*AD348)</f>
        <v>778</v>
      </c>
      <c r="AF348" s="8">
        <f>IF(F348="Bullet",MAX(0,Assumptions!$B$4-AB348),MAX(0,Assumptions!$B$4-L348))</f>
        <v>0</v>
      </c>
      <c r="AG348" s="9"/>
      <c r="AH348" s="8" t="str">
        <f>IF(AG348="","",Assumptions!$B$4-AG348)</f>
        <v/>
      </c>
      <c r="AI348" s="5" t="s">
        <v>80</v>
      </c>
      <c r="AJ348" s="8"/>
      <c r="AK348" s="8">
        <v>0</v>
      </c>
      <c r="AL348" s="8">
        <v>789</v>
      </c>
      <c r="AM348" s="8">
        <v>2</v>
      </c>
      <c r="AN348" s="5" t="s">
        <v>63</v>
      </c>
      <c r="AO348" s="10">
        <v>77.400000000000006</v>
      </c>
      <c r="AP348" s="8">
        <v>11</v>
      </c>
      <c r="AQ348" s="9">
        <v>46282</v>
      </c>
      <c r="AR348" s="5" t="s">
        <v>70</v>
      </c>
      <c r="AS348" s="5" t="s">
        <v>81</v>
      </c>
    </row>
    <row r="349" spans="1:45" x14ac:dyDescent="0.35">
      <c r="A349" s="5" t="s">
        <v>1771</v>
      </c>
      <c r="B349" s="5" t="s">
        <v>889</v>
      </c>
      <c r="C349" s="6" t="s">
        <v>1772</v>
      </c>
      <c r="D349" s="7">
        <v>59300</v>
      </c>
      <c r="E349" s="5" t="s">
        <v>48</v>
      </c>
      <c r="F349" s="5" t="s">
        <v>68</v>
      </c>
      <c r="G349" s="8">
        <v>6</v>
      </c>
      <c r="H349" s="8">
        <f>IF(F349="Bullet",MIN(G349,Assumptions!$B$6),"")</f>
        <v>2</v>
      </c>
      <c r="I349" s="8"/>
      <c r="J349" s="8" t="str">
        <f>IF(F349="Monthly interest",MAX(0,Assumptions!$B$5-I349),"")</f>
        <v/>
      </c>
      <c r="K349" s="7">
        <f t="shared" si="15"/>
        <v>5340</v>
      </c>
      <c r="L349" s="9">
        <v>46103</v>
      </c>
      <c r="M349" s="5" t="s">
        <v>116</v>
      </c>
      <c r="N349" s="5" t="s">
        <v>117</v>
      </c>
      <c r="O349" s="5" t="s">
        <v>461</v>
      </c>
      <c r="P349" s="5" t="s">
        <v>72</v>
      </c>
      <c r="Q349" s="5" t="s">
        <v>169</v>
      </c>
      <c r="R349" s="5" t="s">
        <v>170</v>
      </c>
      <c r="S349" s="5" t="s">
        <v>85</v>
      </c>
      <c r="T349" s="5" t="s">
        <v>57</v>
      </c>
      <c r="U349" s="5" t="s">
        <v>86</v>
      </c>
      <c r="V349" s="5" t="s">
        <v>96</v>
      </c>
      <c r="W349" s="5" t="s">
        <v>265</v>
      </c>
      <c r="X349" s="5" t="s">
        <v>1773</v>
      </c>
      <c r="Y349" s="5" t="s">
        <v>1774</v>
      </c>
      <c r="Z349" s="9">
        <v>46103</v>
      </c>
      <c r="AA349" s="8">
        <v>6</v>
      </c>
      <c r="AB349" s="9">
        <f t="shared" si="16"/>
        <v>46287</v>
      </c>
      <c r="AC349" s="10">
        <v>18</v>
      </c>
      <c r="AD349" s="7">
        <f t="shared" si="17"/>
        <v>890</v>
      </c>
      <c r="AE349" s="7">
        <f>IF(F349="Bullet",H349*AD349,MIN(MAX(I349,1),Assumptions!$B$6)*AD349)</f>
        <v>1780</v>
      </c>
      <c r="AF349" s="8">
        <f>IF(F349="Bullet",MAX(0,Assumptions!$B$4-AB349),MAX(0,Assumptions!$B$4-L349))</f>
        <v>11</v>
      </c>
      <c r="AG349" s="9"/>
      <c r="AH349" s="8" t="str">
        <f>IF(AG349="","",Assumptions!$B$4-AG349)</f>
        <v/>
      </c>
      <c r="AI349" s="5" t="s">
        <v>80</v>
      </c>
      <c r="AJ349" s="8"/>
      <c r="AK349" s="8">
        <v>2</v>
      </c>
      <c r="AL349" s="8" t="s">
        <v>80</v>
      </c>
      <c r="AM349" s="8">
        <v>3</v>
      </c>
      <c r="AN349" s="5" t="s">
        <v>63</v>
      </c>
      <c r="AO349" s="10">
        <v>67.400000000000006</v>
      </c>
      <c r="AP349" s="8">
        <v>59</v>
      </c>
      <c r="AQ349" s="9">
        <v>46278</v>
      </c>
      <c r="AR349" s="5" t="s">
        <v>70</v>
      </c>
      <c r="AS349" s="5" t="s">
        <v>81</v>
      </c>
    </row>
    <row r="350" spans="1:45" x14ac:dyDescent="0.35">
      <c r="A350" s="5" t="s">
        <v>1775</v>
      </c>
      <c r="B350" s="5" t="s">
        <v>1776</v>
      </c>
      <c r="C350" s="6" t="s">
        <v>1777</v>
      </c>
      <c r="D350" s="7">
        <v>15000</v>
      </c>
      <c r="E350" s="5" t="s">
        <v>48</v>
      </c>
      <c r="F350" s="5" t="s">
        <v>49</v>
      </c>
      <c r="G350" s="8"/>
      <c r="H350" s="8" t="str">
        <f>IF(F350="Bullet",MIN(G350,Assumptions!$B$6),"")</f>
        <v/>
      </c>
      <c r="I350" s="8">
        <v>1</v>
      </c>
      <c r="J350" s="8">
        <f>IF(F350="Monthly interest",MAX(0,Assumptions!$B$5-I350),"")</f>
        <v>2</v>
      </c>
      <c r="K350" s="7">
        <f t="shared" si="15"/>
        <v>175</v>
      </c>
      <c r="L350" s="9">
        <v>46283</v>
      </c>
      <c r="M350" s="5" t="s">
        <v>50</v>
      </c>
      <c r="N350" s="5" t="s">
        <v>53</v>
      </c>
      <c r="O350" s="5" t="s">
        <v>95</v>
      </c>
      <c r="P350" s="5" t="s">
        <v>153</v>
      </c>
      <c r="Q350" s="5" t="s">
        <v>154</v>
      </c>
      <c r="R350" s="5" t="s">
        <v>155</v>
      </c>
      <c r="S350" s="5" t="s">
        <v>214</v>
      </c>
      <c r="T350" s="5" t="s">
        <v>63</v>
      </c>
      <c r="U350" s="5" t="s">
        <v>86</v>
      </c>
      <c r="V350" s="5" t="s">
        <v>215</v>
      </c>
      <c r="W350" s="5" t="s">
        <v>284</v>
      </c>
      <c r="X350" s="5" t="s">
        <v>1778</v>
      </c>
      <c r="Y350" s="5" t="s">
        <v>1779</v>
      </c>
      <c r="Z350" s="9">
        <v>46099</v>
      </c>
      <c r="AA350" s="8">
        <v>12</v>
      </c>
      <c r="AB350" s="9">
        <f t="shared" si="16"/>
        <v>46464</v>
      </c>
      <c r="AC350" s="10">
        <v>14</v>
      </c>
      <c r="AD350" s="7">
        <f t="shared" si="17"/>
        <v>175</v>
      </c>
      <c r="AE350" s="7">
        <f>IF(F350="Bullet",H350*AD350,MIN(MAX(I350,1),Assumptions!$B$6)*AD350)</f>
        <v>175</v>
      </c>
      <c r="AF350" s="8">
        <f>IF(F350="Bullet",MAX(0,Assumptions!$B$4-AB350),MAX(0,Assumptions!$B$4-L350))</f>
        <v>15</v>
      </c>
      <c r="AG350" s="9">
        <v>46256</v>
      </c>
      <c r="AH350" s="8">
        <f>IF(AG350="","",Assumptions!$B$4-AG350)</f>
        <v>42</v>
      </c>
      <c r="AI350" s="5" t="s">
        <v>63</v>
      </c>
      <c r="AJ350" s="8">
        <v>1</v>
      </c>
      <c r="AK350" s="8">
        <v>2</v>
      </c>
      <c r="AL350" s="8">
        <v>669</v>
      </c>
      <c r="AM350" s="8">
        <v>0</v>
      </c>
      <c r="AN350" s="5" t="s">
        <v>63</v>
      </c>
      <c r="AO350" s="10">
        <v>70</v>
      </c>
      <c r="AP350" s="8">
        <v>30</v>
      </c>
      <c r="AQ350" s="9">
        <v>46277</v>
      </c>
      <c r="AR350" s="5" t="s">
        <v>51</v>
      </c>
      <c r="AS350" s="5" t="s">
        <v>64</v>
      </c>
    </row>
    <row r="351" spans="1:45" x14ac:dyDescent="0.35">
      <c r="A351" s="5" t="s">
        <v>1780</v>
      </c>
      <c r="B351" s="5" t="s">
        <v>1781</v>
      </c>
      <c r="C351" s="6" t="s">
        <v>1782</v>
      </c>
      <c r="D351" s="7">
        <v>234100</v>
      </c>
      <c r="E351" s="5" t="s">
        <v>48</v>
      </c>
      <c r="F351" s="5" t="s">
        <v>68</v>
      </c>
      <c r="G351" s="8">
        <v>6</v>
      </c>
      <c r="H351" s="8">
        <f>IF(F351="Bullet",MIN(G351,Assumptions!$B$6),"")</f>
        <v>2</v>
      </c>
      <c r="I351" s="8"/>
      <c r="J351" s="8" t="str">
        <f>IF(F351="Monthly interest",MAX(0,Assumptions!$B$5-I351),"")</f>
        <v/>
      </c>
      <c r="K351" s="7">
        <f t="shared" si="15"/>
        <v>14046</v>
      </c>
      <c r="L351" s="9">
        <v>46110</v>
      </c>
      <c r="M351" s="5" t="s">
        <v>69</v>
      </c>
      <c r="N351" s="5" t="s">
        <v>70</v>
      </c>
      <c r="O351" s="5" t="s">
        <v>531</v>
      </c>
      <c r="P351" s="5" t="s">
        <v>72</v>
      </c>
      <c r="Q351" s="5" t="s">
        <v>169</v>
      </c>
      <c r="R351" s="5" t="s">
        <v>170</v>
      </c>
      <c r="S351" s="5" t="s">
        <v>253</v>
      </c>
      <c r="T351" s="5" t="s">
        <v>57</v>
      </c>
      <c r="U351" s="5" t="s">
        <v>86</v>
      </c>
      <c r="V351" s="5" t="s">
        <v>215</v>
      </c>
      <c r="W351" s="5" t="s">
        <v>278</v>
      </c>
      <c r="X351" s="5" t="s">
        <v>1783</v>
      </c>
      <c r="Y351" s="5" t="s">
        <v>1784</v>
      </c>
      <c r="Z351" s="9">
        <v>46110</v>
      </c>
      <c r="AA351" s="8">
        <v>6</v>
      </c>
      <c r="AB351" s="9">
        <f t="shared" si="16"/>
        <v>46294</v>
      </c>
      <c r="AC351" s="10">
        <v>12</v>
      </c>
      <c r="AD351" s="7">
        <f t="shared" si="17"/>
        <v>2341</v>
      </c>
      <c r="AE351" s="7">
        <f>IF(F351="Bullet",H351*AD351,MIN(MAX(I351,1),Assumptions!$B$6)*AD351)</f>
        <v>4682</v>
      </c>
      <c r="AF351" s="8">
        <f>IF(F351="Bullet",MAX(0,Assumptions!$B$4-AB351),MAX(0,Assumptions!$B$4-L351))</f>
        <v>4</v>
      </c>
      <c r="AG351" s="9"/>
      <c r="AH351" s="8" t="str">
        <f>IF(AG351="","",Assumptions!$B$4-AG351)</f>
        <v/>
      </c>
      <c r="AI351" s="5" t="s">
        <v>80</v>
      </c>
      <c r="AJ351" s="8"/>
      <c r="AK351" s="8">
        <v>1</v>
      </c>
      <c r="AL351" s="8">
        <v>822</v>
      </c>
      <c r="AM351" s="8">
        <v>0</v>
      </c>
      <c r="AN351" s="5" t="s">
        <v>63</v>
      </c>
      <c r="AO351" s="10">
        <v>69.5</v>
      </c>
      <c r="AP351" s="8">
        <v>43</v>
      </c>
      <c r="AQ351" s="9">
        <v>46295</v>
      </c>
      <c r="AR351" s="5" t="s">
        <v>53</v>
      </c>
      <c r="AS351" s="5" t="s">
        <v>81</v>
      </c>
    </row>
    <row r="352" spans="1:45" x14ac:dyDescent="0.35">
      <c r="A352" s="5" t="s">
        <v>1785</v>
      </c>
      <c r="B352" s="5" t="s">
        <v>1786</v>
      </c>
      <c r="C352" s="6" t="s">
        <v>1787</v>
      </c>
      <c r="D352" s="7">
        <v>73600</v>
      </c>
      <c r="E352" s="5" t="s">
        <v>48</v>
      </c>
      <c r="F352" s="5" t="s">
        <v>49</v>
      </c>
      <c r="G352" s="8"/>
      <c r="H352" s="8" t="str">
        <f>IF(F352="Bullet",MIN(G352,Assumptions!$B$6),"")</f>
        <v/>
      </c>
      <c r="I352" s="8">
        <v>1</v>
      </c>
      <c r="J352" s="8">
        <f>IF(F352="Monthly interest",MAX(0,Assumptions!$B$5-I352),"")</f>
        <v>2</v>
      </c>
      <c r="K352" s="7">
        <f t="shared" si="15"/>
        <v>920</v>
      </c>
      <c r="L352" s="9">
        <v>46280</v>
      </c>
      <c r="M352" s="5" t="s">
        <v>69</v>
      </c>
      <c r="N352" s="5" t="s">
        <v>51</v>
      </c>
      <c r="O352" s="5" t="s">
        <v>52</v>
      </c>
      <c r="P352" s="5" t="s">
        <v>53</v>
      </c>
      <c r="Q352" s="5" t="s">
        <v>54</v>
      </c>
      <c r="R352" s="5" t="s">
        <v>55</v>
      </c>
      <c r="S352" s="5" t="s">
        <v>185</v>
      </c>
      <c r="T352" s="5" t="s">
        <v>57</v>
      </c>
      <c r="U352" s="5" t="s">
        <v>86</v>
      </c>
      <c r="V352" s="5" t="s">
        <v>186</v>
      </c>
      <c r="W352" s="5" t="s">
        <v>694</v>
      </c>
      <c r="X352" s="5" t="s">
        <v>773</v>
      </c>
      <c r="Y352" s="5" t="s">
        <v>1788</v>
      </c>
      <c r="Z352" s="9">
        <v>46218</v>
      </c>
      <c r="AA352" s="8">
        <v>12</v>
      </c>
      <c r="AB352" s="9">
        <f t="shared" si="16"/>
        <v>46583</v>
      </c>
      <c r="AC352" s="10">
        <v>15</v>
      </c>
      <c r="AD352" s="7">
        <f t="shared" si="17"/>
        <v>920</v>
      </c>
      <c r="AE352" s="7">
        <f>IF(F352="Bullet",H352*AD352,MIN(MAX(I352,1),Assumptions!$B$6)*AD352)</f>
        <v>920</v>
      </c>
      <c r="AF352" s="8">
        <f>IF(F352="Bullet",MAX(0,Assumptions!$B$4-AB352),MAX(0,Assumptions!$B$4-L352))</f>
        <v>18</v>
      </c>
      <c r="AG352" s="9">
        <v>46251</v>
      </c>
      <c r="AH352" s="8">
        <f>IF(AG352="","",Assumptions!$B$4-AG352)</f>
        <v>47</v>
      </c>
      <c r="AI352" s="5" t="s">
        <v>63</v>
      </c>
      <c r="AJ352" s="8">
        <v>1</v>
      </c>
      <c r="AK352" s="8">
        <v>1</v>
      </c>
      <c r="AL352" s="8">
        <v>542</v>
      </c>
      <c r="AM352" s="8">
        <v>1</v>
      </c>
      <c r="AN352" s="5" t="s">
        <v>63</v>
      </c>
      <c r="AO352" s="10">
        <v>52.9</v>
      </c>
      <c r="AP352" s="8">
        <v>41</v>
      </c>
      <c r="AQ352" s="9">
        <v>46288</v>
      </c>
      <c r="AR352" s="5" t="s">
        <v>51</v>
      </c>
      <c r="AS352" s="5" t="s">
        <v>64</v>
      </c>
    </row>
    <row r="353" spans="1:45" x14ac:dyDescent="0.35">
      <c r="A353" s="5" t="s">
        <v>1789</v>
      </c>
      <c r="B353" s="5" t="s">
        <v>1790</v>
      </c>
      <c r="C353" s="6" t="s">
        <v>1791</v>
      </c>
      <c r="D353" s="7">
        <v>63000</v>
      </c>
      <c r="E353" s="5" t="s">
        <v>48</v>
      </c>
      <c r="F353" s="5" t="s">
        <v>49</v>
      </c>
      <c r="G353" s="8"/>
      <c r="H353" s="8" t="str">
        <f>IF(F353="Bullet",MIN(G353,Assumptions!$B$6),"")</f>
        <v/>
      </c>
      <c r="I353" s="8">
        <v>1</v>
      </c>
      <c r="J353" s="8">
        <f>IF(F353="Monthly interest",MAX(0,Assumptions!$B$5-I353),"")</f>
        <v>2</v>
      </c>
      <c r="K353" s="7">
        <f t="shared" si="15"/>
        <v>1260</v>
      </c>
      <c r="L353" s="9">
        <v>46281</v>
      </c>
      <c r="M353" s="5" t="s">
        <v>50</v>
      </c>
      <c r="N353" s="5" t="s">
        <v>51</v>
      </c>
      <c r="O353" s="5" t="s">
        <v>52</v>
      </c>
      <c r="P353" s="5" t="s">
        <v>53</v>
      </c>
      <c r="Q353" s="5" t="s">
        <v>54</v>
      </c>
      <c r="R353" s="5" t="s">
        <v>55</v>
      </c>
      <c r="S353" s="5" t="s">
        <v>185</v>
      </c>
      <c r="T353" s="5" t="s">
        <v>57</v>
      </c>
      <c r="U353" s="5" t="s">
        <v>58</v>
      </c>
      <c r="V353" s="5" t="s">
        <v>186</v>
      </c>
      <c r="W353" s="5" t="s">
        <v>187</v>
      </c>
      <c r="X353" s="5" t="s">
        <v>1792</v>
      </c>
      <c r="Y353" s="5" t="s">
        <v>1793</v>
      </c>
      <c r="Z353" s="9">
        <v>46097</v>
      </c>
      <c r="AA353" s="8">
        <v>18</v>
      </c>
      <c r="AB353" s="9">
        <f t="shared" si="16"/>
        <v>46646</v>
      </c>
      <c r="AC353" s="10">
        <v>24</v>
      </c>
      <c r="AD353" s="7">
        <f t="shared" si="17"/>
        <v>1260</v>
      </c>
      <c r="AE353" s="7">
        <f>IF(F353="Bullet",H353*AD353,MIN(MAX(I353,1),Assumptions!$B$6)*AD353)</f>
        <v>1260</v>
      </c>
      <c r="AF353" s="8">
        <f>IF(F353="Bullet",MAX(0,Assumptions!$B$4-AB353),MAX(0,Assumptions!$B$4-L353))</f>
        <v>17</v>
      </c>
      <c r="AG353" s="9">
        <v>46254</v>
      </c>
      <c r="AH353" s="8">
        <f>IF(AG353="","",Assumptions!$B$4-AG353)</f>
        <v>44</v>
      </c>
      <c r="AI353" s="5" t="s">
        <v>57</v>
      </c>
      <c r="AJ353" s="8">
        <v>1</v>
      </c>
      <c r="AK353" s="8">
        <v>0</v>
      </c>
      <c r="AL353" s="8">
        <v>747</v>
      </c>
      <c r="AM353" s="8">
        <v>1</v>
      </c>
      <c r="AN353" s="5" t="s">
        <v>63</v>
      </c>
      <c r="AO353" s="10">
        <v>55.6</v>
      </c>
      <c r="AP353" s="8">
        <v>22</v>
      </c>
      <c r="AQ353" s="9">
        <v>46278</v>
      </c>
      <c r="AR353" s="5" t="s">
        <v>53</v>
      </c>
      <c r="AS353" s="5" t="s">
        <v>91</v>
      </c>
    </row>
    <row r="354" spans="1:45" x14ac:dyDescent="0.35">
      <c r="A354" s="5" t="s">
        <v>1794</v>
      </c>
      <c r="B354" s="5" t="s">
        <v>1795</v>
      </c>
      <c r="C354" s="6" t="s">
        <v>1796</v>
      </c>
      <c r="D354" s="7">
        <v>374400</v>
      </c>
      <c r="E354" s="5" t="s">
        <v>48</v>
      </c>
      <c r="F354" s="5" t="s">
        <v>49</v>
      </c>
      <c r="G354" s="8"/>
      <c r="H354" s="8" t="str">
        <f>IF(F354="Bullet",MIN(G354,Assumptions!$B$6),"")</f>
        <v/>
      </c>
      <c r="I354" s="8">
        <v>1</v>
      </c>
      <c r="J354" s="8">
        <f>IF(F354="Monthly interest",MAX(0,Assumptions!$B$5-I354),"")</f>
        <v>2</v>
      </c>
      <c r="K354" s="7">
        <f t="shared" si="15"/>
        <v>4992</v>
      </c>
      <c r="L354" s="9">
        <v>46289</v>
      </c>
      <c r="M354" s="5" t="s">
        <v>69</v>
      </c>
      <c r="N354" s="5" t="s">
        <v>51</v>
      </c>
      <c r="O354" s="5" t="s">
        <v>52</v>
      </c>
      <c r="P354" s="5" t="s">
        <v>53</v>
      </c>
      <c r="Q354" s="5" t="s">
        <v>54</v>
      </c>
      <c r="R354" s="5" t="s">
        <v>55</v>
      </c>
      <c r="S354" s="5" t="s">
        <v>214</v>
      </c>
      <c r="T354" s="5" t="s">
        <v>57</v>
      </c>
      <c r="U354" s="5" t="s">
        <v>104</v>
      </c>
      <c r="V354" s="5" t="s">
        <v>215</v>
      </c>
      <c r="W354" s="5" t="s">
        <v>216</v>
      </c>
      <c r="X354" s="5" t="s">
        <v>1797</v>
      </c>
      <c r="Y354" s="5" t="s">
        <v>1798</v>
      </c>
      <c r="Z354" s="9">
        <v>46046</v>
      </c>
      <c r="AA354" s="8">
        <v>12</v>
      </c>
      <c r="AB354" s="9">
        <f t="shared" si="16"/>
        <v>46411</v>
      </c>
      <c r="AC354" s="10">
        <v>16</v>
      </c>
      <c r="AD354" s="7">
        <f t="shared" si="17"/>
        <v>4992</v>
      </c>
      <c r="AE354" s="7">
        <f>IF(F354="Bullet",H354*AD354,MIN(MAX(I354,1),Assumptions!$B$6)*AD354)</f>
        <v>4992</v>
      </c>
      <c r="AF354" s="8">
        <f>IF(F354="Bullet",MAX(0,Assumptions!$B$4-AB354),MAX(0,Assumptions!$B$4-L354))</f>
        <v>9</v>
      </c>
      <c r="AG354" s="9">
        <v>46258</v>
      </c>
      <c r="AH354" s="8">
        <f>IF(AG354="","",Assumptions!$B$4-AG354)</f>
        <v>40</v>
      </c>
      <c r="AI354" s="5" t="s">
        <v>63</v>
      </c>
      <c r="AJ354" s="8">
        <v>2</v>
      </c>
      <c r="AK354" s="8">
        <v>0</v>
      </c>
      <c r="AL354" s="8">
        <v>630</v>
      </c>
      <c r="AM354" s="8">
        <v>0</v>
      </c>
      <c r="AN354" s="5" t="s">
        <v>63</v>
      </c>
      <c r="AO354" s="10">
        <v>75.599999999999994</v>
      </c>
      <c r="AP354" s="8">
        <v>39</v>
      </c>
      <c r="AQ354" s="9">
        <v>46275</v>
      </c>
      <c r="AR354" s="5" t="s">
        <v>70</v>
      </c>
      <c r="AS354" s="5" t="s">
        <v>64</v>
      </c>
    </row>
    <row r="355" spans="1:45" x14ac:dyDescent="0.35">
      <c r="A355" s="5" t="s">
        <v>1799</v>
      </c>
      <c r="B355" s="5" t="s">
        <v>1087</v>
      </c>
      <c r="C355" s="6" t="s">
        <v>1800</v>
      </c>
      <c r="D355" s="7">
        <v>98500</v>
      </c>
      <c r="E355" s="5" t="s">
        <v>48</v>
      </c>
      <c r="F355" s="5" t="s">
        <v>49</v>
      </c>
      <c r="G355" s="8"/>
      <c r="H355" s="8" t="str">
        <f>IF(F355="Bullet",MIN(G355,Assumptions!$B$6),"")</f>
        <v/>
      </c>
      <c r="I355" s="8">
        <v>2</v>
      </c>
      <c r="J355" s="8">
        <f>IF(F355="Monthly interest",MAX(0,Assumptions!$B$5-I355),"")</f>
        <v>1</v>
      </c>
      <c r="K355" s="7">
        <f t="shared" si="15"/>
        <v>3612</v>
      </c>
      <c r="L355" s="9">
        <v>46260</v>
      </c>
      <c r="M355" s="5" t="s">
        <v>116</v>
      </c>
      <c r="N355" s="5" t="s">
        <v>117</v>
      </c>
      <c r="O355" s="5" t="s">
        <v>118</v>
      </c>
      <c r="P355" s="5" t="s">
        <v>72</v>
      </c>
      <c r="Q355" s="5" t="s">
        <v>119</v>
      </c>
      <c r="R355" s="5" t="s">
        <v>120</v>
      </c>
      <c r="S355" s="5" t="s">
        <v>253</v>
      </c>
      <c r="T355" s="5" t="s">
        <v>63</v>
      </c>
      <c r="U355" s="5" t="s">
        <v>86</v>
      </c>
      <c r="V355" s="5" t="s">
        <v>59</v>
      </c>
      <c r="W355" s="5" t="s">
        <v>60</v>
      </c>
      <c r="X355" s="5" t="s">
        <v>933</v>
      </c>
      <c r="Y355" s="5" t="s">
        <v>1801</v>
      </c>
      <c r="Z355" s="9">
        <v>46107</v>
      </c>
      <c r="AA355" s="8">
        <v>12</v>
      </c>
      <c r="AB355" s="9">
        <f t="shared" si="16"/>
        <v>46472</v>
      </c>
      <c r="AC355" s="10">
        <v>22</v>
      </c>
      <c r="AD355" s="7">
        <f t="shared" si="17"/>
        <v>1806</v>
      </c>
      <c r="AE355" s="7">
        <f>IF(F355="Bullet",H355*AD355,MIN(MAX(I355,1),Assumptions!$B$6)*AD355)</f>
        <v>3612</v>
      </c>
      <c r="AF355" s="8">
        <f>IF(F355="Bullet",MAX(0,Assumptions!$B$4-AB355),MAX(0,Assumptions!$B$4-L355))</f>
        <v>38</v>
      </c>
      <c r="AG355" s="9">
        <v>46233</v>
      </c>
      <c r="AH355" s="8">
        <f>IF(AG355="","",Assumptions!$B$4-AG355)</f>
        <v>65</v>
      </c>
      <c r="AI355" s="5" t="s">
        <v>63</v>
      </c>
      <c r="AJ355" s="8">
        <v>3</v>
      </c>
      <c r="AK355" s="8">
        <v>1</v>
      </c>
      <c r="AL355" s="8">
        <v>716</v>
      </c>
      <c r="AM355" s="8">
        <v>0</v>
      </c>
      <c r="AN355" s="5" t="s">
        <v>63</v>
      </c>
      <c r="AO355" s="10">
        <v>80.099999999999994</v>
      </c>
      <c r="AP355" s="8">
        <v>55</v>
      </c>
      <c r="AQ355" s="9">
        <v>46287</v>
      </c>
      <c r="AR355" s="5" t="s">
        <v>51</v>
      </c>
      <c r="AS355" s="5" t="s">
        <v>81</v>
      </c>
    </row>
    <row r="356" spans="1:45" x14ac:dyDescent="0.35">
      <c r="A356" s="5" t="s">
        <v>1802</v>
      </c>
      <c r="B356" s="5" t="s">
        <v>1803</v>
      </c>
      <c r="C356" s="6" t="s">
        <v>1804</v>
      </c>
      <c r="D356" s="7">
        <v>60900</v>
      </c>
      <c r="E356" s="5" t="s">
        <v>48</v>
      </c>
      <c r="F356" s="5" t="s">
        <v>49</v>
      </c>
      <c r="G356" s="8"/>
      <c r="H356" s="8" t="str">
        <f>IF(F356="Bullet",MIN(G356,Assumptions!$B$6),"")</f>
        <v/>
      </c>
      <c r="I356" s="8">
        <v>1</v>
      </c>
      <c r="J356" s="8">
        <f>IF(F356="Monthly interest",MAX(0,Assumptions!$B$5-I356),"")</f>
        <v>2</v>
      </c>
      <c r="K356" s="7">
        <f t="shared" si="15"/>
        <v>1218</v>
      </c>
      <c r="L356" s="9">
        <v>46298</v>
      </c>
      <c r="M356" s="5" t="s">
        <v>50</v>
      </c>
      <c r="N356" s="5" t="s">
        <v>51</v>
      </c>
      <c r="O356" s="5" t="s">
        <v>52</v>
      </c>
      <c r="P356" s="5" t="s">
        <v>53</v>
      </c>
      <c r="Q356" s="5" t="s">
        <v>54</v>
      </c>
      <c r="R356" s="5" t="s">
        <v>55</v>
      </c>
      <c r="S356" s="5" t="s">
        <v>56</v>
      </c>
      <c r="T356" s="5" t="s">
        <v>57</v>
      </c>
      <c r="U356" s="5" t="s">
        <v>86</v>
      </c>
      <c r="V356" s="5" t="s">
        <v>59</v>
      </c>
      <c r="W356" s="5" t="s">
        <v>418</v>
      </c>
      <c r="X356" s="5" t="s">
        <v>1089</v>
      </c>
      <c r="Y356" s="5" t="s">
        <v>1805</v>
      </c>
      <c r="Z356" s="9">
        <v>46176</v>
      </c>
      <c r="AA356" s="8">
        <v>24</v>
      </c>
      <c r="AB356" s="9">
        <f t="shared" si="16"/>
        <v>46907</v>
      </c>
      <c r="AC356" s="10">
        <v>24</v>
      </c>
      <c r="AD356" s="7">
        <f t="shared" si="17"/>
        <v>1218</v>
      </c>
      <c r="AE356" s="7">
        <f>IF(F356="Bullet",H356*AD356,MIN(MAX(I356,1),Assumptions!$B$6)*AD356)</f>
        <v>1218</v>
      </c>
      <c r="AF356" s="8">
        <f>IF(F356="Bullet",MAX(0,Assumptions!$B$4-AB356),MAX(0,Assumptions!$B$4-L356))</f>
        <v>0</v>
      </c>
      <c r="AG356" s="9">
        <v>46268</v>
      </c>
      <c r="AH356" s="8">
        <f>IF(AG356="","",Assumptions!$B$4-AG356)</f>
        <v>30</v>
      </c>
      <c r="AI356" s="5" t="s">
        <v>63</v>
      </c>
      <c r="AJ356" s="8">
        <v>1</v>
      </c>
      <c r="AK356" s="8">
        <v>0</v>
      </c>
      <c r="AL356" s="8">
        <v>672</v>
      </c>
      <c r="AM356" s="8">
        <v>1</v>
      </c>
      <c r="AN356" s="5" t="s">
        <v>63</v>
      </c>
      <c r="AO356" s="10">
        <v>73.599999999999994</v>
      </c>
      <c r="AP356" s="8">
        <v>28</v>
      </c>
      <c r="AQ356" s="9">
        <v>46288</v>
      </c>
      <c r="AR356" s="5" t="s">
        <v>53</v>
      </c>
      <c r="AS356" s="5" t="s">
        <v>91</v>
      </c>
    </row>
    <row r="357" spans="1:45" x14ac:dyDescent="0.35">
      <c r="A357" s="5" t="s">
        <v>1806</v>
      </c>
      <c r="B357" s="5" t="s">
        <v>1807</v>
      </c>
      <c r="C357" s="6" t="s">
        <v>1808</v>
      </c>
      <c r="D357" s="7">
        <v>161300</v>
      </c>
      <c r="E357" s="5" t="s">
        <v>48</v>
      </c>
      <c r="F357" s="5" t="s">
        <v>49</v>
      </c>
      <c r="G357" s="8"/>
      <c r="H357" s="8" t="str">
        <f>IF(F357="Bullet",MIN(G357,Assumptions!$B$6),"")</f>
        <v/>
      </c>
      <c r="I357" s="8">
        <v>2</v>
      </c>
      <c r="J357" s="8">
        <f>IF(F357="Monthly interest",MAX(0,Assumptions!$B$5-I357),"")</f>
        <v>1</v>
      </c>
      <c r="K357" s="7">
        <f t="shared" si="15"/>
        <v>6452</v>
      </c>
      <c r="L357" s="9">
        <v>46242</v>
      </c>
      <c r="M357" s="5" t="s">
        <v>116</v>
      </c>
      <c r="N357" s="5" t="s">
        <v>117</v>
      </c>
      <c r="O357" s="5" t="s">
        <v>118</v>
      </c>
      <c r="P357" s="5" t="s">
        <v>72</v>
      </c>
      <c r="Q357" s="5" t="s">
        <v>119</v>
      </c>
      <c r="R357" s="5" t="s">
        <v>120</v>
      </c>
      <c r="S357" s="5" t="s">
        <v>75</v>
      </c>
      <c r="T357" s="5" t="s">
        <v>57</v>
      </c>
      <c r="U357" s="5" t="s">
        <v>86</v>
      </c>
      <c r="V357" s="5" t="s">
        <v>76</v>
      </c>
      <c r="W357" s="5" t="s">
        <v>146</v>
      </c>
      <c r="X357" s="5" t="s">
        <v>1809</v>
      </c>
      <c r="Y357" s="5" t="s">
        <v>1810</v>
      </c>
      <c r="Z357" s="9">
        <v>46150</v>
      </c>
      <c r="AA357" s="8">
        <v>12</v>
      </c>
      <c r="AB357" s="9">
        <f t="shared" si="16"/>
        <v>46515</v>
      </c>
      <c r="AC357" s="10">
        <v>24</v>
      </c>
      <c r="AD357" s="7">
        <f t="shared" si="17"/>
        <v>3226</v>
      </c>
      <c r="AE357" s="7">
        <f>IF(F357="Bullet",H357*AD357,MIN(MAX(I357,1),Assumptions!$B$6)*AD357)</f>
        <v>6452</v>
      </c>
      <c r="AF357" s="8">
        <f>IF(F357="Bullet",MAX(0,Assumptions!$B$4-AB357),MAX(0,Assumptions!$B$4-L357))</f>
        <v>56</v>
      </c>
      <c r="AG357" s="9">
        <v>46211</v>
      </c>
      <c r="AH357" s="8">
        <f>IF(AG357="","",Assumptions!$B$4-AG357)</f>
        <v>87</v>
      </c>
      <c r="AI357" s="5" t="s">
        <v>63</v>
      </c>
      <c r="AJ357" s="8">
        <v>2</v>
      </c>
      <c r="AK357" s="8">
        <v>1</v>
      </c>
      <c r="AL357" s="8">
        <v>746</v>
      </c>
      <c r="AM357" s="8">
        <v>0</v>
      </c>
      <c r="AN357" s="5" t="s">
        <v>63</v>
      </c>
      <c r="AO357" s="10">
        <v>88</v>
      </c>
      <c r="AP357" s="8">
        <v>53</v>
      </c>
      <c r="AQ357" s="9">
        <v>46285</v>
      </c>
      <c r="AR357" s="5" t="s">
        <v>53</v>
      </c>
      <c r="AS357" s="5" t="s">
        <v>64</v>
      </c>
    </row>
    <row r="358" spans="1:45" x14ac:dyDescent="0.35">
      <c r="A358" s="5" t="s">
        <v>1811</v>
      </c>
      <c r="B358" s="5" t="s">
        <v>1340</v>
      </c>
      <c r="C358" s="6" t="s">
        <v>1812</v>
      </c>
      <c r="D358" s="7">
        <v>154400</v>
      </c>
      <c r="E358" s="5" t="s">
        <v>48</v>
      </c>
      <c r="F358" s="5" t="s">
        <v>68</v>
      </c>
      <c r="G358" s="8">
        <v>5</v>
      </c>
      <c r="H358" s="8">
        <f>IF(F358="Bullet",MIN(G358,Assumptions!$B$6),"")</f>
        <v>2</v>
      </c>
      <c r="I358" s="8"/>
      <c r="J358" s="8" t="str">
        <f>IF(F358="Monthly interest",MAX(0,Assumptions!$B$5-I358),"")</f>
        <v/>
      </c>
      <c r="K358" s="7">
        <f t="shared" si="15"/>
        <v>7720</v>
      </c>
      <c r="L358" s="9">
        <v>46131</v>
      </c>
      <c r="M358" s="5" t="s">
        <v>116</v>
      </c>
      <c r="N358" s="5" t="s">
        <v>117</v>
      </c>
      <c r="O358" s="5" t="s">
        <v>461</v>
      </c>
      <c r="P358" s="5" t="s">
        <v>72</v>
      </c>
      <c r="Q358" s="5" t="s">
        <v>169</v>
      </c>
      <c r="R358" s="5" t="s">
        <v>170</v>
      </c>
      <c r="S358" s="5" t="s">
        <v>185</v>
      </c>
      <c r="T358" s="5" t="s">
        <v>57</v>
      </c>
      <c r="U358" s="5" t="s">
        <v>86</v>
      </c>
      <c r="V358" s="5" t="s">
        <v>200</v>
      </c>
      <c r="W358" s="5" t="s">
        <v>433</v>
      </c>
      <c r="X358" s="5" t="s">
        <v>978</v>
      </c>
      <c r="Y358" s="5" t="s">
        <v>1813</v>
      </c>
      <c r="Z358" s="9">
        <v>46131</v>
      </c>
      <c r="AA358" s="8">
        <v>6</v>
      </c>
      <c r="AB358" s="9">
        <f t="shared" si="16"/>
        <v>46314</v>
      </c>
      <c r="AC358" s="10">
        <v>12</v>
      </c>
      <c r="AD358" s="7">
        <f t="shared" si="17"/>
        <v>1544</v>
      </c>
      <c r="AE358" s="7">
        <f>IF(F358="Bullet",H358*AD358,MIN(MAX(I358,1),Assumptions!$B$6)*AD358)</f>
        <v>3088</v>
      </c>
      <c r="AF358" s="8">
        <f>IF(F358="Bullet",MAX(0,Assumptions!$B$4-AB358),MAX(0,Assumptions!$B$4-L358))</f>
        <v>0</v>
      </c>
      <c r="AG358" s="9"/>
      <c r="AH358" s="8" t="str">
        <f>IF(AG358="","",Assumptions!$B$4-AG358)</f>
        <v/>
      </c>
      <c r="AI358" s="5" t="s">
        <v>80</v>
      </c>
      <c r="AJ358" s="8"/>
      <c r="AK358" s="8">
        <v>2</v>
      </c>
      <c r="AL358" s="8">
        <v>575</v>
      </c>
      <c r="AM358" s="8">
        <v>1</v>
      </c>
      <c r="AN358" s="5" t="s">
        <v>63</v>
      </c>
      <c r="AO358" s="10">
        <v>73.400000000000006</v>
      </c>
      <c r="AP358" s="8">
        <v>63</v>
      </c>
      <c r="AQ358" s="9">
        <v>46283</v>
      </c>
      <c r="AR358" s="5" t="s">
        <v>53</v>
      </c>
      <c r="AS358" s="5" t="s">
        <v>274</v>
      </c>
    </row>
    <row r="359" spans="1:45" x14ac:dyDescent="0.35">
      <c r="A359" s="5" t="s">
        <v>1814</v>
      </c>
      <c r="B359" s="5" t="s">
        <v>1815</v>
      </c>
      <c r="C359" s="6" t="s">
        <v>1816</v>
      </c>
      <c r="D359" s="7">
        <v>72000</v>
      </c>
      <c r="E359" s="5" t="s">
        <v>48</v>
      </c>
      <c r="F359" s="5" t="s">
        <v>49</v>
      </c>
      <c r="G359" s="8"/>
      <c r="H359" s="8" t="str">
        <f>IF(F359="Bullet",MIN(G359,Assumptions!$B$6),"")</f>
        <v/>
      </c>
      <c r="I359" s="8">
        <v>2</v>
      </c>
      <c r="J359" s="8">
        <f>IF(F359="Monthly interest",MAX(0,Assumptions!$B$5-I359),"")</f>
        <v>1</v>
      </c>
      <c r="K359" s="7">
        <f t="shared" si="15"/>
        <v>2160</v>
      </c>
      <c r="L359" s="9">
        <v>46257</v>
      </c>
      <c r="M359" s="5" t="s">
        <v>69</v>
      </c>
      <c r="N359" s="5" t="s">
        <v>53</v>
      </c>
      <c r="O359" s="5" t="s">
        <v>71</v>
      </c>
      <c r="P359" s="5" t="s">
        <v>70</v>
      </c>
      <c r="Q359" s="5" t="s">
        <v>73</v>
      </c>
      <c r="R359" s="5" t="s">
        <v>74</v>
      </c>
      <c r="S359" s="5" t="s">
        <v>85</v>
      </c>
      <c r="T359" s="5" t="s">
        <v>63</v>
      </c>
      <c r="U359" s="5" t="s">
        <v>86</v>
      </c>
      <c r="V359" s="5" t="s">
        <v>177</v>
      </c>
      <c r="W359" s="5" t="s">
        <v>208</v>
      </c>
      <c r="X359" s="5" t="s">
        <v>1817</v>
      </c>
      <c r="Y359" s="5" t="s">
        <v>1818</v>
      </c>
      <c r="Z359" s="9">
        <v>46076</v>
      </c>
      <c r="AA359" s="8">
        <v>12</v>
      </c>
      <c r="AB359" s="9">
        <f t="shared" si="16"/>
        <v>46441</v>
      </c>
      <c r="AC359" s="10">
        <v>18</v>
      </c>
      <c r="AD359" s="7">
        <f t="shared" si="17"/>
        <v>1080</v>
      </c>
      <c r="AE359" s="7">
        <f>IF(F359="Bullet",H359*AD359,MIN(MAX(I359,1),Assumptions!$B$6)*AD359)</f>
        <v>2160</v>
      </c>
      <c r="AF359" s="8">
        <f>IF(F359="Bullet",MAX(0,Assumptions!$B$4-AB359),MAX(0,Assumptions!$B$4-L359))</f>
        <v>41</v>
      </c>
      <c r="AG359" s="9">
        <v>46229</v>
      </c>
      <c r="AH359" s="8">
        <f>IF(AG359="","",Assumptions!$B$4-AG359)</f>
        <v>69</v>
      </c>
      <c r="AI359" s="5" t="s">
        <v>63</v>
      </c>
      <c r="AJ359" s="8">
        <v>2</v>
      </c>
      <c r="AK359" s="8">
        <v>1</v>
      </c>
      <c r="AL359" s="8">
        <v>683</v>
      </c>
      <c r="AM359" s="8">
        <v>1</v>
      </c>
      <c r="AN359" s="5" t="s">
        <v>63</v>
      </c>
      <c r="AO359" s="10">
        <v>73.099999999999994</v>
      </c>
      <c r="AP359" s="8">
        <v>47</v>
      </c>
      <c r="AQ359" s="9">
        <v>46292</v>
      </c>
      <c r="AR359" s="5" t="s">
        <v>70</v>
      </c>
      <c r="AS359" s="5" t="s">
        <v>91</v>
      </c>
    </row>
    <row r="360" spans="1:45" x14ac:dyDescent="0.35">
      <c r="A360" s="5" t="s">
        <v>1819</v>
      </c>
      <c r="B360" s="5" t="s">
        <v>1820</v>
      </c>
      <c r="C360" s="6" t="s">
        <v>1821</v>
      </c>
      <c r="D360" s="7">
        <v>39300</v>
      </c>
      <c r="E360" s="5" t="s">
        <v>48</v>
      </c>
      <c r="F360" s="5" t="s">
        <v>49</v>
      </c>
      <c r="G360" s="8"/>
      <c r="H360" s="8" t="str">
        <f>IF(F360="Bullet",MIN(G360,Assumptions!$B$6),"")</f>
        <v/>
      </c>
      <c r="I360" s="8">
        <v>1</v>
      </c>
      <c r="J360" s="8">
        <f>IF(F360="Monthly interest",MAX(0,Assumptions!$B$5-I360),"")</f>
        <v>2</v>
      </c>
      <c r="K360" s="7">
        <f t="shared" si="15"/>
        <v>459</v>
      </c>
      <c r="L360" s="9">
        <v>46271</v>
      </c>
      <c r="M360" s="5" t="s">
        <v>69</v>
      </c>
      <c r="N360" s="5" t="s">
        <v>53</v>
      </c>
      <c r="O360" s="5" t="s">
        <v>103</v>
      </c>
      <c r="P360" s="5" t="s">
        <v>153</v>
      </c>
      <c r="Q360" s="5" t="s">
        <v>154</v>
      </c>
      <c r="R360" s="5" t="s">
        <v>155</v>
      </c>
      <c r="S360" s="5" t="s">
        <v>185</v>
      </c>
      <c r="T360" s="5" t="s">
        <v>57</v>
      </c>
      <c r="U360" s="5" t="s">
        <v>86</v>
      </c>
      <c r="V360" s="5" t="s">
        <v>200</v>
      </c>
      <c r="W360" s="5" t="s">
        <v>1332</v>
      </c>
      <c r="X360" s="5" t="s">
        <v>1822</v>
      </c>
      <c r="Y360" s="5" t="s">
        <v>1823</v>
      </c>
      <c r="Z360" s="9">
        <v>46028</v>
      </c>
      <c r="AA360" s="8">
        <v>24</v>
      </c>
      <c r="AB360" s="9">
        <f t="shared" si="16"/>
        <v>46758</v>
      </c>
      <c r="AC360" s="10">
        <v>14</v>
      </c>
      <c r="AD360" s="7">
        <f t="shared" si="17"/>
        <v>459</v>
      </c>
      <c r="AE360" s="7">
        <f>IF(F360="Bullet",H360*AD360,MIN(MAX(I360,1),Assumptions!$B$6)*AD360)</f>
        <v>459</v>
      </c>
      <c r="AF360" s="8">
        <f>IF(F360="Bullet",MAX(0,Assumptions!$B$4-AB360),MAX(0,Assumptions!$B$4-L360))</f>
        <v>27</v>
      </c>
      <c r="AG360" s="9">
        <v>46243</v>
      </c>
      <c r="AH360" s="8">
        <f>IF(AG360="","",Assumptions!$B$4-AG360)</f>
        <v>55</v>
      </c>
      <c r="AI360" s="5" t="s">
        <v>63</v>
      </c>
      <c r="AJ360" s="8">
        <v>1</v>
      </c>
      <c r="AK360" s="8">
        <v>0</v>
      </c>
      <c r="AL360" s="8">
        <v>615</v>
      </c>
      <c r="AM360" s="8">
        <v>1</v>
      </c>
      <c r="AN360" s="5" t="s">
        <v>63</v>
      </c>
      <c r="AO360" s="10">
        <v>65.3</v>
      </c>
      <c r="AP360" s="8">
        <v>33</v>
      </c>
      <c r="AQ360" s="9">
        <v>46285</v>
      </c>
      <c r="AR360" s="5" t="s">
        <v>51</v>
      </c>
      <c r="AS360" s="5" t="s">
        <v>81</v>
      </c>
    </row>
    <row r="361" spans="1:45" x14ac:dyDescent="0.35">
      <c r="A361" s="5" t="s">
        <v>1824</v>
      </c>
      <c r="B361" s="5" t="s">
        <v>1825</v>
      </c>
      <c r="C361" s="6" t="s">
        <v>1826</v>
      </c>
      <c r="D361" s="7">
        <v>295800</v>
      </c>
      <c r="E361" s="5" t="s">
        <v>48</v>
      </c>
      <c r="F361" s="5" t="s">
        <v>68</v>
      </c>
      <c r="G361" s="8">
        <v>6</v>
      </c>
      <c r="H361" s="8">
        <f>IF(F361="Bullet",MIN(G361,Assumptions!$B$6),"")</f>
        <v>2</v>
      </c>
      <c r="I361" s="8"/>
      <c r="J361" s="8" t="str">
        <f>IF(F361="Monthly interest",MAX(0,Assumptions!$B$5-I361),"")</f>
        <v/>
      </c>
      <c r="K361" s="7">
        <f t="shared" si="15"/>
        <v>20706</v>
      </c>
      <c r="L361" s="9">
        <v>46105</v>
      </c>
      <c r="M361" s="5" t="s">
        <v>116</v>
      </c>
      <c r="N361" s="5" t="s">
        <v>117</v>
      </c>
      <c r="O361" s="5" t="s">
        <v>461</v>
      </c>
      <c r="P361" s="5" t="s">
        <v>72</v>
      </c>
      <c r="Q361" s="5" t="s">
        <v>169</v>
      </c>
      <c r="R361" s="5" t="s">
        <v>170</v>
      </c>
      <c r="S361" s="5" t="s">
        <v>85</v>
      </c>
      <c r="T361" s="5" t="s">
        <v>57</v>
      </c>
      <c r="U361" s="5" t="s">
        <v>86</v>
      </c>
      <c r="V361" s="5" t="s">
        <v>553</v>
      </c>
      <c r="W361" s="5" t="s">
        <v>554</v>
      </c>
      <c r="X361" s="5" t="s">
        <v>1827</v>
      </c>
      <c r="Y361" s="5" t="s">
        <v>1828</v>
      </c>
      <c r="Z361" s="9">
        <v>46105</v>
      </c>
      <c r="AA361" s="8">
        <v>12</v>
      </c>
      <c r="AB361" s="9">
        <f t="shared" si="16"/>
        <v>46470</v>
      </c>
      <c r="AC361" s="10">
        <v>14</v>
      </c>
      <c r="AD361" s="7">
        <f t="shared" si="17"/>
        <v>3451</v>
      </c>
      <c r="AE361" s="7">
        <f>IF(F361="Bullet",H361*AD361,MIN(MAX(I361,1),Assumptions!$B$6)*AD361)</f>
        <v>6902</v>
      </c>
      <c r="AF361" s="8">
        <f>IF(F361="Bullet",MAX(0,Assumptions!$B$4-AB361),MAX(0,Assumptions!$B$4-L361))</f>
        <v>0</v>
      </c>
      <c r="AG361" s="9"/>
      <c r="AH361" s="8" t="str">
        <f>IF(AG361="","",Assumptions!$B$4-AG361)</f>
        <v/>
      </c>
      <c r="AI361" s="5" t="s">
        <v>80</v>
      </c>
      <c r="AJ361" s="8"/>
      <c r="AK361" s="8">
        <v>4</v>
      </c>
      <c r="AL361" s="8">
        <v>650</v>
      </c>
      <c r="AM361" s="8">
        <v>2</v>
      </c>
      <c r="AN361" s="5" t="s">
        <v>63</v>
      </c>
      <c r="AO361" s="10">
        <v>61.3</v>
      </c>
      <c r="AP361" s="8">
        <v>65</v>
      </c>
      <c r="AQ361" s="9">
        <v>46291</v>
      </c>
      <c r="AR361" s="5" t="s">
        <v>70</v>
      </c>
      <c r="AS361" s="5" t="s">
        <v>81</v>
      </c>
    </row>
    <row r="362" spans="1:45" x14ac:dyDescent="0.35">
      <c r="A362" s="5" t="s">
        <v>1829</v>
      </c>
      <c r="B362" s="5" t="s">
        <v>875</v>
      </c>
      <c r="C362" s="6" t="s">
        <v>1830</v>
      </c>
      <c r="D362" s="7">
        <v>181900</v>
      </c>
      <c r="E362" s="5" t="s">
        <v>48</v>
      </c>
      <c r="F362" s="5" t="s">
        <v>68</v>
      </c>
      <c r="G362" s="8">
        <v>1</v>
      </c>
      <c r="H362" s="8">
        <f>IF(F362="Bullet",MIN(G362,Assumptions!$B$6),"")</f>
        <v>1</v>
      </c>
      <c r="I362" s="8"/>
      <c r="J362" s="8" t="str">
        <f>IF(F362="Monthly interest",MAX(0,Assumptions!$B$5-I362),"")</f>
        <v/>
      </c>
      <c r="K362" s="7">
        <f t="shared" si="15"/>
        <v>1819</v>
      </c>
      <c r="L362" s="9">
        <v>46251</v>
      </c>
      <c r="M362" s="5" t="s">
        <v>50</v>
      </c>
      <c r="N362" s="5" t="s">
        <v>51</v>
      </c>
      <c r="O362" s="5" t="s">
        <v>71</v>
      </c>
      <c r="P362" s="5" t="s">
        <v>53</v>
      </c>
      <c r="Q362" s="5" t="s">
        <v>73</v>
      </c>
      <c r="R362" s="5" t="s">
        <v>74</v>
      </c>
      <c r="S362" s="5" t="s">
        <v>75</v>
      </c>
      <c r="T362" s="5" t="s">
        <v>57</v>
      </c>
      <c r="U362" s="5" t="s">
        <v>104</v>
      </c>
      <c r="V362" s="5" t="s">
        <v>76</v>
      </c>
      <c r="W362" s="5" t="s">
        <v>547</v>
      </c>
      <c r="X362" s="5" t="s">
        <v>748</v>
      </c>
      <c r="Y362" s="5" t="s">
        <v>1831</v>
      </c>
      <c r="Z362" s="9">
        <v>46251</v>
      </c>
      <c r="AA362" s="8">
        <v>6</v>
      </c>
      <c r="AB362" s="9">
        <f t="shared" si="16"/>
        <v>46435</v>
      </c>
      <c r="AC362" s="10">
        <v>12</v>
      </c>
      <c r="AD362" s="7">
        <f t="shared" si="17"/>
        <v>1819</v>
      </c>
      <c r="AE362" s="7">
        <f>IF(F362="Bullet",H362*AD362,MIN(MAX(I362,1),Assumptions!$B$6)*AD362)</f>
        <v>1819</v>
      </c>
      <c r="AF362" s="8">
        <f>IF(F362="Bullet",MAX(0,Assumptions!$B$4-AB362),MAX(0,Assumptions!$B$4-L362))</f>
        <v>0</v>
      </c>
      <c r="AG362" s="9"/>
      <c r="AH362" s="8" t="str">
        <f>IF(AG362="","",Assumptions!$B$4-AG362)</f>
        <v/>
      </c>
      <c r="AI362" s="5" t="s">
        <v>80</v>
      </c>
      <c r="AJ362" s="8"/>
      <c r="AK362" s="8">
        <v>0</v>
      </c>
      <c r="AL362" s="8">
        <v>650</v>
      </c>
      <c r="AM362" s="8">
        <v>0</v>
      </c>
      <c r="AN362" s="5" t="s">
        <v>63</v>
      </c>
      <c r="AO362" s="10">
        <v>66.2</v>
      </c>
      <c r="AP362" s="8">
        <v>11</v>
      </c>
      <c r="AQ362" s="9">
        <v>46290</v>
      </c>
      <c r="AR362" s="5" t="s">
        <v>53</v>
      </c>
      <c r="AS362" s="5" t="s">
        <v>81</v>
      </c>
    </row>
    <row r="363" spans="1:45" x14ac:dyDescent="0.35">
      <c r="A363" s="5" t="s">
        <v>1832</v>
      </c>
      <c r="B363" s="5" t="s">
        <v>1833</v>
      </c>
      <c r="C363" s="6" t="s">
        <v>1834</v>
      </c>
      <c r="D363" s="7">
        <v>174000</v>
      </c>
      <c r="E363" s="5" t="s">
        <v>48</v>
      </c>
      <c r="F363" s="5" t="s">
        <v>49</v>
      </c>
      <c r="G363" s="8"/>
      <c r="H363" s="8" t="str">
        <f>IF(F363="Bullet",MIN(G363,Assumptions!$B$6),"")</f>
        <v/>
      </c>
      <c r="I363" s="8">
        <v>2</v>
      </c>
      <c r="J363" s="8">
        <f>IF(F363="Monthly interest",MAX(0,Assumptions!$B$5-I363),"")</f>
        <v>1</v>
      </c>
      <c r="K363" s="7">
        <f t="shared" si="15"/>
        <v>6960</v>
      </c>
      <c r="L363" s="9">
        <v>46246</v>
      </c>
      <c r="M363" s="5" t="s">
        <v>69</v>
      </c>
      <c r="N363" s="5" t="s">
        <v>70</v>
      </c>
      <c r="O363" s="5" t="s">
        <v>531</v>
      </c>
      <c r="P363" s="5" t="s">
        <v>72</v>
      </c>
      <c r="Q363" s="5" t="s">
        <v>73</v>
      </c>
      <c r="R363" s="5" t="s">
        <v>74</v>
      </c>
      <c r="S363" s="5" t="s">
        <v>75</v>
      </c>
      <c r="T363" s="5" t="s">
        <v>57</v>
      </c>
      <c r="U363" s="5" t="s">
        <v>86</v>
      </c>
      <c r="V363" s="5" t="s">
        <v>76</v>
      </c>
      <c r="W363" s="5" t="s">
        <v>306</v>
      </c>
      <c r="X363" s="5" t="s">
        <v>307</v>
      </c>
      <c r="Y363" s="5" t="s">
        <v>1835</v>
      </c>
      <c r="Z363" s="9">
        <v>46093</v>
      </c>
      <c r="AA363" s="8">
        <v>12</v>
      </c>
      <c r="AB363" s="9">
        <f t="shared" si="16"/>
        <v>46458</v>
      </c>
      <c r="AC363" s="10">
        <v>24</v>
      </c>
      <c r="AD363" s="7">
        <f t="shared" si="17"/>
        <v>3480</v>
      </c>
      <c r="AE363" s="7">
        <f>IF(F363="Bullet",H363*AD363,MIN(MAX(I363,1),Assumptions!$B$6)*AD363)</f>
        <v>6960</v>
      </c>
      <c r="AF363" s="8">
        <f>IF(F363="Bullet",MAX(0,Assumptions!$B$4-AB363),MAX(0,Assumptions!$B$4-L363))</f>
        <v>52</v>
      </c>
      <c r="AG363" s="9">
        <v>46217</v>
      </c>
      <c r="AH363" s="8">
        <f>IF(AG363="","",Assumptions!$B$4-AG363)</f>
        <v>81</v>
      </c>
      <c r="AI363" s="5" t="s">
        <v>63</v>
      </c>
      <c r="AJ363" s="8">
        <v>2</v>
      </c>
      <c r="AK363" s="8">
        <v>2</v>
      </c>
      <c r="AL363" s="8">
        <v>763</v>
      </c>
      <c r="AM363" s="8">
        <v>2</v>
      </c>
      <c r="AN363" s="5" t="s">
        <v>63</v>
      </c>
      <c r="AO363" s="10">
        <v>67.5</v>
      </c>
      <c r="AP363" s="8">
        <v>47</v>
      </c>
      <c r="AQ363" s="9">
        <v>46276</v>
      </c>
      <c r="AR363" s="5" t="s">
        <v>53</v>
      </c>
      <c r="AS363" s="5" t="s">
        <v>81</v>
      </c>
    </row>
    <row r="364" spans="1:45" x14ac:dyDescent="0.35">
      <c r="A364" s="5" t="s">
        <v>1836</v>
      </c>
      <c r="B364" s="5" t="s">
        <v>1837</v>
      </c>
      <c r="C364" s="6" t="s">
        <v>1838</v>
      </c>
      <c r="D364" s="7">
        <v>159700</v>
      </c>
      <c r="E364" s="5" t="s">
        <v>48</v>
      </c>
      <c r="F364" s="5" t="s">
        <v>49</v>
      </c>
      <c r="G364" s="8"/>
      <c r="H364" s="8" t="str">
        <f>IF(F364="Bullet",MIN(G364,Assumptions!$B$6),"")</f>
        <v/>
      </c>
      <c r="I364" s="8">
        <v>2</v>
      </c>
      <c r="J364" s="8">
        <f>IF(F364="Monthly interest",MAX(0,Assumptions!$B$5-I364),"")</f>
        <v>1</v>
      </c>
      <c r="K364" s="7">
        <f t="shared" si="15"/>
        <v>5856</v>
      </c>
      <c r="L364" s="9">
        <v>46266</v>
      </c>
      <c r="M364" s="5" t="s">
        <v>116</v>
      </c>
      <c r="N364" s="5" t="s">
        <v>117</v>
      </c>
      <c r="O364" s="5" t="s">
        <v>118</v>
      </c>
      <c r="P364" s="5" t="s">
        <v>72</v>
      </c>
      <c r="Q364" s="5" t="s">
        <v>119</v>
      </c>
      <c r="R364" s="5" t="s">
        <v>120</v>
      </c>
      <c r="S364" s="5" t="s">
        <v>75</v>
      </c>
      <c r="T364" s="5" t="s">
        <v>57</v>
      </c>
      <c r="U364" s="5" t="s">
        <v>104</v>
      </c>
      <c r="V364" s="5" t="s">
        <v>76</v>
      </c>
      <c r="W364" s="5" t="s">
        <v>306</v>
      </c>
      <c r="X364" s="5" t="s">
        <v>371</v>
      </c>
      <c r="Y364" s="5" t="s">
        <v>1839</v>
      </c>
      <c r="Z364" s="9">
        <v>46082</v>
      </c>
      <c r="AA364" s="8">
        <v>12</v>
      </c>
      <c r="AB364" s="9">
        <f t="shared" si="16"/>
        <v>46447</v>
      </c>
      <c r="AC364" s="10">
        <v>22</v>
      </c>
      <c r="AD364" s="7">
        <f t="shared" si="17"/>
        <v>2928</v>
      </c>
      <c r="AE364" s="7">
        <f>IF(F364="Bullet",H364*AD364,MIN(MAX(I364,1),Assumptions!$B$6)*AD364)</f>
        <v>5856</v>
      </c>
      <c r="AF364" s="8">
        <f>IF(F364="Bullet",MAX(0,Assumptions!$B$4-AB364),MAX(0,Assumptions!$B$4-L364))</f>
        <v>32</v>
      </c>
      <c r="AG364" s="9">
        <v>46238</v>
      </c>
      <c r="AH364" s="8">
        <f>IF(AG364="","",Assumptions!$B$4-AG364)</f>
        <v>60</v>
      </c>
      <c r="AI364" s="5" t="s">
        <v>63</v>
      </c>
      <c r="AJ364" s="8">
        <v>2</v>
      </c>
      <c r="AK364" s="8">
        <v>1</v>
      </c>
      <c r="AL364" s="8">
        <v>560</v>
      </c>
      <c r="AM364" s="8">
        <v>1</v>
      </c>
      <c r="AN364" s="5" t="s">
        <v>57</v>
      </c>
      <c r="AO364" s="10">
        <v>71.099999999999994</v>
      </c>
      <c r="AP364" s="8">
        <v>78</v>
      </c>
      <c r="AQ364" s="9">
        <v>46273</v>
      </c>
      <c r="AR364" s="5" t="s">
        <v>53</v>
      </c>
      <c r="AS364" s="5" t="s">
        <v>91</v>
      </c>
    </row>
    <row r="365" spans="1:45" x14ac:dyDescent="0.35">
      <c r="A365" s="5" t="s">
        <v>1840</v>
      </c>
      <c r="B365" s="5" t="s">
        <v>354</v>
      </c>
      <c r="C365" s="6" t="s">
        <v>1841</v>
      </c>
      <c r="D365" s="7">
        <v>179400</v>
      </c>
      <c r="E365" s="5" t="s">
        <v>48</v>
      </c>
      <c r="F365" s="5" t="s">
        <v>49</v>
      </c>
      <c r="G365" s="8"/>
      <c r="H365" s="8" t="str">
        <f>IF(F365="Bullet",MIN(G365,Assumptions!$B$6),"")</f>
        <v/>
      </c>
      <c r="I365" s="8">
        <v>2</v>
      </c>
      <c r="J365" s="8">
        <f>IF(F365="Monthly interest",MAX(0,Assumptions!$B$5-I365),"")</f>
        <v>1</v>
      </c>
      <c r="K365" s="7">
        <f t="shared" si="15"/>
        <v>4186</v>
      </c>
      <c r="L365" s="9">
        <v>46244</v>
      </c>
      <c r="M365" s="5" t="s">
        <v>69</v>
      </c>
      <c r="N365" s="5" t="s">
        <v>70</v>
      </c>
      <c r="O365" s="5" t="s">
        <v>531</v>
      </c>
      <c r="P365" s="5" t="s">
        <v>72</v>
      </c>
      <c r="Q365" s="5" t="s">
        <v>73</v>
      </c>
      <c r="R365" s="5" t="s">
        <v>74</v>
      </c>
      <c r="S365" s="5" t="s">
        <v>85</v>
      </c>
      <c r="T365" s="5" t="s">
        <v>63</v>
      </c>
      <c r="U365" s="5" t="s">
        <v>58</v>
      </c>
      <c r="V365" s="5" t="s">
        <v>553</v>
      </c>
      <c r="W365" s="5" t="s">
        <v>1029</v>
      </c>
      <c r="X365" s="5" t="s">
        <v>1842</v>
      </c>
      <c r="Y365" s="5" t="s">
        <v>1843</v>
      </c>
      <c r="Z365" s="9">
        <v>45971</v>
      </c>
      <c r="AA365" s="8">
        <v>18</v>
      </c>
      <c r="AB365" s="9">
        <f t="shared" si="16"/>
        <v>46517</v>
      </c>
      <c r="AC365" s="10">
        <v>14</v>
      </c>
      <c r="AD365" s="7">
        <f t="shared" si="17"/>
        <v>2093</v>
      </c>
      <c r="AE365" s="7">
        <f>IF(F365="Bullet",H365*AD365,MIN(MAX(I365,1),Assumptions!$B$6)*AD365)</f>
        <v>4186</v>
      </c>
      <c r="AF365" s="8">
        <f>IF(F365="Bullet",MAX(0,Assumptions!$B$4-AB365),MAX(0,Assumptions!$B$4-L365))</f>
        <v>54</v>
      </c>
      <c r="AG365" s="9">
        <v>46214</v>
      </c>
      <c r="AH365" s="8">
        <f>IF(AG365="","",Assumptions!$B$4-AG365)</f>
        <v>84</v>
      </c>
      <c r="AI365" s="5" t="s">
        <v>63</v>
      </c>
      <c r="AJ365" s="8">
        <v>2</v>
      </c>
      <c r="AK365" s="8">
        <v>0</v>
      </c>
      <c r="AL365" s="8">
        <v>706</v>
      </c>
      <c r="AM365" s="8">
        <v>2</v>
      </c>
      <c r="AN365" s="5" t="s">
        <v>63</v>
      </c>
      <c r="AO365" s="10">
        <v>77.2</v>
      </c>
      <c r="AP365" s="8">
        <v>39</v>
      </c>
      <c r="AQ365" s="9">
        <v>46279</v>
      </c>
      <c r="AR365" s="5" t="s">
        <v>53</v>
      </c>
      <c r="AS365" s="5" t="s">
        <v>81</v>
      </c>
    </row>
    <row r="366" spans="1:45" x14ac:dyDescent="0.35">
      <c r="A366" s="5" t="s">
        <v>1844</v>
      </c>
      <c r="B366" s="5" t="s">
        <v>1466</v>
      </c>
      <c r="C366" s="6" t="s">
        <v>1845</v>
      </c>
      <c r="D366" s="7">
        <v>888900</v>
      </c>
      <c r="E366" s="5" t="s">
        <v>48</v>
      </c>
      <c r="F366" s="5" t="s">
        <v>49</v>
      </c>
      <c r="G366" s="8"/>
      <c r="H366" s="8" t="str">
        <f>IF(F366="Bullet",MIN(G366,Assumptions!$B$6),"")</f>
        <v/>
      </c>
      <c r="I366" s="8">
        <v>2</v>
      </c>
      <c r="J366" s="8">
        <f>IF(F366="Monthly interest",MAX(0,Assumptions!$B$5-I366),"")</f>
        <v>1</v>
      </c>
      <c r="K366" s="7">
        <f t="shared" si="15"/>
        <v>22222</v>
      </c>
      <c r="L366" s="9">
        <v>46238</v>
      </c>
      <c r="M366" s="5" t="s">
        <v>69</v>
      </c>
      <c r="N366" s="5" t="s">
        <v>70</v>
      </c>
      <c r="O366" s="5" t="s">
        <v>71</v>
      </c>
      <c r="P366" s="5" t="s">
        <v>72</v>
      </c>
      <c r="Q366" s="5" t="s">
        <v>73</v>
      </c>
      <c r="R366" s="5" t="s">
        <v>74</v>
      </c>
      <c r="S366" s="5" t="s">
        <v>253</v>
      </c>
      <c r="T366" s="5" t="s">
        <v>57</v>
      </c>
      <c r="U366" s="5" t="s">
        <v>104</v>
      </c>
      <c r="V366" s="5" t="s">
        <v>76</v>
      </c>
      <c r="W366" s="5" t="s">
        <v>105</v>
      </c>
      <c r="X366" s="5" t="s">
        <v>106</v>
      </c>
      <c r="Y366" s="5" t="s">
        <v>1846</v>
      </c>
      <c r="Z366" s="9">
        <v>46057</v>
      </c>
      <c r="AA366" s="8">
        <v>18</v>
      </c>
      <c r="AB366" s="9">
        <f t="shared" si="16"/>
        <v>46603</v>
      </c>
      <c r="AC366" s="10">
        <v>15</v>
      </c>
      <c r="AD366" s="7">
        <f t="shared" si="17"/>
        <v>11111</v>
      </c>
      <c r="AE366" s="7">
        <f>IF(F366="Bullet",H366*AD366,MIN(MAX(I366,1),Assumptions!$B$6)*AD366)</f>
        <v>22222</v>
      </c>
      <c r="AF366" s="8">
        <f>IF(F366="Bullet",MAX(0,Assumptions!$B$4-AB366),MAX(0,Assumptions!$B$4-L366))</f>
        <v>60</v>
      </c>
      <c r="AG366" s="9">
        <v>46208</v>
      </c>
      <c r="AH366" s="8">
        <f>IF(AG366="","",Assumptions!$B$4-AG366)</f>
        <v>90</v>
      </c>
      <c r="AI366" s="5" t="s">
        <v>57</v>
      </c>
      <c r="AJ366" s="8">
        <v>2</v>
      </c>
      <c r="AK366" s="8">
        <v>0</v>
      </c>
      <c r="AL366" s="8">
        <v>767</v>
      </c>
      <c r="AM366" s="8">
        <v>2</v>
      </c>
      <c r="AN366" s="5" t="s">
        <v>57</v>
      </c>
      <c r="AO366" s="10">
        <v>67.2</v>
      </c>
      <c r="AP366" s="8">
        <v>41</v>
      </c>
      <c r="AQ366" s="9">
        <v>46285</v>
      </c>
      <c r="AR366" s="5" t="s">
        <v>53</v>
      </c>
      <c r="AS366" s="5" t="s">
        <v>81</v>
      </c>
    </row>
    <row r="367" spans="1:45" x14ac:dyDescent="0.35">
      <c r="A367" s="5" t="s">
        <v>1847</v>
      </c>
      <c r="B367" s="5" t="s">
        <v>1848</v>
      </c>
      <c r="C367" s="6" t="s">
        <v>1849</v>
      </c>
      <c r="D367" s="7">
        <v>28300</v>
      </c>
      <c r="E367" s="5" t="s">
        <v>48</v>
      </c>
      <c r="F367" s="5" t="s">
        <v>49</v>
      </c>
      <c r="G367" s="8"/>
      <c r="H367" s="8" t="str">
        <f>IF(F367="Bullet",MIN(G367,Assumptions!$B$6),"")</f>
        <v/>
      </c>
      <c r="I367" s="8">
        <v>1</v>
      </c>
      <c r="J367" s="8">
        <f>IF(F367="Monthly interest",MAX(0,Assumptions!$B$5-I367),"")</f>
        <v>2</v>
      </c>
      <c r="K367" s="7">
        <f t="shared" si="15"/>
        <v>330</v>
      </c>
      <c r="L367" s="9">
        <v>46296</v>
      </c>
      <c r="M367" s="5" t="s">
        <v>50</v>
      </c>
      <c r="N367" s="5" t="s">
        <v>51</v>
      </c>
      <c r="O367" s="5" t="s">
        <v>152</v>
      </c>
      <c r="P367" s="5" t="s">
        <v>53</v>
      </c>
      <c r="Q367" s="5" t="s">
        <v>154</v>
      </c>
      <c r="R367" s="5" t="s">
        <v>155</v>
      </c>
      <c r="S367" s="5" t="s">
        <v>75</v>
      </c>
      <c r="T367" s="5" t="s">
        <v>57</v>
      </c>
      <c r="U367" s="5" t="s">
        <v>58</v>
      </c>
      <c r="V367" s="5" t="s">
        <v>76</v>
      </c>
      <c r="W367" s="5" t="s">
        <v>146</v>
      </c>
      <c r="X367" s="5" t="s">
        <v>1809</v>
      </c>
      <c r="Y367" s="5" t="s">
        <v>1850</v>
      </c>
      <c r="Z367" s="9">
        <v>46023</v>
      </c>
      <c r="AA367" s="8">
        <v>12</v>
      </c>
      <c r="AB367" s="9">
        <f t="shared" si="16"/>
        <v>46388</v>
      </c>
      <c r="AC367" s="10">
        <v>14</v>
      </c>
      <c r="AD367" s="7">
        <f t="shared" si="17"/>
        <v>330</v>
      </c>
      <c r="AE367" s="7">
        <f>IF(F367="Bullet",H367*AD367,MIN(MAX(I367,1),Assumptions!$B$6)*AD367)</f>
        <v>330</v>
      </c>
      <c r="AF367" s="8">
        <f>IF(F367="Bullet",MAX(0,Assumptions!$B$4-AB367),MAX(0,Assumptions!$B$4-L367))</f>
        <v>2</v>
      </c>
      <c r="AG367" s="9">
        <v>46270</v>
      </c>
      <c r="AH367" s="8">
        <f>IF(AG367="","",Assumptions!$B$4-AG367)</f>
        <v>28</v>
      </c>
      <c r="AI367" s="5" t="s">
        <v>63</v>
      </c>
      <c r="AJ367" s="8">
        <v>1</v>
      </c>
      <c r="AK367" s="8">
        <v>0</v>
      </c>
      <c r="AL367" s="8">
        <v>695</v>
      </c>
      <c r="AM367" s="8">
        <v>0</v>
      </c>
      <c r="AN367" s="5" t="s">
        <v>57</v>
      </c>
      <c r="AO367" s="10">
        <v>70.599999999999994</v>
      </c>
      <c r="AP367" s="8">
        <v>29</v>
      </c>
      <c r="AQ367" s="9"/>
      <c r="AR367" s="5"/>
      <c r="AS367" s="5" t="s">
        <v>159</v>
      </c>
    </row>
    <row r="368" spans="1:45" x14ac:dyDescent="0.35">
      <c r="A368" s="5" t="s">
        <v>1851</v>
      </c>
      <c r="B368" s="5" t="s">
        <v>1852</v>
      </c>
      <c r="C368" s="6" t="s">
        <v>1853</v>
      </c>
      <c r="D368" s="7">
        <v>376100</v>
      </c>
      <c r="E368" s="5" t="s">
        <v>48</v>
      </c>
      <c r="F368" s="5" t="s">
        <v>49</v>
      </c>
      <c r="G368" s="8"/>
      <c r="H368" s="8" t="str">
        <f>IF(F368="Bullet",MIN(G368,Assumptions!$B$6),"")</f>
        <v/>
      </c>
      <c r="I368" s="8">
        <v>2</v>
      </c>
      <c r="J368" s="8">
        <f>IF(F368="Monthly interest",MAX(0,Assumptions!$B$5-I368),"")</f>
        <v>1</v>
      </c>
      <c r="K368" s="7">
        <f t="shared" si="15"/>
        <v>10030</v>
      </c>
      <c r="L368" s="9">
        <v>46256</v>
      </c>
      <c r="M368" s="5" t="s">
        <v>116</v>
      </c>
      <c r="N368" s="5" t="s">
        <v>117</v>
      </c>
      <c r="O368" s="5" t="s">
        <v>118</v>
      </c>
      <c r="P368" s="5" t="s">
        <v>72</v>
      </c>
      <c r="Q368" s="5" t="s">
        <v>119</v>
      </c>
      <c r="R368" s="5" t="s">
        <v>120</v>
      </c>
      <c r="S368" s="5" t="s">
        <v>85</v>
      </c>
      <c r="T368" s="5" t="s">
        <v>57</v>
      </c>
      <c r="U368" s="5" t="s">
        <v>104</v>
      </c>
      <c r="V368" s="5" t="s">
        <v>133</v>
      </c>
      <c r="W368" s="5" t="s">
        <v>134</v>
      </c>
      <c r="X368" s="5" t="s">
        <v>1854</v>
      </c>
      <c r="Y368" s="5" t="s">
        <v>1855</v>
      </c>
      <c r="Z368" s="9">
        <v>46134</v>
      </c>
      <c r="AA368" s="8">
        <v>24</v>
      </c>
      <c r="AB368" s="9">
        <f t="shared" si="16"/>
        <v>46865</v>
      </c>
      <c r="AC368" s="10">
        <v>16</v>
      </c>
      <c r="AD368" s="7">
        <f t="shared" si="17"/>
        <v>5015</v>
      </c>
      <c r="AE368" s="7">
        <f>IF(F368="Bullet",H368*AD368,MIN(MAX(I368,1),Assumptions!$B$6)*AD368)</f>
        <v>10030</v>
      </c>
      <c r="AF368" s="8">
        <f>IF(F368="Bullet",MAX(0,Assumptions!$B$4-AB368),MAX(0,Assumptions!$B$4-L368))</f>
        <v>42</v>
      </c>
      <c r="AG368" s="9">
        <v>46225</v>
      </c>
      <c r="AH368" s="8">
        <f>IF(AG368="","",Assumptions!$B$4-AG368)</f>
        <v>73</v>
      </c>
      <c r="AI368" s="5" t="s">
        <v>63</v>
      </c>
      <c r="AJ368" s="8">
        <v>3</v>
      </c>
      <c r="AK368" s="8">
        <v>2</v>
      </c>
      <c r="AL368" s="8" t="s">
        <v>80</v>
      </c>
      <c r="AM368" s="8">
        <v>2</v>
      </c>
      <c r="AN368" s="5" t="s">
        <v>63</v>
      </c>
      <c r="AO368" s="10">
        <v>75.7</v>
      </c>
      <c r="AP368" s="8">
        <v>54</v>
      </c>
      <c r="AQ368" s="9">
        <v>46296</v>
      </c>
      <c r="AR368" s="5" t="s">
        <v>70</v>
      </c>
      <c r="AS368" s="5" t="s">
        <v>190</v>
      </c>
    </row>
    <row r="369" spans="1:45" x14ac:dyDescent="0.35">
      <c r="A369" s="5" t="s">
        <v>1856</v>
      </c>
      <c r="B369" s="5" t="s">
        <v>1857</v>
      </c>
      <c r="C369" s="6" t="s">
        <v>1858</v>
      </c>
      <c r="D369" s="7">
        <v>119900</v>
      </c>
      <c r="E369" s="5" t="s">
        <v>48</v>
      </c>
      <c r="F369" s="5" t="s">
        <v>68</v>
      </c>
      <c r="G369" s="8">
        <v>4</v>
      </c>
      <c r="H369" s="8">
        <f>IF(F369="Bullet",MIN(G369,Assumptions!$B$6),"")</f>
        <v>2</v>
      </c>
      <c r="I369" s="8"/>
      <c r="J369" s="8" t="str">
        <f>IF(F369="Monthly interest",MAX(0,Assumptions!$B$5-I369),"")</f>
        <v/>
      </c>
      <c r="K369" s="7">
        <f t="shared" si="15"/>
        <v>6396</v>
      </c>
      <c r="L369" s="9">
        <v>46173</v>
      </c>
      <c r="M369" s="5" t="s">
        <v>69</v>
      </c>
      <c r="N369" s="5" t="s">
        <v>53</v>
      </c>
      <c r="O369" s="5" t="s">
        <v>71</v>
      </c>
      <c r="P369" s="5" t="s">
        <v>70</v>
      </c>
      <c r="Q369" s="5" t="s">
        <v>73</v>
      </c>
      <c r="R369" s="5" t="s">
        <v>74</v>
      </c>
      <c r="S369" s="5" t="s">
        <v>56</v>
      </c>
      <c r="T369" s="5" t="s">
        <v>57</v>
      </c>
      <c r="U369" s="5" t="s">
        <v>86</v>
      </c>
      <c r="V369" s="5" t="s">
        <v>59</v>
      </c>
      <c r="W369" s="5" t="s">
        <v>60</v>
      </c>
      <c r="X369" s="5" t="s">
        <v>121</v>
      </c>
      <c r="Y369" s="5" t="s">
        <v>1859</v>
      </c>
      <c r="Z369" s="9">
        <v>46173</v>
      </c>
      <c r="AA369" s="8">
        <v>3</v>
      </c>
      <c r="AB369" s="9">
        <f t="shared" si="16"/>
        <v>46265</v>
      </c>
      <c r="AC369" s="10">
        <v>16</v>
      </c>
      <c r="AD369" s="7">
        <f t="shared" si="17"/>
        <v>1599</v>
      </c>
      <c r="AE369" s="7">
        <f>IF(F369="Bullet",H369*AD369,MIN(MAX(I369,1),Assumptions!$B$6)*AD369)</f>
        <v>3198</v>
      </c>
      <c r="AF369" s="8">
        <f>IF(F369="Bullet",MAX(0,Assumptions!$B$4-AB369),MAX(0,Assumptions!$B$4-L369))</f>
        <v>33</v>
      </c>
      <c r="AG369" s="9"/>
      <c r="AH369" s="8" t="str">
        <f>IF(AG369="","",Assumptions!$B$4-AG369)</f>
        <v/>
      </c>
      <c r="AI369" s="5" t="s">
        <v>80</v>
      </c>
      <c r="AJ369" s="8"/>
      <c r="AK369" s="8">
        <v>1</v>
      </c>
      <c r="AL369" s="8">
        <v>727</v>
      </c>
      <c r="AM369" s="8">
        <v>0</v>
      </c>
      <c r="AN369" s="5" t="s">
        <v>63</v>
      </c>
      <c r="AO369" s="10">
        <v>62.3</v>
      </c>
      <c r="AP369" s="8">
        <v>35</v>
      </c>
      <c r="AQ369" s="9">
        <v>46274</v>
      </c>
      <c r="AR369" s="5" t="s">
        <v>72</v>
      </c>
      <c r="AS369" s="5" t="s">
        <v>81</v>
      </c>
    </row>
    <row r="370" spans="1:45" x14ac:dyDescent="0.35">
      <c r="A370" s="5" t="s">
        <v>1860</v>
      </c>
      <c r="B370" s="5" t="s">
        <v>1861</v>
      </c>
      <c r="C370" s="6" t="s">
        <v>1862</v>
      </c>
      <c r="D370" s="7">
        <v>27400</v>
      </c>
      <c r="E370" s="5" t="s">
        <v>48</v>
      </c>
      <c r="F370" s="5" t="s">
        <v>68</v>
      </c>
      <c r="G370" s="8">
        <v>4</v>
      </c>
      <c r="H370" s="8">
        <f>IF(F370="Bullet",MIN(G370,Assumptions!$B$6),"")</f>
        <v>2</v>
      </c>
      <c r="I370" s="8"/>
      <c r="J370" s="8" t="str">
        <f>IF(F370="Monthly interest",MAX(0,Assumptions!$B$5-I370),"")</f>
        <v/>
      </c>
      <c r="K370" s="7">
        <f t="shared" si="15"/>
        <v>1372</v>
      </c>
      <c r="L370" s="9">
        <v>46158</v>
      </c>
      <c r="M370" s="5" t="s">
        <v>116</v>
      </c>
      <c r="N370" s="5" t="s">
        <v>117</v>
      </c>
      <c r="O370" s="5" t="s">
        <v>450</v>
      </c>
      <c r="P370" s="5" t="s">
        <v>72</v>
      </c>
      <c r="Q370" s="5" t="s">
        <v>154</v>
      </c>
      <c r="R370" s="5" t="s">
        <v>155</v>
      </c>
      <c r="S370" s="5" t="s">
        <v>253</v>
      </c>
      <c r="T370" s="5" t="s">
        <v>63</v>
      </c>
      <c r="U370" s="5" t="s">
        <v>104</v>
      </c>
      <c r="V370" s="5" t="s">
        <v>186</v>
      </c>
      <c r="W370" s="5" t="s">
        <v>694</v>
      </c>
      <c r="X370" s="5" t="s">
        <v>1342</v>
      </c>
      <c r="Y370" s="5" t="s">
        <v>1863</v>
      </c>
      <c r="Z370" s="9">
        <v>46158</v>
      </c>
      <c r="AA370" s="8">
        <v>6</v>
      </c>
      <c r="AB370" s="9">
        <f t="shared" si="16"/>
        <v>46342</v>
      </c>
      <c r="AC370" s="10">
        <v>15</v>
      </c>
      <c r="AD370" s="7">
        <f t="shared" si="17"/>
        <v>343</v>
      </c>
      <c r="AE370" s="7">
        <f>IF(F370="Bullet",H370*AD370,MIN(MAX(I370,1),Assumptions!$B$6)*AD370)</f>
        <v>686</v>
      </c>
      <c r="AF370" s="8">
        <f>IF(F370="Bullet",MAX(0,Assumptions!$B$4-AB370),MAX(0,Assumptions!$B$4-L370))</f>
        <v>0</v>
      </c>
      <c r="AG370" s="9"/>
      <c r="AH370" s="8" t="str">
        <f>IF(AG370="","",Assumptions!$B$4-AG370)</f>
        <v/>
      </c>
      <c r="AI370" s="5" t="s">
        <v>80</v>
      </c>
      <c r="AJ370" s="8"/>
      <c r="AK370" s="8">
        <v>3</v>
      </c>
      <c r="AL370" s="8">
        <v>723</v>
      </c>
      <c r="AM370" s="8">
        <v>2</v>
      </c>
      <c r="AN370" s="5" t="s">
        <v>63</v>
      </c>
      <c r="AO370" s="10">
        <v>73</v>
      </c>
      <c r="AP370" s="8">
        <v>48</v>
      </c>
      <c r="AQ370" s="9">
        <v>46291</v>
      </c>
      <c r="AR370" s="5" t="s">
        <v>70</v>
      </c>
      <c r="AS370" s="5" t="s">
        <v>64</v>
      </c>
    </row>
    <row r="371" spans="1:45" x14ac:dyDescent="0.35">
      <c r="A371" s="5" t="s">
        <v>1864</v>
      </c>
      <c r="B371" s="5" t="s">
        <v>1865</v>
      </c>
      <c r="C371" s="6" t="s">
        <v>1866</v>
      </c>
      <c r="D371" s="7">
        <v>82400</v>
      </c>
      <c r="E371" s="5" t="s">
        <v>48</v>
      </c>
      <c r="F371" s="5" t="s">
        <v>49</v>
      </c>
      <c r="G371" s="8"/>
      <c r="H371" s="8" t="str">
        <f>IF(F371="Bullet",MIN(G371,Assumptions!$B$6),"")</f>
        <v/>
      </c>
      <c r="I371" s="8">
        <v>2</v>
      </c>
      <c r="J371" s="8">
        <f>IF(F371="Monthly interest",MAX(0,Assumptions!$B$5-I371),"")</f>
        <v>1</v>
      </c>
      <c r="K371" s="7">
        <f t="shared" si="15"/>
        <v>3022</v>
      </c>
      <c r="L371" s="9">
        <v>46259</v>
      </c>
      <c r="M371" s="5" t="s">
        <v>69</v>
      </c>
      <c r="N371" s="5" t="s">
        <v>53</v>
      </c>
      <c r="O371" s="5" t="s">
        <v>71</v>
      </c>
      <c r="P371" s="5" t="s">
        <v>70</v>
      </c>
      <c r="Q371" s="5" t="s">
        <v>73</v>
      </c>
      <c r="R371" s="5" t="s">
        <v>74</v>
      </c>
      <c r="S371" s="5" t="s">
        <v>214</v>
      </c>
      <c r="T371" s="5" t="s">
        <v>63</v>
      </c>
      <c r="U371" s="5" t="s">
        <v>86</v>
      </c>
      <c r="V371" s="5" t="s">
        <v>215</v>
      </c>
      <c r="W371" s="5" t="s">
        <v>600</v>
      </c>
      <c r="X371" s="5" t="s">
        <v>1867</v>
      </c>
      <c r="Y371" s="5" t="s">
        <v>1868</v>
      </c>
      <c r="Z371" s="9">
        <v>46016</v>
      </c>
      <c r="AA371" s="8">
        <v>12</v>
      </c>
      <c r="AB371" s="9">
        <f t="shared" si="16"/>
        <v>46381</v>
      </c>
      <c r="AC371" s="10">
        <v>22</v>
      </c>
      <c r="AD371" s="7">
        <f t="shared" si="17"/>
        <v>1511</v>
      </c>
      <c r="AE371" s="7">
        <f>IF(F371="Bullet",H371*AD371,MIN(MAX(I371,1),Assumptions!$B$6)*AD371)</f>
        <v>3022</v>
      </c>
      <c r="AF371" s="8">
        <f>IF(F371="Bullet",MAX(0,Assumptions!$B$4-AB371),MAX(0,Assumptions!$B$4-L371))</f>
        <v>39</v>
      </c>
      <c r="AG371" s="9">
        <v>46233</v>
      </c>
      <c r="AH371" s="8">
        <f>IF(AG371="","",Assumptions!$B$4-AG371)</f>
        <v>65</v>
      </c>
      <c r="AI371" s="5" t="s">
        <v>63</v>
      </c>
      <c r="AJ371" s="8">
        <v>3</v>
      </c>
      <c r="AK371" s="8">
        <v>0</v>
      </c>
      <c r="AL371" s="8">
        <v>754</v>
      </c>
      <c r="AM371" s="8">
        <v>2</v>
      </c>
      <c r="AN371" s="5" t="s">
        <v>63</v>
      </c>
      <c r="AO371" s="10">
        <v>67.3</v>
      </c>
      <c r="AP371" s="8">
        <v>34</v>
      </c>
      <c r="AQ371" s="9">
        <v>46292</v>
      </c>
      <c r="AR371" s="5" t="s">
        <v>70</v>
      </c>
      <c r="AS371" s="5" t="s">
        <v>81</v>
      </c>
    </row>
    <row r="372" spans="1:45" x14ac:dyDescent="0.35">
      <c r="A372" s="5" t="s">
        <v>1869</v>
      </c>
      <c r="B372" s="5" t="s">
        <v>917</v>
      </c>
      <c r="C372" s="6" t="s">
        <v>1870</v>
      </c>
      <c r="D372" s="7">
        <v>85400</v>
      </c>
      <c r="E372" s="5" t="s">
        <v>48</v>
      </c>
      <c r="F372" s="5" t="s">
        <v>68</v>
      </c>
      <c r="G372" s="8">
        <v>6</v>
      </c>
      <c r="H372" s="8">
        <f>IF(F372="Bullet",MIN(G372,Assumptions!$B$6),"")</f>
        <v>2</v>
      </c>
      <c r="I372" s="8"/>
      <c r="J372" s="8" t="str">
        <f>IF(F372="Monthly interest",MAX(0,Assumptions!$B$5-I372),"")</f>
        <v/>
      </c>
      <c r="K372" s="7">
        <f t="shared" si="15"/>
        <v>5550</v>
      </c>
      <c r="L372" s="9">
        <v>46106</v>
      </c>
      <c r="M372" s="5" t="s">
        <v>116</v>
      </c>
      <c r="N372" s="5" t="s">
        <v>117</v>
      </c>
      <c r="O372" s="5" t="s">
        <v>461</v>
      </c>
      <c r="P372" s="5" t="s">
        <v>72</v>
      </c>
      <c r="Q372" s="5" t="s">
        <v>169</v>
      </c>
      <c r="R372" s="5" t="s">
        <v>170</v>
      </c>
      <c r="S372" s="5" t="s">
        <v>56</v>
      </c>
      <c r="T372" s="5" t="s">
        <v>57</v>
      </c>
      <c r="U372" s="5" t="s">
        <v>86</v>
      </c>
      <c r="V372" s="5" t="s">
        <v>59</v>
      </c>
      <c r="W372" s="5" t="s">
        <v>323</v>
      </c>
      <c r="X372" s="5" t="s">
        <v>340</v>
      </c>
      <c r="Y372" s="5" t="s">
        <v>1871</v>
      </c>
      <c r="Z372" s="9">
        <v>46106</v>
      </c>
      <c r="AA372" s="8">
        <v>6</v>
      </c>
      <c r="AB372" s="9">
        <f t="shared" si="16"/>
        <v>46290</v>
      </c>
      <c r="AC372" s="10">
        <v>13</v>
      </c>
      <c r="AD372" s="7">
        <f t="shared" si="17"/>
        <v>925</v>
      </c>
      <c r="AE372" s="7">
        <f>IF(F372="Bullet",H372*AD372,MIN(MAX(I372,1),Assumptions!$B$6)*AD372)</f>
        <v>1850</v>
      </c>
      <c r="AF372" s="8">
        <f>IF(F372="Bullet",MAX(0,Assumptions!$B$4-AB372),MAX(0,Assumptions!$B$4-L372))</f>
        <v>8</v>
      </c>
      <c r="AG372" s="9"/>
      <c r="AH372" s="8" t="str">
        <f>IF(AG372="","",Assumptions!$B$4-AG372)</f>
        <v/>
      </c>
      <c r="AI372" s="5" t="s">
        <v>80</v>
      </c>
      <c r="AJ372" s="8"/>
      <c r="AK372" s="8">
        <v>2</v>
      </c>
      <c r="AL372" s="8">
        <v>588</v>
      </c>
      <c r="AM372" s="8">
        <v>0</v>
      </c>
      <c r="AN372" s="5" t="s">
        <v>63</v>
      </c>
      <c r="AO372" s="10">
        <v>66.599999999999994</v>
      </c>
      <c r="AP372" s="8">
        <v>80</v>
      </c>
      <c r="AQ372" s="9">
        <v>46296</v>
      </c>
      <c r="AR372" s="5" t="s">
        <v>70</v>
      </c>
      <c r="AS372" s="5" t="s">
        <v>91</v>
      </c>
    </row>
    <row r="373" spans="1:45" x14ac:dyDescent="0.35">
      <c r="A373" s="5" t="s">
        <v>1872</v>
      </c>
      <c r="B373" s="5" t="s">
        <v>1873</v>
      </c>
      <c r="C373" s="6" t="s">
        <v>1874</v>
      </c>
      <c r="D373" s="7">
        <v>88500</v>
      </c>
      <c r="E373" s="5" t="s">
        <v>48</v>
      </c>
      <c r="F373" s="5" t="s">
        <v>68</v>
      </c>
      <c r="G373" s="8">
        <v>5</v>
      </c>
      <c r="H373" s="8">
        <f>IF(F373="Bullet",MIN(G373,Assumptions!$B$6),"")</f>
        <v>2</v>
      </c>
      <c r="I373" s="8"/>
      <c r="J373" s="8" t="str">
        <f>IF(F373="Monthly interest",MAX(0,Assumptions!$B$5-I373),"")</f>
        <v/>
      </c>
      <c r="K373" s="7">
        <f t="shared" si="15"/>
        <v>5900</v>
      </c>
      <c r="L373" s="9">
        <v>46125</v>
      </c>
      <c r="M373" s="5" t="s">
        <v>69</v>
      </c>
      <c r="N373" s="5" t="s">
        <v>53</v>
      </c>
      <c r="O373" s="5" t="s">
        <v>168</v>
      </c>
      <c r="P373" s="5" t="s">
        <v>70</v>
      </c>
      <c r="Q373" s="5" t="s">
        <v>169</v>
      </c>
      <c r="R373" s="5" t="s">
        <v>170</v>
      </c>
      <c r="S373" s="5" t="s">
        <v>56</v>
      </c>
      <c r="T373" s="5" t="s">
        <v>57</v>
      </c>
      <c r="U373" s="5" t="s">
        <v>104</v>
      </c>
      <c r="V373" s="5" t="s">
        <v>59</v>
      </c>
      <c r="W373" s="5" t="s">
        <v>60</v>
      </c>
      <c r="X373" s="5" t="s">
        <v>1660</v>
      </c>
      <c r="Y373" s="5" t="s">
        <v>1875</v>
      </c>
      <c r="Z373" s="9">
        <v>46125</v>
      </c>
      <c r="AA373" s="8">
        <v>6</v>
      </c>
      <c r="AB373" s="9">
        <f t="shared" si="16"/>
        <v>46308</v>
      </c>
      <c r="AC373" s="10">
        <v>16</v>
      </c>
      <c r="AD373" s="7">
        <f t="shared" si="17"/>
        <v>1180</v>
      </c>
      <c r="AE373" s="7">
        <f>IF(F373="Bullet",H373*AD373,MIN(MAX(I373,1),Assumptions!$B$6)*AD373)</f>
        <v>2360</v>
      </c>
      <c r="AF373" s="8">
        <f>IF(F373="Bullet",MAX(0,Assumptions!$B$4-AB373),MAX(0,Assumptions!$B$4-L373))</f>
        <v>0</v>
      </c>
      <c r="AG373" s="9"/>
      <c r="AH373" s="8" t="str">
        <f>IF(AG373="","",Assumptions!$B$4-AG373)</f>
        <v/>
      </c>
      <c r="AI373" s="5" t="s">
        <v>80</v>
      </c>
      <c r="AJ373" s="8"/>
      <c r="AK373" s="8">
        <v>0</v>
      </c>
      <c r="AL373" s="8">
        <v>720</v>
      </c>
      <c r="AM373" s="8">
        <v>2</v>
      </c>
      <c r="AN373" s="5" t="s">
        <v>63</v>
      </c>
      <c r="AO373" s="10">
        <v>78.900000000000006</v>
      </c>
      <c r="AP373" s="8">
        <v>42</v>
      </c>
      <c r="AQ373" s="9">
        <v>46281</v>
      </c>
      <c r="AR373" s="5" t="s">
        <v>70</v>
      </c>
      <c r="AS373" s="5" t="s">
        <v>81</v>
      </c>
    </row>
    <row r="374" spans="1:45" x14ac:dyDescent="0.35">
      <c r="A374" s="5" t="s">
        <v>1876</v>
      </c>
      <c r="B374" s="5" t="s">
        <v>1877</v>
      </c>
      <c r="C374" s="6" t="s">
        <v>1878</v>
      </c>
      <c r="D374" s="7">
        <v>30800</v>
      </c>
      <c r="E374" s="5" t="s">
        <v>48</v>
      </c>
      <c r="F374" s="5" t="s">
        <v>68</v>
      </c>
      <c r="G374" s="8">
        <v>4</v>
      </c>
      <c r="H374" s="8">
        <f>IF(F374="Bullet",MIN(G374,Assumptions!$B$6),"")</f>
        <v>2</v>
      </c>
      <c r="I374" s="8"/>
      <c r="J374" s="8" t="str">
        <f>IF(F374="Monthly interest",MAX(0,Assumptions!$B$5-I374),"")</f>
        <v/>
      </c>
      <c r="K374" s="7">
        <f t="shared" si="15"/>
        <v>1848</v>
      </c>
      <c r="L374" s="9">
        <v>46174</v>
      </c>
      <c r="M374" s="5" t="s">
        <v>50</v>
      </c>
      <c r="N374" s="5" t="s">
        <v>53</v>
      </c>
      <c r="O374" s="5" t="s">
        <v>152</v>
      </c>
      <c r="P374" s="5" t="s">
        <v>153</v>
      </c>
      <c r="Q374" s="5" t="s">
        <v>154</v>
      </c>
      <c r="R374" s="5" t="s">
        <v>155</v>
      </c>
      <c r="S374" s="5" t="s">
        <v>75</v>
      </c>
      <c r="T374" s="5" t="s">
        <v>57</v>
      </c>
      <c r="U374" s="5" t="s">
        <v>58</v>
      </c>
      <c r="V374" s="5" t="s">
        <v>76</v>
      </c>
      <c r="W374" s="5" t="s">
        <v>77</v>
      </c>
      <c r="X374" s="5" t="s">
        <v>1879</v>
      </c>
      <c r="Y374" s="5" t="s">
        <v>1880</v>
      </c>
      <c r="Z374" s="9">
        <v>46174</v>
      </c>
      <c r="AA374" s="8">
        <v>6</v>
      </c>
      <c r="AB374" s="9">
        <f t="shared" si="16"/>
        <v>46357</v>
      </c>
      <c r="AC374" s="10">
        <v>18</v>
      </c>
      <c r="AD374" s="7">
        <f t="shared" si="17"/>
        <v>462</v>
      </c>
      <c r="AE374" s="7">
        <f>IF(F374="Bullet",H374*AD374,MIN(MAX(I374,1),Assumptions!$B$6)*AD374)</f>
        <v>924</v>
      </c>
      <c r="AF374" s="8">
        <f>IF(F374="Bullet",MAX(0,Assumptions!$B$4-AB374),MAX(0,Assumptions!$B$4-L374))</f>
        <v>0</v>
      </c>
      <c r="AG374" s="9"/>
      <c r="AH374" s="8" t="str">
        <f>IF(AG374="","",Assumptions!$B$4-AG374)</f>
        <v/>
      </c>
      <c r="AI374" s="5" t="s">
        <v>80</v>
      </c>
      <c r="AJ374" s="8"/>
      <c r="AK374" s="8">
        <v>0</v>
      </c>
      <c r="AL374" s="8">
        <v>722</v>
      </c>
      <c r="AM374" s="8">
        <v>0</v>
      </c>
      <c r="AN374" s="5" t="s">
        <v>63</v>
      </c>
      <c r="AO374" s="10">
        <v>72.5</v>
      </c>
      <c r="AP374" s="8">
        <v>23</v>
      </c>
      <c r="AQ374" s="9">
        <v>46274</v>
      </c>
      <c r="AR374" s="5" t="s">
        <v>70</v>
      </c>
      <c r="AS374" s="5" t="s">
        <v>64</v>
      </c>
    </row>
    <row r="375" spans="1:45" x14ac:dyDescent="0.35">
      <c r="A375" s="5" t="s">
        <v>1881</v>
      </c>
      <c r="B375" s="5" t="s">
        <v>1882</v>
      </c>
      <c r="C375" s="6" t="s">
        <v>1883</v>
      </c>
      <c r="D375" s="7">
        <v>244000</v>
      </c>
      <c r="E375" s="5" t="s">
        <v>48</v>
      </c>
      <c r="F375" s="5" t="s">
        <v>68</v>
      </c>
      <c r="G375" s="8">
        <v>2</v>
      </c>
      <c r="H375" s="8">
        <f>IF(F375="Bullet",MIN(G375,Assumptions!$B$6),"")</f>
        <v>2</v>
      </c>
      <c r="I375" s="8"/>
      <c r="J375" s="8" t="str">
        <f>IF(F375="Monthly interest",MAX(0,Assumptions!$B$5-I375),"")</f>
        <v/>
      </c>
      <c r="K375" s="7">
        <f t="shared" si="15"/>
        <v>4880</v>
      </c>
      <c r="L375" s="9">
        <v>46229</v>
      </c>
      <c r="M375" s="5" t="s">
        <v>69</v>
      </c>
      <c r="N375" s="5" t="s">
        <v>53</v>
      </c>
      <c r="O375" s="5" t="s">
        <v>71</v>
      </c>
      <c r="P375" s="5" t="s">
        <v>70</v>
      </c>
      <c r="Q375" s="5" t="s">
        <v>73</v>
      </c>
      <c r="R375" s="5" t="s">
        <v>74</v>
      </c>
      <c r="S375" s="5" t="s">
        <v>75</v>
      </c>
      <c r="T375" s="5" t="s">
        <v>57</v>
      </c>
      <c r="U375" s="5" t="s">
        <v>86</v>
      </c>
      <c r="V375" s="5" t="s">
        <v>76</v>
      </c>
      <c r="W375" s="5" t="s">
        <v>105</v>
      </c>
      <c r="X375" s="5" t="s">
        <v>1884</v>
      </c>
      <c r="Y375" s="5" t="s">
        <v>1885</v>
      </c>
      <c r="Z375" s="9">
        <v>46229</v>
      </c>
      <c r="AA375" s="8">
        <v>3</v>
      </c>
      <c r="AB375" s="9">
        <f t="shared" si="16"/>
        <v>46321</v>
      </c>
      <c r="AC375" s="10">
        <v>12</v>
      </c>
      <c r="AD375" s="7">
        <f t="shared" si="17"/>
        <v>2440</v>
      </c>
      <c r="AE375" s="7">
        <f>IF(F375="Bullet",H375*AD375,MIN(MAX(I375,1),Assumptions!$B$6)*AD375)</f>
        <v>4880</v>
      </c>
      <c r="AF375" s="8">
        <f>IF(F375="Bullet",MAX(0,Assumptions!$B$4-AB375),MAX(0,Assumptions!$B$4-L375))</f>
        <v>0</v>
      </c>
      <c r="AG375" s="9"/>
      <c r="AH375" s="8" t="str">
        <f>IF(AG375="","",Assumptions!$B$4-AG375)</f>
        <v/>
      </c>
      <c r="AI375" s="5" t="s">
        <v>80</v>
      </c>
      <c r="AJ375" s="8"/>
      <c r="AK375" s="8">
        <v>2</v>
      </c>
      <c r="AL375" s="8" t="s">
        <v>80</v>
      </c>
      <c r="AM375" s="8">
        <v>0</v>
      </c>
      <c r="AN375" s="5" t="s">
        <v>63</v>
      </c>
      <c r="AO375" s="10">
        <v>76.599999999999994</v>
      </c>
      <c r="AP375" s="8">
        <v>36</v>
      </c>
      <c r="AQ375" s="9">
        <v>46276</v>
      </c>
      <c r="AR375" s="5" t="s">
        <v>70</v>
      </c>
      <c r="AS375" s="5" t="s">
        <v>64</v>
      </c>
    </row>
    <row r="376" spans="1:45" x14ac:dyDescent="0.35">
      <c r="A376" s="5" t="s">
        <v>1886</v>
      </c>
      <c r="B376" s="5" t="s">
        <v>529</v>
      </c>
      <c r="C376" s="6" t="s">
        <v>1887</v>
      </c>
      <c r="D376" s="7">
        <v>166000</v>
      </c>
      <c r="E376" s="5" t="s">
        <v>48</v>
      </c>
      <c r="F376" s="5" t="s">
        <v>49</v>
      </c>
      <c r="G376" s="8"/>
      <c r="H376" s="8" t="str">
        <f>IF(F376="Bullet",MIN(G376,Assumptions!$B$6),"")</f>
        <v/>
      </c>
      <c r="I376" s="8">
        <v>2</v>
      </c>
      <c r="J376" s="8">
        <f>IF(F376="Monthly interest",MAX(0,Assumptions!$B$5-I376),"")</f>
        <v>1</v>
      </c>
      <c r="K376" s="7">
        <f t="shared" si="15"/>
        <v>4980</v>
      </c>
      <c r="L376" s="9">
        <v>46262</v>
      </c>
      <c r="M376" s="5" t="s">
        <v>69</v>
      </c>
      <c r="N376" s="5" t="s">
        <v>53</v>
      </c>
      <c r="O376" s="5" t="s">
        <v>71</v>
      </c>
      <c r="P376" s="5" t="s">
        <v>70</v>
      </c>
      <c r="Q376" s="5" t="s">
        <v>73</v>
      </c>
      <c r="R376" s="5" t="s">
        <v>74</v>
      </c>
      <c r="S376" s="5" t="s">
        <v>214</v>
      </c>
      <c r="T376" s="5" t="s">
        <v>57</v>
      </c>
      <c r="U376" s="5" t="s">
        <v>86</v>
      </c>
      <c r="V376" s="5" t="s">
        <v>215</v>
      </c>
      <c r="W376" s="5" t="s">
        <v>232</v>
      </c>
      <c r="X376" s="5" t="s">
        <v>233</v>
      </c>
      <c r="Y376" s="5" t="s">
        <v>1888</v>
      </c>
      <c r="Z376" s="9">
        <v>46140</v>
      </c>
      <c r="AA376" s="8">
        <v>12</v>
      </c>
      <c r="AB376" s="9">
        <f t="shared" si="16"/>
        <v>46505</v>
      </c>
      <c r="AC376" s="10">
        <v>18</v>
      </c>
      <c r="AD376" s="7">
        <f t="shared" si="17"/>
        <v>2490</v>
      </c>
      <c r="AE376" s="7">
        <f>IF(F376="Bullet",H376*AD376,MIN(MAX(I376,1),Assumptions!$B$6)*AD376)</f>
        <v>4980</v>
      </c>
      <c r="AF376" s="8">
        <f>IF(F376="Bullet",MAX(0,Assumptions!$B$4-AB376),MAX(0,Assumptions!$B$4-L376))</f>
        <v>36</v>
      </c>
      <c r="AG376" s="9">
        <v>46234</v>
      </c>
      <c r="AH376" s="8">
        <f>IF(AG376="","",Assumptions!$B$4-AG376)</f>
        <v>64</v>
      </c>
      <c r="AI376" s="5" t="s">
        <v>63</v>
      </c>
      <c r="AJ376" s="8">
        <v>2</v>
      </c>
      <c r="AK376" s="8">
        <v>1</v>
      </c>
      <c r="AL376" s="8">
        <v>654</v>
      </c>
      <c r="AM376" s="8">
        <v>0</v>
      </c>
      <c r="AN376" s="5" t="s">
        <v>63</v>
      </c>
      <c r="AO376" s="10">
        <v>58.9</v>
      </c>
      <c r="AP376" s="8">
        <v>47</v>
      </c>
      <c r="AQ376" s="9">
        <v>46274</v>
      </c>
      <c r="AR376" s="5" t="s">
        <v>51</v>
      </c>
      <c r="AS376" s="5" t="s">
        <v>81</v>
      </c>
    </row>
    <row r="377" spans="1:45" x14ac:dyDescent="0.35">
      <c r="A377" s="5" t="s">
        <v>1889</v>
      </c>
      <c r="B377" s="5" t="s">
        <v>1890</v>
      </c>
      <c r="C377" s="6" t="s">
        <v>1891</v>
      </c>
      <c r="D377" s="7">
        <v>87500</v>
      </c>
      <c r="E377" s="5" t="s">
        <v>48</v>
      </c>
      <c r="F377" s="5" t="s">
        <v>68</v>
      </c>
      <c r="G377" s="8">
        <v>3</v>
      </c>
      <c r="H377" s="8">
        <f>IF(F377="Bullet",MIN(G377,Assumptions!$B$6),"")</f>
        <v>2</v>
      </c>
      <c r="I377" s="8"/>
      <c r="J377" s="8" t="str">
        <f>IF(F377="Monthly interest",MAX(0,Assumptions!$B$5-I377),"")</f>
        <v/>
      </c>
      <c r="K377" s="7">
        <f t="shared" si="15"/>
        <v>3501</v>
      </c>
      <c r="L377" s="9">
        <v>46203</v>
      </c>
      <c r="M377" s="5" t="s">
        <v>69</v>
      </c>
      <c r="N377" s="5" t="s">
        <v>70</v>
      </c>
      <c r="O377" s="5" t="s">
        <v>295</v>
      </c>
      <c r="P377" s="5" t="s">
        <v>72</v>
      </c>
      <c r="Q377" s="5" t="s">
        <v>73</v>
      </c>
      <c r="R377" s="5" t="s">
        <v>74</v>
      </c>
      <c r="S377" s="5" t="s">
        <v>56</v>
      </c>
      <c r="T377" s="5" t="s">
        <v>57</v>
      </c>
      <c r="U377" s="5" t="s">
        <v>86</v>
      </c>
      <c r="V377" s="5" t="s">
        <v>59</v>
      </c>
      <c r="W377" s="5" t="s">
        <v>467</v>
      </c>
      <c r="X377" s="5" t="s">
        <v>1740</v>
      </c>
      <c r="Y377" s="5" t="s">
        <v>1892</v>
      </c>
      <c r="Z377" s="9">
        <v>46203</v>
      </c>
      <c r="AA377" s="8">
        <v>6</v>
      </c>
      <c r="AB377" s="9">
        <f t="shared" si="16"/>
        <v>46386</v>
      </c>
      <c r="AC377" s="10">
        <v>16</v>
      </c>
      <c r="AD377" s="7">
        <f t="shared" si="17"/>
        <v>1167</v>
      </c>
      <c r="AE377" s="7">
        <f>IF(F377="Bullet",H377*AD377,MIN(MAX(I377,1),Assumptions!$B$6)*AD377)</f>
        <v>2334</v>
      </c>
      <c r="AF377" s="8">
        <f>IF(F377="Bullet",MAX(0,Assumptions!$B$4-AB377),MAX(0,Assumptions!$B$4-L377))</f>
        <v>0</v>
      </c>
      <c r="AG377" s="9"/>
      <c r="AH377" s="8" t="str">
        <f>IF(AG377="","",Assumptions!$B$4-AG377)</f>
        <v/>
      </c>
      <c r="AI377" s="5" t="s">
        <v>80</v>
      </c>
      <c r="AJ377" s="8"/>
      <c r="AK377" s="8">
        <v>1</v>
      </c>
      <c r="AL377" s="8">
        <v>591</v>
      </c>
      <c r="AM377" s="8">
        <v>0</v>
      </c>
      <c r="AN377" s="5" t="s">
        <v>63</v>
      </c>
      <c r="AO377" s="10">
        <v>67.5</v>
      </c>
      <c r="AP377" s="8">
        <v>41</v>
      </c>
      <c r="AQ377" s="9">
        <v>46288</v>
      </c>
      <c r="AR377" s="5" t="s">
        <v>53</v>
      </c>
      <c r="AS377" s="5" t="s">
        <v>91</v>
      </c>
    </row>
    <row r="378" spans="1:45" x14ac:dyDescent="0.35">
      <c r="A378" s="5" t="s">
        <v>1893</v>
      </c>
      <c r="B378" s="5" t="s">
        <v>1894</v>
      </c>
      <c r="C378" s="6" t="s">
        <v>1895</v>
      </c>
      <c r="D378" s="7">
        <v>215800</v>
      </c>
      <c r="E378" s="5" t="s">
        <v>48</v>
      </c>
      <c r="F378" s="5" t="s">
        <v>68</v>
      </c>
      <c r="G378" s="8">
        <v>1</v>
      </c>
      <c r="H378" s="8">
        <f>IF(F378="Bullet",MIN(G378,Assumptions!$B$6),"")</f>
        <v>1</v>
      </c>
      <c r="I378" s="8"/>
      <c r="J378" s="8" t="str">
        <f>IF(F378="Monthly interest",MAX(0,Assumptions!$B$5-I378),"")</f>
        <v/>
      </c>
      <c r="K378" s="7">
        <f t="shared" si="15"/>
        <v>2158</v>
      </c>
      <c r="L378" s="9">
        <v>46253</v>
      </c>
      <c r="M378" s="5" t="s">
        <v>50</v>
      </c>
      <c r="N378" s="5" t="s">
        <v>51</v>
      </c>
      <c r="O378" s="5" t="s">
        <v>71</v>
      </c>
      <c r="P378" s="5" t="s">
        <v>53</v>
      </c>
      <c r="Q378" s="5" t="s">
        <v>73</v>
      </c>
      <c r="R378" s="5" t="s">
        <v>74</v>
      </c>
      <c r="S378" s="5" t="s">
        <v>56</v>
      </c>
      <c r="T378" s="5" t="s">
        <v>57</v>
      </c>
      <c r="U378" s="5" t="s">
        <v>104</v>
      </c>
      <c r="V378" s="5" t="s">
        <v>59</v>
      </c>
      <c r="W378" s="5" t="s">
        <v>323</v>
      </c>
      <c r="X378" s="5" t="s">
        <v>324</v>
      </c>
      <c r="Y378" s="5" t="s">
        <v>1896</v>
      </c>
      <c r="Z378" s="9">
        <v>46253</v>
      </c>
      <c r="AA378" s="8">
        <v>6</v>
      </c>
      <c r="AB378" s="9">
        <f t="shared" si="16"/>
        <v>46437</v>
      </c>
      <c r="AC378" s="10">
        <v>12</v>
      </c>
      <c r="AD378" s="7">
        <f t="shared" si="17"/>
        <v>2158</v>
      </c>
      <c r="AE378" s="7">
        <f>IF(F378="Bullet",H378*AD378,MIN(MAX(I378,1),Assumptions!$B$6)*AD378)</f>
        <v>2158</v>
      </c>
      <c r="AF378" s="8">
        <f>IF(F378="Bullet",MAX(0,Assumptions!$B$4-AB378),MAX(0,Assumptions!$B$4-L378))</f>
        <v>0</v>
      </c>
      <c r="AG378" s="9"/>
      <c r="AH378" s="8" t="str">
        <f>IF(AG378="","",Assumptions!$B$4-AG378)</f>
        <v/>
      </c>
      <c r="AI378" s="5" t="s">
        <v>80</v>
      </c>
      <c r="AJ378" s="8"/>
      <c r="AK378" s="8">
        <v>0</v>
      </c>
      <c r="AL378" s="8">
        <v>679</v>
      </c>
      <c r="AM378" s="8">
        <v>1</v>
      </c>
      <c r="AN378" s="5" t="s">
        <v>63</v>
      </c>
      <c r="AO378" s="10">
        <v>64.8</v>
      </c>
      <c r="AP378" s="8">
        <v>22</v>
      </c>
      <c r="AQ378" s="9">
        <v>46291</v>
      </c>
      <c r="AR378" s="5" t="s">
        <v>53</v>
      </c>
      <c r="AS378" s="5" t="s">
        <v>81</v>
      </c>
    </row>
    <row r="379" spans="1:45" x14ac:dyDescent="0.35">
      <c r="A379" s="5" t="s">
        <v>1897</v>
      </c>
      <c r="B379" s="5" t="s">
        <v>1898</v>
      </c>
      <c r="C379" s="6" t="s">
        <v>1899</v>
      </c>
      <c r="D379" s="7">
        <v>135300</v>
      </c>
      <c r="E379" s="5" t="s">
        <v>48</v>
      </c>
      <c r="F379" s="5" t="s">
        <v>49</v>
      </c>
      <c r="G379" s="8"/>
      <c r="H379" s="8" t="str">
        <f>IF(F379="Bullet",MIN(G379,Assumptions!$B$6),"")</f>
        <v/>
      </c>
      <c r="I379" s="8">
        <v>1</v>
      </c>
      <c r="J379" s="8">
        <f>IF(F379="Monthly interest",MAX(0,Assumptions!$B$5-I379),"")</f>
        <v>2</v>
      </c>
      <c r="K379" s="7">
        <f t="shared" si="15"/>
        <v>1804</v>
      </c>
      <c r="L379" s="9">
        <v>46297</v>
      </c>
      <c r="M379" s="5" t="s">
        <v>50</v>
      </c>
      <c r="N379" s="5" t="s">
        <v>53</v>
      </c>
      <c r="O379" s="5" t="s">
        <v>95</v>
      </c>
      <c r="P379" s="5" t="s">
        <v>70</v>
      </c>
      <c r="Q379" s="5" t="s">
        <v>54</v>
      </c>
      <c r="R379" s="5" t="s">
        <v>55</v>
      </c>
      <c r="S379" s="5" t="s">
        <v>185</v>
      </c>
      <c r="T379" s="5" t="s">
        <v>63</v>
      </c>
      <c r="U379" s="5" t="s">
        <v>104</v>
      </c>
      <c r="V379" s="5" t="s">
        <v>200</v>
      </c>
      <c r="W379" s="5" t="s">
        <v>201</v>
      </c>
      <c r="X379" s="5" t="s">
        <v>1541</v>
      </c>
      <c r="Y379" s="5" t="s">
        <v>1900</v>
      </c>
      <c r="Z379" s="9">
        <v>46175</v>
      </c>
      <c r="AA379" s="8">
        <v>24</v>
      </c>
      <c r="AB379" s="9">
        <f t="shared" si="16"/>
        <v>46906</v>
      </c>
      <c r="AC379" s="10">
        <v>16</v>
      </c>
      <c r="AD379" s="7">
        <f t="shared" si="17"/>
        <v>1804</v>
      </c>
      <c r="AE379" s="7">
        <f>IF(F379="Bullet",H379*AD379,MIN(MAX(I379,1),Assumptions!$B$6)*AD379)</f>
        <v>1804</v>
      </c>
      <c r="AF379" s="8">
        <f>IF(F379="Bullet",MAX(0,Assumptions!$B$4-AB379),MAX(0,Assumptions!$B$4-L379))</f>
        <v>1</v>
      </c>
      <c r="AG379" s="9">
        <v>46270</v>
      </c>
      <c r="AH379" s="8">
        <f>IF(AG379="","",Assumptions!$B$4-AG379)</f>
        <v>28</v>
      </c>
      <c r="AI379" s="5" t="s">
        <v>57</v>
      </c>
      <c r="AJ379" s="8">
        <v>1</v>
      </c>
      <c r="AK379" s="8">
        <v>0</v>
      </c>
      <c r="AL379" s="8">
        <v>755</v>
      </c>
      <c r="AM379" s="8">
        <v>0</v>
      </c>
      <c r="AN379" s="5" t="s">
        <v>63</v>
      </c>
      <c r="AO379" s="10">
        <v>67.3</v>
      </c>
      <c r="AP379" s="8">
        <v>14</v>
      </c>
      <c r="AQ379" s="9"/>
      <c r="AR379" s="5"/>
      <c r="AS379" s="5" t="s">
        <v>159</v>
      </c>
    </row>
    <row r="380" spans="1:45" x14ac:dyDescent="0.35">
      <c r="A380" s="5" t="s">
        <v>1901</v>
      </c>
      <c r="B380" s="5" t="s">
        <v>1902</v>
      </c>
      <c r="C380" s="6" t="s">
        <v>1903</v>
      </c>
      <c r="D380" s="7">
        <v>103500</v>
      </c>
      <c r="E380" s="5" t="s">
        <v>48</v>
      </c>
      <c r="F380" s="5" t="s">
        <v>49</v>
      </c>
      <c r="G380" s="8"/>
      <c r="H380" s="8" t="str">
        <f>IF(F380="Bullet",MIN(G380,Assumptions!$B$6),"")</f>
        <v/>
      </c>
      <c r="I380" s="8">
        <v>2</v>
      </c>
      <c r="J380" s="8">
        <f>IF(F380="Monthly interest",MAX(0,Assumptions!$B$5-I380),"")</f>
        <v>1</v>
      </c>
      <c r="K380" s="7">
        <f t="shared" si="15"/>
        <v>3796</v>
      </c>
      <c r="L380" s="9">
        <v>46250</v>
      </c>
      <c r="M380" s="5" t="s">
        <v>116</v>
      </c>
      <c r="N380" s="5" t="s">
        <v>117</v>
      </c>
      <c r="O380" s="5" t="s">
        <v>118</v>
      </c>
      <c r="P380" s="5" t="s">
        <v>72</v>
      </c>
      <c r="Q380" s="5" t="s">
        <v>119</v>
      </c>
      <c r="R380" s="5" t="s">
        <v>120</v>
      </c>
      <c r="S380" s="5" t="s">
        <v>185</v>
      </c>
      <c r="T380" s="5" t="s">
        <v>57</v>
      </c>
      <c r="U380" s="5" t="s">
        <v>58</v>
      </c>
      <c r="V380" s="5" t="s">
        <v>200</v>
      </c>
      <c r="W380" s="5" t="s">
        <v>201</v>
      </c>
      <c r="X380" s="5" t="s">
        <v>428</v>
      </c>
      <c r="Y380" s="5" t="s">
        <v>1904</v>
      </c>
      <c r="Z380" s="9">
        <v>46189</v>
      </c>
      <c r="AA380" s="8">
        <v>12</v>
      </c>
      <c r="AB380" s="9">
        <f t="shared" si="16"/>
        <v>46554</v>
      </c>
      <c r="AC380" s="10">
        <v>22</v>
      </c>
      <c r="AD380" s="7">
        <f t="shared" si="17"/>
        <v>1898</v>
      </c>
      <c r="AE380" s="7">
        <f>IF(F380="Bullet",H380*AD380,MIN(MAX(I380,1),Assumptions!$B$6)*AD380)</f>
        <v>3796</v>
      </c>
      <c r="AF380" s="8">
        <f>IF(F380="Bullet",MAX(0,Assumptions!$B$4-AB380),MAX(0,Assumptions!$B$4-L380))</f>
        <v>48</v>
      </c>
      <c r="AG380" s="9">
        <v>46222</v>
      </c>
      <c r="AH380" s="8">
        <f>IF(AG380="","",Assumptions!$B$4-AG380)</f>
        <v>76</v>
      </c>
      <c r="AI380" s="5" t="s">
        <v>63</v>
      </c>
      <c r="AJ380" s="8">
        <v>3</v>
      </c>
      <c r="AK380" s="8">
        <v>1</v>
      </c>
      <c r="AL380" s="8">
        <v>623</v>
      </c>
      <c r="AM380" s="8">
        <v>1</v>
      </c>
      <c r="AN380" s="5" t="s">
        <v>57</v>
      </c>
      <c r="AO380" s="10">
        <v>61.8</v>
      </c>
      <c r="AP380" s="8">
        <v>65</v>
      </c>
      <c r="AQ380" s="9">
        <v>46283</v>
      </c>
      <c r="AR380" s="5" t="s">
        <v>70</v>
      </c>
      <c r="AS380" s="5" t="s">
        <v>64</v>
      </c>
    </row>
    <row r="381" spans="1:45" x14ac:dyDescent="0.35">
      <c r="A381" s="5" t="s">
        <v>1905</v>
      </c>
      <c r="B381" s="5" t="s">
        <v>1906</v>
      </c>
      <c r="C381" s="6" t="s">
        <v>1907</v>
      </c>
      <c r="D381" s="7">
        <v>96100</v>
      </c>
      <c r="E381" s="5" t="s">
        <v>48</v>
      </c>
      <c r="F381" s="5" t="s">
        <v>49</v>
      </c>
      <c r="G381" s="8"/>
      <c r="H381" s="8" t="str">
        <f>IF(F381="Bullet",MIN(G381,Assumptions!$B$6),"")</f>
        <v/>
      </c>
      <c r="I381" s="8">
        <v>1</v>
      </c>
      <c r="J381" s="8">
        <f>IF(F381="Monthly interest",MAX(0,Assumptions!$B$5-I381),"")</f>
        <v>2</v>
      </c>
      <c r="K381" s="7">
        <f t="shared" si="15"/>
        <v>1121</v>
      </c>
      <c r="L381" s="9">
        <v>46281</v>
      </c>
      <c r="M381" s="5" t="s">
        <v>50</v>
      </c>
      <c r="N381" s="5" t="s">
        <v>53</v>
      </c>
      <c r="O381" s="5" t="s">
        <v>103</v>
      </c>
      <c r="P381" s="5" t="s">
        <v>51</v>
      </c>
      <c r="Q381" s="5" t="s">
        <v>54</v>
      </c>
      <c r="R381" s="5" t="s">
        <v>55</v>
      </c>
      <c r="S381" s="5" t="s">
        <v>56</v>
      </c>
      <c r="T381" s="5" t="s">
        <v>57</v>
      </c>
      <c r="U381" s="5" t="s">
        <v>86</v>
      </c>
      <c r="V381" s="5" t="s">
        <v>59</v>
      </c>
      <c r="W381" s="5" t="s">
        <v>194</v>
      </c>
      <c r="X381" s="5" t="s">
        <v>1121</v>
      </c>
      <c r="Y381" s="5" t="s">
        <v>1908</v>
      </c>
      <c r="Z381" s="9">
        <v>46158</v>
      </c>
      <c r="AA381" s="8">
        <v>24</v>
      </c>
      <c r="AB381" s="9">
        <f t="shared" si="16"/>
        <v>46889</v>
      </c>
      <c r="AC381" s="10">
        <v>14</v>
      </c>
      <c r="AD381" s="7">
        <f t="shared" si="17"/>
        <v>1121</v>
      </c>
      <c r="AE381" s="7">
        <f>IF(F381="Bullet",H381*AD381,MIN(MAX(I381,1),Assumptions!$B$6)*AD381)</f>
        <v>1121</v>
      </c>
      <c r="AF381" s="8">
        <f>IF(F381="Bullet",MAX(0,Assumptions!$B$4-AB381),MAX(0,Assumptions!$B$4-L381))</f>
        <v>17</v>
      </c>
      <c r="AG381" s="9">
        <v>46254</v>
      </c>
      <c r="AH381" s="8">
        <f>IF(AG381="","",Assumptions!$B$4-AG381)</f>
        <v>44</v>
      </c>
      <c r="AI381" s="5" t="s">
        <v>63</v>
      </c>
      <c r="AJ381" s="8">
        <v>2</v>
      </c>
      <c r="AK381" s="8">
        <v>0</v>
      </c>
      <c r="AL381" s="8">
        <v>783</v>
      </c>
      <c r="AM381" s="8">
        <v>2</v>
      </c>
      <c r="AN381" s="5" t="s">
        <v>63</v>
      </c>
      <c r="AO381" s="10">
        <v>62.4</v>
      </c>
      <c r="AP381" s="8">
        <v>18</v>
      </c>
      <c r="AQ381" s="9">
        <v>46276</v>
      </c>
      <c r="AR381" s="5" t="s">
        <v>51</v>
      </c>
      <c r="AS381" s="5" t="s">
        <v>81</v>
      </c>
    </row>
    <row r="382" spans="1:45" x14ac:dyDescent="0.35">
      <c r="A382" s="5" t="s">
        <v>1909</v>
      </c>
      <c r="B382" s="5" t="s">
        <v>1910</v>
      </c>
      <c r="C382" s="6" t="s">
        <v>1911</v>
      </c>
      <c r="D382" s="7">
        <v>225800</v>
      </c>
      <c r="E382" s="5" t="s">
        <v>48</v>
      </c>
      <c r="F382" s="5" t="s">
        <v>68</v>
      </c>
      <c r="G382" s="8">
        <v>6</v>
      </c>
      <c r="H382" s="8">
        <f>IF(F382="Bullet",MIN(G382,Assumptions!$B$6),"")</f>
        <v>2</v>
      </c>
      <c r="I382" s="8"/>
      <c r="J382" s="8" t="str">
        <f>IF(F382="Monthly interest",MAX(0,Assumptions!$B$5-I382),"")</f>
        <v/>
      </c>
      <c r="K382" s="7">
        <f t="shared" si="15"/>
        <v>15804</v>
      </c>
      <c r="L382" s="9">
        <v>46092</v>
      </c>
      <c r="M382" s="5" t="s">
        <v>69</v>
      </c>
      <c r="N382" s="5" t="s">
        <v>53</v>
      </c>
      <c r="O382" s="5" t="s">
        <v>168</v>
      </c>
      <c r="P382" s="5" t="s">
        <v>70</v>
      </c>
      <c r="Q382" s="5" t="s">
        <v>169</v>
      </c>
      <c r="R382" s="5" t="s">
        <v>170</v>
      </c>
      <c r="S382" s="5" t="s">
        <v>185</v>
      </c>
      <c r="T382" s="5" t="s">
        <v>57</v>
      </c>
      <c r="U382" s="5" t="s">
        <v>86</v>
      </c>
      <c r="V382" s="5" t="s">
        <v>186</v>
      </c>
      <c r="W382" s="5" t="s">
        <v>187</v>
      </c>
      <c r="X382" s="5" t="s">
        <v>1161</v>
      </c>
      <c r="Y382" s="5" t="s">
        <v>1912</v>
      </c>
      <c r="Z382" s="9">
        <v>46092</v>
      </c>
      <c r="AA382" s="8">
        <v>12</v>
      </c>
      <c r="AB382" s="9">
        <f t="shared" si="16"/>
        <v>46457</v>
      </c>
      <c r="AC382" s="10">
        <v>14</v>
      </c>
      <c r="AD382" s="7">
        <f t="shared" si="17"/>
        <v>2634</v>
      </c>
      <c r="AE382" s="7">
        <f>IF(F382="Bullet",H382*AD382,MIN(MAX(I382,1),Assumptions!$B$6)*AD382)</f>
        <v>5268</v>
      </c>
      <c r="AF382" s="8">
        <f>IF(F382="Bullet",MAX(0,Assumptions!$B$4-AB382),MAX(0,Assumptions!$B$4-L382))</f>
        <v>0</v>
      </c>
      <c r="AG382" s="9"/>
      <c r="AH382" s="8" t="str">
        <f>IF(AG382="","",Assumptions!$B$4-AG382)</f>
        <v/>
      </c>
      <c r="AI382" s="5" t="s">
        <v>80</v>
      </c>
      <c r="AJ382" s="8"/>
      <c r="AK382" s="8">
        <v>1</v>
      </c>
      <c r="AL382" s="8">
        <v>716</v>
      </c>
      <c r="AM382" s="8">
        <v>0</v>
      </c>
      <c r="AN382" s="5" t="s">
        <v>63</v>
      </c>
      <c r="AO382" s="10">
        <v>75.900000000000006</v>
      </c>
      <c r="AP382" s="8">
        <v>34</v>
      </c>
      <c r="AQ382" s="9">
        <v>46279</v>
      </c>
      <c r="AR382" s="5" t="s">
        <v>70</v>
      </c>
      <c r="AS382" s="5" t="s">
        <v>181</v>
      </c>
    </row>
    <row r="383" spans="1:45" x14ac:dyDescent="0.35">
      <c r="A383" s="5" t="s">
        <v>1913</v>
      </c>
      <c r="B383" s="5" t="s">
        <v>1914</v>
      </c>
      <c r="C383" s="6" t="s">
        <v>1915</v>
      </c>
      <c r="D383" s="7">
        <v>155700</v>
      </c>
      <c r="E383" s="5" t="s">
        <v>48</v>
      </c>
      <c r="F383" s="5" t="s">
        <v>68</v>
      </c>
      <c r="G383" s="8">
        <v>6</v>
      </c>
      <c r="H383" s="8">
        <f>IF(F383="Bullet",MIN(G383,Assumptions!$B$6),"")</f>
        <v>2</v>
      </c>
      <c r="I383" s="8"/>
      <c r="J383" s="8" t="str">
        <f>IF(F383="Monthly interest",MAX(0,Assumptions!$B$5-I383),"")</f>
        <v/>
      </c>
      <c r="K383" s="7">
        <f t="shared" si="15"/>
        <v>12456</v>
      </c>
      <c r="L383" s="9">
        <v>46104</v>
      </c>
      <c r="M383" s="5" t="s">
        <v>116</v>
      </c>
      <c r="N383" s="5" t="s">
        <v>117</v>
      </c>
      <c r="O383" s="5" t="s">
        <v>461</v>
      </c>
      <c r="P383" s="5" t="s">
        <v>72</v>
      </c>
      <c r="Q383" s="5" t="s">
        <v>169</v>
      </c>
      <c r="R383" s="5" t="s">
        <v>170</v>
      </c>
      <c r="S383" s="5" t="s">
        <v>75</v>
      </c>
      <c r="T383" s="5" t="s">
        <v>57</v>
      </c>
      <c r="U383" s="5" t="s">
        <v>104</v>
      </c>
      <c r="V383" s="5" t="s">
        <v>76</v>
      </c>
      <c r="W383" s="5" t="s">
        <v>382</v>
      </c>
      <c r="X383" s="5" t="s">
        <v>1318</v>
      </c>
      <c r="Y383" s="5" t="s">
        <v>1916</v>
      </c>
      <c r="Z383" s="9">
        <v>46104</v>
      </c>
      <c r="AA383" s="8">
        <v>6</v>
      </c>
      <c r="AB383" s="9">
        <f t="shared" si="16"/>
        <v>46288</v>
      </c>
      <c r="AC383" s="10">
        <v>16</v>
      </c>
      <c r="AD383" s="7">
        <f t="shared" si="17"/>
        <v>2076</v>
      </c>
      <c r="AE383" s="7">
        <f>IF(F383="Bullet",H383*AD383,MIN(MAX(I383,1),Assumptions!$B$6)*AD383)</f>
        <v>4152</v>
      </c>
      <c r="AF383" s="8">
        <f>IF(F383="Bullet",MAX(0,Assumptions!$B$4-AB383),MAX(0,Assumptions!$B$4-L383))</f>
        <v>10</v>
      </c>
      <c r="AG383" s="9"/>
      <c r="AH383" s="8" t="str">
        <f>IF(AG383="","",Assumptions!$B$4-AG383)</f>
        <v/>
      </c>
      <c r="AI383" s="5" t="s">
        <v>80</v>
      </c>
      <c r="AJ383" s="8"/>
      <c r="AK383" s="8">
        <v>2</v>
      </c>
      <c r="AL383" s="8">
        <v>712</v>
      </c>
      <c r="AM383" s="8">
        <v>1</v>
      </c>
      <c r="AN383" s="5" t="s">
        <v>63</v>
      </c>
      <c r="AO383" s="10">
        <v>62.5</v>
      </c>
      <c r="AP383" s="8">
        <v>57</v>
      </c>
      <c r="AQ383" s="9">
        <v>46273</v>
      </c>
      <c r="AR383" s="5" t="s">
        <v>53</v>
      </c>
      <c r="AS383" s="5" t="s">
        <v>181</v>
      </c>
    </row>
    <row r="384" spans="1:45" x14ac:dyDescent="0.35">
      <c r="A384" s="5" t="s">
        <v>1917</v>
      </c>
      <c r="B384" s="5" t="s">
        <v>183</v>
      </c>
      <c r="C384" s="6" t="s">
        <v>1918</v>
      </c>
      <c r="D384" s="7">
        <v>459500</v>
      </c>
      <c r="E384" s="5" t="s">
        <v>48</v>
      </c>
      <c r="F384" s="5" t="s">
        <v>68</v>
      </c>
      <c r="G384" s="8">
        <v>2</v>
      </c>
      <c r="H384" s="8">
        <f>IF(F384="Bullet",MIN(G384,Assumptions!$B$6),"")</f>
        <v>2</v>
      </c>
      <c r="I384" s="8"/>
      <c r="J384" s="8" t="str">
        <f>IF(F384="Monthly interest",MAX(0,Assumptions!$B$5-I384),"")</f>
        <v/>
      </c>
      <c r="K384" s="7">
        <f t="shared" si="15"/>
        <v>10722</v>
      </c>
      <c r="L384" s="9">
        <v>46237</v>
      </c>
      <c r="M384" s="5" t="s">
        <v>50</v>
      </c>
      <c r="N384" s="5" t="s">
        <v>51</v>
      </c>
      <c r="O384" s="5" t="s">
        <v>71</v>
      </c>
      <c r="P384" s="5" t="s">
        <v>53</v>
      </c>
      <c r="Q384" s="5" t="s">
        <v>73</v>
      </c>
      <c r="R384" s="5" t="s">
        <v>74</v>
      </c>
      <c r="S384" s="5" t="s">
        <v>185</v>
      </c>
      <c r="T384" s="5" t="s">
        <v>57</v>
      </c>
      <c r="U384" s="5" t="s">
        <v>86</v>
      </c>
      <c r="V384" s="5" t="s">
        <v>200</v>
      </c>
      <c r="W384" s="5" t="s">
        <v>500</v>
      </c>
      <c r="X384" s="5" t="s">
        <v>560</v>
      </c>
      <c r="Y384" s="5" t="s">
        <v>1919</v>
      </c>
      <c r="Z384" s="9">
        <v>46237</v>
      </c>
      <c r="AA384" s="8">
        <v>3</v>
      </c>
      <c r="AB384" s="9">
        <f t="shared" si="16"/>
        <v>46329</v>
      </c>
      <c r="AC384" s="10">
        <v>14</v>
      </c>
      <c r="AD384" s="7">
        <f t="shared" si="17"/>
        <v>5361</v>
      </c>
      <c r="AE384" s="7">
        <f>IF(F384="Bullet",H384*AD384,MIN(MAX(I384,1),Assumptions!$B$6)*AD384)</f>
        <v>10722</v>
      </c>
      <c r="AF384" s="8">
        <f>IF(F384="Bullet",MAX(0,Assumptions!$B$4-AB384),MAX(0,Assumptions!$B$4-L384))</f>
        <v>0</v>
      </c>
      <c r="AG384" s="9"/>
      <c r="AH384" s="8" t="str">
        <f>IF(AG384="","",Assumptions!$B$4-AG384)</f>
        <v/>
      </c>
      <c r="AI384" s="5" t="s">
        <v>80</v>
      </c>
      <c r="AJ384" s="8"/>
      <c r="AK384" s="8">
        <v>2</v>
      </c>
      <c r="AL384" s="8">
        <v>744</v>
      </c>
      <c r="AM384" s="8">
        <v>1</v>
      </c>
      <c r="AN384" s="5" t="s">
        <v>63</v>
      </c>
      <c r="AO384" s="10">
        <v>65</v>
      </c>
      <c r="AP384" s="8">
        <v>21</v>
      </c>
      <c r="AQ384" s="9">
        <v>46286</v>
      </c>
      <c r="AR384" s="5" t="s">
        <v>70</v>
      </c>
      <c r="AS384" s="5" t="s">
        <v>181</v>
      </c>
    </row>
    <row r="385" spans="1:45" x14ac:dyDescent="0.35">
      <c r="A385" s="5" t="s">
        <v>1920</v>
      </c>
      <c r="B385" s="5" t="s">
        <v>1921</v>
      </c>
      <c r="C385" s="6" t="s">
        <v>1922</v>
      </c>
      <c r="D385" s="7">
        <v>172600</v>
      </c>
      <c r="E385" s="5" t="s">
        <v>48</v>
      </c>
      <c r="F385" s="5" t="s">
        <v>49</v>
      </c>
      <c r="G385" s="8"/>
      <c r="H385" s="8" t="str">
        <f>IF(F385="Bullet",MIN(G385,Assumptions!$B$6),"")</f>
        <v/>
      </c>
      <c r="I385" s="8">
        <v>1</v>
      </c>
      <c r="J385" s="8">
        <f>IF(F385="Monthly interest",MAX(0,Assumptions!$B$5-I385),"")</f>
        <v>2</v>
      </c>
      <c r="K385" s="7">
        <f t="shared" si="15"/>
        <v>2877</v>
      </c>
      <c r="L385" s="9">
        <v>46273</v>
      </c>
      <c r="M385" s="5" t="s">
        <v>69</v>
      </c>
      <c r="N385" s="5" t="s">
        <v>51</v>
      </c>
      <c r="O385" s="5" t="s">
        <v>52</v>
      </c>
      <c r="P385" s="5" t="s">
        <v>53</v>
      </c>
      <c r="Q385" s="5" t="s">
        <v>54</v>
      </c>
      <c r="R385" s="5" t="s">
        <v>55</v>
      </c>
      <c r="S385" s="5" t="s">
        <v>56</v>
      </c>
      <c r="T385" s="5" t="s">
        <v>57</v>
      </c>
      <c r="U385" s="5" t="s">
        <v>58</v>
      </c>
      <c r="V385" s="5" t="s">
        <v>59</v>
      </c>
      <c r="W385" s="5" t="s">
        <v>323</v>
      </c>
      <c r="X385" s="5" t="s">
        <v>1923</v>
      </c>
      <c r="Y385" s="5" t="s">
        <v>1924</v>
      </c>
      <c r="Z385" s="9">
        <v>46150</v>
      </c>
      <c r="AA385" s="8">
        <v>18</v>
      </c>
      <c r="AB385" s="9">
        <f t="shared" si="16"/>
        <v>46699</v>
      </c>
      <c r="AC385" s="10">
        <v>20</v>
      </c>
      <c r="AD385" s="7">
        <f t="shared" si="17"/>
        <v>2877</v>
      </c>
      <c r="AE385" s="7">
        <f>IF(F385="Bullet",H385*AD385,MIN(MAX(I385,1),Assumptions!$B$6)*AD385)</f>
        <v>2877</v>
      </c>
      <c r="AF385" s="8">
        <f>IF(F385="Bullet",MAX(0,Assumptions!$B$4-AB385),MAX(0,Assumptions!$B$4-L385))</f>
        <v>25</v>
      </c>
      <c r="AG385" s="9">
        <v>46247</v>
      </c>
      <c r="AH385" s="8">
        <f>IF(AG385="","",Assumptions!$B$4-AG385)</f>
        <v>51</v>
      </c>
      <c r="AI385" s="5" t="s">
        <v>57</v>
      </c>
      <c r="AJ385" s="8">
        <v>1</v>
      </c>
      <c r="AK385" s="8">
        <v>2</v>
      </c>
      <c r="AL385" s="8" t="s">
        <v>80</v>
      </c>
      <c r="AM385" s="8">
        <v>0</v>
      </c>
      <c r="AN385" s="5" t="s">
        <v>63</v>
      </c>
      <c r="AO385" s="10">
        <v>69.2</v>
      </c>
      <c r="AP385" s="8">
        <v>33</v>
      </c>
      <c r="AQ385" s="9">
        <v>46290</v>
      </c>
      <c r="AR385" s="5" t="s">
        <v>53</v>
      </c>
      <c r="AS385" s="5" t="s">
        <v>81</v>
      </c>
    </row>
    <row r="386" spans="1:45" x14ac:dyDescent="0.35">
      <c r="A386" s="5" t="s">
        <v>1925</v>
      </c>
      <c r="B386" s="5" t="s">
        <v>860</v>
      </c>
      <c r="C386" s="6" t="s">
        <v>1926</v>
      </c>
      <c r="D386" s="7">
        <v>59500</v>
      </c>
      <c r="E386" s="5" t="s">
        <v>48</v>
      </c>
      <c r="F386" s="5" t="s">
        <v>49</v>
      </c>
      <c r="G386" s="8"/>
      <c r="H386" s="8" t="str">
        <f>IF(F386="Bullet",MIN(G386,Assumptions!$B$6),"")</f>
        <v/>
      </c>
      <c r="I386" s="8">
        <v>1</v>
      </c>
      <c r="J386" s="8">
        <f>IF(F386="Monthly interest",MAX(0,Assumptions!$B$5-I386),"")</f>
        <v>2</v>
      </c>
      <c r="K386" s="7">
        <f t="shared" ref="K386:K449" si="18">IF(F386="Bullet",G386*AD386,MAX(I386,1)*AD386)</f>
        <v>1091</v>
      </c>
      <c r="L386" s="9">
        <v>46293</v>
      </c>
      <c r="M386" s="5" t="s">
        <v>50</v>
      </c>
      <c r="N386" s="5" t="s">
        <v>51</v>
      </c>
      <c r="O386" s="5" t="s">
        <v>52</v>
      </c>
      <c r="P386" s="5" t="s">
        <v>53</v>
      </c>
      <c r="Q386" s="5" t="s">
        <v>54</v>
      </c>
      <c r="R386" s="5" t="s">
        <v>55</v>
      </c>
      <c r="S386" s="5" t="s">
        <v>214</v>
      </c>
      <c r="T386" s="5" t="s">
        <v>57</v>
      </c>
      <c r="U386" s="5" t="s">
        <v>104</v>
      </c>
      <c r="V386" s="5" t="s">
        <v>215</v>
      </c>
      <c r="W386" s="5" t="s">
        <v>232</v>
      </c>
      <c r="X386" s="5" t="s">
        <v>1927</v>
      </c>
      <c r="Y386" s="5" t="s">
        <v>1928</v>
      </c>
      <c r="Z386" s="9">
        <v>46109</v>
      </c>
      <c r="AA386" s="8">
        <v>12</v>
      </c>
      <c r="AB386" s="9">
        <f t="shared" ref="AB386:AB449" si="19">EDATE(Z386,AA386)</f>
        <v>46474</v>
      </c>
      <c r="AC386" s="10">
        <v>22</v>
      </c>
      <c r="AD386" s="7">
        <f t="shared" ref="AD386:AD449" si="20">ROUND(D386*AC386/100/12,0)</f>
        <v>1091</v>
      </c>
      <c r="AE386" s="7">
        <f>IF(F386="Bullet",H386*AD386,MIN(MAX(I386,1),Assumptions!$B$6)*AD386)</f>
        <v>1091</v>
      </c>
      <c r="AF386" s="8">
        <f>IF(F386="Bullet",MAX(0,Assumptions!$B$4-AB386),MAX(0,Assumptions!$B$4-L386))</f>
        <v>5</v>
      </c>
      <c r="AG386" s="9">
        <v>46264</v>
      </c>
      <c r="AH386" s="8">
        <f>IF(AG386="","",Assumptions!$B$4-AG386)</f>
        <v>34</v>
      </c>
      <c r="AI386" s="5" t="s">
        <v>63</v>
      </c>
      <c r="AJ386" s="8">
        <v>1</v>
      </c>
      <c r="AK386" s="8">
        <v>0</v>
      </c>
      <c r="AL386" s="8">
        <v>730</v>
      </c>
      <c r="AM386" s="8">
        <v>1</v>
      </c>
      <c r="AN386" s="5" t="s">
        <v>63</v>
      </c>
      <c r="AO386" s="10">
        <v>65.599999999999994</v>
      </c>
      <c r="AP386" s="8">
        <v>18</v>
      </c>
      <c r="AQ386" s="9">
        <v>46287</v>
      </c>
      <c r="AR386" s="5" t="s">
        <v>51</v>
      </c>
      <c r="AS386" s="5" t="s">
        <v>181</v>
      </c>
    </row>
    <row r="387" spans="1:45" x14ac:dyDescent="0.35">
      <c r="A387" s="5" t="s">
        <v>1929</v>
      </c>
      <c r="B387" s="5" t="s">
        <v>1930</v>
      </c>
      <c r="C387" s="6" t="s">
        <v>1931</v>
      </c>
      <c r="D387" s="7">
        <v>646100</v>
      </c>
      <c r="E387" s="5" t="s">
        <v>48</v>
      </c>
      <c r="F387" s="5" t="s">
        <v>68</v>
      </c>
      <c r="G387" s="8">
        <v>2</v>
      </c>
      <c r="H387" s="8">
        <f>IF(F387="Bullet",MIN(G387,Assumptions!$B$6),"")</f>
        <v>2</v>
      </c>
      <c r="I387" s="8"/>
      <c r="J387" s="8" t="str">
        <f>IF(F387="Monthly interest",MAX(0,Assumptions!$B$5-I387),"")</f>
        <v/>
      </c>
      <c r="K387" s="7">
        <f t="shared" si="18"/>
        <v>12922</v>
      </c>
      <c r="L387" s="9">
        <v>46219</v>
      </c>
      <c r="M387" s="5" t="s">
        <v>50</v>
      </c>
      <c r="N387" s="5" t="s">
        <v>51</v>
      </c>
      <c r="O387" s="5" t="s">
        <v>71</v>
      </c>
      <c r="P387" s="5" t="s">
        <v>53</v>
      </c>
      <c r="Q387" s="5" t="s">
        <v>73</v>
      </c>
      <c r="R387" s="5" t="s">
        <v>74</v>
      </c>
      <c r="S387" s="5" t="s">
        <v>85</v>
      </c>
      <c r="T387" s="5" t="s">
        <v>57</v>
      </c>
      <c r="U387" s="5" t="s">
        <v>104</v>
      </c>
      <c r="V387" s="5" t="s">
        <v>96</v>
      </c>
      <c r="W387" s="5" t="s">
        <v>819</v>
      </c>
      <c r="X387" s="5" t="s">
        <v>1389</v>
      </c>
      <c r="Y387" s="5" t="s">
        <v>1932</v>
      </c>
      <c r="Z387" s="9">
        <v>46219</v>
      </c>
      <c r="AA387" s="8">
        <v>12</v>
      </c>
      <c r="AB387" s="9">
        <f t="shared" si="19"/>
        <v>46584</v>
      </c>
      <c r="AC387" s="10">
        <v>12</v>
      </c>
      <c r="AD387" s="7">
        <f t="shared" si="20"/>
        <v>6461</v>
      </c>
      <c r="AE387" s="7">
        <f>IF(F387="Bullet",H387*AD387,MIN(MAX(I387,1),Assumptions!$B$6)*AD387)</f>
        <v>12922</v>
      </c>
      <c r="AF387" s="8">
        <f>IF(F387="Bullet",MAX(0,Assumptions!$B$4-AB387),MAX(0,Assumptions!$B$4-L387))</f>
        <v>0</v>
      </c>
      <c r="AG387" s="9"/>
      <c r="AH387" s="8" t="str">
        <f>IF(AG387="","",Assumptions!$B$4-AG387)</f>
        <v/>
      </c>
      <c r="AI387" s="5" t="s">
        <v>80</v>
      </c>
      <c r="AJ387" s="8"/>
      <c r="AK387" s="8">
        <v>2</v>
      </c>
      <c r="AL387" s="8">
        <v>699</v>
      </c>
      <c r="AM387" s="8">
        <v>0</v>
      </c>
      <c r="AN387" s="5" t="s">
        <v>63</v>
      </c>
      <c r="AO387" s="10">
        <v>72.8</v>
      </c>
      <c r="AP387" s="8">
        <v>27</v>
      </c>
      <c r="AQ387" s="9"/>
      <c r="AR387" s="5"/>
      <c r="AS387" s="5" t="s">
        <v>159</v>
      </c>
    </row>
    <row r="388" spans="1:45" x14ac:dyDescent="0.35">
      <c r="A388" s="5" t="s">
        <v>1933</v>
      </c>
      <c r="B388" s="5" t="s">
        <v>258</v>
      </c>
      <c r="C388" s="6" t="s">
        <v>1934</v>
      </c>
      <c r="D388" s="7">
        <v>94700</v>
      </c>
      <c r="E388" s="5" t="s">
        <v>48</v>
      </c>
      <c r="F388" s="5" t="s">
        <v>49</v>
      </c>
      <c r="G388" s="8"/>
      <c r="H388" s="8" t="str">
        <f>IF(F388="Bullet",MIN(G388,Assumptions!$B$6),"")</f>
        <v/>
      </c>
      <c r="I388" s="8">
        <v>2</v>
      </c>
      <c r="J388" s="8">
        <f>IF(F388="Monthly interest",MAX(0,Assumptions!$B$5-I388),"")</f>
        <v>1</v>
      </c>
      <c r="K388" s="7">
        <f t="shared" si="18"/>
        <v>2526</v>
      </c>
      <c r="L388" s="9">
        <v>46241</v>
      </c>
      <c r="M388" s="5" t="s">
        <v>69</v>
      </c>
      <c r="N388" s="5" t="s">
        <v>53</v>
      </c>
      <c r="O388" s="5" t="s">
        <v>71</v>
      </c>
      <c r="P388" s="5" t="s">
        <v>70</v>
      </c>
      <c r="Q388" s="5" t="s">
        <v>73</v>
      </c>
      <c r="R388" s="5" t="s">
        <v>74</v>
      </c>
      <c r="S388" s="5" t="s">
        <v>253</v>
      </c>
      <c r="T388" s="5" t="s">
        <v>57</v>
      </c>
      <c r="U388" s="5" t="s">
        <v>86</v>
      </c>
      <c r="V388" s="5" t="s">
        <v>76</v>
      </c>
      <c r="W388" s="5" t="s">
        <v>306</v>
      </c>
      <c r="X388" s="5" t="s">
        <v>621</v>
      </c>
      <c r="Y388" s="5" t="s">
        <v>1935</v>
      </c>
      <c r="Z388" s="9">
        <v>45968</v>
      </c>
      <c r="AA388" s="8">
        <v>18</v>
      </c>
      <c r="AB388" s="9">
        <f t="shared" si="19"/>
        <v>46514</v>
      </c>
      <c r="AC388" s="10">
        <v>16</v>
      </c>
      <c r="AD388" s="7">
        <f t="shared" si="20"/>
        <v>1263</v>
      </c>
      <c r="AE388" s="7">
        <f>IF(F388="Bullet",H388*AD388,MIN(MAX(I388,1),Assumptions!$B$6)*AD388)</f>
        <v>2526</v>
      </c>
      <c r="AF388" s="8">
        <f>IF(F388="Bullet",MAX(0,Assumptions!$B$4-AB388),MAX(0,Assumptions!$B$4-L388))</f>
        <v>57</v>
      </c>
      <c r="AG388" s="9">
        <v>46215</v>
      </c>
      <c r="AH388" s="8">
        <f>IF(AG388="","",Assumptions!$B$4-AG388)</f>
        <v>83</v>
      </c>
      <c r="AI388" s="5" t="s">
        <v>63</v>
      </c>
      <c r="AJ388" s="8">
        <v>2</v>
      </c>
      <c r="AK388" s="8">
        <v>1</v>
      </c>
      <c r="AL388" s="8">
        <v>846</v>
      </c>
      <c r="AM388" s="8">
        <v>1</v>
      </c>
      <c r="AN388" s="5" t="s">
        <v>63</v>
      </c>
      <c r="AO388" s="10">
        <v>87.3</v>
      </c>
      <c r="AP388" s="8">
        <v>42</v>
      </c>
      <c r="AQ388" s="9">
        <v>46297</v>
      </c>
      <c r="AR388" s="5" t="s">
        <v>70</v>
      </c>
      <c r="AS388" s="5" t="s">
        <v>81</v>
      </c>
    </row>
    <row r="389" spans="1:45" x14ac:dyDescent="0.35">
      <c r="A389" s="5" t="s">
        <v>1936</v>
      </c>
      <c r="B389" s="5" t="s">
        <v>1937</v>
      </c>
      <c r="C389" s="6" t="s">
        <v>1938</v>
      </c>
      <c r="D389" s="7">
        <v>17500</v>
      </c>
      <c r="E389" s="5" t="s">
        <v>48</v>
      </c>
      <c r="F389" s="5" t="s">
        <v>49</v>
      </c>
      <c r="G389" s="8"/>
      <c r="H389" s="8" t="str">
        <f>IF(F389="Bullet",MIN(G389,Assumptions!$B$6),"")</f>
        <v/>
      </c>
      <c r="I389" s="8">
        <v>1</v>
      </c>
      <c r="J389" s="8">
        <f>IF(F389="Monthly interest",MAX(0,Assumptions!$B$5-I389),"")</f>
        <v>2</v>
      </c>
      <c r="K389" s="7">
        <f t="shared" si="18"/>
        <v>233</v>
      </c>
      <c r="L389" s="9">
        <v>46278</v>
      </c>
      <c r="M389" s="5" t="s">
        <v>50</v>
      </c>
      <c r="N389" s="5" t="s">
        <v>53</v>
      </c>
      <c r="O389" s="5" t="s">
        <v>103</v>
      </c>
      <c r="P389" s="5" t="s">
        <v>153</v>
      </c>
      <c r="Q389" s="5" t="s">
        <v>154</v>
      </c>
      <c r="R389" s="5" t="s">
        <v>155</v>
      </c>
      <c r="S389" s="5" t="s">
        <v>253</v>
      </c>
      <c r="T389" s="5" t="s">
        <v>57</v>
      </c>
      <c r="U389" s="5" t="s">
        <v>58</v>
      </c>
      <c r="V389" s="5" t="s">
        <v>96</v>
      </c>
      <c r="W389" s="5" t="s">
        <v>819</v>
      </c>
      <c r="X389" s="5" t="s">
        <v>1939</v>
      </c>
      <c r="Y389" s="5" t="s">
        <v>1940</v>
      </c>
      <c r="Z389" s="9">
        <v>46004</v>
      </c>
      <c r="AA389" s="8">
        <v>12</v>
      </c>
      <c r="AB389" s="9">
        <f t="shared" si="19"/>
        <v>46369</v>
      </c>
      <c r="AC389" s="10">
        <v>16</v>
      </c>
      <c r="AD389" s="7">
        <f t="shared" si="20"/>
        <v>233</v>
      </c>
      <c r="AE389" s="7">
        <f>IF(F389="Bullet",H389*AD389,MIN(MAX(I389,1),Assumptions!$B$6)*AD389)</f>
        <v>233</v>
      </c>
      <c r="AF389" s="8">
        <f>IF(F389="Bullet",MAX(0,Assumptions!$B$4-AB389),MAX(0,Assumptions!$B$4-L389))</f>
        <v>20</v>
      </c>
      <c r="AG389" s="9">
        <v>46251</v>
      </c>
      <c r="AH389" s="8">
        <f>IF(AG389="","",Assumptions!$B$4-AG389)</f>
        <v>47</v>
      </c>
      <c r="AI389" s="5" t="s">
        <v>63</v>
      </c>
      <c r="AJ389" s="8">
        <v>1</v>
      </c>
      <c r="AK389" s="8">
        <v>1</v>
      </c>
      <c r="AL389" s="8">
        <v>734</v>
      </c>
      <c r="AM389" s="8">
        <v>1</v>
      </c>
      <c r="AN389" s="5" t="s">
        <v>63</v>
      </c>
      <c r="AO389" s="10">
        <v>68.5</v>
      </c>
      <c r="AP389" s="8">
        <v>24</v>
      </c>
      <c r="AQ389" s="9">
        <v>46285</v>
      </c>
      <c r="AR389" s="5" t="s">
        <v>51</v>
      </c>
      <c r="AS389" s="5" t="s">
        <v>81</v>
      </c>
    </row>
    <row r="390" spans="1:45" x14ac:dyDescent="0.35">
      <c r="A390" s="5" t="s">
        <v>1941</v>
      </c>
      <c r="B390" s="5" t="s">
        <v>1942</v>
      </c>
      <c r="C390" s="6" t="s">
        <v>1943</v>
      </c>
      <c r="D390" s="7">
        <v>605600</v>
      </c>
      <c r="E390" s="5" t="s">
        <v>48</v>
      </c>
      <c r="F390" s="5" t="s">
        <v>68</v>
      </c>
      <c r="G390" s="8">
        <v>3</v>
      </c>
      <c r="H390" s="8">
        <f>IF(F390="Bullet",MIN(G390,Assumptions!$B$6),"")</f>
        <v>2</v>
      </c>
      <c r="I390" s="8"/>
      <c r="J390" s="8" t="str">
        <f>IF(F390="Monthly interest",MAX(0,Assumptions!$B$5-I390),"")</f>
        <v/>
      </c>
      <c r="K390" s="7">
        <f t="shared" si="18"/>
        <v>22710</v>
      </c>
      <c r="L390" s="9">
        <v>46191</v>
      </c>
      <c r="M390" s="5" t="s">
        <v>69</v>
      </c>
      <c r="N390" s="5" t="s">
        <v>70</v>
      </c>
      <c r="O390" s="5" t="s">
        <v>71</v>
      </c>
      <c r="P390" s="5" t="s">
        <v>72</v>
      </c>
      <c r="Q390" s="5" t="s">
        <v>73</v>
      </c>
      <c r="R390" s="5" t="s">
        <v>74</v>
      </c>
      <c r="S390" s="5" t="s">
        <v>85</v>
      </c>
      <c r="T390" s="5" t="s">
        <v>57</v>
      </c>
      <c r="U390" s="5" t="s">
        <v>86</v>
      </c>
      <c r="V390" s="5" t="s">
        <v>87</v>
      </c>
      <c r="W390" s="5" t="s">
        <v>88</v>
      </c>
      <c r="X390" s="5" t="s">
        <v>1371</v>
      </c>
      <c r="Y390" s="5" t="s">
        <v>1944</v>
      </c>
      <c r="Z390" s="9">
        <v>46191</v>
      </c>
      <c r="AA390" s="8">
        <v>6</v>
      </c>
      <c r="AB390" s="9">
        <f t="shared" si="19"/>
        <v>46374</v>
      </c>
      <c r="AC390" s="10">
        <v>15</v>
      </c>
      <c r="AD390" s="7">
        <f t="shared" si="20"/>
        <v>7570</v>
      </c>
      <c r="AE390" s="7">
        <f>IF(F390="Bullet",H390*AD390,MIN(MAX(I390,1),Assumptions!$B$6)*AD390)</f>
        <v>15140</v>
      </c>
      <c r="AF390" s="8">
        <f>IF(F390="Bullet",MAX(0,Assumptions!$B$4-AB390),MAX(0,Assumptions!$B$4-L390))</f>
        <v>0</v>
      </c>
      <c r="AG390" s="9"/>
      <c r="AH390" s="8" t="str">
        <f>IF(AG390="","",Assumptions!$B$4-AG390)</f>
        <v/>
      </c>
      <c r="AI390" s="5" t="s">
        <v>80</v>
      </c>
      <c r="AJ390" s="8"/>
      <c r="AK390" s="8">
        <v>1</v>
      </c>
      <c r="AL390" s="8">
        <v>618</v>
      </c>
      <c r="AM390" s="8">
        <v>0</v>
      </c>
      <c r="AN390" s="5" t="s">
        <v>63</v>
      </c>
      <c r="AO390" s="10">
        <v>73.099999999999994</v>
      </c>
      <c r="AP390" s="8">
        <v>33</v>
      </c>
      <c r="AQ390" s="9">
        <v>46297</v>
      </c>
      <c r="AR390" s="5" t="s">
        <v>51</v>
      </c>
      <c r="AS390" s="5" t="s">
        <v>64</v>
      </c>
    </row>
    <row r="391" spans="1:45" x14ac:dyDescent="0.35">
      <c r="A391" s="5" t="s">
        <v>1945</v>
      </c>
      <c r="B391" s="5" t="s">
        <v>1946</v>
      </c>
      <c r="C391" s="6" t="s">
        <v>1947</v>
      </c>
      <c r="D391" s="7">
        <v>84600</v>
      </c>
      <c r="E391" s="5" t="s">
        <v>48</v>
      </c>
      <c r="F391" s="5" t="s">
        <v>68</v>
      </c>
      <c r="G391" s="8">
        <v>3</v>
      </c>
      <c r="H391" s="8">
        <f>IF(F391="Bullet",MIN(G391,Assumptions!$B$6),"")</f>
        <v>2</v>
      </c>
      <c r="I391" s="8"/>
      <c r="J391" s="8" t="str">
        <f>IF(F391="Monthly interest",MAX(0,Assumptions!$B$5-I391),"")</f>
        <v/>
      </c>
      <c r="K391" s="7">
        <f t="shared" si="18"/>
        <v>3174</v>
      </c>
      <c r="L391" s="9">
        <v>46194</v>
      </c>
      <c r="M391" s="5" t="s">
        <v>116</v>
      </c>
      <c r="N391" s="5" t="s">
        <v>117</v>
      </c>
      <c r="O391" s="5" t="s">
        <v>207</v>
      </c>
      <c r="P391" s="5" t="s">
        <v>72</v>
      </c>
      <c r="Q391" s="5" t="s">
        <v>73</v>
      </c>
      <c r="R391" s="5" t="s">
        <v>74</v>
      </c>
      <c r="S391" s="5" t="s">
        <v>214</v>
      </c>
      <c r="T391" s="5" t="s">
        <v>63</v>
      </c>
      <c r="U391" s="5" t="s">
        <v>104</v>
      </c>
      <c r="V391" s="5" t="s">
        <v>215</v>
      </c>
      <c r="W391" s="5" t="s">
        <v>278</v>
      </c>
      <c r="X391" s="5" t="s">
        <v>1688</v>
      </c>
      <c r="Y391" s="5" t="s">
        <v>1948</v>
      </c>
      <c r="Z391" s="9">
        <v>46194</v>
      </c>
      <c r="AA391" s="8">
        <v>6</v>
      </c>
      <c r="AB391" s="9">
        <f t="shared" si="19"/>
        <v>46377</v>
      </c>
      <c r="AC391" s="10">
        <v>15</v>
      </c>
      <c r="AD391" s="7">
        <f t="shared" si="20"/>
        <v>1058</v>
      </c>
      <c r="AE391" s="7">
        <f>IF(F391="Bullet",H391*AD391,MIN(MAX(I391,1),Assumptions!$B$6)*AD391)</f>
        <v>2116</v>
      </c>
      <c r="AF391" s="8">
        <f>IF(F391="Bullet",MAX(0,Assumptions!$B$4-AB391),MAX(0,Assumptions!$B$4-L391))</f>
        <v>0</v>
      </c>
      <c r="AG391" s="9"/>
      <c r="AH391" s="8" t="str">
        <f>IF(AG391="","",Assumptions!$B$4-AG391)</f>
        <v/>
      </c>
      <c r="AI391" s="5" t="s">
        <v>80</v>
      </c>
      <c r="AJ391" s="8"/>
      <c r="AK391" s="8">
        <v>2</v>
      </c>
      <c r="AL391" s="8" t="s">
        <v>80</v>
      </c>
      <c r="AM391" s="8">
        <v>1</v>
      </c>
      <c r="AN391" s="5" t="s">
        <v>63</v>
      </c>
      <c r="AO391" s="10">
        <v>88</v>
      </c>
      <c r="AP391" s="8">
        <v>54</v>
      </c>
      <c r="AQ391" s="9">
        <v>46293</v>
      </c>
      <c r="AR391" s="5" t="s">
        <v>51</v>
      </c>
      <c r="AS391" s="5" t="s">
        <v>64</v>
      </c>
    </row>
    <row r="392" spans="1:45" x14ac:dyDescent="0.35">
      <c r="A392" s="5" t="s">
        <v>1949</v>
      </c>
      <c r="B392" s="5" t="s">
        <v>1950</v>
      </c>
      <c r="C392" s="6" t="s">
        <v>1951</v>
      </c>
      <c r="D392" s="7">
        <v>116000</v>
      </c>
      <c r="E392" s="5" t="s">
        <v>48</v>
      </c>
      <c r="F392" s="5" t="s">
        <v>68</v>
      </c>
      <c r="G392" s="8">
        <v>3</v>
      </c>
      <c r="H392" s="8">
        <f>IF(F392="Bullet",MIN(G392,Assumptions!$B$6),"")</f>
        <v>2</v>
      </c>
      <c r="I392" s="8"/>
      <c r="J392" s="8" t="str">
        <f>IF(F392="Monthly interest",MAX(0,Assumptions!$B$5-I392),"")</f>
        <v/>
      </c>
      <c r="K392" s="7">
        <f t="shared" si="18"/>
        <v>5220</v>
      </c>
      <c r="L392" s="9">
        <v>46198</v>
      </c>
      <c r="M392" s="5" t="s">
        <v>69</v>
      </c>
      <c r="N392" s="5" t="s">
        <v>70</v>
      </c>
      <c r="O392" s="5" t="s">
        <v>295</v>
      </c>
      <c r="P392" s="5" t="s">
        <v>72</v>
      </c>
      <c r="Q392" s="5" t="s">
        <v>73</v>
      </c>
      <c r="R392" s="5" t="s">
        <v>74</v>
      </c>
      <c r="S392" s="5" t="s">
        <v>214</v>
      </c>
      <c r="T392" s="5" t="s">
        <v>57</v>
      </c>
      <c r="U392" s="5" t="s">
        <v>86</v>
      </c>
      <c r="V392" s="5" t="s">
        <v>215</v>
      </c>
      <c r="W392" s="5" t="s">
        <v>278</v>
      </c>
      <c r="X392" s="5" t="s">
        <v>1952</v>
      </c>
      <c r="Y392" s="5" t="s">
        <v>1953</v>
      </c>
      <c r="Z392" s="9">
        <v>46198</v>
      </c>
      <c r="AA392" s="8">
        <v>12</v>
      </c>
      <c r="AB392" s="9">
        <f t="shared" si="19"/>
        <v>46563</v>
      </c>
      <c r="AC392" s="10">
        <v>18</v>
      </c>
      <c r="AD392" s="7">
        <f t="shared" si="20"/>
        <v>1740</v>
      </c>
      <c r="AE392" s="7">
        <f>IF(F392="Bullet",H392*AD392,MIN(MAX(I392,1),Assumptions!$B$6)*AD392)</f>
        <v>3480</v>
      </c>
      <c r="AF392" s="8">
        <f>IF(F392="Bullet",MAX(0,Assumptions!$B$4-AB392),MAX(0,Assumptions!$B$4-L392))</f>
        <v>0</v>
      </c>
      <c r="AG392" s="9"/>
      <c r="AH392" s="8" t="str">
        <f>IF(AG392="","",Assumptions!$B$4-AG392)</f>
        <v/>
      </c>
      <c r="AI392" s="5" t="s">
        <v>80</v>
      </c>
      <c r="AJ392" s="8"/>
      <c r="AK392" s="8">
        <v>1</v>
      </c>
      <c r="AL392" s="8">
        <v>707</v>
      </c>
      <c r="AM392" s="8">
        <v>2</v>
      </c>
      <c r="AN392" s="5" t="s">
        <v>63</v>
      </c>
      <c r="AO392" s="10">
        <v>61.6</v>
      </c>
      <c r="AP392" s="8">
        <v>35</v>
      </c>
      <c r="AQ392" s="9">
        <v>46282</v>
      </c>
      <c r="AR392" s="5" t="s">
        <v>53</v>
      </c>
      <c r="AS392" s="5" t="s">
        <v>91</v>
      </c>
    </row>
    <row r="393" spans="1:45" x14ac:dyDescent="0.35">
      <c r="A393" s="5" t="s">
        <v>1954</v>
      </c>
      <c r="B393" s="5" t="s">
        <v>1955</v>
      </c>
      <c r="C393" s="6" t="s">
        <v>1956</v>
      </c>
      <c r="D393" s="7">
        <v>88100</v>
      </c>
      <c r="E393" s="5" t="s">
        <v>48</v>
      </c>
      <c r="F393" s="5" t="s">
        <v>49</v>
      </c>
      <c r="G393" s="8"/>
      <c r="H393" s="8" t="str">
        <f>IF(F393="Bullet",MIN(G393,Assumptions!$B$6),"")</f>
        <v/>
      </c>
      <c r="I393" s="8">
        <v>1</v>
      </c>
      <c r="J393" s="8">
        <f>IF(F393="Monthly interest",MAX(0,Assumptions!$B$5-I393),"")</f>
        <v>2</v>
      </c>
      <c r="K393" s="7">
        <f t="shared" si="18"/>
        <v>1175</v>
      </c>
      <c r="L393" s="9">
        <v>46288</v>
      </c>
      <c r="M393" s="5" t="s">
        <v>69</v>
      </c>
      <c r="N393" s="5" t="s">
        <v>53</v>
      </c>
      <c r="O393" s="5" t="s">
        <v>95</v>
      </c>
      <c r="P393" s="5" t="s">
        <v>70</v>
      </c>
      <c r="Q393" s="5" t="s">
        <v>54</v>
      </c>
      <c r="R393" s="5" t="s">
        <v>55</v>
      </c>
      <c r="S393" s="5" t="s">
        <v>214</v>
      </c>
      <c r="T393" s="5" t="s">
        <v>63</v>
      </c>
      <c r="U393" s="5" t="s">
        <v>104</v>
      </c>
      <c r="V393" s="5" t="s">
        <v>215</v>
      </c>
      <c r="W393" s="5" t="s">
        <v>242</v>
      </c>
      <c r="X393" s="5" t="s">
        <v>1957</v>
      </c>
      <c r="Y393" s="5" t="s">
        <v>1958</v>
      </c>
      <c r="Z393" s="9">
        <v>46196</v>
      </c>
      <c r="AA393" s="8">
        <v>18</v>
      </c>
      <c r="AB393" s="9">
        <f t="shared" si="19"/>
        <v>46744</v>
      </c>
      <c r="AC393" s="10">
        <v>16</v>
      </c>
      <c r="AD393" s="7">
        <f t="shared" si="20"/>
        <v>1175</v>
      </c>
      <c r="AE393" s="7">
        <f>IF(F393="Bullet",H393*AD393,MIN(MAX(I393,1),Assumptions!$B$6)*AD393)</f>
        <v>1175</v>
      </c>
      <c r="AF393" s="8">
        <f>IF(F393="Bullet",MAX(0,Assumptions!$B$4-AB393),MAX(0,Assumptions!$B$4-L393))</f>
        <v>10</v>
      </c>
      <c r="AG393" s="9">
        <v>46258</v>
      </c>
      <c r="AH393" s="8">
        <f>IF(AG393="","",Assumptions!$B$4-AG393)</f>
        <v>40</v>
      </c>
      <c r="AI393" s="5" t="s">
        <v>63</v>
      </c>
      <c r="AJ393" s="8">
        <v>2</v>
      </c>
      <c r="AK393" s="8">
        <v>1</v>
      </c>
      <c r="AL393" s="8">
        <v>706</v>
      </c>
      <c r="AM393" s="8">
        <v>1</v>
      </c>
      <c r="AN393" s="5" t="s">
        <v>63</v>
      </c>
      <c r="AO393" s="10">
        <v>67.099999999999994</v>
      </c>
      <c r="AP393" s="8">
        <v>35</v>
      </c>
      <c r="AQ393" s="9">
        <v>46290</v>
      </c>
      <c r="AR393" s="5" t="s">
        <v>53</v>
      </c>
      <c r="AS393" s="5" t="s">
        <v>274</v>
      </c>
    </row>
    <row r="394" spans="1:45" x14ac:dyDescent="0.35">
      <c r="A394" s="5" t="s">
        <v>1959</v>
      </c>
      <c r="B394" s="5" t="s">
        <v>431</v>
      </c>
      <c r="C394" s="6" t="s">
        <v>1960</v>
      </c>
      <c r="D394" s="7">
        <v>239900</v>
      </c>
      <c r="E394" s="5" t="s">
        <v>48</v>
      </c>
      <c r="F394" s="5" t="s">
        <v>49</v>
      </c>
      <c r="G394" s="8"/>
      <c r="H394" s="8" t="str">
        <f>IF(F394="Bullet",MIN(G394,Assumptions!$B$6),"")</f>
        <v/>
      </c>
      <c r="I394" s="8">
        <v>1</v>
      </c>
      <c r="J394" s="8">
        <f>IF(F394="Monthly interest",MAX(0,Assumptions!$B$5-I394),"")</f>
        <v>2</v>
      </c>
      <c r="K394" s="7">
        <f t="shared" si="18"/>
        <v>4798</v>
      </c>
      <c r="L394" s="9">
        <v>46277</v>
      </c>
      <c r="M394" s="5" t="s">
        <v>69</v>
      </c>
      <c r="N394" s="5" t="s">
        <v>53</v>
      </c>
      <c r="O394" s="5" t="s">
        <v>103</v>
      </c>
      <c r="P394" s="5" t="s">
        <v>70</v>
      </c>
      <c r="Q394" s="5" t="s">
        <v>54</v>
      </c>
      <c r="R394" s="5" t="s">
        <v>55</v>
      </c>
      <c r="S394" s="5" t="s">
        <v>185</v>
      </c>
      <c r="T394" s="5" t="s">
        <v>57</v>
      </c>
      <c r="U394" s="5" t="s">
        <v>104</v>
      </c>
      <c r="V394" s="5" t="s">
        <v>200</v>
      </c>
      <c r="W394" s="5" t="s">
        <v>433</v>
      </c>
      <c r="X394" s="5" t="s">
        <v>1961</v>
      </c>
      <c r="Y394" s="5" t="s">
        <v>1962</v>
      </c>
      <c r="Z394" s="9">
        <v>46065</v>
      </c>
      <c r="AA394" s="8">
        <v>12</v>
      </c>
      <c r="AB394" s="9">
        <f t="shared" si="19"/>
        <v>46430</v>
      </c>
      <c r="AC394" s="10">
        <v>24</v>
      </c>
      <c r="AD394" s="7">
        <f t="shared" si="20"/>
        <v>4798</v>
      </c>
      <c r="AE394" s="7">
        <f>IF(F394="Bullet",H394*AD394,MIN(MAX(I394,1),Assumptions!$B$6)*AD394)</f>
        <v>4798</v>
      </c>
      <c r="AF394" s="8">
        <f>IF(F394="Bullet",MAX(0,Assumptions!$B$4-AB394),MAX(0,Assumptions!$B$4-L394))</f>
        <v>21</v>
      </c>
      <c r="AG394" s="9">
        <v>46251</v>
      </c>
      <c r="AH394" s="8">
        <f>IF(AG394="","",Assumptions!$B$4-AG394)</f>
        <v>47</v>
      </c>
      <c r="AI394" s="5" t="s">
        <v>57</v>
      </c>
      <c r="AJ394" s="8">
        <v>2</v>
      </c>
      <c r="AK394" s="8">
        <v>0</v>
      </c>
      <c r="AL394" s="8">
        <v>629</v>
      </c>
      <c r="AM394" s="8">
        <v>1</v>
      </c>
      <c r="AN394" s="5" t="s">
        <v>63</v>
      </c>
      <c r="AO394" s="10">
        <v>76.2</v>
      </c>
      <c r="AP394" s="8">
        <v>37</v>
      </c>
      <c r="AQ394" s="9">
        <v>46283</v>
      </c>
      <c r="AR394" s="5" t="s">
        <v>51</v>
      </c>
      <c r="AS394" s="5" t="s">
        <v>81</v>
      </c>
    </row>
    <row r="395" spans="1:45" x14ac:dyDescent="0.35">
      <c r="A395" s="5" t="s">
        <v>1963</v>
      </c>
      <c r="B395" s="5" t="s">
        <v>1964</v>
      </c>
      <c r="C395" s="6" t="s">
        <v>1965</v>
      </c>
      <c r="D395" s="7">
        <v>135400</v>
      </c>
      <c r="E395" s="5" t="s">
        <v>48</v>
      </c>
      <c r="F395" s="5" t="s">
        <v>49</v>
      </c>
      <c r="G395" s="8"/>
      <c r="H395" s="8" t="str">
        <f>IF(F395="Bullet",MIN(G395,Assumptions!$B$6),"")</f>
        <v/>
      </c>
      <c r="I395" s="8">
        <v>2</v>
      </c>
      <c r="J395" s="8">
        <f>IF(F395="Monthly interest",MAX(0,Assumptions!$B$5-I395),"")</f>
        <v>1</v>
      </c>
      <c r="K395" s="7">
        <f t="shared" si="18"/>
        <v>3610</v>
      </c>
      <c r="L395" s="9">
        <v>46242</v>
      </c>
      <c r="M395" s="5" t="s">
        <v>69</v>
      </c>
      <c r="N395" s="5" t="s">
        <v>70</v>
      </c>
      <c r="O395" s="5" t="s">
        <v>295</v>
      </c>
      <c r="P395" s="5" t="s">
        <v>72</v>
      </c>
      <c r="Q395" s="5" t="s">
        <v>73</v>
      </c>
      <c r="R395" s="5" t="s">
        <v>74</v>
      </c>
      <c r="S395" s="5" t="s">
        <v>185</v>
      </c>
      <c r="T395" s="5" t="s">
        <v>57</v>
      </c>
      <c r="U395" s="5" t="s">
        <v>86</v>
      </c>
      <c r="V395" s="5" t="s">
        <v>186</v>
      </c>
      <c r="W395" s="5" t="s">
        <v>329</v>
      </c>
      <c r="X395" s="5" t="s">
        <v>537</v>
      </c>
      <c r="Y395" s="5" t="s">
        <v>1966</v>
      </c>
      <c r="Z395" s="9">
        <v>46089</v>
      </c>
      <c r="AA395" s="8">
        <v>12</v>
      </c>
      <c r="AB395" s="9">
        <f t="shared" si="19"/>
        <v>46454</v>
      </c>
      <c r="AC395" s="10">
        <v>16</v>
      </c>
      <c r="AD395" s="7">
        <f t="shared" si="20"/>
        <v>1805</v>
      </c>
      <c r="AE395" s="7">
        <f>IF(F395="Bullet",H395*AD395,MIN(MAX(I395,1),Assumptions!$B$6)*AD395)</f>
        <v>3610</v>
      </c>
      <c r="AF395" s="8">
        <f>IF(F395="Bullet",MAX(0,Assumptions!$B$4-AB395),MAX(0,Assumptions!$B$4-L395))</f>
        <v>56</v>
      </c>
      <c r="AG395" s="9">
        <v>46215</v>
      </c>
      <c r="AH395" s="8">
        <f>IF(AG395="","",Assumptions!$B$4-AG395)</f>
        <v>83</v>
      </c>
      <c r="AI395" s="5" t="s">
        <v>57</v>
      </c>
      <c r="AJ395" s="8">
        <v>3</v>
      </c>
      <c r="AK395" s="8">
        <v>1</v>
      </c>
      <c r="AL395" s="8">
        <v>793</v>
      </c>
      <c r="AM395" s="8">
        <v>0</v>
      </c>
      <c r="AN395" s="5" t="s">
        <v>63</v>
      </c>
      <c r="AO395" s="10">
        <v>55.9</v>
      </c>
      <c r="AP395" s="8">
        <v>37</v>
      </c>
      <c r="AQ395" s="9">
        <v>46296</v>
      </c>
      <c r="AR395" s="5" t="s">
        <v>53</v>
      </c>
      <c r="AS395" s="5" t="s">
        <v>91</v>
      </c>
    </row>
    <row r="396" spans="1:45" x14ac:dyDescent="0.35">
      <c r="A396" s="5" t="s">
        <v>1967</v>
      </c>
      <c r="B396" s="5" t="s">
        <v>1106</v>
      </c>
      <c r="C396" s="6" t="s">
        <v>1968</v>
      </c>
      <c r="D396" s="7">
        <v>46700</v>
      </c>
      <c r="E396" s="5" t="s">
        <v>48</v>
      </c>
      <c r="F396" s="5" t="s">
        <v>49</v>
      </c>
      <c r="G396" s="8"/>
      <c r="H396" s="8" t="str">
        <f>IF(F396="Bullet",MIN(G396,Assumptions!$B$6),"")</f>
        <v/>
      </c>
      <c r="I396" s="8">
        <v>1</v>
      </c>
      <c r="J396" s="8">
        <f>IF(F396="Monthly interest",MAX(0,Assumptions!$B$5-I396),"")</f>
        <v>2</v>
      </c>
      <c r="K396" s="7">
        <f t="shared" si="18"/>
        <v>545</v>
      </c>
      <c r="L396" s="9">
        <v>46290</v>
      </c>
      <c r="M396" s="5" t="s">
        <v>69</v>
      </c>
      <c r="N396" s="5" t="s">
        <v>51</v>
      </c>
      <c r="O396" s="5" t="s">
        <v>152</v>
      </c>
      <c r="P396" s="5" t="s">
        <v>53</v>
      </c>
      <c r="Q396" s="5" t="s">
        <v>154</v>
      </c>
      <c r="R396" s="5" t="s">
        <v>155</v>
      </c>
      <c r="S396" s="5" t="s">
        <v>85</v>
      </c>
      <c r="T396" s="5" t="s">
        <v>57</v>
      </c>
      <c r="U396" s="5" t="s">
        <v>86</v>
      </c>
      <c r="V396" s="5" t="s">
        <v>177</v>
      </c>
      <c r="W396" s="5" t="s">
        <v>345</v>
      </c>
      <c r="X396" s="5" t="s">
        <v>1969</v>
      </c>
      <c r="Y396" s="5" t="s">
        <v>1970</v>
      </c>
      <c r="Z396" s="9">
        <v>46106</v>
      </c>
      <c r="AA396" s="8">
        <v>12</v>
      </c>
      <c r="AB396" s="9">
        <f t="shared" si="19"/>
        <v>46471</v>
      </c>
      <c r="AC396" s="10">
        <v>14</v>
      </c>
      <c r="AD396" s="7">
        <f t="shared" si="20"/>
        <v>545</v>
      </c>
      <c r="AE396" s="7">
        <f>IF(F396="Bullet",H396*AD396,MIN(MAX(I396,1),Assumptions!$B$6)*AD396)</f>
        <v>545</v>
      </c>
      <c r="AF396" s="8">
        <f>IF(F396="Bullet",MAX(0,Assumptions!$B$4-AB396),MAX(0,Assumptions!$B$4-L396))</f>
        <v>8</v>
      </c>
      <c r="AG396" s="9">
        <v>46264</v>
      </c>
      <c r="AH396" s="8">
        <f>IF(AG396="","",Assumptions!$B$4-AG396)</f>
        <v>34</v>
      </c>
      <c r="AI396" s="5" t="s">
        <v>63</v>
      </c>
      <c r="AJ396" s="8">
        <v>3</v>
      </c>
      <c r="AK396" s="8">
        <v>1</v>
      </c>
      <c r="AL396" s="8">
        <v>667</v>
      </c>
      <c r="AM396" s="8">
        <v>2</v>
      </c>
      <c r="AN396" s="5" t="s">
        <v>63</v>
      </c>
      <c r="AO396" s="10">
        <v>76.099999999999994</v>
      </c>
      <c r="AP396" s="8">
        <v>45</v>
      </c>
      <c r="AQ396" s="9">
        <v>46279</v>
      </c>
      <c r="AR396" s="5" t="s">
        <v>53</v>
      </c>
      <c r="AS396" s="5" t="s">
        <v>81</v>
      </c>
    </row>
    <row r="397" spans="1:45" x14ac:dyDescent="0.35">
      <c r="A397" s="5" t="s">
        <v>1971</v>
      </c>
      <c r="B397" s="5" t="s">
        <v>1972</v>
      </c>
      <c r="C397" s="6" t="s">
        <v>1973</v>
      </c>
      <c r="D397" s="7">
        <v>144500</v>
      </c>
      <c r="E397" s="5" t="s">
        <v>48</v>
      </c>
      <c r="F397" s="5" t="s">
        <v>68</v>
      </c>
      <c r="G397" s="8">
        <v>3</v>
      </c>
      <c r="H397" s="8">
        <f>IF(F397="Bullet",MIN(G397,Assumptions!$B$6),"")</f>
        <v>2</v>
      </c>
      <c r="I397" s="8"/>
      <c r="J397" s="8" t="str">
        <f>IF(F397="Monthly interest",MAX(0,Assumptions!$B$5-I397),"")</f>
        <v/>
      </c>
      <c r="K397" s="7">
        <f t="shared" si="18"/>
        <v>5058</v>
      </c>
      <c r="L397" s="9">
        <v>46188</v>
      </c>
      <c r="M397" s="5" t="s">
        <v>69</v>
      </c>
      <c r="N397" s="5" t="s">
        <v>53</v>
      </c>
      <c r="O397" s="5" t="s">
        <v>71</v>
      </c>
      <c r="P397" s="5" t="s">
        <v>70</v>
      </c>
      <c r="Q397" s="5" t="s">
        <v>73</v>
      </c>
      <c r="R397" s="5" t="s">
        <v>74</v>
      </c>
      <c r="S397" s="5" t="s">
        <v>185</v>
      </c>
      <c r="T397" s="5" t="s">
        <v>63</v>
      </c>
      <c r="U397" s="5" t="s">
        <v>104</v>
      </c>
      <c r="V397" s="5" t="s">
        <v>186</v>
      </c>
      <c r="W397" s="5" t="s">
        <v>187</v>
      </c>
      <c r="X397" s="5" t="s">
        <v>462</v>
      </c>
      <c r="Y397" s="5" t="s">
        <v>1974</v>
      </c>
      <c r="Z397" s="9">
        <v>46188</v>
      </c>
      <c r="AA397" s="8">
        <v>3</v>
      </c>
      <c r="AB397" s="9">
        <f t="shared" si="19"/>
        <v>46280</v>
      </c>
      <c r="AC397" s="10">
        <v>14</v>
      </c>
      <c r="AD397" s="7">
        <f t="shared" si="20"/>
        <v>1686</v>
      </c>
      <c r="AE397" s="7">
        <f>IF(F397="Bullet",H397*AD397,MIN(MAX(I397,1),Assumptions!$B$6)*AD397)</f>
        <v>3372</v>
      </c>
      <c r="AF397" s="8">
        <f>IF(F397="Bullet",MAX(0,Assumptions!$B$4-AB397),MAX(0,Assumptions!$B$4-L397))</f>
        <v>18</v>
      </c>
      <c r="AG397" s="9"/>
      <c r="AH397" s="8" t="str">
        <f>IF(AG397="","",Assumptions!$B$4-AG397)</f>
        <v/>
      </c>
      <c r="AI397" s="5" t="s">
        <v>80</v>
      </c>
      <c r="AJ397" s="8"/>
      <c r="AK397" s="8">
        <v>1</v>
      </c>
      <c r="AL397" s="8" t="s">
        <v>80</v>
      </c>
      <c r="AM397" s="8">
        <v>1</v>
      </c>
      <c r="AN397" s="5" t="s">
        <v>63</v>
      </c>
      <c r="AO397" s="10">
        <v>56.7</v>
      </c>
      <c r="AP397" s="8">
        <v>43</v>
      </c>
      <c r="AQ397" s="9">
        <v>46292</v>
      </c>
      <c r="AR397" s="5" t="s">
        <v>70</v>
      </c>
      <c r="AS397" s="5" t="s">
        <v>64</v>
      </c>
    </row>
    <row r="398" spans="1:45" x14ac:dyDescent="0.35">
      <c r="A398" s="5" t="s">
        <v>1975</v>
      </c>
      <c r="B398" s="5" t="s">
        <v>1976</v>
      </c>
      <c r="C398" s="6" t="s">
        <v>1977</v>
      </c>
      <c r="D398" s="7">
        <v>472800</v>
      </c>
      <c r="E398" s="5" t="s">
        <v>48</v>
      </c>
      <c r="F398" s="5" t="s">
        <v>68</v>
      </c>
      <c r="G398" s="8">
        <v>5</v>
      </c>
      <c r="H398" s="8">
        <f>IF(F398="Bullet",MIN(G398,Assumptions!$B$6),"")</f>
        <v>2</v>
      </c>
      <c r="I398" s="8"/>
      <c r="J398" s="8" t="str">
        <f>IF(F398="Monthly interest",MAX(0,Assumptions!$B$5-I398),"")</f>
        <v/>
      </c>
      <c r="K398" s="7">
        <f t="shared" si="18"/>
        <v>31520</v>
      </c>
      <c r="L398" s="9">
        <v>46132</v>
      </c>
      <c r="M398" s="5" t="s">
        <v>116</v>
      </c>
      <c r="N398" s="5" t="s">
        <v>117</v>
      </c>
      <c r="O398" s="5" t="s">
        <v>461</v>
      </c>
      <c r="P398" s="5" t="s">
        <v>72</v>
      </c>
      <c r="Q398" s="5" t="s">
        <v>169</v>
      </c>
      <c r="R398" s="5" t="s">
        <v>170</v>
      </c>
      <c r="S398" s="5" t="s">
        <v>185</v>
      </c>
      <c r="T398" s="5" t="s">
        <v>57</v>
      </c>
      <c r="U398" s="5" t="s">
        <v>86</v>
      </c>
      <c r="V398" s="5" t="s">
        <v>186</v>
      </c>
      <c r="W398" s="5" t="s">
        <v>376</v>
      </c>
      <c r="X398" s="5" t="s">
        <v>1978</v>
      </c>
      <c r="Y398" s="5" t="s">
        <v>1979</v>
      </c>
      <c r="Z398" s="9">
        <v>46132</v>
      </c>
      <c r="AA398" s="8">
        <v>6</v>
      </c>
      <c r="AB398" s="9">
        <f t="shared" si="19"/>
        <v>46315</v>
      </c>
      <c r="AC398" s="10">
        <v>16</v>
      </c>
      <c r="AD398" s="7">
        <f t="shared" si="20"/>
        <v>6304</v>
      </c>
      <c r="AE398" s="7">
        <f>IF(F398="Bullet",H398*AD398,MIN(MAX(I398,1),Assumptions!$B$6)*AD398)</f>
        <v>12608</v>
      </c>
      <c r="AF398" s="8">
        <f>IF(F398="Bullet",MAX(0,Assumptions!$B$4-AB398),MAX(0,Assumptions!$B$4-L398))</f>
        <v>0</v>
      </c>
      <c r="AG398" s="9"/>
      <c r="AH398" s="8" t="str">
        <f>IF(AG398="","",Assumptions!$B$4-AG398)</f>
        <v/>
      </c>
      <c r="AI398" s="5" t="s">
        <v>80</v>
      </c>
      <c r="AJ398" s="8"/>
      <c r="AK398" s="8">
        <v>0</v>
      </c>
      <c r="AL398" s="8" t="s">
        <v>80</v>
      </c>
      <c r="AM398" s="8">
        <v>2</v>
      </c>
      <c r="AN398" s="5" t="s">
        <v>57</v>
      </c>
      <c r="AO398" s="10">
        <v>70.7</v>
      </c>
      <c r="AP398" s="8">
        <v>55</v>
      </c>
      <c r="AQ398" s="9">
        <v>46282</v>
      </c>
      <c r="AR398" s="5" t="s">
        <v>72</v>
      </c>
      <c r="AS398" s="5" t="s">
        <v>81</v>
      </c>
    </row>
    <row r="399" spans="1:45" x14ac:dyDescent="0.35">
      <c r="A399" s="5" t="s">
        <v>1980</v>
      </c>
      <c r="B399" s="5" t="s">
        <v>1981</v>
      </c>
      <c r="C399" s="6" t="s">
        <v>1982</v>
      </c>
      <c r="D399" s="7">
        <v>97000</v>
      </c>
      <c r="E399" s="5" t="s">
        <v>48</v>
      </c>
      <c r="F399" s="5" t="s">
        <v>49</v>
      </c>
      <c r="G399" s="8"/>
      <c r="H399" s="8" t="str">
        <f>IF(F399="Bullet",MIN(G399,Assumptions!$B$6),"")</f>
        <v/>
      </c>
      <c r="I399" s="8">
        <v>2</v>
      </c>
      <c r="J399" s="8">
        <f>IF(F399="Monthly interest",MAX(0,Assumptions!$B$5-I399),"")</f>
        <v>1</v>
      </c>
      <c r="K399" s="7">
        <f t="shared" si="18"/>
        <v>3556</v>
      </c>
      <c r="L399" s="9">
        <v>46260</v>
      </c>
      <c r="M399" s="5" t="s">
        <v>116</v>
      </c>
      <c r="N399" s="5" t="s">
        <v>117</v>
      </c>
      <c r="O399" s="5" t="s">
        <v>118</v>
      </c>
      <c r="P399" s="5" t="s">
        <v>72</v>
      </c>
      <c r="Q399" s="5" t="s">
        <v>119</v>
      </c>
      <c r="R399" s="5" t="s">
        <v>120</v>
      </c>
      <c r="S399" s="5" t="s">
        <v>75</v>
      </c>
      <c r="T399" s="5" t="s">
        <v>57</v>
      </c>
      <c r="U399" s="5" t="s">
        <v>58</v>
      </c>
      <c r="V399" s="5" t="s">
        <v>76</v>
      </c>
      <c r="W399" s="5" t="s">
        <v>306</v>
      </c>
      <c r="X399" s="5" t="s">
        <v>1983</v>
      </c>
      <c r="Y399" s="5" t="s">
        <v>1984</v>
      </c>
      <c r="Z399" s="9">
        <v>46168</v>
      </c>
      <c r="AA399" s="8">
        <v>24</v>
      </c>
      <c r="AB399" s="9">
        <f t="shared" si="19"/>
        <v>46899</v>
      </c>
      <c r="AC399" s="10">
        <v>22</v>
      </c>
      <c r="AD399" s="7">
        <f t="shared" si="20"/>
        <v>1778</v>
      </c>
      <c r="AE399" s="7">
        <f>IF(F399="Bullet",H399*AD399,MIN(MAX(I399,1),Assumptions!$B$6)*AD399)</f>
        <v>3556</v>
      </c>
      <c r="AF399" s="8">
        <f>IF(F399="Bullet",MAX(0,Assumptions!$B$4-AB399),MAX(0,Assumptions!$B$4-L399))</f>
        <v>38</v>
      </c>
      <c r="AG399" s="9">
        <v>46229</v>
      </c>
      <c r="AH399" s="8">
        <f>IF(AG399="","",Assumptions!$B$4-AG399)</f>
        <v>69</v>
      </c>
      <c r="AI399" s="5" t="s">
        <v>63</v>
      </c>
      <c r="AJ399" s="8">
        <v>2</v>
      </c>
      <c r="AK399" s="8">
        <v>0</v>
      </c>
      <c r="AL399" s="8">
        <v>687</v>
      </c>
      <c r="AM399" s="8">
        <v>2</v>
      </c>
      <c r="AN399" s="5" t="s">
        <v>63</v>
      </c>
      <c r="AO399" s="10">
        <v>84.3</v>
      </c>
      <c r="AP399" s="8">
        <v>52</v>
      </c>
      <c r="AQ399" s="9">
        <v>46285</v>
      </c>
      <c r="AR399" s="5" t="s">
        <v>70</v>
      </c>
      <c r="AS399" s="5" t="s">
        <v>81</v>
      </c>
    </row>
    <row r="400" spans="1:45" x14ac:dyDescent="0.35">
      <c r="A400" s="5" t="s">
        <v>1985</v>
      </c>
      <c r="B400" s="5" t="s">
        <v>1986</v>
      </c>
      <c r="C400" s="6" t="s">
        <v>1987</v>
      </c>
      <c r="D400" s="7">
        <v>251700</v>
      </c>
      <c r="E400" s="5" t="s">
        <v>48</v>
      </c>
      <c r="F400" s="5" t="s">
        <v>49</v>
      </c>
      <c r="G400" s="8"/>
      <c r="H400" s="8" t="str">
        <f>IF(F400="Bullet",MIN(G400,Assumptions!$B$6),"")</f>
        <v/>
      </c>
      <c r="I400" s="8">
        <v>1</v>
      </c>
      <c r="J400" s="8">
        <f>IF(F400="Monthly interest",MAX(0,Assumptions!$B$5-I400),"")</f>
        <v>2</v>
      </c>
      <c r="K400" s="7">
        <f t="shared" si="18"/>
        <v>4615</v>
      </c>
      <c r="L400" s="9">
        <v>46275</v>
      </c>
      <c r="M400" s="5" t="s">
        <v>50</v>
      </c>
      <c r="N400" s="5" t="s">
        <v>53</v>
      </c>
      <c r="O400" s="5" t="s">
        <v>103</v>
      </c>
      <c r="P400" s="5" t="s">
        <v>51</v>
      </c>
      <c r="Q400" s="5" t="s">
        <v>54</v>
      </c>
      <c r="R400" s="5" t="s">
        <v>55</v>
      </c>
      <c r="S400" s="5" t="s">
        <v>56</v>
      </c>
      <c r="T400" s="5" t="s">
        <v>57</v>
      </c>
      <c r="U400" s="5" t="s">
        <v>58</v>
      </c>
      <c r="V400" s="5" t="s">
        <v>59</v>
      </c>
      <c r="W400" s="5" t="s">
        <v>418</v>
      </c>
      <c r="X400" s="5" t="s">
        <v>1988</v>
      </c>
      <c r="Y400" s="5" t="s">
        <v>1989</v>
      </c>
      <c r="Z400" s="9">
        <v>46152</v>
      </c>
      <c r="AA400" s="8">
        <v>24</v>
      </c>
      <c r="AB400" s="9">
        <f t="shared" si="19"/>
        <v>46883</v>
      </c>
      <c r="AC400" s="10">
        <v>22</v>
      </c>
      <c r="AD400" s="7">
        <f t="shared" si="20"/>
        <v>4615</v>
      </c>
      <c r="AE400" s="7">
        <f>IF(F400="Bullet",H400*AD400,MIN(MAX(I400,1),Assumptions!$B$6)*AD400)</f>
        <v>4615</v>
      </c>
      <c r="AF400" s="8">
        <f>IF(F400="Bullet",MAX(0,Assumptions!$B$4-AB400),MAX(0,Assumptions!$B$4-L400))</f>
        <v>23</v>
      </c>
      <c r="AG400" s="9">
        <v>46244</v>
      </c>
      <c r="AH400" s="8">
        <f>IF(AG400="","",Assumptions!$B$4-AG400)</f>
        <v>54</v>
      </c>
      <c r="AI400" s="5" t="s">
        <v>63</v>
      </c>
      <c r="AJ400" s="8">
        <v>2</v>
      </c>
      <c r="AK400" s="8">
        <v>0</v>
      </c>
      <c r="AL400" s="8">
        <v>770</v>
      </c>
      <c r="AM400" s="8">
        <v>1</v>
      </c>
      <c r="AN400" s="5" t="s">
        <v>63</v>
      </c>
      <c r="AO400" s="10">
        <v>78</v>
      </c>
      <c r="AP400" s="8">
        <v>28</v>
      </c>
      <c r="AQ400" s="9">
        <v>46273</v>
      </c>
      <c r="AR400" s="5" t="s">
        <v>51</v>
      </c>
      <c r="AS400" s="5" t="s">
        <v>81</v>
      </c>
    </row>
    <row r="401" spans="1:45" x14ac:dyDescent="0.35">
      <c r="A401" s="5" t="s">
        <v>1990</v>
      </c>
      <c r="B401" s="5" t="s">
        <v>1991</v>
      </c>
      <c r="C401" s="6" t="s">
        <v>1992</v>
      </c>
      <c r="D401" s="7">
        <v>357800</v>
      </c>
      <c r="E401" s="5" t="s">
        <v>48</v>
      </c>
      <c r="F401" s="5" t="s">
        <v>49</v>
      </c>
      <c r="G401" s="8"/>
      <c r="H401" s="8" t="str">
        <f>IF(F401="Bullet",MIN(G401,Assumptions!$B$6),"")</f>
        <v/>
      </c>
      <c r="I401" s="8">
        <v>1</v>
      </c>
      <c r="J401" s="8">
        <f>IF(F401="Monthly interest",MAX(0,Assumptions!$B$5-I401),"")</f>
        <v>2</v>
      </c>
      <c r="K401" s="7">
        <f t="shared" si="18"/>
        <v>4771</v>
      </c>
      <c r="L401" s="9">
        <v>46290</v>
      </c>
      <c r="M401" s="5" t="s">
        <v>50</v>
      </c>
      <c r="N401" s="5" t="s">
        <v>51</v>
      </c>
      <c r="O401" s="5" t="s">
        <v>52</v>
      </c>
      <c r="P401" s="5" t="s">
        <v>53</v>
      </c>
      <c r="Q401" s="5" t="s">
        <v>54</v>
      </c>
      <c r="R401" s="5" t="s">
        <v>55</v>
      </c>
      <c r="S401" s="5" t="s">
        <v>85</v>
      </c>
      <c r="T401" s="5" t="s">
        <v>57</v>
      </c>
      <c r="U401" s="5" t="s">
        <v>104</v>
      </c>
      <c r="V401" s="5" t="s">
        <v>87</v>
      </c>
      <c r="W401" s="5" t="s">
        <v>361</v>
      </c>
      <c r="X401" s="5" t="s">
        <v>362</v>
      </c>
      <c r="Y401" s="5" t="s">
        <v>1993</v>
      </c>
      <c r="Z401" s="9">
        <v>46228</v>
      </c>
      <c r="AA401" s="8">
        <v>24</v>
      </c>
      <c r="AB401" s="9">
        <f t="shared" si="19"/>
        <v>46959</v>
      </c>
      <c r="AC401" s="10">
        <v>16</v>
      </c>
      <c r="AD401" s="7">
        <f t="shared" si="20"/>
        <v>4771</v>
      </c>
      <c r="AE401" s="7">
        <f>IF(F401="Bullet",H401*AD401,MIN(MAX(I401,1),Assumptions!$B$6)*AD401)</f>
        <v>4771</v>
      </c>
      <c r="AF401" s="8">
        <f>IF(F401="Bullet",MAX(0,Assumptions!$B$4-AB401),MAX(0,Assumptions!$B$4-L401))</f>
        <v>8</v>
      </c>
      <c r="AG401" s="9">
        <v>46259</v>
      </c>
      <c r="AH401" s="8">
        <f>IF(AG401="","",Assumptions!$B$4-AG401)</f>
        <v>39</v>
      </c>
      <c r="AI401" s="5" t="s">
        <v>57</v>
      </c>
      <c r="AJ401" s="8">
        <v>1</v>
      </c>
      <c r="AK401" s="8">
        <v>0</v>
      </c>
      <c r="AL401" s="8" t="s">
        <v>80</v>
      </c>
      <c r="AM401" s="8">
        <v>0</v>
      </c>
      <c r="AN401" s="5" t="s">
        <v>63</v>
      </c>
      <c r="AO401" s="10">
        <v>54.7</v>
      </c>
      <c r="AP401" s="8">
        <v>24</v>
      </c>
      <c r="AQ401" s="9">
        <v>46293</v>
      </c>
      <c r="AR401" s="5" t="s">
        <v>51</v>
      </c>
      <c r="AS401" s="5" t="s">
        <v>274</v>
      </c>
    </row>
    <row r="402" spans="1:45" x14ac:dyDescent="0.35">
      <c r="A402" s="5" t="s">
        <v>1994</v>
      </c>
      <c r="B402" s="5" t="s">
        <v>1995</v>
      </c>
      <c r="C402" s="6" t="s">
        <v>1996</v>
      </c>
      <c r="D402" s="7">
        <v>448900</v>
      </c>
      <c r="E402" s="5" t="s">
        <v>48</v>
      </c>
      <c r="F402" s="5" t="s">
        <v>49</v>
      </c>
      <c r="G402" s="8"/>
      <c r="H402" s="8" t="str">
        <f>IF(F402="Bullet",MIN(G402,Assumptions!$B$6),"")</f>
        <v/>
      </c>
      <c r="I402" s="8">
        <v>1</v>
      </c>
      <c r="J402" s="8">
        <f>IF(F402="Monthly interest",MAX(0,Assumptions!$B$5-I402),"")</f>
        <v>2</v>
      </c>
      <c r="K402" s="7">
        <f t="shared" si="18"/>
        <v>6734</v>
      </c>
      <c r="L402" s="9">
        <v>46290</v>
      </c>
      <c r="M402" s="5" t="s">
        <v>69</v>
      </c>
      <c r="N402" s="5" t="s">
        <v>53</v>
      </c>
      <c r="O402" s="5" t="s">
        <v>95</v>
      </c>
      <c r="P402" s="5" t="s">
        <v>70</v>
      </c>
      <c r="Q402" s="5" t="s">
        <v>54</v>
      </c>
      <c r="R402" s="5" t="s">
        <v>55</v>
      </c>
      <c r="S402" s="5" t="s">
        <v>75</v>
      </c>
      <c r="T402" s="5" t="s">
        <v>63</v>
      </c>
      <c r="U402" s="5" t="s">
        <v>104</v>
      </c>
      <c r="V402" s="5" t="s">
        <v>76</v>
      </c>
      <c r="W402" s="5" t="s">
        <v>146</v>
      </c>
      <c r="X402" s="5" t="s">
        <v>1809</v>
      </c>
      <c r="Y402" s="5" t="s">
        <v>1997</v>
      </c>
      <c r="Z402" s="9">
        <v>46137</v>
      </c>
      <c r="AA402" s="8">
        <v>18</v>
      </c>
      <c r="AB402" s="9">
        <f t="shared" si="19"/>
        <v>46685</v>
      </c>
      <c r="AC402" s="10">
        <v>18</v>
      </c>
      <c r="AD402" s="7">
        <f t="shared" si="20"/>
        <v>6734</v>
      </c>
      <c r="AE402" s="7">
        <f>IF(F402="Bullet",H402*AD402,MIN(MAX(I402,1),Assumptions!$B$6)*AD402)</f>
        <v>6734</v>
      </c>
      <c r="AF402" s="8">
        <f>IF(F402="Bullet",MAX(0,Assumptions!$B$4-AB402),MAX(0,Assumptions!$B$4-L402))</f>
        <v>8</v>
      </c>
      <c r="AG402" s="9">
        <v>46259</v>
      </c>
      <c r="AH402" s="8">
        <f>IF(AG402="","",Assumptions!$B$4-AG402)</f>
        <v>39</v>
      </c>
      <c r="AI402" s="5" t="s">
        <v>63</v>
      </c>
      <c r="AJ402" s="8">
        <v>2</v>
      </c>
      <c r="AK402" s="8">
        <v>1</v>
      </c>
      <c r="AL402" s="8">
        <v>643</v>
      </c>
      <c r="AM402" s="8">
        <v>0</v>
      </c>
      <c r="AN402" s="5" t="s">
        <v>63</v>
      </c>
      <c r="AO402" s="10">
        <v>71.099999999999994</v>
      </c>
      <c r="AP402" s="8">
        <v>39</v>
      </c>
      <c r="AQ402" s="9">
        <v>46276</v>
      </c>
      <c r="AR402" s="5" t="s">
        <v>53</v>
      </c>
      <c r="AS402" s="5" t="s">
        <v>181</v>
      </c>
    </row>
    <row r="403" spans="1:45" x14ac:dyDescent="0.35">
      <c r="A403" s="5" t="s">
        <v>1998</v>
      </c>
      <c r="B403" s="5" t="s">
        <v>1999</v>
      </c>
      <c r="C403" s="6" t="s">
        <v>2000</v>
      </c>
      <c r="D403" s="7">
        <v>51600</v>
      </c>
      <c r="E403" s="5" t="s">
        <v>48</v>
      </c>
      <c r="F403" s="5" t="s">
        <v>49</v>
      </c>
      <c r="G403" s="8"/>
      <c r="H403" s="8" t="str">
        <f>IF(F403="Bullet",MIN(G403,Assumptions!$B$6),"")</f>
        <v/>
      </c>
      <c r="I403" s="8">
        <v>2</v>
      </c>
      <c r="J403" s="8">
        <f>IF(F403="Monthly interest",MAX(0,Assumptions!$B$5-I403),"")</f>
        <v>1</v>
      </c>
      <c r="K403" s="7">
        <f t="shared" si="18"/>
        <v>2064</v>
      </c>
      <c r="L403" s="9">
        <v>46246</v>
      </c>
      <c r="M403" s="5" t="s">
        <v>69</v>
      </c>
      <c r="N403" s="5" t="s">
        <v>53</v>
      </c>
      <c r="O403" s="5" t="s">
        <v>71</v>
      </c>
      <c r="P403" s="5" t="s">
        <v>70</v>
      </c>
      <c r="Q403" s="5" t="s">
        <v>73</v>
      </c>
      <c r="R403" s="5" t="s">
        <v>74</v>
      </c>
      <c r="S403" s="5" t="s">
        <v>75</v>
      </c>
      <c r="T403" s="5" t="s">
        <v>57</v>
      </c>
      <c r="U403" s="5" t="s">
        <v>58</v>
      </c>
      <c r="V403" s="5" t="s">
        <v>76</v>
      </c>
      <c r="W403" s="5" t="s">
        <v>382</v>
      </c>
      <c r="X403" s="5" t="s">
        <v>575</v>
      </c>
      <c r="Y403" s="5" t="s">
        <v>2001</v>
      </c>
      <c r="Z403" s="9">
        <v>45973</v>
      </c>
      <c r="AA403" s="8">
        <v>24</v>
      </c>
      <c r="AB403" s="9">
        <f t="shared" si="19"/>
        <v>46703</v>
      </c>
      <c r="AC403" s="10">
        <v>24</v>
      </c>
      <c r="AD403" s="7">
        <f t="shared" si="20"/>
        <v>1032</v>
      </c>
      <c r="AE403" s="7">
        <f>IF(F403="Bullet",H403*AD403,MIN(MAX(I403,1),Assumptions!$B$6)*AD403)</f>
        <v>2064</v>
      </c>
      <c r="AF403" s="8">
        <f>IF(F403="Bullet",MAX(0,Assumptions!$B$4-AB403),MAX(0,Assumptions!$B$4-L403))</f>
        <v>52</v>
      </c>
      <c r="AG403" s="9">
        <v>46220</v>
      </c>
      <c r="AH403" s="8">
        <f>IF(AG403="","",Assumptions!$B$4-AG403)</f>
        <v>78</v>
      </c>
      <c r="AI403" s="5" t="s">
        <v>57</v>
      </c>
      <c r="AJ403" s="8">
        <v>3</v>
      </c>
      <c r="AK403" s="8">
        <v>1</v>
      </c>
      <c r="AL403" s="8">
        <v>781</v>
      </c>
      <c r="AM403" s="8">
        <v>3</v>
      </c>
      <c r="AN403" s="5" t="s">
        <v>63</v>
      </c>
      <c r="AO403" s="10">
        <v>75.099999999999994</v>
      </c>
      <c r="AP403" s="8">
        <v>39</v>
      </c>
      <c r="AQ403" s="9">
        <v>46281</v>
      </c>
      <c r="AR403" s="5" t="s">
        <v>51</v>
      </c>
      <c r="AS403" s="5" t="s">
        <v>190</v>
      </c>
    </row>
    <row r="404" spans="1:45" x14ac:dyDescent="0.35">
      <c r="A404" s="5" t="s">
        <v>2002</v>
      </c>
      <c r="B404" s="5" t="s">
        <v>2003</v>
      </c>
      <c r="C404" s="6" t="s">
        <v>2004</v>
      </c>
      <c r="D404" s="7">
        <v>29600</v>
      </c>
      <c r="E404" s="5" t="s">
        <v>48</v>
      </c>
      <c r="F404" s="5" t="s">
        <v>49</v>
      </c>
      <c r="G404" s="8"/>
      <c r="H404" s="8" t="str">
        <f>IF(F404="Bullet",MIN(G404,Assumptions!$B$6),"")</f>
        <v/>
      </c>
      <c r="I404" s="8">
        <v>1</v>
      </c>
      <c r="J404" s="8">
        <f>IF(F404="Monthly interest",MAX(0,Assumptions!$B$5-I404),"")</f>
        <v>2</v>
      </c>
      <c r="K404" s="7">
        <f t="shared" si="18"/>
        <v>395</v>
      </c>
      <c r="L404" s="9">
        <v>46296</v>
      </c>
      <c r="M404" s="5" t="s">
        <v>69</v>
      </c>
      <c r="N404" s="5" t="s">
        <v>53</v>
      </c>
      <c r="O404" s="5" t="s">
        <v>132</v>
      </c>
      <c r="P404" s="5" t="s">
        <v>153</v>
      </c>
      <c r="Q404" s="5" t="s">
        <v>154</v>
      </c>
      <c r="R404" s="5" t="s">
        <v>155</v>
      </c>
      <c r="S404" s="5" t="s">
        <v>75</v>
      </c>
      <c r="T404" s="5" t="s">
        <v>57</v>
      </c>
      <c r="U404" s="5" t="s">
        <v>86</v>
      </c>
      <c r="V404" s="5" t="s">
        <v>76</v>
      </c>
      <c r="W404" s="5" t="s">
        <v>77</v>
      </c>
      <c r="X404" s="5" t="s">
        <v>2005</v>
      </c>
      <c r="Y404" s="5" t="s">
        <v>2006</v>
      </c>
      <c r="Z404" s="9">
        <v>46204</v>
      </c>
      <c r="AA404" s="8">
        <v>24</v>
      </c>
      <c r="AB404" s="9">
        <f t="shared" si="19"/>
        <v>46935</v>
      </c>
      <c r="AC404" s="10">
        <v>16</v>
      </c>
      <c r="AD404" s="7">
        <f t="shared" si="20"/>
        <v>395</v>
      </c>
      <c r="AE404" s="7">
        <f>IF(F404="Bullet",H404*AD404,MIN(MAX(I404,1),Assumptions!$B$6)*AD404)</f>
        <v>395</v>
      </c>
      <c r="AF404" s="8">
        <f>IF(F404="Bullet",MAX(0,Assumptions!$B$4-AB404),MAX(0,Assumptions!$B$4-L404))</f>
        <v>2</v>
      </c>
      <c r="AG404" s="9">
        <v>46269</v>
      </c>
      <c r="AH404" s="8">
        <f>IF(AG404="","",Assumptions!$B$4-AG404)</f>
        <v>29</v>
      </c>
      <c r="AI404" s="5" t="s">
        <v>57</v>
      </c>
      <c r="AJ404" s="8">
        <v>3</v>
      </c>
      <c r="AK404" s="8">
        <v>0</v>
      </c>
      <c r="AL404" s="8">
        <v>603</v>
      </c>
      <c r="AM404" s="8">
        <v>1</v>
      </c>
      <c r="AN404" s="5" t="s">
        <v>63</v>
      </c>
      <c r="AO404" s="10">
        <v>56.1</v>
      </c>
      <c r="AP404" s="8">
        <v>37</v>
      </c>
      <c r="AQ404" s="9">
        <v>46292</v>
      </c>
      <c r="AR404" s="5" t="s">
        <v>51</v>
      </c>
      <c r="AS404" s="5" t="s">
        <v>91</v>
      </c>
    </row>
    <row r="405" spans="1:45" x14ac:dyDescent="0.35">
      <c r="A405" s="5" t="s">
        <v>2007</v>
      </c>
      <c r="B405" s="5" t="s">
        <v>2008</v>
      </c>
      <c r="C405" s="6" t="s">
        <v>2009</v>
      </c>
      <c r="D405" s="7">
        <v>49500</v>
      </c>
      <c r="E405" s="5" t="s">
        <v>48</v>
      </c>
      <c r="F405" s="5" t="s">
        <v>49</v>
      </c>
      <c r="G405" s="8"/>
      <c r="H405" s="8" t="str">
        <f>IF(F405="Bullet",MIN(G405,Assumptions!$B$6),"")</f>
        <v/>
      </c>
      <c r="I405" s="8">
        <v>1</v>
      </c>
      <c r="J405" s="8">
        <f>IF(F405="Monthly interest",MAX(0,Assumptions!$B$5-I405),"")</f>
        <v>2</v>
      </c>
      <c r="K405" s="7">
        <f t="shared" si="18"/>
        <v>990</v>
      </c>
      <c r="L405" s="9">
        <v>46297</v>
      </c>
      <c r="M405" s="5" t="s">
        <v>69</v>
      </c>
      <c r="N405" s="5" t="s">
        <v>51</v>
      </c>
      <c r="O405" s="5" t="s">
        <v>152</v>
      </c>
      <c r="P405" s="5" t="s">
        <v>53</v>
      </c>
      <c r="Q405" s="5" t="s">
        <v>154</v>
      </c>
      <c r="R405" s="5" t="s">
        <v>155</v>
      </c>
      <c r="S405" s="5" t="s">
        <v>253</v>
      </c>
      <c r="T405" s="5" t="s">
        <v>57</v>
      </c>
      <c r="U405" s="5" t="s">
        <v>58</v>
      </c>
      <c r="V405" s="5" t="s">
        <v>96</v>
      </c>
      <c r="W405" s="5" t="s">
        <v>819</v>
      </c>
      <c r="X405" s="5" t="s">
        <v>2010</v>
      </c>
      <c r="Y405" s="5" t="s">
        <v>2011</v>
      </c>
      <c r="Z405" s="9">
        <v>46024</v>
      </c>
      <c r="AA405" s="8">
        <v>12</v>
      </c>
      <c r="AB405" s="9">
        <f t="shared" si="19"/>
        <v>46389</v>
      </c>
      <c r="AC405" s="10">
        <v>24</v>
      </c>
      <c r="AD405" s="7">
        <f t="shared" si="20"/>
        <v>990</v>
      </c>
      <c r="AE405" s="7">
        <f>IF(F405="Bullet",H405*AD405,MIN(MAX(I405,1),Assumptions!$B$6)*AD405)</f>
        <v>990</v>
      </c>
      <c r="AF405" s="8">
        <f>IF(F405="Bullet",MAX(0,Assumptions!$B$4-AB405),MAX(0,Assumptions!$B$4-L405))</f>
        <v>1</v>
      </c>
      <c r="AG405" s="9">
        <v>46271</v>
      </c>
      <c r="AH405" s="8">
        <f>IF(AG405="","",Assumptions!$B$4-AG405)</f>
        <v>27</v>
      </c>
      <c r="AI405" s="5" t="s">
        <v>57</v>
      </c>
      <c r="AJ405" s="8">
        <v>2</v>
      </c>
      <c r="AK405" s="8">
        <v>0</v>
      </c>
      <c r="AL405" s="8">
        <v>696</v>
      </c>
      <c r="AM405" s="8">
        <v>1</v>
      </c>
      <c r="AN405" s="5" t="s">
        <v>63</v>
      </c>
      <c r="AO405" s="10">
        <v>80.7</v>
      </c>
      <c r="AP405" s="8">
        <v>34</v>
      </c>
      <c r="AQ405" s="9">
        <v>46286</v>
      </c>
      <c r="AR405" s="5" t="s">
        <v>51</v>
      </c>
      <c r="AS405" s="5" t="s">
        <v>190</v>
      </c>
    </row>
    <row r="406" spans="1:45" x14ac:dyDescent="0.35">
      <c r="A406" s="5" t="s">
        <v>2012</v>
      </c>
      <c r="B406" s="5" t="s">
        <v>2013</v>
      </c>
      <c r="C406" s="6" t="s">
        <v>2014</v>
      </c>
      <c r="D406" s="7">
        <v>271400</v>
      </c>
      <c r="E406" s="5" t="s">
        <v>48</v>
      </c>
      <c r="F406" s="5" t="s">
        <v>49</v>
      </c>
      <c r="G406" s="8"/>
      <c r="H406" s="8" t="str">
        <f>IF(F406="Bullet",MIN(G406,Assumptions!$B$6),"")</f>
        <v/>
      </c>
      <c r="I406" s="8">
        <v>1</v>
      </c>
      <c r="J406" s="8">
        <f>IF(F406="Monthly interest",MAX(0,Assumptions!$B$5-I406),"")</f>
        <v>2</v>
      </c>
      <c r="K406" s="7">
        <f t="shared" si="18"/>
        <v>3619</v>
      </c>
      <c r="L406" s="9">
        <v>46272</v>
      </c>
      <c r="M406" s="5" t="s">
        <v>69</v>
      </c>
      <c r="N406" s="5" t="s">
        <v>53</v>
      </c>
      <c r="O406" s="5" t="s">
        <v>103</v>
      </c>
      <c r="P406" s="5" t="s">
        <v>70</v>
      </c>
      <c r="Q406" s="5" t="s">
        <v>54</v>
      </c>
      <c r="R406" s="5" t="s">
        <v>55</v>
      </c>
      <c r="S406" s="5" t="s">
        <v>253</v>
      </c>
      <c r="T406" s="5" t="s">
        <v>57</v>
      </c>
      <c r="U406" s="5" t="s">
        <v>104</v>
      </c>
      <c r="V406" s="5" t="s">
        <v>76</v>
      </c>
      <c r="W406" s="5" t="s">
        <v>382</v>
      </c>
      <c r="X406" s="5" t="s">
        <v>1381</v>
      </c>
      <c r="Y406" s="5" t="s">
        <v>2015</v>
      </c>
      <c r="Z406" s="9">
        <v>46088</v>
      </c>
      <c r="AA406" s="8">
        <v>12</v>
      </c>
      <c r="AB406" s="9">
        <f t="shared" si="19"/>
        <v>46453</v>
      </c>
      <c r="AC406" s="10">
        <v>16</v>
      </c>
      <c r="AD406" s="7">
        <f t="shared" si="20"/>
        <v>3619</v>
      </c>
      <c r="AE406" s="7">
        <f>IF(F406="Bullet",H406*AD406,MIN(MAX(I406,1),Assumptions!$B$6)*AD406)</f>
        <v>3619</v>
      </c>
      <c r="AF406" s="8">
        <f>IF(F406="Bullet",MAX(0,Assumptions!$B$4-AB406),MAX(0,Assumptions!$B$4-L406))</f>
        <v>26</v>
      </c>
      <c r="AG406" s="9">
        <v>46245</v>
      </c>
      <c r="AH406" s="8">
        <f>IF(AG406="","",Assumptions!$B$4-AG406)</f>
        <v>53</v>
      </c>
      <c r="AI406" s="5" t="s">
        <v>57</v>
      </c>
      <c r="AJ406" s="8">
        <v>1</v>
      </c>
      <c r="AK406" s="8">
        <v>1</v>
      </c>
      <c r="AL406" s="8">
        <v>625</v>
      </c>
      <c r="AM406" s="8">
        <v>0</v>
      </c>
      <c r="AN406" s="5" t="s">
        <v>63</v>
      </c>
      <c r="AO406" s="10">
        <v>56.6</v>
      </c>
      <c r="AP406" s="8">
        <v>35</v>
      </c>
      <c r="AQ406" s="9">
        <v>46297</v>
      </c>
      <c r="AR406" s="5" t="s">
        <v>51</v>
      </c>
      <c r="AS406" s="5" t="s">
        <v>81</v>
      </c>
    </row>
    <row r="407" spans="1:45" x14ac:dyDescent="0.35">
      <c r="A407" s="5" t="s">
        <v>2016</v>
      </c>
      <c r="B407" s="5" t="s">
        <v>2017</v>
      </c>
      <c r="C407" s="6" t="s">
        <v>2018</v>
      </c>
      <c r="D407" s="7">
        <v>193700</v>
      </c>
      <c r="E407" s="5" t="s">
        <v>48</v>
      </c>
      <c r="F407" s="5" t="s">
        <v>49</v>
      </c>
      <c r="G407" s="8"/>
      <c r="H407" s="8" t="str">
        <f>IF(F407="Bullet",MIN(G407,Assumptions!$B$6),"")</f>
        <v/>
      </c>
      <c r="I407" s="8">
        <v>1</v>
      </c>
      <c r="J407" s="8">
        <f>IF(F407="Monthly interest",MAX(0,Assumptions!$B$5-I407),"")</f>
        <v>2</v>
      </c>
      <c r="K407" s="7">
        <f t="shared" si="18"/>
        <v>3551</v>
      </c>
      <c r="L407" s="9">
        <v>46293</v>
      </c>
      <c r="M407" s="5" t="s">
        <v>50</v>
      </c>
      <c r="N407" s="5" t="s">
        <v>53</v>
      </c>
      <c r="O407" s="5" t="s">
        <v>103</v>
      </c>
      <c r="P407" s="5" t="s">
        <v>51</v>
      </c>
      <c r="Q407" s="5" t="s">
        <v>54</v>
      </c>
      <c r="R407" s="5" t="s">
        <v>55</v>
      </c>
      <c r="S407" s="5" t="s">
        <v>56</v>
      </c>
      <c r="T407" s="5" t="s">
        <v>57</v>
      </c>
      <c r="U407" s="5" t="s">
        <v>86</v>
      </c>
      <c r="V407" s="5" t="s">
        <v>59</v>
      </c>
      <c r="W407" s="5" t="s">
        <v>60</v>
      </c>
      <c r="X407" s="5" t="s">
        <v>121</v>
      </c>
      <c r="Y407" s="5" t="s">
        <v>2019</v>
      </c>
      <c r="Z407" s="9">
        <v>46231</v>
      </c>
      <c r="AA407" s="8">
        <v>12</v>
      </c>
      <c r="AB407" s="9">
        <f t="shared" si="19"/>
        <v>46596</v>
      </c>
      <c r="AC407" s="10">
        <v>22</v>
      </c>
      <c r="AD407" s="7">
        <f t="shared" si="20"/>
        <v>3551</v>
      </c>
      <c r="AE407" s="7">
        <f>IF(F407="Bullet",H407*AD407,MIN(MAX(I407,1),Assumptions!$B$6)*AD407)</f>
        <v>3551</v>
      </c>
      <c r="AF407" s="8">
        <f>IF(F407="Bullet",MAX(0,Assumptions!$B$4-AB407),MAX(0,Assumptions!$B$4-L407))</f>
        <v>5</v>
      </c>
      <c r="AG407" s="9">
        <v>46266</v>
      </c>
      <c r="AH407" s="8">
        <f>IF(AG407="","",Assumptions!$B$4-AG407)</f>
        <v>32</v>
      </c>
      <c r="AI407" s="5" t="s">
        <v>63</v>
      </c>
      <c r="AJ407" s="8">
        <v>1</v>
      </c>
      <c r="AK407" s="8">
        <v>0</v>
      </c>
      <c r="AL407" s="8">
        <v>685</v>
      </c>
      <c r="AM407" s="8">
        <v>2</v>
      </c>
      <c r="AN407" s="5" t="s">
        <v>63</v>
      </c>
      <c r="AO407" s="10">
        <v>77.8</v>
      </c>
      <c r="AP407" s="8">
        <v>19</v>
      </c>
      <c r="AQ407" s="9">
        <v>46276</v>
      </c>
      <c r="AR407" s="5" t="s">
        <v>51</v>
      </c>
      <c r="AS407" s="5" t="s">
        <v>81</v>
      </c>
    </row>
    <row r="408" spans="1:45" x14ac:dyDescent="0.35">
      <c r="A408" s="5" t="s">
        <v>2020</v>
      </c>
      <c r="B408" s="5" t="s">
        <v>2021</v>
      </c>
      <c r="C408" s="6" t="s">
        <v>2022</v>
      </c>
      <c r="D408" s="7">
        <v>78700</v>
      </c>
      <c r="E408" s="5" t="s">
        <v>48</v>
      </c>
      <c r="F408" s="5" t="s">
        <v>68</v>
      </c>
      <c r="G408" s="8">
        <v>6</v>
      </c>
      <c r="H408" s="8">
        <f>IF(F408="Bullet",MIN(G408,Assumptions!$B$6),"")</f>
        <v>2</v>
      </c>
      <c r="I408" s="8"/>
      <c r="J408" s="8" t="str">
        <f>IF(F408="Monthly interest",MAX(0,Assumptions!$B$5-I408),"")</f>
        <v/>
      </c>
      <c r="K408" s="7">
        <f t="shared" si="18"/>
        <v>7086</v>
      </c>
      <c r="L408" s="9">
        <v>46100</v>
      </c>
      <c r="M408" s="5" t="s">
        <v>116</v>
      </c>
      <c r="N408" s="5" t="s">
        <v>117</v>
      </c>
      <c r="O408" s="5" t="s">
        <v>461</v>
      </c>
      <c r="P408" s="5" t="s">
        <v>72</v>
      </c>
      <c r="Q408" s="5" t="s">
        <v>169</v>
      </c>
      <c r="R408" s="5" t="s">
        <v>170</v>
      </c>
      <c r="S408" s="5" t="s">
        <v>85</v>
      </c>
      <c r="T408" s="5" t="s">
        <v>57</v>
      </c>
      <c r="U408" s="5" t="s">
        <v>104</v>
      </c>
      <c r="V408" s="5" t="s">
        <v>133</v>
      </c>
      <c r="W408" s="5" t="s">
        <v>594</v>
      </c>
      <c r="X408" s="5" t="s">
        <v>595</v>
      </c>
      <c r="Y408" s="5" t="s">
        <v>2023</v>
      </c>
      <c r="Z408" s="9">
        <v>46100</v>
      </c>
      <c r="AA408" s="8">
        <v>6</v>
      </c>
      <c r="AB408" s="9">
        <f t="shared" si="19"/>
        <v>46284</v>
      </c>
      <c r="AC408" s="10">
        <v>18</v>
      </c>
      <c r="AD408" s="7">
        <f t="shared" si="20"/>
        <v>1181</v>
      </c>
      <c r="AE408" s="7">
        <f>IF(F408="Bullet",H408*AD408,MIN(MAX(I408,1),Assumptions!$B$6)*AD408)</f>
        <v>2362</v>
      </c>
      <c r="AF408" s="8">
        <f>IF(F408="Bullet",MAX(0,Assumptions!$B$4-AB408),MAX(0,Assumptions!$B$4-L408))</f>
        <v>14</v>
      </c>
      <c r="AG408" s="9"/>
      <c r="AH408" s="8" t="str">
        <f>IF(AG408="","",Assumptions!$B$4-AG408)</f>
        <v/>
      </c>
      <c r="AI408" s="5" t="s">
        <v>80</v>
      </c>
      <c r="AJ408" s="8"/>
      <c r="AK408" s="8">
        <v>1</v>
      </c>
      <c r="AL408" s="8">
        <v>671</v>
      </c>
      <c r="AM408" s="8">
        <v>3</v>
      </c>
      <c r="AN408" s="5" t="s">
        <v>63</v>
      </c>
      <c r="AO408" s="10">
        <v>70.099999999999994</v>
      </c>
      <c r="AP408" s="8">
        <v>58</v>
      </c>
      <c r="AQ408" s="9">
        <v>46289</v>
      </c>
      <c r="AR408" s="5" t="s">
        <v>53</v>
      </c>
      <c r="AS408" s="5" t="s">
        <v>91</v>
      </c>
    </row>
    <row r="409" spans="1:45" x14ac:dyDescent="0.35">
      <c r="A409" s="5" t="s">
        <v>2024</v>
      </c>
      <c r="B409" s="5" t="s">
        <v>2025</v>
      </c>
      <c r="C409" s="6" t="s">
        <v>2026</v>
      </c>
      <c r="D409" s="7">
        <v>93200</v>
      </c>
      <c r="E409" s="5" t="s">
        <v>48</v>
      </c>
      <c r="F409" s="5" t="s">
        <v>49</v>
      </c>
      <c r="G409" s="8"/>
      <c r="H409" s="8" t="str">
        <f>IF(F409="Bullet",MIN(G409,Assumptions!$B$6),"")</f>
        <v/>
      </c>
      <c r="I409" s="8">
        <v>2</v>
      </c>
      <c r="J409" s="8">
        <f>IF(F409="Monthly interest",MAX(0,Assumptions!$B$5-I409),"")</f>
        <v>1</v>
      </c>
      <c r="K409" s="7">
        <f t="shared" si="18"/>
        <v>2796</v>
      </c>
      <c r="L409" s="9">
        <v>46248</v>
      </c>
      <c r="M409" s="5" t="s">
        <v>69</v>
      </c>
      <c r="N409" s="5" t="s">
        <v>53</v>
      </c>
      <c r="O409" s="5" t="s">
        <v>71</v>
      </c>
      <c r="P409" s="5" t="s">
        <v>70</v>
      </c>
      <c r="Q409" s="5" t="s">
        <v>73</v>
      </c>
      <c r="R409" s="5" t="s">
        <v>74</v>
      </c>
      <c r="S409" s="5" t="s">
        <v>185</v>
      </c>
      <c r="T409" s="5" t="s">
        <v>57</v>
      </c>
      <c r="U409" s="5" t="s">
        <v>104</v>
      </c>
      <c r="V409" s="5" t="s">
        <v>200</v>
      </c>
      <c r="W409" s="5" t="s">
        <v>500</v>
      </c>
      <c r="X409" s="5" t="s">
        <v>1131</v>
      </c>
      <c r="Y409" s="5" t="s">
        <v>2027</v>
      </c>
      <c r="Z409" s="9">
        <v>46005</v>
      </c>
      <c r="AA409" s="8">
        <v>12</v>
      </c>
      <c r="AB409" s="9">
        <f t="shared" si="19"/>
        <v>46370</v>
      </c>
      <c r="AC409" s="10">
        <v>18</v>
      </c>
      <c r="AD409" s="7">
        <f t="shared" si="20"/>
        <v>1398</v>
      </c>
      <c r="AE409" s="7">
        <f>IF(F409="Bullet",H409*AD409,MIN(MAX(I409,1),Assumptions!$B$6)*AD409)</f>
        <v>2796</v>
      </c>
      <c r="AF409" s="8">
        <f>IF(F409="Bullet",MAX(0,Assumptions!$B$4-AB409),MAX(0,Assumptions!$B$4-L409))</f>
        <v>50</v>
      </c>
      <c r="AG409" s="9">
        <v>46217</v>
      </c>
      <c r="AH409" s="8">
        <f>IF(AG409="","",Assumptions!$B$4-AG409)</f>
        <v>81</v>
      </c>
      <c r="AI409" s="5" t="s">
        <v>57</v>
      </c>
      <c r="AJ409" s="8">
        <v>2</v>
      </c>
      <c r="AK409" s="8">
        <v>0</v>
      </c>
      <c r="AL409" s="8">
        <v>776</v>
      </c>
      <c r="AM409" s="8">
        <v>0</v>
      </c>
      <c r="AN409" s="5" t="s">
        <v>63</v>
      </c>
      <c r="AO409" s="10">
        <v>57.3</v>
      </c>
      <c r="AP409" s="8">
        <v>40</v>
      </c>
      <c r="AQ409" s="9">
        <v>46286</v>
      </c>
      <c r="AR409" s="5" t="s">
        <v>70</v>
      </c>
      <c r="AS409" s="5" t="s">
        <v>91</v>
      </c>
    </row>
    <row r="410" spans="1:45" x14ac:dyDescent="0.35">
      <c r="A410" s="5" t="s">
        <v>2028</v>
      </c>
      <c r="B410" s="5" t="s">
        <v>2029</v>
      </c>
      <c r="C410" s="6" t="s">
        <v>2030</v>
      </c>
      <c r="D410" s="7">
        <v>131900</v>
      </c>
      <c r="E410" s="5" t="s">
        <v>48</v>
      </c>
      <c r="F410" s="5" t="s">
        <v>49</v>
      </c>
      <c r="G410" s="8"/>
      <c r="H410" s="8" t="str">
        <f>IF(F410="Bullet",MIN(G410,Assumptions!$B$6),"")</f>
        <v/>
      </c>
      <c r="I410" s="8">
        <v>2</v>
      </c>
      <c r="J410" s="8">
        <f>IF(F410="Monthly interest",MAX(0,Assumptions!$B$5-I410),"")</f>
        <v>1</v>
      </c>
      <c r="K410" s="7">
        <f t="shared" si="18"/>
        <v>5276</v>
      </c>
      <c r="L410" s="9">
        <v>46257</v>
      </c>
      <c r="M410" s="5" t="s">
        <v>116</v>
      </c>
      <c r="N410" s="5" t="s">
        <v>117</v>
      </c>
      <c r="O410" s="5" t="s">
        <v>118</v>
      </c>
      <c r="P410" s="5" t="s">
        <v>72</v>
      </c>
      <c r="Q410" s="5" t="s">
        <v>119</v>
      </c>
      <c r="R410" s="5" t="s">
        <v>120</v>
      </c>
      <c r="S410" s="5" t="s">
        <v>85</v>
      </c>
      <c r="T410" s="5" t="s">
        <v>57</v>
      </c>
      <c r="U410" s="5" t="s">
        <v>86</v>
      </c>
      <c r="V410" s="5" t="s">
        <v>87</v>
      </c>
      <c r="W410" s="5" t="s">
        <v>361</v>
      </c>
      <c r="X410" s="5" t="s">
        <v>2031</v>
      </c>
      <c r="Y410" s="5" t="s">
        <v>2032</v>
      </c>
      <c r="Z410" s="9">
        <v>46196</v>
      </c>
      <c r="AA410" s="8">
        <v>12</v>
      </c>
      <c r="AB410" s="9">
        <f t="shared" si="19"/>
        <v>46561</v>
      </c>
      <c r="AC410" s="10">
        <v>24</v>
      </c>
      <c r="AD410" s="7">
        <f t="shared" si="20"/>
        <v>2638</v>
      </c>
      <c r="AE410" s="7">
        <f>IF(F410="Bullet",H410*AD410,MIN(MAX(I410,1),Assumptions!$B$6)*AD410)</f>
        <v>5276</v>
      </c>
      <c r="AF410" s="8">
        <f>IF(F410="Bullet",MAX(0,Assumptions!$B$4-AB410),MAX(0,Assumptions!$B$4-L410))</f>
        <v>41</v>
      </c>
      <c r="AG410" s="9">
        <v>46227</v>
      </c>
      <c r="AH410" s="8">
        <f>IF(AG410="","",Assumptions!$B$4-AG410)</f>
        <v>71</v>
      </c>
      <c r="AI410" s="5" t="s">
        <v>57</v>
      </c>
      <c r="AJ410" s="8">
        <v>2</v>
      </c>
      <c r="AK410" s="8">
        <v>0</v>
      </c>
      <c r="AL410" s="8">
        <v>587</v>
      </c>
      <c r="AM410" s="8">
        <v>1</v>
      </c>
      <c r="AN410" s="5" t="s">
        <v>63</v>
      </c>
      <c r="AO410" s="10">
        <v>60.9</v>
      </c>
      <c r="AP410" s="8">
        <v>56</v>
      </c>
      <c r="AQ410" s="9">
        <v>46293</v>
      </c>
      <c r="AR410" s="5" t="s">
        <v>51</v>
      </c>
      <c r="AS410" s="5" t="s">
        <v>274</v>
      </c>
    </row>
    <row r="411" spans="1:45" x14ac:dyDescent="0.35">
      <c r="A411" s="5" t="s">
        <v>2033</v>
      </c>
      <c r="B411" s="5" t="s">
        <v>2034</v>
      </c>
      <c r="C411" s="6" t="s">
        <v>2035</v>
      </c>
      <c r="D411" s="7">
        <v>291100</v>
      </c>
      <c r="E411" s="5" t="s">
        <v>48</v>
      </c>
      <c r="F411" s="5" t="s">
        <v>49</v>
      </c>
      <c r="G411" s="8"/>
      <c r="H411" s="8" t="str">
        <f>IF(F411="Bullet",MIN(G411,Assumptions!$B$6),"")</f>
        <v/>
      </c>
      <c r="I411" s="8">
        <v>1</v>
      </c>
      <c r="J411" s="8">
        <f>IF(F411="Monthly interest",MAX(0,Assumptions!$B$5-I411),"")</f>
        <v>2</v>
      </c>
      <c r="K411" s="7">
        <f t="shared" si="18"/>
        <v>3639</v>
      </c>
      <c r="L411" s="9">
        <v>46274</v>
      </c>
      <c r="M411" s="5" t="s">
        <v>50</v>
      </c>
      <c r="N411" s="5" t="s">
        <v>51</v>
      </c>
      <c r="O411" s="5" t="s">
        <v>52</v>
      </c>
      <c r="P411" s="5" t="s">
        <v>53</v>
      </c>
      <c r="Q411" s="5" t="s">
        <v>54</v>
      </c>
      <c r="R411" s="5" t="s">
        <v>55</v>
      </c>
      <c r="S411" s="5" t="s">
        <v>75</v>
      </c>
      <c r="T411" s="5" t="s">
        <v>57</v>
      </c>
      <c r="U411" s="5" t="s">
        <v>86</v>
      </c>
      <c r="V411" s="5" t="s">
        <v>76</v>
      </c>
      <c r="W411" s="5" t="s">
        <v>140</v>
      </c>
      <c r="X411" s="5" t="s">
        <v>2036</v>
      </c>
      <c r="Y411" s="5" t="s">
        <v>2037</v>
      </c>
      <c r="Z411" s="9">
        <v>46212</v>
      </c>
      <c r="AA411" s="8">
        <v>12</v>
      </c>
      <c r="AB411" s="9">
        <f t="shared" si="19"/>
        <v>46577</v>
      </c>
      <c r="AC411" s="10">
        <v>15</v>
      </c>
      <c r="AD411" s="7">
        <f t="shared" si="20"/>
        <v>3639</v>
      </c>
      <c r="AE411" s="7">
        <f>IF(F411="Bullet",H411*AD411,MIN(MAX(I411,1),Assumptions!$B$6)*AD411)</f>
        <v>3639</v>
      </c>
      <c r="AF411" s="8">
        <f>IF(F411="Bullet",MAX(0,Assumptions!$B$4-AB411),MAX(0,Assumptions!$B$4-L411))</f>
        <v>24</v>
      </c>
      <c r="AG411" s="9">
        <v>46248</v>
      </c>
      <c r="AH411" s="8">
        <f>IF(AG411="","",Assumptions!$B$4-AG411)</f>
        <v>50</v>
      </c>
      <c r="AI411" s="5" t="s">
        <v>63</v>
      </c>
      <c r="AJ411" s="8">
        <v>2</v>
      </c>
      <c r="AK411" s="8">
        <v>0</v>
      </c>
      <c r="AL411" s="8">
        <v>807</v>
      </c>
      <c r="AM411" s="8">
        <v>4</v>
      </c>
      <c r="AN411" s="5" t="s">
        <v>63</v>
      </c>
      <c r="AO411" s="10">
        <v>63.6</v>
      </c>
      <c r="AP411" s="8">
        <v>15</v>
      </c>
      <c r="AQ411" s="9">
        <v>46278</v>
      </c>
      <c r="AR411" s="5" t="s">
        <v>51</v>
      </c>
      <c r="AS411" s="5" t="s">
        <v>274</v>
      </c>
    </row>
    <row r="412" spans="1:45" x14ac:dyDescent="0.35">
      <c r="A412" s="5" t="s">
        <v>2038</v>
      </c>
      <c r="B412" s="5" t="s">
        <v>1686</v>
      </c>
      <c r="C412" s="6" t="s">
        <v>2039</v>
      </c>
      <c r="D412" s="7">
        <v>56400</v>
      </c>
      <c r="E412" s="5" t="s">
        <v>48</v>
      </c>
      <c r="F412" s="5" t="s">
        <v>49</v>
      </c>
      <c r="G412" s="8"/>
      <c r="H412" s="8" t="str">
        <f>IF(F412="Bullet",MIN(G412,Assumptions!$B$6),"")</f>
        <v/>
      </c>
      <c r="I412" s="8">
        <v>2</v>
      </c>
      <c r="J412" s="8">
        <f>IF(F412="Monthly interest",MAX(0,Assumptions!$B$5-I412),"")</f>
        <v>1</v>
      </c>
      <c r="K412" s="7">
        <f t="shared" si="18"/>
        <v>1692</v>
      </c>
      <c r="L412" s="9">
        <v>46258</v>
      </c>
      <c r="M412" s="5" t="s">
        <v>69</v>
      </c>
      <c r="N412" s="5" t="s">
        <v>53</v>
      </c>
      <c r="O412" s="5" t="s">
        <v>71</v>
      </c>
      <c r="P412" s="5" t="s">
        <v>70</v>
      </c>
      <c r="Q412" s="5" t="s">
        <v>73</v>
      </c>
      <c r="R412" s="5" t="s">
        <v>74</v>
      </c>
      <c r="S412" s="5" t="s">
        <v>214</v>
      </c>
      <c r="T412" s="5" t="s">
        <v>57</v>
      </c>
      <c r="U412" s="5" t="s">
        <v>104</v>
      </c>
      <c r="V412" s="5" t="s">
        <v>215</v>
      </c>
      <c r="W412" s="5" t="s">
        <v>242</v>
      </c>
      <c r="X412" s="5" t="s">
        <v>1361</v>
      </c>
      <c r="Y412" s="5" t="s">
        <v>2040</v>
      </c>
      <c r="Z412" s="9">
        <v>45985</v>
      </c>
      <c r="AA412" s="8">
        <v>24</v>
      </c>
      <c r="AB412" s="9">
        <f t="shared" si="19"/>
        <v>46715</v>
      </c>
      <c r="AC412" s="10">
        <v>18</v>
      </c>
      <c r="AD412" s="7">
        <f t="shared" si="20"/>
        <v>846</v>
      </c>
      <c r="AE412" s="7">
        <f>IF(F412="Bullet",H412*AD412,MIN(MAX(I412,1),Assumptions!$B$6)*AD412)</f>
        <v>1692</v>
      </c>
      <c r="AF412" s="8">
        <f>IF(F412="Bullet",MAX(0,Assumptions!$B$4-AB412),MAX(0,Assumptions!$B$4-L412))</f>
        <v>40</v>
      </c>
      <c r="AG412" s="9">
        <v>46227</v>
      </c>
      <c r="AH412" s="8">
        <f>IF(AG412="","",Assumptions!$B$4-AG412)</f>
        <v>71</v>
      </c>
      <c r="AI412" s="5" t="s">
        <v>63</v>
      </c>
      <c r="AJ412" s="8">
        <v>2</v>
      </c>
      <c r="AK412" s="8">
        <v>0</v>
      </c>
      <c r="AL412" s="8">
        <v>703</v>
      </c>
      <c r="AM412" s="8">
        <v>0</v>
      </c>
      <c r="AN412" s="5" t="s">
        <v>63</v>
      </c>
      <c r="AO412" s="10">
        <v>72.7</v>
      </c>
      <c r="AP412" s="8">
        <v>41</v>
      </c>
      <c r="AQ412" s="9">
        <v>46289</v>
      </c>
      <c r="AR412" s="5" t="s">
        <v>70</v>
      </c>
      <c r="AS412" s="5" t="s">
        <v>81</v>
      </c>
    </row>
    <row r="413" spans="1:45" x14ac:dyDescent="0.35">
      <c r="A413" s="5" t="s">
        <v>2041</v>
      </c>
      <c r="B413" s="5" t="s">
        <v>1018</v>
      </c>
      <c r="C413" s="6" t="s">
        <v>2042</v>
      </c>
      <c r="D413" s="7">
        <v>90700</v>
      </c>
      <c r="E413" s="5" t="s">
        <v>48</v>
      </c>
      <c r="F413" s="5" t="s">
        <v>68</v>
      </c>
      <c r="G413" s="8">
        <v>4</v>
      </c>
      <c r="H413" s="8">
        <f>IF(F413="Bullet",MIN(G413,Assumptions!$B$6),"")</f>
        <v>2</v>
      </c>
      <c r="I413" s="8"/>
      <c r="J413" s="8" t="str">
        <f>IF(F413="Monthly interest",MAX(0,Assumptions!$B$5-I413),"")</f>
        <v/>
      </c>
      <c r="K413" s="7">
        <f t="shared" si="18"/>
        <v>3628</v>
      </c>
      <c r="L413" s="9">
        <v>46165</v>
      </c>
      <c r="M413" s="5" t="s">
        <v>69</v>
      </c>
      <c r="N413" s="5" t="s">
        <v>53</v>
      </c>
      <c r="O413" s="5" t="s">
        <v>71</v>
      </c>
      <c r="P413" s="5" t="s">
        <v>70</v>
      </c>
      <c r="Q413" s="5" t="s">
        <v>73</v>
      </c>
      <c r="R413" s="5" t="s">
        <v>74</v>
      </c>
      <c r="S413" s="5" t="s">
        <v>56</v>
      </c>
      <c r="T413" s="5" t="s">
        <v>57</v>
      </c>
      <c r="U413" s="5" t="s">
        <v>86</v>
      </c>
      <c r="V413" s="5" t="s">
        <v>59</v>
      </c>
      <c r="W413" s="5" t="s">
        <v>323</v>
      </c>
      <c r="X413" s="5" t="s">
        <v>324</v>
      </c>
      <c r="Y413" s="5" t="s">
        <v>2043</v>
      </c>
      <c r="Z413" s="9">
        <v>46165</v>
      </c>
      <c r="AA413" s="8">
        <v>6</v>
      </c>
      <c r="AB413" s="9">
        <f t="shared" si="19"/>
        <v>46349</v>
      </c>
      <c r="AC413" s="10">
        <v>12</v>
      </c>
      <c r="AD413" s="7">
        <f t="shared" si="20"/>
        <v>907</v>
      </c>
      <c r="AE413" s="7">
        <f>IF(F413="Bullet",H413*AD413,MIN(MAX(I413,1),Assumptions!$B$6)*AD413)</f>
        <v>1814</v>
      </c>
      <c r="AF413" s="8">
        <f>IF(F413="Bullet",MAX(0,Assumptions!$B$4-AB413),MAX(0,Assumptions!$B$4-L413))</f>
        <v>0</v>
      </c>
      <c r="AG413" s="9"/>
      <c r="AH413" s="8" t="str">
        <f>IF(AG413="","",Assumptions!$B$4-AG413)</f>
        <v/>
      </c>
      <c r="AI413" s="5" t="s">
        <v>80</v>
      </c>
      <c r="AJ413" s="8"/>
      <c r="AK413" s="8">
        <v>0</v>
      </c>
      <c r="AL413" s="8">
        <v>650</v>
      </c>
      <c r="AM413" s="8">
        <v>1</v>
      </c>
      <c r="AN413" s="5" t="s">
        <v>63</v>
      </c>
      <c r="AO413" s="10">
        <v>75.5</v>
      </c>
      <c r="AP413" s="8">
        <v>34</v>
      </c>
      <c r="AQ413" s="9">
        <v>46290</v>
      </c>
      <c r="AR413" s="5" t="s">
        <v>72</v>
      </c>
      <c r="AS413" s="5" t="s">
        <v>91</v>
      </c>
    </row>
    <row r="414" spans="1:45" x14ac:dyDescent="0.35">
      <c r="A414" s="5" t="s">
        <v>2044</v>
      </c>
      <c r="B414" s="5" t="s">
        <v>2045</v>
      </c>
      <c r="C414" s="6" t="s">
        <v>2046</v>
      </c>
      <c r="D414" s="7">
        <v>489600</v>
      </c>
      <c r="E414" s="5" t="s">
        <v>48</v>
      </c>
      <c r="F414" s="5" t="s">
        <v>49</v>
      </c>
      <c r="G414" s="8"/>
      <c r="H414" s="8" t="str">
        <f>IF(F414="Bullet",MIN(G414,Assumptions!$B$6),"")</f>
        <v/>
      </c>
      <c r="I414" s="8">
        <v>1</v>
      </c>
      <c r="J414" s="8">
        <f>IF(F414="Monthly interest",MAX(0,Assumptions!$B$5-I414),"")</f>
        <v>2</v>
      </c>
      <c r="K414" s="7">
        <f t="shared" si="18"/>
        <v>8160</v>
      </c>
      <c r="L414" s="9">
        <v>46297</v>
      </c>
      <c r="M414" s="5" t="s">
        <v>69</v>
      </c>
      <c r="N414" s="5" t="s">
        <v>51</v>
      </c>
      <c r="O414" s="5" t="s">
        <v>52</v>
      </c>
      <c r="P414" s="5" t="s">
        <v>53</v>
      </c>
      <c r="Q414" s="5" t="s">
        <v>54</v>
      </c>
      <c r="R414" s="5" t="s">
        <v>55</v>
      </c>
      <c r="S414" s="5" t="s">
        <v>85</v>
      </c>
      <c r="T414" s="5" t="s">
        <v>57</v>
      </c>
      <c r="U414" s="5" t="s">
        <v>86</v>
      </c>
      <c r="V414" s="5" t="s">
        <v>133</v>
      </c>
      <c r="W414" s="5" t="s">
        <v>594</v>
      </c>
      <c r="X414" s="5" t="s">
        <v>2047</v>
      </c>
      <c r="Y414" s="5" t="s">
        <v>2048</v>
      </c>
      <c r="Z414" s="9">
        <v>46083</v>
      </c>
      <c r="AA414" s="8">
        <v>12</v>
      </c>
      <c r="AB414" s="9">
        <f t="shared" si="19"/>
        <v>46448</v>
      </c>
      <c r="AC414" s="10">
        <v>20</v>
      </c>
      <c r="AD414" s="7">
        <f t="shared" si="20"/>
        <v>8160</v>
      </c>
      <c r="AE414" s="7">
        <f>IF(F414="Bullet",H414*AD414,MIN(MAX(I414,1),Assumptions!$B$6)*AD414)</f>
        <v>8160</v>
      </c>
      <c r="AF414" s="8">
        <f>IF(F414="Bullet",MAX(0,Assumptions!$B$4-AB414),MAX(0,Assumptions!$B$4-L414))</f>
        <v>1</v>
      </c>
      <c r="AG414" s="9">
        <v>46270</v>
      </c>
      <c r="AH414" s="8">
        <f>IF(AG414="","",Assumptions!$B$4-AG414)</f>
        <v>28</v>
      </c>
      <c r="AI414" s="5" t="s">
        <v>57</v>
      </c>
      <c r="AJ414" s="8">
        <v>1</v>
      </c>
      <c r="AK414" s="8">
        <v>0</v>
      </c>
      <c r="AL414" s="8">
        <v>621</v>
      </c>
      <c r="AM414" s="8">
        <v>2</v>
      </c>
      <c r="AN414" s="5" t="s">
        <v>63</v>
      </c>
      <c r="AO414" s="10">
        <v>61.4</v>
      </c>
      <c r="AP414" s="8">
        <v>43</v>
      </c>
      <c r="AQ414" s="9">
        <v>46276</v>
      </c>
      <c r="AR414" s="5" t="s">
        <v>53</v>
      </c>
      <c r="AS414" s="5" t="s">
        <v>64</v>
      </c>
    </row>
    <row r="415" spans="1:45" x14ac:dyDescent="0.35">
      <c r="A415" s="5" t="s">
        <v>2049</v>
      </c>
      <c r="B415" s="5" t="s">
        <v>2050</v>
      </c>
      <c r="C415" s="6" t="s">
        <v>2051</v>
      </c>
      <c r="D415" s="7">
        <v>78500</v>
      </c>
      <c r="E415" s="5" t="s">
        <v>48</v>
      </c>
      <c r="F415" s="5" t="s">
        <v>49</v>
      </c>
      <c r="G415" s="8"/>
      <c r="H415" s="8" t="str">
        <f>IF(F415="Bullet",MIN(G415,Assumptions!$B$6),"")</f>
        <v/>
      </c>
      <c r="I415" s="8">
        <v>1</v>
      </c>
      <c r="J415" s="8">
        <f>IF(F415="Monthly interest",MAX(0,Assumptions!$B$5-I415),"")</f>
        <v>2</v>
      </c>
      <c r="K415" s="7">
        <f t="shared" si="18"/>
        <v>981</v>
      </c>
      <c r="L415" s="9">
        <v>46278</v>
      </c>
      <c r="M415" s="5" t="s">
        <v>50</v>
      </c>
      <c r="N415" s="5" t="s">
        <v>51</v>
      </c>
      <c r="O415" s="5" t="s">
        <v>52</v>
      </c>
      <c r="P415" s="5" t="s">
        <v>53</v>
      </c>
      <c r="Q415" s="5" t="s">
        <v>54</v>
      </c>
      <c r="R415" s="5" t="s">
        <v>55</v>
      </c>
      <c r="S415" s="5" t="s">
        <v>253</v>
      </c>
      <c r="T415" s="5" t="s">
        <v>57</v>
      </c>
      <c r="U415" s="5" t="s">
        <v>58</v>
      </c>
      <c r="V415" s="5" t="s">
        <v>59</v>
      </c>
      <c r="W415" s="5" t="s">
        <v>418</v>
      </c>
      <c r="X415" s="5" t="s">
        <v>2052</v>
      </c>
      <c r="Y415" s="5" t="s">
        <v>2053</v>
      </c>
      <c r="Z415" s="9">
        <v>46004</v>
      </c>
      <c r="AA415" s="8">
        <v>24</v>
      </c>
      <c r="AB415" s="9">
        <f t="shared" si="19"/>
        <v>46734</v>
      </c>
      <c r="AC415" s="10">
        <v>15</v>
      </c>
      <c r="AD415" s="7">
        <f t="shared" si="20"/>
        <v>981</v>
      </c>
      <c r="AE415" s="7">
        <f>IF(F415="Bullet",H415*AD415,MIN(MAX(I415,1),Assumptions!$B$6)*AD415)</f>
        <v>981</v>
      </c>
      <c r="AF415" s="8">
        <f>IF(F415="Bullet",MAX(0,Assumptions!$B$4-AB415),MAX(0,Assumptions!$B$4-L415))</f>
        <v>20</v>
      </c>
      <c r="AG415" s="9">
        <v>46250</v>
      </c>
      <c r="AH415" s="8">
        <f>IF(AG415="","",Assumptions!$B$4-AG415)</f>
        <v>48</v>
      </c>
      <c r="AI415" s="5" t="s">
        <v>57</v>
      </c>
      <c r="AJ415" s="8">
        <v>1</v>
      </c>
      <c r="AK415" s="8">
        <v>0</v>
      </c>
      <c r="AL415" s="8">
        <v>738</v>
      </c>
      <c r="AM415" s="8">
        <v>0</v>
      </c>
      <c r="AN415" s="5" t="s">
        <v>63</v>
      </c>
      <c r="AO415" s="10">
        <v>63.4</v>
      </c>
      <c r="AP415" s="8">
        <v>15</v>
      </c>
      <c r="AQ415" s="9">
        <v>46292</v>
      </c>
      <c r="AR415" s="5" t="s">
        <v>53</v>
      </c>
      <c r="AS415" s="5" t="s">
        <v>274</v>
      </c>
    </row>
    <row r="416" spans="1:45" x14ac:dyDescent="0.35">
      <c r="A416" s="5" t="s">
        <v>2054</v>
      </c>
      <c r="B416" s="5" t="s">
        <v>2055</v>
      </c>
      <c r="C416" s="6" t="s">
        <v>2056</v>
      </c>
      <c r="D416" s="7">
        <v>138100</v>
      </c>
      <c r="E416" s="5" t="s">
        <v>48</v>
      </c>
      <c r="F416" s="5" t="s">
        <v>49</v>
      </c>
      <c r="G416" s="8"/>
      <c r="H416" s="8" t="str">
        <f>IF(F416="Bullet",MIN(G416,Assumptions!$B$6),"")</f>
        <v/>
      </c>
      <c r="I416" s="8">
        <v>2</v>
      </c>
      <c r="J416" s="8">
        <f>IF(F416="Monthly interest",MAX(0,Assumptions!$B$5-I416),"")</f>
        <v>1</v>
      </c>
      <c r="K416" s="7">
        <f t="shared" si="18"/>
        <v>4604</v>
      </c>
      <c r="L416" s="9">
        <v>46242</v>
      </c>
      <c r="M416" s="5" t="s">
        <v>50</v>
      </c>
      <c r="N416" s="5" t="s">
        <v>51</v>
      </c>
      <c r="O416" s="5" t="s">
        <v>71</v>
      </c>
      <c r="P416" s="5" t="s">
        <v>53</v>
      </c>
      <c r="Q416" s="5" t="s">
        <v>73</v>
      </c>
      <c r="R416" s="5" t="s">
        <v>74</v>
      </c>
      <c r="S416" s="5" t="s">
        <v>185</v>
      </c>
      <c r="T416" s="5" t="s">
        <v>57</v>
      </c>
      <c r="U416" s="5" t="s">
        <v>86</v>
      </c>
      <c r="V416" s="5" t="s">
        <v>186</v>
      </c>
      <c r="W416" s="5" t="s">
        <v>694</v>
      </c>
      <c r="X416" s="5" t="s">
        <v>2057</v>
      </c>
      <c r="Y416" s="5" t="s">
        <v>2058</v>
      </c>
      <c r="Z416" s="9">
        <v>46181</v>
      </c>
      <c r="AA416" s="8">
        <v>12</v>
      </c>
      <c r="AB416" s="9">
        <f t="shared" si="19"/>
        <v>46546</v>
      </c>
      <c r="AC416" s="10">
        <v>20</v>
      </c>
      <c r="AD416" s="7">
        <f t="shared" si="20"/>
        <v>2302</v>
      </c>
      <c r="AE416" s="7">
        <f>IF(F416="Bullet",H416*AD416,MIN(MAX(I416,1),Assumptions!$B$6)*AD416)</f>
        <v>4604</v>
      </c>
      <c r="AF416" s="8">
        <f>IF(F416="Bullet",MAX(0,Assumptions!$B$4-AB416),MAX(0,Assumptions!$B$4-L416))</f>
        <v>56</v>
      </c>
      <c r="AG416" s="9">
        <v>46216</v>
      </c>
      <c r="AH416" s="8">
        <f>IF(AG416="","",Assumptions!$B$4-AG416)</f>
        <v>82</v>
      </c>
      <c r="AI416" s="5" t="s">
        <v>57</v>
      </c>
      <c r="AJ416" s="8">
        <v>2</v>
      </c>
      <c r="AK416" s="8">
        <v>0</v>
      </c>
      <c r="AL416" s="8">
        <v>800</v>
      </c>
      <c r="AM416" s="8">
        <v>0</v>
      </c>
      <c r="AN416" s="5" t="s">
        <v>63</v>
      </c>
      <c r="AO416" s="10">
        <v>61.7</v>
      </c>
      <c r="AP416" s="8">
        <v>28</v>
      </c>
      <c r="AQ416" s="9">
        <v>46287</v>
      </c>
      <c r="AR416" s="5" t="s">
        <v>53</v>
      </c>
      <c r="AS416" s="5" t="s">
        <v>81</v>
      </c>
    </row>
    <row r="417" spans="1:45" x14ac:dyDescent="0.35">
      <c r="A417" s="5" t="s">
        <v>2059</v>
      </c>
      <c r="B417" s="5" t="s">
        <v>2060</v>
      </c>
      <c r="C417" s="6" t="s">
        <v>2061</v>
      </c>
      <c r="D417" s="7">
        <v>70600</v>
      </c>
      <c r="E417" s="5" t="s">
        <v>48</v>
      </c>
      <c r="F417" s="5" t="s">
        <v>68</v>
      </c>
      <c r="G417" s="8">
        <v>4</v>
      </c>
      <c r="H417" s="8">
        <f>IF(F417="Bullet",MIN(G417,Assumptions!$B$6),"")</f>
        <v>2</v>
      </c>
      <c r="I417" s="8"/>
      <c r="J417" s="8" t="str">
        <f>IF(F417="Monthly interest",MAX(0,Assumptions!$B$5-I417),"")</f>
        <v/>
      </c>
      <c r="K417" s="7">
        <f t="shared" si="18"/>
        <v>3296</v>
      </c>
      <c r="L417" s="9">
        <v>46159</v>
      </c>
      <c r="M417" s="5" t="s">
        <v>69</v>
      </c>
      <c r="N417" s="5" t="s">
        <v>53</v>
      </c>
      <c r="O417" s="5" t="s">
        <v>71</v>
      </c>
      <c r="P417" s="5" t="s">
        <v>70</v>
      </c>
      <c r="Q417" s="5" t="s">
        <v>73</v>
      </c>
      <c r="R417" s="5" t="s">
        <v>74</v>
      </c>
      <c r="S417" s="5" t="s">
        <v>185</v>
      </c>
      <c r="T417" s="5" t="s">
        <v>57</v>
      </c>
      <c r="U417" s="5" t="s">
        <v>58</v>
      </c>
      <c r="V417" s="5" t="s">
        <v>200</v>
      </c>
      <c r="W417" s="5" t="s">
        <v>500</v>
      </c>
      <c r="X417" s="5" t="s">
        <v>965</v>
      </c>
      <c r="Y417" s="5" t="s">
        <v>2062</v>
      </c>
      <c r="Z417" s="9">
        <v>46159</v>
      </c>
      <c r="AA417" s="8">
        <v>6</v>
      </c>
      <c r="AB417" s="9">
        <f t="shared" si="19"/>
        <v>46343</v>
      </c>
      <c r="AC417" s="10">
        <v>14</v>
      </c>
      <c r="AD417" s="7">
        <f t="shared" si="20"/>
        <v>824</v>
      </c>
      <c r="AE417" s="7">
        <f>IF(F417="Bullet",H417*AD417,MIN(MAX(I417,1),Assumptions!$B$6)*AD417)</f>
        <v>1648</v>
      </c>
      <c r="AF417" s="8">
        <f>IF(F417="Bullet",MAX(0,Assumptions!$B$4-AB417),MAX(0,Assumptions!$B$4-L417))</f>
        <v>0</v>
      </c>
      <c r="AG417" s="9"/>
      <c r="AH417" s="8" t="str">
        <f>IF(AG417="","",Assumptions!$B$4-AG417)</f>
        <v/>
      </c>
      <c r="AI417" s="5" t="s">
        <v>80</v>
      </c>
      <c r="AJ417" s="8"/>
      <c r="AK417" s="8">
        <v>1</v>
      </c>
      <c r="AL417" s="8">
        <v>645</v>
      </c>
      <c r="AM417" s="8">
        <v>1</v>
      </c>
      <c r="AN417" s="5" t="s">
        <v>63</v>
      </c>
      <c r="AO417" s="10">
        <v>77.900000000000006</v>
      </c>
      <c r="AP417" s="8">
        <v>46</v>
      </c>
      <c r="AQ417" s="9"/>
      <c r="AR417" s="5"/>
      <c r="AS417" s="5" t="s">
        <v>159</v>
      </c>
    </row>
    <row r="418" spans="1:45" x14ac:dyDescent="0.35">
      <c r="A418" s="5" t="s">
        <v>2063</v>
      </c>
      <c r="B418" s="5" t="s">
        <v>2064</v>
      </c>
      <c r="C418" s="6" t="s">
        <v>2065</v>
      </c>
      <c r="D418" s="7">
        <v>261300</v>
      </c>
      <c r="E418" s="5" t="s">
        <v>48</v>
      </c>
      <c r="F418" s="5" t="s">
        <v>49</v>
      </c>
      <c r="G418" s="8"/>
      <c r="H418" s="8" t="str">
        <f>IF(F418="Bullet",MIN(G418,Assumptions!$B$6),"")</f>
        <v/>
      </c>
      <c r="I418" s="8">
        <v>2</v>
      </c>
      <c r="J418" s="8">
        <f>IF(F418="Monthly interest",MAX(0,Assumptions!$B$5-I418),"")</f>
        <v>1</v>
      </c>
      <c r="K418" s="7">
        <f t="shared" si="18"/>
        <v>8710</v>
      </c>
      <c r="L418" s="9">
        <v>46257</v>
      </c>
      <c r="M418" s="5" t="s">
        <v>69</v>
      </c>
      <c r="N418" s="5" t="s">
        <v>70</v>
      </c>
      <c r="O418" s="5" t="s">
        <v>71</v>
      </c>
      <c r="P418" s="5" t="s">
        <v>72</v>
      </c>
      <c r="Q418" s="5" t="s">
        <v>73</v>
      </c>
      <c r="R418" s="5" t="s">
        <v>74</v>
      </c>
      <c r="S418" s="5" t="s">
        <v>75</v>
      </c>
      <c r="T418" s="5" t="s">
        <v>57</v>
      </c>
      <c r="U418" s="5" t="s">
        <v>86</v>
      </c>
      <c r="V418" s="5" t="s">
        <v>76</v>
      </c>
      <c r="W418" s="5" t="s">
        <v>77</v>
      </c>
      <c r="X418" s="5" t="s">
        <v>1879</v>
      </c>
      <c r="Y418" s="5" t="s">
        <v>2066</v>
      </c>
      <c r="Z418" s="9">
        <v>46014</v>
      </c>
      <c r="AA418" s="8">
        <v>12</v>
      </c>
      <c r="AB418" s="9">
        <f t="shared" si="19"/>
        <v>46379</v>
      </c>
      <c r="AC418" s="10">
        <v>20</v>
      </c>
      <c r="AD418" s="7">
        <f t="shared" si="20"/>
        <v>4355</v>
      </c>
      <c r="AE418" s="7">
        <f>IF(F418="Bullet",H418*AD418,MIN(MAX(I418,1),Assumptions!$B$6)*AD418)</f>
        <v>8710</v>
      </c>
      <c r="AF418" s="8">
        <f>IF(F418="Bullet",MAX(0,Assumptions!$B$4-AB418),MAX(0,Assumptions!$B$4-L418))</f>
        <v>41</v>
      </c>
      <c r="AG418" s="9">
        <v>46226</v>
      </c>
      <c r="AH418" s="8">
        <f>IF(AG418="","",Assumptions!$B$4-AG418)</f>
        <v>72</v>
      </c>
      <c r="AI418" s="5" t="s">
        <v>63</v>
      </c>
      <c r="AJ418" s="8">
        <v>3</v>
      </c>
      <c r="AK418" s="8">
        <v>0</v>
      </c>
      <c r="AL418" s="8">
        <v>698</v>
      </c>
      <c r="AM418" s="8">
        <v>0</v>
      </c>
      <c r="AN418" s="5" t="s">
        <v>63</v>
      </c>
      <c r="AO418" s="10">
        <v>71.099999999999994</v>
      </c>
      <c r="AP418" s="8">
        <v>39</v>
      </c>
      <c r="AQ418" s="9">
        <v>46295</v>
      </c>
      <c r="AR418" s="5" t="s">
        <v>53</v>
      </c>
      <c r="AS418" s="5" t="s">
        <v>64</v>
      </c>
    </row>
    <row r="419" spans="1:45" x14ac:dyDescent="0.35">
      <c r="A419" s="5" t="s">
        <v>2067</v>
      </c>
      <c r="B419" s="5" t="s">
        <v>406</v>
      </c>
      <c r="C419" s="6" t="s">
        <v>2068</v>
      </c>
      <c r="D419" s="7">
        <v>191700</v>
      </c>
      <c r="E419" s="5" t="s">
        <v>48</v>
      </c>
      <c r="F419" s="5" t="s">
        <v>68</v>
      </c>
      <c r="G419" s="8">
        <v>3</v>
      </c>
      <c r="H419" s="8">
        <f>IF(F419="Bullet",MIN(G419,Assumptions!$B$6),"")</f>
        <v>2</v>
      </c>
      <c r="I419" s="8"/>
      <c r="J419" s="8" t="str">
        <f>IF(F419="Monthly interest",MAX(0,Assumptions!$B$5-I419),"")</f>
        <v/>
      </c>
      <c r="K419" s="7">
        <f t="shared" si="18"/>
        <v>8628</v>
      </c>
      <c r="L419" s="9">
        <v>46195</v>
      </c>
      <c r="M419" s="5" t="s">
        <v>50</v>
      </c>
      <c r="N419" s="5" t="s">
        <v>53</v>
      </c>
      <c r="O419" s="5" t="s">
        <v>71</v>
      </c>
      <c r="P419" s="5" t="s">
        <v>51</v>
      </c>
      <c r="Q419" s="5" t="s">
        <v>73</v>
      </c>
      <c r="R419" s="5" t="s">
        <v>74</v>
      </c>
      <c r="S419" s="5" t="s">
        <v>56</v>
      </c>
      <c r="T419" s="5" t="s">
        <v>57</v>
      </c>
      <c r="U419" s="5" t="s">
        <v>86</v>
      </c>
      <c r="V419" s="5" t="s">
        <v>59</v>
      </c>
      <c r="W419" s="5" t="s">
        <v>323</v>
      </c>
      <c r="X419" s="5" t="s">
        <v>1309</v>
      </c>
      <c r="Y419" s="5" t="s">
        <v>2069</v>
      </c>
      <c r="Z419" s="9">
        <v>46195</v>
      </c>
      <c r="AA419" s="8">
        <v>6</v>
      </c>
      <c r="AB419" s="9">
        <f t="shared" si="19"/>
        <v>46378</v>
      </c>
      <c r="AC419" s="10">
        <v>18</v>
      </c>
      <c r="AD419" s="7">
        <f t="shared" si="20"/>
        <v>2876</v>
      </c>
      <c r="AE419" s="7">
        <f>IF(F419="Bullet",H419*AD419,MIN(MAX(I419,1),Assumptions!$B$6)*AD419)</f>
        <v>5752</v>
      </c>
      <c r="AF419" s="8">
        <f>IF(F419="Bullet",MAX(0,Assumptions!$B$4-AB419),MAX(0,Assumptions!$B$4-L419))</f>
        <v>0</v>
      </c>
      <c r="AG419" s="9"/>
      <c r="AH419" s="8" t="str">
        <f>IF(AG419="","",Assumptions!$B$4-AG419)</f>
        <v/>
      </c>
      <c r="AI419" s="5" t="s">
        <v>80</v>
      </c>
      <c r="AJ419" s="8"/>
      <c r="AK419" s="8">
        <v>1</v>
      </c>
      <c r="AL419" s="8">
        <v>701</v>
      </c>
      <c r="AM419" s="8">
        <v>0</v>
      </c>
      <c r="AN419" s="5" t="s">
        <v>63</v>
      </c>
      <c r="AO419" s="10">
        <v>78.3</v>
      </c>
      <c r="AP419" s="8">
        <v>26</v>
      </c>
      <c r="AQ419" s="9">
        <v>46287</v>
      </c>
      <c r="AR419" s="5" t="s">
        <v>70</v>
      </c>
      <c r="AS419" s="5" t="s">
        <v>181</v>
      </c>
    </row>
    <row r="420" spans="1:45" x14ac:dyDescent="0.35">
      <c r="A420" s="5" t="s">
        <v>2070</v>
      </c>
      <c r="B420" s="5" t="s">
        <v>380</v>
      </c>
      <c r="C420" s="6" t="s">
        <v>2071</v>
      </c>
      <c r="D420" s="7">
        <v>51400</v>
      </c>
      <c r="E420" s="5" t="s">
        <v>48</v>
      </c>
      <c r="F420" s="5" t="s">
        <v>49</v>
      </c>
      <c r="G420" s="8"/>
      <c r="H420" s="8" t="str">
        <f>IF(F420="Bullet",MIN(G420,Assumptions!$B$6),"")</f>
        <v/>
      </c>
      <c r="I420" s="8">
        <v>2</v>
      </c>
      <c r="J420" s="8">
        <f>IF(F420="Monthly interest",MAX(0,Assumptions!$B$5-I420),"")</f>
        <v>1</v>
      </c>
      <c r="K420" s="7">
        <f t="shared" si="18"/>
        <v>1884</v>
      </c>
      <c r="L420" s="9">
        <v>46255</v>
      </c>
      <c r="M420" s="5" t="s">
        <v>116</v>
      </c>
      <c r="N420" s="5" t="s">
        <v>117</v>
      </c>
      <c r="O420" s="5" t="s">
        <v>118</v>
      </c>
      <c r="P420" s="5" t="s">
        <v>72</v>
      </c>
      <c r="Q420" s="5" t="s">
        <v>119</v>
      </c>
      <c r="R420" s="5" t="s">
        <v>120</v>
      </c>
      <c r="S420" s="5" t="s">
        <v>253</v>
      </c>
      <c r="T420" s="5" t="s">
        <v>57</v>
      </c>
      <c r="U420" s="5" t="s">
        <v>86</v>
      </c>
      <c r="V420" s="5" t="s">
        <v>76</v>
      </c>
      <c r="W420" s="5" t="s">
        <v>105</v>
      </c>
      <c r="X420" s="5" t="s">
        <v>1588</v>
      </c>
      <c r="Y420" s="5" t="s">
        <v>2072</v>
      </c>
      <c r="Z420" s="9">
        <v>46043</v>
      </c>
      <c r="AA420" s="8">
        <v>24</v>
      </c>
      <c r="AB420" s="9">
        <f t="shared" si="19"/>
        <v>46773</v>
      </c>
      <c r="AC420" s="10">
        <v>22</v>
      </c>
      <c r="AD420" s="7">
        <f t="shared" si="20"/>
        <v>942</v>
      </c>
      <c r="AE420" s="7">
        <f>IF(F420="Bullet",H420*AD420,MIN(MAX(I420,1),Assumptions!$B$6)*AD420)</f>
        <v>1884</v>
      </c>
      <c r="AF420" s="8">
        <f>IF(F420="Bullet",MAX(0,Assumptions!$B$4-AB420),MAX(0,Assumptions!$B$4-L420))</f>
        <v>43</v>
      </c>
      <c r="AG420" s="9">
        <v>46227</v>
      </c>
      <c r="AH420" s="8">
        <f>IF(AG420="","",Assumptions!$B$4-AG420)</f>
        <v>71</v>
      </c>
      <c r="AI420" s="5" t="s">
        <v>57</v>
      </c>
      <c r="AJ420" s="8">
        <v>3</v>
      </c>
      <c r="AK420" s="8">
        <v>0</v>
      </c>
      <c r="AL420" s="8">
        <v>699</v>
      </c>
      <c r="AM420" s="8">
        <v>1</v>
      </c>
      <c r="AN420" s="5" t="s">
        <v>63</v>
      </c>
      <c r="AO420" s="10">
        <v>71.400000000000006</v>
      </c>
      <c r="AP420" s="8">
        <v>49</v>
      </c>
      <c r="AQ420" s="9">
        <v>46278</v>
      </c>
      <c r="AR420" s="5" t="s">
        <v>70</v>
      </c>
      <c r="AS420" s="5" t="s">
        <v>91</v>
      </c>
    </row>
    <row r="421" spans="1:45" x14ac:dyDescent="0.35">
      <c r="A421" s="5" t="s">
        <v>2073</v>
      </c>
      <c r="B421" s="5" t="s">
        <v>2074</v>
      </c>
      <c r="C421" s="6" t="s">
        <v>2075</v>
      </c>
      <c r="D421" s="7">
        <v>126100</v>
      </c>
      <c r="E421" s="5" t="s">
        <v>48</v>
      </c>
      <c r="F421" s="5" t="s">
        <v>49</v>
      </c>
      <c r="G421" s="8"/>
      <c r="H421" s="8" t="str">
        <f>IF(F421="Bullet",MIN(G421,Assumptions!$B$6),"")</f>
        <v/>
      </c>
      <c r="I421" s="8">
        <v>2</v>
      </c>
      <c r="J421" s="8">
        <f>IF(F421="Monthly interest",MAX(0,Assumptions!$B$5-I421),"")</f>
        <v>1</v>
      </c>
      <c r="K421" s="7">
        <f t="shared" si="18"/>
        <v>4204</v>
      </c>
      <c r="L421" s="9">
        <v>46252</v>
      </c>
      <c r="M421" s="5" t="s">
        <v>69</v>
      </c>
      <c r="N421" s="5" t="s">
        <v>70</v>
      </c>
      <c r="O421" s="5" t="s">
        <v>531</v>
      </c>
      <c r="P421" s="5" t="s">
        <v>72</v>
      </c>
      <c r="Q421" s="5" t="s">
        <v>73</v>
      </c>
      <c r="R421" s="5" t="s">
        <v>74</v>
      </c>
      <c r="S421" s="5" t="s">
        <v>85</v>
      </c>
      <c r="T421" s="5" t="s">
        <v>57</v>
      </c>
      <c r="U421" s="5" t="s">
        <v>58</v>
      </c>
      <c r="V421" s="5" t="s">
        <v>96</v>
      </c>
      <c r="W421" s="5" t="s">
        <v>819</v>
      </c>
      <c r="X421" s="5" t="s">
        <v>2076</v>
      </c>
      <c r="Y421" s="5" t="s">
        <v>2077</v>
      </c>
      <c r="Z421" s="9">
        <v>46071</v>
      </c>
      <c r="AA421" s="8">
        <v>12</v>
      </c>
      <c r="AB421" s="9">
        <f t="shared" si="19"/>
        <v>46436</v>
      </c>
      <c r="AC421" s="10">
        <v>20</v>
      </c>
      <c r="AD421" s="7">
        <f t="shared" si="20"/>
        <v>2102</v>
      </c>
      <c r="AE421" s="7">
        <f>IF(F421="Bullet",H421*AD421,MIN(MAX(I421,1),Assumptions!$B$6)*AD421)</f>
        <v>4204</v>
      </c>
      <c r="AF421" s="8">
        <f>IF(F421="Bullet",MAX(0,Assumptions!$B$4-AB421),MAX(0,Assumptions!$B$4-L421))</f>
        <v>46</v>
      </c>
      <c r="AG421" s="9">
        <v>46225</v>
      </c>
      <c r="AH421" s="8">
        <f>IF(AG421="","",Assumptions!$B$4-AG421)</f>
        <v>73</v>
      </c>
      <c r="AI421" s="5" t="s">
        <v>63</v>
      </c>
      <c r="AJ421" s="8">
        <v>2</v>
      </c>
      <c r="AK421" s="8">
        <v>0</v>
      </c>
      <c r="AL421" s="8">
        <v>751</v>
      </c>
      <c r="AM421" s="8">
        <v>3</v>
      </c>
      <c r="AN421" s="5" t="s">
        <v>63</v>
      </c>
      <c r="AO421" s="10">
        <v>68.7</v>
      </c>
      <c r="AP421" s="8">
        <v>40</v>
      </c>
      <c r="AQ421" s="9">
        <v>46289</v>
      </c>
      <c r="AR421" s="5" t="s">
        <v>53</v>
      </c>
      <c r="AS421" s="5" t="s">
        <v>81</v>
      </c>
    </row>
    <row r="422" spans="1:45" x14ac:dyDescent="0.35">
      <c r="A422" s="5" t="s">
        <v>2078</v>
      </c>
      <c r="B422" s="5" t="s">
        <v>2079</v>
      </c>
      <c r="C422" s="6" t="s">
        <v>2080</v>
      </c>
      <c r="D422" s="7">
        <v>61900</v>
      </c>
      <c r="E422" s="5" t="s">
        <v>48</v>
      </c>
      <c r="F422" s="5" t="s">
        <v>49</v>
      </c>
      <c r="G422" s="8"/>
      <c r="H422" s="8" t="str">
        <f>IF(F422="Bullet",MIN(G422,Assumptions!$B$6),"")</f>
        <v/>
      </c>
      <c r="I422" s="8">
        <v>2</v>
      </c>
      <c r="J422" s="8">
        <f>IF(F422="Monthly interest",MAX(0,Assumptions!$B$5-I422),"")</f>
        <v>1</v>
      </c>
      <c r="K422" s="7">
        <f t="shared" si="18"/>
        <v>2476</v>
      </c>
      <c r="L422" s="9">
        <v>46244</v>
      </c>
      <c r="M422" s="5" t="s">
        <v>69</v>
      </c>
      <c r="N422" s="5" t="s">
        <v>53</v>
      </c>
      <c r="O422" s="5" t="s">
        <v>71</v>
      </c>
      <c r="P422" s="5" t="s">
        <v>70</v>
      </c>
      <c r="Q422" s="5" t="s">
        <v>73</v>
      </c>
      <c r="R422" s="5" t="s">
        <v>74</v>
      </c>
      <c r="S422" s="5" t="s">
        <v>75</v>
      </c>
      <c r="T422" s="5" t="s">
        <v>57</v>
      </c>
      <c r="U422" s="5" t="s">
        <v>86</v>
      </c>
      <c r="V422" s="5" t="s">
        <v>76</v>
      </c>
      <c r="W422" s="5" t="s">
        <v>547</v>
      </c>
      <c r="X422" s="5" t="s">
        <v>548</v>
      </c>
      <c r="Y422" s="5" t="s">
        <v>2081</v>
      </c>
      <c r="Z422" s="9">
        <v>46122</v>
      </c>
      <c r="AA422" s="8">
        <v>12</v>
      </c>
      <c r="AB422" s="9">
        <f t="shared" si="19"/>
        <v>46487</v>
      </c>
      <c r="AC422" s="10">
        <v>24</v>
      </c>
      <c r="AD422" s="7">
        <f t="shared" si="20"/>
        <v>1238</v>
      </c>
      <c r="AE422" s="7">
        <f>IF(F422="Bullet",H422*AD422,MIN(MAX(I422,1),Assumptions!$B$6)*AD422)</f>
        <v>2476</v>
      </c>
      <c r="AF422" s="8">
        <f>IF(F422="Bullet",MAX(0,Assumptions!$B$4-AB422),MAX(0,Assumptions!$B$4-L422))</f>
        <v>54</v>
      </c>
      <c r="AG422" s="9">
        <v>46218</v>
      </c>
      <c r="AH422" s="8">
        <f>IF(AG422="","",Assumptions!$B$4-AG422)</f>
        <v>80</v>
      </c>
      <c r="AI422" s="5" t="s">
        <v>63</v>
      </c>
      <c r="AJ422" s="8">
        <v>2</v>
      </c>
      <c r="AK422" s="8">
        <v>0</v>
      </c>
      <c r="AL422" s="8">
        <v>725</v>
      </c>
      <c r="AM422" s="8">
        <v>1</v>
      </c>
      <c r="AN422" s="5" t="s">
        <v>63</v>
      </c>
      <c r="AO422" s="10">
        <v>86.1</v>
      </c>
      <c r="AP422" s="8">
        <v>44</v>
      </c>
      <c r="AQ422" s="9">
        <v>46294</v>
      </c>
      <c r="AR422" s="5" t="s">
        <v>70</v>
      </c>
      <c r="AS422" s="5" t="s">
        <v>81</v>
      </c>
    </row>
    <row r="423" spans="1:45" x14ac:dyDescent="0.35">
      <c r="A423" s="5" t="s">
        <v>2082</v>
      </c>
      <c r="B423" s="5" t="s">
        <v>2083</v>
      </c>
      <c r="C423" s="6" t="s">
        <v>2084</v>
      </c>
      <c r="D423" s="7">
        <v>19900</v>
      </c>
      <c r="E423" s="5" t="s">
        <v>48</v>
      </c>
      <c r="F423" s="5" t="s">
        <v>49</v>
      </c>
      <c r="G423" s="8"/>
      <c r="H423" s="8" t="str">
        <f>IF(F423="Bullet",MIN(G423,Assumptions!$B$6),"")</f>
        <v/>
      </c>
      <c r="I423" s="8">
        <v>2</v>
      </c>
      <c r="J423" s="8">
        <f>IF(F423="Monthly interest",MAX(0,Assumptions!$B$5-I423),"")</f>
        <v>1</v>
      </c>
      <c r="K423" s="7">
        <f t="shared" si="18"/>
        <v>664</v>
      </c>
      <c r="L423" s="9">
        <v>46254</v>
      </c>
      <c r="M423" s="5" t="s">
        <v>116</v>
      </c>
      <c r="N423" s="5" t="s">
        <v>117</v>
      </c>
      <c r="O423" s="5" t="s">
        <v>450</v>
      </c>
      <c r="P423" s="5" t="s">
        <v>72</v>
      </c>
      <c r="Q423" s="5" t="s">
        <v>154</v>
      </c>
      <c r="R423" s="5" t="s">
        <v>155</v>
      </c>
      <c r="S423" s="5" t="s">
        <v>214</v>
      </c>
      <c r="T423" s="5" t="s">
        <v>63</v>
      </c>
      <c r="U423" s="5" t="s">
        <v>58</v>
      </c>
      <c r="V423" s="5" t="s">
        <v>215</v>
      </c>
      <c r="W423" s="5" t="s">
        <v>1057</v>
      </c>
      <c r="X423" s="5" t="s">
        <v>1292</v>
      </c>
      <c r="Y423" s="5" t="s">
        <v>2085</v>
      </c>
      <c r="Z423" s="9">
        <v>45981</v>
      </c>
      <c r="AA423" s="8">
        <v>18</v>
      </c>
      <c r="AB423" s="9">
        <f t="shared" si="19"/>
        <v>46527</v>
      </c>
      <c r="AC423" s="10">
        <v>20</v>
      </c>
      <c r="AD423" s="7">
        <f t="shared" si="20"/>
        <v>332</v>
      </c>
      <c r="AE423" s="7">
        <f>IF(F423="Bullet",H423*AD423,MIN(MAX(I423,1),Assumptions!$B$6)*AD423)</f>
        <v>664</v>
      </c>
      <c r="AF423" s="8">
        <f>IF(F423="Bullet",MAX(0,Assumptions!$B$4-AB423),MAX(0,Assumptions!$B$4-L423))</f>
        <v>44</v>
      </c>
      <c r="AG423" s="9">
        <v>46223</v>
      </c>
      <c r="AH423" s="8">
        <f>IF(AG423="","",Assumptions!$B$4-AG423)</f>
        <v>75</v>
      </c>
      <c r="AI423" s="5" t="s">
        <v>63</v>
      </c>
      <c r="AJ423" s="8">
        <v>4</v>
      </c>
      <c r="AK423" s="8">
        <v>1</v>
      </c>
      <c r="AL423" s="8">
        <v>685</v>
      </c>
      <c r="AM423" s="8">
        <v>1</v>
      </c>
      <c r="AN423" s="5" t="s">
        <v>63</v>
      </c>
      <c r="AO423" s="10">
        <v>75.400000000000006</v>
      </c>
      <c r="AP423" s="8">
        <v>61</v>
      </c>
      <c r="AQ423" s="9">
        <v>46276</v>
      </c>
      <c r="AR423" s="5" t="s">
        <v>70</v>
      </c>
      <c r="AS423" s="5" t="s">
        <v>81</v>
      </c>
    </row>
    <row r="424" spans="1:45" x14ac:dyDescent="0.35">
      <c r="A424" s="5" t="s">
        <v>2086</v>
      </c>
      <c r="B424" s="5" t="s">
        <v>2087</v>
      </c>
      <c r="C424" s="6" t="s">
        <v>2088</v>
      </c>
      <c r="D424" s="7">
        <v>106200</v>
      </c>
      <c r="E424" s="5" t="s">
        <v>48</v>
      </c>
      <c r="F424" s="5" t="s">
        <v>68</v>
      </c>
      <c r="G424" s="8">
        <v>1</v>
      </c>
      <c r="H424" s="8">
        <f>IF(F424="Bullet",MIN(G424,Assumptions!$B$6),"")</f>
        <v>1</v>
      </c>
      <c r="I424" s="8"/>
      <c r="J424" s="8" t="str">
        <f>IF(F424="Monthly interest",MAX(0,Assumptions!$B$5-I424),"")</f>
        <v/>
      </c>
      <c r="K424" s="7">
        <f t="shared" si="18"/>
        <v>1593</v>
      </c>
      <c r="L424" s="9">
        <v>46261</v>
      </c>
      <c r="M424" s="5" t="s">
        <v>50</v>
      </c>
      <c r="N424" s="5" t="s">
        <v>51</v>
      </c>
      <c r="O424" s="5" t="s">
        <v>71</v>
      </c>
      <c r="P424" s="5" t="s">
        <v>53</v>
      </c>
      <c r="Q424" s="5" t="s">
        <v>73</v>
      </c>
      <c r="R424" s="5" t="s">
        <v>74</v>
      </c>
      <c r="S424" s="5" t="s">
        <v>185</v>
      </c>
      <c r="T424" s="5" t="s">
        <v>57</v>
      </c>
      <c r="U424" s="5" t="s">
        <v>86</v>
      </c>
      <c r="V424" s="5" t="s">
        <v>186</v>
      </c>
      <c r="W424" s="5" t="s">
        <v>187</v>
      </c>
      <c r="X424" s="5" t="s">
        <v>481</v>
      </c>
      <c r="Y424" s="5" t="s">
        <v>2089</v>
      </c>
      <c r="Z424" s="9">
        <v>46261</v>
      </c>
      <c r="AA424" s="8">
        <v>12</v>
      </c>
      <c r="AB424" s="9">
        <f t="shared" si="19"/>
        <v>46626</v>
      </c>
      <c r="AC424" s="10">
        <v>18</v>
      </c>
      <c r="AD424" s="7">
        <f t="shared" si="20"/>
        <v>1593</v>
      </c>
      <c r="AE424" s="7">
        <f>IF(F424="Bullet",H424*AD424,MIN(MAX(I424,1),Assumptions!$B$6)*AD424)</f>
        <v>1593</v>
      </c>
      <c r="AF424" s="8">
        <f>IF(F424="Bullet",MAX(0,Assumptions!$B$4-AB424),MAX(0,Assumptions!$B$4-L424))</f>
        <v>0</v>
      </c>
      <c r="AG424" s="9"/>
      <c r="AH424" s="8" t="str">
        <f>IF(AG424="","",Assumptions!$B$4-AG424)</f>
        <v/>
      </c>
      <c r="AI424" s="5" t="s">
        <v>80</v>
      </c>
      <c r="AJ424" s="8"/>
      <c r="AK424" s="8">
        <v>2</v>
      </c>
      <c r="AL424" s="8">
        <v>755</v>
      </c>
      <c r="AM424" s="8">
        <v>1</v>
      </c>
      <c r="AN424" s="5" t="s">
        <v>63</v>
      </c>
      <c r="AO424" s="10">
        <v>83</v>
      </c>
      <c r="AP424" s="8">
        <v>22</v>
      </c>
      <c r="AQ424" s="9">
        <v>46283</v>
      </c>
      <c r="AR424" s="5" t="s">
        <v>51</v>
      </c>
      <c r="AS424" s="5" t="s">
        <v>190</v>
      </c>
    </row>
    <row r="425" spans="1:45" x14ac:dyDescent="0.35">
      <c r="A425" s="5" t="s">
        <v>2090</v>
      </c>
      <c r="B425" s="5" t="s">
        <v>315</v>
      </c>
      <c r="C425" s="6" t="s">
        <v>2091</v>
      </c>
      <c r="D425" s="7">
        <v>313100</v>
      </c>
      <c r="E425" s="5" t="s">
        <v>48</v>
      </c>
      <c r="F425" s="5" t="s">
        <v>68</v>
      </c>
      <c r="G425" s="8">
        <v>3</v>
      </c>
      <c r="H425" s="8">
        <f>IF(F425="Bullet",MIN(G425,Assumptions!$B$6),"")</f>
        <v>2</v>
      </c>
      <c r="I425" s="8"/>
      <c r="J425" s="8" t="str">
        <f>IF(F425="Monthly interest",MAX(0,Assumptions!$B$5-I425),"")</f>
        <v/>
      </c>
      <c r="K425" s="7">
        <f t="shared" si="18"/>
        <v>12525</v>
      </c>
      <c r="L425" s="9">
        <v>46183</v>
      </c>
      <c r="M425" s="5" t="s">
        <v>69</v>
      </c>
      <c r="N425" s="5" t="s">
        <v>70</v>
      </c>
      <c r="O425" s="5" t="s">
        <v>71</v>
      </c>
      <c r="P425" s="5" t="s">
        <v>72</v>
      </c>
      <c r="Q425" s="5" t="s">
        <v>73</v>
      </c>
      <c r="R425" s="5" t="s">
        <v>74</v>
      </c>
      <c r="S425" s="5" t="s">
        <v>185</v>
      </c>
      <c r="T425" s="5" t="s">
        <v>57</v>
      </c>
      <c r="U425" s="5" t="s">
        <v>86</v>
      </c>
      <c r="V425" s="5" t="s">
        <v>186</v>
      </c>
      <c r="W425" s="5" t="s">
        <v>376</v>
      </c>
      <c r="X425" s="5" t="s">
        <v>377</v>
      </c>
      <c r="Y425" s="5" t="s">
        <v>2092</v>
      </c>
      <c r="Z425" s="9">
        <v>46183</v>
      </c>
      <c r="AA425" s="8">
        <v>6</v>
      </c>
      <c r="AB425" s="9">
        <f t="shared" si="19"/>
        <v>46366</v>
      </c>
      <c r="AC425" s="10">
        <v>16</v>
      </c>
      <c r="AD425" s="7">
        <f t="shared" si="20"/>
        <v>4175</v>
      </c>
      <c r="AE425" s="7">
        <f>IF(F425="Bullet",H425*AD425,MIN(MAX(I425,1),Assumptions!$B$6)*AD425)</f>
        <v>8350</v>
      </c>
      <c r="AF425" s="8">
        <f>IF(F425="Bullet",MAX(0,Assumptions!$B$4-AB425),MAX(0,Assumptions!$B$4-L425))</f>
        <v>0</v>
      </c>
      <c r="AG425" s="9"/>
      <c r="AH425" s="8" t="str">
        <f>IF(AG425="","",Assumptions!$B$4-AG425)</f>
        <v/>
      </c>
      <c r="AI425" s="5" t="s">
        <v>80</v>
      </c>
      <c r="AJ425" s="8"/>
      <c r="AK425" s="8">
        <v>1</v>
      </c>
      <c r="AL425" s="8">
        <v>644</v>
      </c>
      <c r="AM425" s="8">
        <v>1</v>
      </c>
      <c r="AN425" s="5" t="s">
        <v>63</v>
      </c>
      <c r="AO425" s="10">
        <v>64.7</v>
      </c>
      <c r="AP425" s="8">
        <v>33</v>
      </c>
      <c r="AQ425" s="9">
        <v>46292</v>
      </c>
      <c r="AR425" s="5" t="s">
        <v>51</v>
      </c>
      <c r="AS425" s="5" t="s">
        <v>64</v>
      </c>
    </row>
    <row r="426" spans="1:45" x14ac:dyDescent="0.35">
      <c r="A426" s="5" t="s">
        <v>2093</v>
      </c>
      <c r="B426" s="5" t="s">
        <v>823</v>
      </c>
      <c r="C426" s="6" t="s">
        <v>2094</v>
      </c>
      <c r="D426" s="7">
        <v>198900</v>
      </c>
      <c r="E426" s="5" t="s">
        <v>48</v>
      </c>
      <c r="F426" s="5" t="s">
        <v>49</v>
      </c>
      <c r="G426" s="8"/>
      <c r="H426" s="8" t="str">
        <f>IF(F426="Bullet",MIN(G426,Assumptions!$B$6),"")</f>
        <v/>
      </c>
      <c r="I426" s="8">
        <v>2</v>
      </c>
      <c r="J426" s="8">
        <f>IF(F426="Monthly interest",MAX(0,Assumptions!$B$5-I426),"")</f>
        <v>1</v>
      </c>
      <c r="K426" s="7">
        <f t="shared" si="18"/>
        <v>7294</v>
      </c>
      <c r="L426" s="9">
        <v>46241</v>
      </c>
      <c r="M426" s="5" t="s">
        <v>116</v>
      </c>
      <c r="N426" s="5" t="s">
        <v>117</v>
      </c>
      <c r="O426" s="5" t="s">
        <v>118</v>
      </c>
      <c r="P426" s="5" t="s">
        <v>72</v>
      </c>
      <c r="Q426" s="5" t="s">
        <v>119</v>
      </c>
      <c r="R426" s="5" t="s">
        <v>120</v>
      </c>
      <c r="S426" s="5" t="s">
        <v>75</v>
      </c>
      <c r="T426" s="5" t="s">
        <v>57</v>
      </c>
      <c r="U426" s="5" t="s">
        <v>86</v>
      </c>
      <c r="V426" s="5" t="s">
        <v>76</v>
      </c>
      <c r="W426" s="5" t="s">
        <v>444</v>
      </c>
      <c r="X426" s="5" t="s">
        <v>1228</v>
      </c>
      <c r="Y426" s="5" t="s">
        <v>2095</v>
      </c>
      <c r="Z426" s="9">
        <v>46029</v>
      </c>
      <c r="AA426" s="8">
        <v>12</v>
      </c>
      <c r="AB426" s="9">
        <f t="shared" si="19"/>
        <v>46394</v>
      </c>
      <c r="AC426" s="10">
        <v>22</v>
      </c>
      <c r="AD426" s="7">
        <f t="shared" si="20"/>
        <v>3647</v>
      </c>
      <c r="AE426" s="7">
        <f>IF(F426="Bullet",H426*AD426,MIN(MAX(I426,1),Assumptions!$B$6)*AD426)</f>
        <v>7294</v>
      </c>
      <c r="AF426" s="8">
        <f>IF(F426="Bullet",MAX(0,Assumptions!$B$4-AB426),MAX(0,Assumptions!$B$4-L426))</f>
        <v>57</v>
      </c>
      <c r="AG426" s="9">
        <v>46210</v>
      </c>
      <c r="AH426" s="8">
        <f>IF(AG426="","",Assumptions!$B$4-AG426)</f>
        <v>88</v>
      </c>
      <c r="AI426" s="5" t="s">
        <v>63</v>
      </c>
      <c r="AJ426" s="8">
        <v>2</v>
      </c>
      <c r="AK426" s="8">
        <v>0</v>
      </c>
      <c r="AL426" s="8">
        <v>720</v>
      </c>
      <c r="AM426" s="8">
        <v>1</v>
      </c>
      <c r="AN426" s="5" t="s">
        <v>63</v>
      </c>
      <c r="AO426" s="10">
        <v>86.1</v>
      </c>
      <c r="AP426" s="8">
        <v>54</v>
      </c>
      <c r="AQ426" s="9">
        <v>46273</v>
      </c>
      <c r="AR426" s="5" t="s">
        <v>51</v>
      </c>
      <c r="AS426" s="5" t="s">
        <v>91</v>
      </c>
    </row>
    <row r="427" spans="1:45" x14ac:dyDescent="0.35">
      <c r="A427" s="5" t="s">
        <v>2096</v>
      </c>
      <c r="B427" s="5" t="s">
        <v>2097</v>
      </c>
      <c r="C427" s="6" t="s">
        <v>2098</v>
      </c>
      <c r="D427" s="7">
        <v>133300</v>
      </c>
      <c r="E427" s="5" t="s">
        <v>48</v>
      </c>
      <c r="F427" s="5" t="s">
        <v>49</v>
      </c>
      <c r="G427" s="8"/>
      <c r="H427" s="8" t="str">
        <f>IF(F427="Bullet",MIN(G427,Assumptions!$B$6),"")</f>
        <v/>
      </c>
      <c r="I427" s="8">
        <v>2</v>
      </c>
      <c r="J427" s="8">
        <f>IF(F427="Monthly interest",MAX(0,Assumptions!$B$5-I427),"")</f>
        <v>1</v>
      </c>
      <c r="K427" s="7">
        <f t="shared" si="18"/>
        <v>3332</v>
      </c>
      <c r="L427" s="9">
        <v>46239</v>
      </c>
      <c r="M427" s="5" t="s">
        <v>69</v>
      </c>
      <c r="N427" s="5" t="s">
        <v>70</v>
      </c>
      <c r="O427" s="5" t="s">
        <v>531</v>
      </c>
      <c r="P427" s="5" t="s">
        <v>72</v>
      </c>
      <c r="Q427" s="5" t="s">
        <v>73</v>
      </c>
      <c r="R427" s="5" t="s">
        <v>74</v>
      </c>
      <c r="S427" s="5" t="s">
        <v>85</v>
      </c>
      <c r="T427" s="5" t="s">
        <v>57</v>
      </c>
      <c r="U427" s="5" t="s">
        <v>104</v>
      </c>
      <c r="V427" s="5" t="s">
        <v>96</v>
      </c>
      <c r="W427" s="5" t="s">
        <v>97</v>
      </c>
      <c r="X427" s="5" t="s">
        <v>2099</v>
      </c>
      <c r="Y427" s="5" t="s">
        <v>2100</v>
      </c>
      <c r="Z427" s="9">
        <v>46147</v>
      </c>
      <c r="AA427" s="8">
        <v>12</v>
      </c>
      <c r="AB427" s="9">
        <f t="shared" si="19"/>
        <v>46512</v>
      </c>
      <c r="AC427" s="10">
        <v>15</v>
      </c>
      <c r="AD427" s="7">
        <f t="shared" si="20"/>
        <v>1666</v>
      </c>
      <c r="AE427" s="7">
        <f>IF(F427="Bullet",H427*AD427,MIN(MAX(I427,1),Assumptions!$B$6)*AD427)</f>
        <v>3332</v>
      </c>
      <c r="AF427" s="8">
        <f>IF(F427="Bullet",MAX(0,Assumptions!$B$4-AB427),MAX(0,Assumptions!$B$4-L427))</f>
        <v>59</v>
      </c>
      <c r="AG427" s="9">
        <v>46211</v>
      </c>
      <c r="AH427" s="8">
        <f>IF(AG427="","",Assumptions!$B$4-AG427)</f>
        <v>87</v>
      </c>
      <c r="AI427" s="5" t="s">
        <v>63</v>
      </c>
      <c r="AJ427" s="8">
        <v>2</v>
      </c>
      <c r="AK427" s="8">
        <v>0</v>
      </c>
      <c r="AL427" s="8">
        <v>737</v>
      </c>
      <c r="AM427" s="8">
        <v>2</v>
      </c>
      <c r="AN427" s="5" t="s">
        <v>63</v>
      </c>
      <c r="AO427" s="10">
        <v>50.2</v>
      </c>
      <c r="AP427" s="8">
        <v>36</v>
      </c>
      <c r="AQ427" s="9">
        <v>46273</v>
      </c>
      <c r="AR427" s="5" t="s">
        <v>53</v>
      </c>
      <c r="AS427" s="5" t="s">
        <v>81</v>
      </c>
    </row>
    <row r="428" spans="1:45" x14ac:dyDescent="0.35">
      <c r="A428" s="5" t="s">
        <v>2101</v>
      </c>
      <c r="B428" s="5" t="s">
        <v>2102</v>
      </c>
      <c r="C428" s="6" t="s">
        <v>2103</v>
      </c>
      <c r="D428" s="7">
        <v>82100</v>
      </c>
      <c r="E428" s="5" t="s">
        <v>48</v>
      </c>
      <c r="F428" s="5" t="s">
        <v>49</v>
      </c>
      <c r="G428" s="8"/>
      <c r="H428" s="8" t="str">
        <f>IF(F428="Bullet",MIN(G428,Assumptions!$B$6),"")</f>
        <v/>
      </c>
      <c r="I428" s="8">
        <v>1</v>
      </c>
      <c r="J428" s="8">
        <f>IF(F428="Monthly interest",MAX(0,Assumptions!$B$5-I428),"")</f>
        <v>2</v>
      </c>
      <c r="K428" s="7">
        <f t="shared" si="18"/>
        <v>1026</v>
      </c>
      <c r="L428" s="9">
        <v>46271</v>
      </c>
      <c r="M428" s="5" t="s">
        <v>50</v>
      </c>
      <c r="N428" s="5" t="s">
        <v>51</v>
      </c>
      <c r="O428" s="5" t="s">
        <v>52</v>
      </c>
      <c r="P428" s="5" t="s">
        <v>53</v>
      </c>
      <c r="Q428" s="5" t="s">
        <v>54</v>
      </c>
      <c r="R428" s="5" t="s">
        <v>55</v>
      </c>
      <c r="S428" s="5" t="s">
        <v>56</v>
      </c>
      <c r="T428" s="5" t="s">
        <v>57</v>
      </c>
      <c r="U428" s="5" t="s">
        <v>86</v>
      </c>
      <c r="V428" s="5" t="s">
        <v>59</v>
      </c>
      <c r="W428" s="5" t="s">
        <v>418</v>
      </c>
      <c r="X428" s="5" t="s">
        <v>1015</v>
      </c>
      <c r="Y428" s="5" t="s">
        <v>2104</v>
      </c>
      <c r="Z428" s="9">
        <v>45997</v>
      </c>
      <c r="AA428" s="8">
        <v>12</v>
      </c>
      <c r="AB428" s="9">
        <f t="shared" si="19"/>
        <v>46362</v>
      </c>
      <c r="AC428" s="10">
        <v>15</v>
      </c>
      <c r="AD428" s="7">
        <f t="shared" si="20"/>
        <v>1026</v>
      </c>
      <c r="AE428" s="7">
        <f>IF(F428="Bullet",H428*AD428,MIN(MAX(I428,1),Assumptions!$B$6)*AD428)</f>
        <v>1026</v>
      </c>
      <c r="AF428" s="8">
        <f>IF(F428="Bullet",MAX(0,Assumptions!$B$4-AB428),MAX(0,Assumptions!$B$4-L428))</f>
        <v>27</v>
      </c>
      <c r="AG428" s="9">
        <v>46241</v>
      </c>
      <c r="AH428" s="8">
        <f>IF(AG428="","",Assumptions!$B$4-AG428)</f>
        <v>57</v>
      </c>
      <c r="AI428" s="5" t="s">
        <v>57</v>
      </c>
      <c r="AJ428" s="8">
        <v>1</v>
      </c>
      <c r="AK428" s="8">
        <v>0</v>
      </c>
      <c r="AL428" s="8">
        <v>755</v>
      </c>
      <c r="AM428" s="8">
        <v>3</v>
      </c>
      <c r="AN428" s="5" t="s">
        <v>63</v>
      </c>
      <c r="AO428" s="10">
        <v>75.400000000000006</v>
      </c>
      <c r="AP428" s="8">
        <v>18</v>
      </c>
      <c r="AQ428" s="9">
        <v>46284</v>
      </c>
      <c r="AR428" s="5" t="s">
        <v>53</v>
      </c>
      <c r="AS428" s="5" t="s">
        <v>81</v>
      </c>
    </row>
    <row r="429" spans="1:45" x14ac:dyDescent="0.35">
      <c r="A429" s="5" t="s">
        <v>2105</v>
      </c>
      <c r="B429" s="5" t="s">
        <v>2106</v>
      </c>
      <c r="C429" s="6" t="s">
        <v>2107</v>
      </c>
      <c r="D429" s="7">
        <v>450300</v>
      </c>
      <c r="E429" s="5" t="s">
        <v>48</v>
      </c>
      <c r="F429" s="5" t="s">
        <v>49</v>
      </c>
      <c r="G429" s="8"/>
      <c r="H429" s="8" t="str">
        <f>IF(F429="Bullet",MIN(G429,Assumptions!$B$6),"")</f>
        <v/>
      </c>
      <c r="I429" s="8">
        <v>2</v>
      </c>
      <c r="J429" s="8">
        <f>IF(F429="Monthly interest",MAX(0,Assumptions!$B$5-I429),"")</f>
        <v>1</v>
      </c>
      <c r="K429" s="7">
        <f t="shared" si="18"/>
        <v>16512</v>
      </c>
      <c r="L429" s="9">
        <v>46248</v>
      </c>
      <c r="M429" s="5" t="s">
        <v>69</v>
      </c>
      <c r="N429" s="5" t="s">
        <v>70</v>
      </c>
      <c r="O429" s="5" t="s">
        <v>71</v>
      </c>
      <c r="P429" s="5" t="s">
        <v>72</v>
      </c>
      <c r="Q429" s="5" t="s">
        <v>73</v>
      </c>
      <c r="R429" s="5" t="s">
        <v>74</v>
      </c>
      <c r="S429" s="5" t="s">
        <v>85</v>
      </c>
      <c r="T429" s="5" t="s">
        <v>57</v>
      </c>
      <c r="U429" s="5" t="s">
        <v>58</v>
      </c>
      <c r="V429" s="5" t="s">
        <v>553</v>
      </c>
      <c r="W429" s="5" t="s">
        <v>1029</v>
      </c>
      <c r="X429" s="5" t="s">
        <v>2108</v>
      </c>
      <c r="Y429" s="5" t="s">
        <v>2109</v>
      </c>
      <c r="Z429" s="9">
        <v>45975</v>
      </c>
      <c r="AA429" s="8">
        <v>12</v>
      </c>
      <c r="AB429" s="9">
        <f t="shared" si="19"/>
        <v>46340</v>
      </c>
      <c r="AC429" s="10">
        <v>22</v>
      </c>
      <c r="AD429" s="7">
        <f t="shared" si="20"/>
        <v>8256</v>
      </c>
      <c r="AE429" s="7">
        <f>IF(F429="Bullet",H429*AD429,MIN(MAX(I429,1),Assumptions!$B$6)*AD429)</f>
        <v>16512</v>
      </c>
      <c r="AF429" s="8">
        <f>IF(F429="Bullet",MAX(0,Assumptions!$B$4-AB429),MAX(0,Assumptions!$B$4-L429))</f>
        <v>50</v>
      </c>
      <c r="AG429" s="9">
        <v>46219</v>
      </c>
      <c r="AH429" s="8">
        <f>IF(AG429="","",Assumptions!$B$4-AG429)</f>
        <v>79</v>
      </c>
      <c r="AI429" s="5" t="s">
        <v>63</v>
      </c>
      <c r="AJ429" s="8">
        <v>2</v>
      </c>
      <c r="AK429" s="8">
        <v>1</v>
      </c>
      <c r="AL429" s="8">
        <v>704</v>
      </c>
      <c r="AM429" s="8">
        <v>1</v>
      </c>
      <c r="AN429" s="5" t="s">
        <v>63</v>
      </c>
      <c r="AO429" s="10">
        <v>63</v>
      </c>
      <c r="AP429" s="8">
        <v>43</v>
      </c>
      <c r="AQ429" s="9">
        <v>46276</v>
      </c>
      <c r="AR429" s="5" t="s">
        <v>70</v>
      </c>
      <c r="AS429" s="5" t="s">
        <v>64</v>
      </c>
    </row>
    <row r="430" spans="1:45" x14ac:dyDescent="0.35">
      <c r="A430" s="5" t="s">
        <v>2110</v>
      </c>
      <c r="B430" s="5" t="s">
        <v>2111</v>
      </c>
      <c r="C430" s="6" t="s">
        <v>2112</v>
      </c>
      <c r="D430" s="7">
        <v>175700</v>
      </c>
      <c r="E430" s="5" t="s">
        <v>48</v>
      </c>
      <c r="F430" s="5" t="s">
        <v>49</v>
      </c>
      <c r="G430" s="8"/>
      <c r="H430" s="8" t="str">
        <f>IF(F430="Bullet",MIN(G430,Assumptions!$B$6),"")</f>
        <v/>
      </c>
      <c r="I430" s="8">
        <v>1</v>
      </c>
      <c r="J430" s="8">
        <f>IF(F430="Monthly interest",MAX(0,Assumptions!$B$5-I430),"")</f>
        <v>2</v>
      </c>
      <c r="K430" s="7">
        <f t="shared" si="18"/>
        <v>2343</v>
      </c>
      <c r="L430" s="9">
        <v>46280</v>
      </c>
      <c r="M430" s="5" t="s">
        <v>69</v>
      </c>
      <c r="N430" s="5" t="s">
        <v>51</v>
      </c>
      <c r="O430" s="5" t="s">
        <v>52</v>
      </c>
      <c r="P430" s="5" t="s">
        <v>53</v>
      </c>
      <c r="Q430" s="5" t="s">
        <v>54</v>
      </c>
      <c r="R430" s="5" t="s">
        <v>55</v>
      </c>
      <c r="S430" s="5" t="s">
        <v>85</v>
      </c>
      <c r="T430" s="5" t="s">
        <v>57</v>
      </c>
      <c r="U430" s="5" t="s">
        <v>104</v>
      </c>
      <c r="V430" s="5" t="s">
        <v>177</v>
      </c>
      <c r="W430" s="5" t="s">
        <v>345</v>
      </c>
      <c r="X430" s="5" t="s">
        <v>665</v>
      </c>
      <c r="Y430" s="5" t="s">
        <v>2113</v>
      </c>
      <c r="Z430" s="9">
        <v>46096</v>
      </c>
      <c r="AA430" s="8">
        <v>24</v>
      </c>
      <c r="AB430" s="9">
        <f t="shared" si="19"/>
        <v>46827</v>
      </c>
      <c r="AC430" s="10">
        <v>16</v>
      </c>
      <c r="AD430" s="7">
        <f t="shared" si="20"/>
        <v>2343</v>
      </c>
      <c r="AE430" s="7">
        <f>IF(F430="Bullet",H430*AD430,MIN(MAX(I430,1),Assumptions!$B$6)*AD430)</f>
        <v>2343</v>
      </c>
      <c r="AF430" s="8">
        <f>IF(F430="Bullet",MAX(0,Assumptions!$B$4-AB430),MAX(0,Assumptions!$B$4-L430))</f>
        <v>18</v>
      </c>
      <c r="AG430" s="9">
        <v>46251</v>
      </c>
      <c r="AH430" s="8">
        <f>IF(AG430="","",Assumptions!$B$4-AG430)</f>
        <v>47</v>
      </c>
      <c r="AI430" s="5" t="s">
        <v>63</v>
      </c>
      <c r="AJ430" s="8">
        <v>2</v>
      </c>
      <c r="AK430" s="8">
        <v>0</v>
      </c>
      <c r="AL430" s="8">
        <v>637</v>
      </c>
      <c r="AM430" s="8">
        <v>1</v>
      </c>
      <c r="AN430" s="5" t="s">
        <v>63</v>
      </c>
      <c r="AO430" s="10">
        <v>72.2</v>
      </c>
      <c r="AP430" s="8">
        <v>35</v>
      </c>
      <c r="AQ430" s="9">
        <v>46274</v>
      </c>
      <c r="AR430" s="5" t="s">
        <v>53</v>
      </c>
      <c r="AS430" s="5" t="s">
        <v>64</v>
      </c>
    </row>
    <row r="431" spans="1:45" x14ac:dyDescent="0.35">
      <c r="A431" s="5" t="s">
        <v>2114</v>
      </c>
      <c r="B431" s="5" t="s">
        <v>2115</v>
      </c>
      <c r="C431" s="6" t="s">
        <v>2116</v>
      </c>
      <c r="D431" s="7">
        <v>39100</v>
      </c>
      <c r="E431" s="5" t="s">
        <v>48</v>
      </c>
      <c r="F431" s="5" t="s">
        <v>49</v>
      </c>
      <c r="G431" s="8"/>
      <c r="H431" s="8" t="str">
        <f>IF(F431="Bullet",MIN(G431,Assumptions!$B$6),"")</f>
        <v/>
      </c>
      <c r="I431" s="8">
        <v>2</v>
      </c>
      <c r="J431" s="8">
        <f>IF(F431="Monthly interest",MAX(0,Assumptions!$B$5-I431),"")</f>
        <v>1</v>
      </c>
      <c r="K431" s="7">
        <f t="shared" si="18"/>
        <v>1304</v>
      </c>
      <c r="L431" s="9">
        <v>46256</v>
      </c>
      <c r="M431" s="5" t="s">
        <v>69</v>
      </c>
      <c r="N431" s="5" t="s">
        <v>53</v>
      </c>
      <c r="O431" s="5" t="s">
        <v>152</v>
      </c>
      <c r="P431" s="5" t="s">
        <v>153</v>
      </c>
      <c r="Q431" s="5" t="s">
        <v>154</v>
      </c>
      <c r="R431" s="5" t="s">
        <v>155</v>
      </c>
      <c r="S431" s="5" t="s">
        <v>214</v>
      </c>
      <c r="T431" s="5" t="s">
        <v>57</v>
      </c>
      <c r="U431" s="5" t="s">
        <v>86</v>
      </c>
      <c r="V431" s="5" t="s">
        <v>215</v>
      </c>
      <c r="W431" s="5" t="s">
        <v>216</v>
      </c>
      <c r="X431" s="5" t="s">
        <v>710</v>
      </c>
      <c r="Y431" s="5" t="s">
        <v>2117</v>
      </c>
      <c r="Z431" s="9">
        <v>46044</v>
      </c>
      <c r="AA431" s="8">
        <v>12</v>
      </c>
      <c r="AB431" s="9">
        <f t="shared" si="19"/>
        <v>46409</v>
      </c>
      <c r="AC431" s="10">
        <v>20</v>
      </c>
      <c r="AD431" s="7">
        <f t="shared" si="20"/>
        <v>652</v>
      </c>
      <c r="AE431" s="7">
        <f>IF(F431="Bullet",H431*AD431,MIN(MAX(I431,1),Assumptions!$B$6)*AD431)</f>
        <v>1304</v>
      </c>
      <c r="AF431" s="8">
        <f>IF(F431="Bullet",MAX(0,Assumptions!$B$4-AB431),MAX(0,Assumptions!$B$4-L431))</f>
        <v>42</v>
      </c>
      <c r="AG431" s="9">
        <v>46230</v>
      </c>
      <c r="AH431" s="8">
        <f>IF(AG431="","",Assumptions!$B$4-AG431)</f>
        <v>68</v>
      </c>
      <c r="AI431" s="5" t="s">
        <v>63</v>
      </c>
      <c r="AJ431" s="8">
        <v>2</v>
      </c>
      <c r="AK431" s="8">
        <v>0</v>
      </c>
      <c r="AL431" s="8">
        <v>714</v>
      </c>
      <c r="AM431" s="8">
        <v>0</v>
      </c>
      <c r="AN431" s="5" t="s">
        <v>63</v>
      </c>
      <c r="AO431" s="10">
        <v>77.900000000000006</v>
      </c>
      <c r="AP431" s="8">
        <v>46</v>
      </c>
      <c r="AQ431" s="9">
        <v>46290</v>
      </c>
      <c r="AR431" s="5" t="s">
        <v>51</v>
      </c>
      <c r="AS431" s="5" t="s">
        <v>81</v>
      </c>
    </row>
    <row r="432" spans="1:45" x14ac:dyDescent="0.35">
      <c r="A432" s="5" t="s">
        <v>2118</v>
      </c>
      <c r="B432" s="5" t="s">
        <v>2119</v>
      </c>
      <c r="C432" s="6" t="s">
        <v>2120</v>
      </c>
      <c r="D432" s="7">
        <v>32900</v>
      </c>
      <c r="E432" s="5" t="s">
        <v>48</v>
      </c>
      <c r="F432" s="5" t="s">
        <v>68</v>
      </c>
      <c r="G432" s="8">
        <v>6</v>
      </c>
      <c r="H432" s="8">
        <f>IF(F432="Bullet",MIN(G432,Assumptions!$B$6),"")</f>
        <v>2</v>
      </c>
      <c r="I432" s="8"/>
      <c r="J432" s="8" t="str">
        <f>IF(F432="Monthly interest",MAX(0,Assumptions!$B$5-I432),"")</f>
        <v/>
      </c>
      <c r="K432" s="7">
        <f t="shared" si="18"/>
        <v>2964</v>
      </c>
      <c r="L432" s="9">
        <v>46111</v>
      </c>
      <c r="M432" s="5" t="s">
        <v>116</v>
      </c>
      <c r="N432" s="5" t="s">
        <v>117</v>
      </c>
      <c r="O432" s="5" t="s">
        <v>461</v>
      </c>
      <c r="P432" s="5" t="s">
        <v>72</v>
      </c>
      <c r="Q432" s="5" t="s">
        <v>169</v>
      </c>
      <c r="R432" s="5" t="s">
        <v>170</v>
      </c>
      <c r="S432" s="5" t="s">
        <v>75</v>
      </c>
      <c r="T432" s="5" t="s">
        <v>57</v>
      </c>
      <c r="U432" s="5" t="s">
        <v>86</v>
      </c>
      <c r="V432" s="5" t="s">
        <v>76</v>
      </c>
      <c r="W432" s="5" t="s">
        <v>146</v>
      </c>
      <c r="X432" s="5" t="s">
        <v>2121</v>
      </c>
      <c r="Y432" s="5" t="s">
        <v>2122</v>
      </c>
      <c r="Z432" s="9">
        <v>46111</v>
      </c>
      <c r="AA432" s="8">
        <v>6</v>
      </c>
      <c r="AB432" s="9">
        <f t="shared" si="19"/>
        <v>46295</v>
      </c>
      <c r="AC432" s="10">
        <v>18</v>
      </c>
      <c r="AD432" s="7">
        <f t="shared" si="20"/>
        <v>494</v>
      </c>
      <c r="AE432" s="7">
        <f>IF(F432="Bullet",H432*AD432,MIN(MAX(I432,1),Assumptions!$B$6)*AD432)</f>
        <v>988</v>
      </c>
      <c r="AF432" s="8">
        <f>IF(F432="Bullet",MAX(0,Assumptions!$B$4-AB432),MAX(0,Assumptions!$B$4-L432))</f>
        <v>3</v>
      </c>
      <c r="AG432" s="9"/>
      <c r="AH432" s="8" t="str">
        <f>IF(AG432="","",Assumptions!$B$4-AG432)</f>
        <v/>
      </c>
      <c r="AI432" s="5" t="s">
        <v>80</v>
      </c>
      <c r="AJ432" s="8"/>
      <c r="AK432" s="8">
        <v>4</v>
      </c>
      <c r="AL432" s="8">
        <v>721</v>
      </c>
      <c r="AM432" s="8">
        <v>1</v>
      </c>
      <c r="AN432" s="5" t="s">
        <v>63</v>
      </c>
      <c r="AO432" s="10">
        <v>62.6</v>
      </c>
      <c r="AP432" s="8">
        <v>65</v>
      </c>
      <c r="AQ432" s="9">
        <v>46274</v>
      </c>
      <c r="AR432" s="5" t="s">
        <v>53</v>
      </c>
      <c r="AS432" s="5" t="s">
        <v>91</v>
      </c>
    </row>
    <row r="433" spans="1:45" x14ac:dyDescent="0.35">
      <c r="A433" s="5" t="s">
        <v>2123</v>
      </c>
      <c r="B433" s="5" t="s">
        <v>959</v>
      </c>
      <c r="C433" s="6" t="s">
        <v>2124</v>
      </c>
      <c r="D433" s="7">
        <v>26000</v>
      </c>
      <c r="E433" s="5" t="s">
        <v>48</v>
      </c>
      <c r="F433" s="5" t="s">
        <v>68</v>
      </c>
      <c r="G433" s="8">
        <v>5</v>
      </c>
      <c r="H433" s="8">
        <f>IF(F433="Bullet",MIN(G433,Assumptions!$B$6),"")</f>
        <v>2</v>
      </c>
      <c r="I433" s="8"/>
      <c r="J433" s="8" t="str">
        <f>IF(F433="Monthly interest",MAX(0,Assumptions!$B$5-I433),"")</f>
        <v/>
      </c>
      <c r="K433" s="7">
        <f t="shared" si="18"/>
        <v>1625</v>
      </c>
      <c r="L433" s="9">
        <v>46132</v>
      </c>
      <c r="M433" s="5" t="s">
        <v>116</v>
      </c>
      <c r="N433" s="5" t="s">
        <v>117</v>
      </c>
      <c r="O433" s="5" t="s">
        <v>461</v>
      </c>
      <c r="P433" s="5" t="s">
        <v>72</v>
      </c>
      <c r="Q433" s="5" t="s">
        <v>169</v>
      </c>
      <c r="R433" s="5" t="s">
        <v>170</v>
      </c>
      <c r="S433" s="5" t="s">
        <v>75</v>
      </c>
      <c r="T433" s="5" t="s">
        <v>57</v>
      </c>
      <c r="U433" s="5" t="s">
        <v>104</v>
      </c>
      <c r="V433" s="5" t="s">
        <v>76</v>
      </c>
      <c r="W433" s="5" t="s">
        <v>547</v>
      </c>
      <c r="X433" s="5" t="s">
        <v>2125</v>
      </c>
      <c r="Y433" s="5" t="s">
        <v>2126</v>
      </c>
      <c r="Z433" s="9">
        <v>46132</v>
      </c>
      <c r="AA433" s="8">
        <v>3</v>
      </c>
      <c r="AB433" s="9">
        <f t="shared" si="19"/>
        <v>46223</v>
      </c>
      <c r="AC433" s="10">
        <v>15</v>
      </c>
      <c r="AD433" s="7">
        <f t="shared" si="20"/>
        <v>325</v>
      </c>
      <c r="AE433" s="7">
        <f>IF(F433="Bullet",H433*AD433,MIN(MAX(I433,1),Assumptions!$B$6)*AD433)</f>
        <v>650</v>
      </c>
      <c r="AF433" s="8">
        <f>IF(F433="Bullet",MAX(0,Assumptions!$B$4-AB433),MAX(0,Assumptions!$B$4-L433))</f>
        <v>75</v>
      </c>
      <c r="AG433" s="9"/>
      <c r="AH433" s="8" t="str">
        <f>IF(AG433="","",Assumptions!$B$4-AG433)</f>
        <v/>
      </c>
      <c r="AI433" s="5" t="s">
        <v>80</v>
      </c>
      <c r="AJ433" s="8"/>
      <c r="AK433" s="8">
        <v>1</v>
      </c>
      <c r="AL433" s="8">
        <v>599</v>
      </c>
      <c r="AM433" s="8">
        <v>1</v>
      </c>
      <c r="AN433" s="5" t="s">
        <v>63</v>
      </c>
      <c r="AO433" s="10">
        <v>82.2</v>
      </c>
      <c r="AP433" s="8">
        <v>74</v>
      </c>
      <c r="AQ433" s="9">
        <v>46282</v>
      </c>
      <c r="AR433" s="5" t="s">
        <v>70</v>
      </c>
      <c r="AS433" s="5" t="s">
        <v>81</v>
      </c>
    </row>
    <row r="434" spans="1:45" x14ac:dyDescent="0.35">
      <c r="A434" s="5" t="s">
        <v>2127</v>
      </c>
      <c r="B434" s="5" t="s">
        <v>2128</v>
      </c>
      <c r="C434" s="6" t="s">
        <v>2129</v>
      </c>
      <c r="D434" s="7">
        <v>153800</v>
      </c>
      <c r="E434" s="5" t="s">
        <v>48</v>
      </c>
      <c r="F434" s="5" t="s">
        <v>68</v>
      </c>
      <c r="G434" s="8">
        <v>2</v>
      </c>
      <c r="H434" s="8">
        <f>IF(F434="Bullet",MIN(G434,Assumptions!$B$6),"")</f>
        <v>2</v>
      </c>
      <c r="I434" s="8"/>
      <c r="J434" s="8" t="str">
        <f>IF(F434="Monthly interest",MAX(0,Assumptions!$B$5-I434),"")</f>
        <v/>
      </c>
      <c r="K434" s="7">
        <f t="shared" si="18"/>
        <v>3588</v>
      </c>
      <c r="L434" s="9">
        <v>46216</v>
      </c>
      <c r="M434" s="5" t="s">
        <v>69</v>
      </c>
      <c r="N434" s="5" t="s">
        <v>70</v>
      </c>
      <c r="O434" s="5" t="s">
        <v>271</v>
      </c>
      <c r="P434" s="5" t="s">
        <v>72</v>
      </c>
      <c r="Q434" s="5" t="s">
        <v>73</v>
      </c>
      <c r="R434" s="5" t="s">
        <v>74</v>
      </c>
      <c r="S434" s="5" t="s">
        <v>75</v>
      </c>
      <c r="T434" s="5" t="s">
        <v>57</v>
      </c>
      <c r="U434" s="5" t="s">
        <v>86</v>
      </c>
      <c r="V434" s="5" t="s">
        <v>76</v>
      </c>
      <c r="W434" s="5" t="s">
        <v>547</v>
      </c>
      <c r="X434" s="5" t="s">
        <v>2130</v>
      </c>
      <c r="Y434" s="5" t="s">
        <v>2131</v>
      </c>
      <c r="Z434" s="9">
        <v>46216</v>
      </c>
      <c r="AA434" s="8">
        <v>6</v>
      </c>
      <c r="AB434" s="9">
        <f t="shared" si="19"/>
        <v>46400</v>
      </c>
      <c r="AC434" s="10">
        <v>14</v>
      </c>
      <c r="AD434" s="7">
        <f t="shared" si="20"/>
        <v>1794</v>
      </c>
      <c r="AE434" s="7">
        <f>IF(F434="Bullet",H434*AD434,MIN(MAX(I434,1),Assumptions!$B$6)*AD434)</f>
        <v>3588</v>
      </c>
      <c r="AF434" s="8">
        <f>IF(F434="Bullet",MAX(0,Assumptions!$B$4-AB434),MAX(0,Assumptions!$B$4-L434))</f>
        <v>0</v>
      </c>
      <c r="AG434" s="9"/>
      <c r="AH434" s="8" t="str">
        <f>IF(AG434="","",Assumptions!$B$4-AG434)</f>
        <v/>
      </c>
      <c r="AI434" s="5" t="s">
        <v>80</v>
      </c>
      <c r="AJ434" s="8"/>
      <c r="AK434" s="8">
        <v>0</v>
      </c>
      <c r="AL434" s="8">
        <v>614</v>
      </c>
      <c r="AM434" s="8">
        <v>1</v>
      </c>
      <c r="AN434" s="5" t="s">
        <v>57</v>
      </c>
      <c r="AO434" s="10">
        <v>65.900000000000006</v>
      </c>
      <c r="AP434" s="8">
        <v>34</v>
      </c>
      <c r="AQ434" s="9">
        <v>46275</v>
      </c>
      <c r="AR434" s="5" t="s">
        <v>72</v>
      </c>
      <c r="AS434" s="5" t="s">
        <v>274</v>
      </c>
    </row>
    <row r="435" spans="1:45" x14ac:dyDescent="0.35">
      <c r="A435" s="5" t="s">
        <v>2132</v>
      </c>
      <c r="B435" s="5" t="s">
        <v>2133</v>
      </c>
      <c r="C435" s="6" t="s">
        <v>2134</v>
      </c>
      <c r="D435" s="7">
        <v>773600</v>
      </c>
      <c r="E435" s="5" t="s">
        <v>48</v>
      </c>
      <c r="F435" s="5" t="s">
        <v>68</v>
      </c>
      <c r="G435" s="8">
        <v>1</v>
      </c>
      <c r="H435" s="8">
        <f>IF(F435="Bullet",MIN(G435,Assumptions!$B$6),"")</f>
        <v>1</v>
      </c>
      <c r="I435" s="8"/>
      <c r="J435" s="8" t="str">
        <f>IF(F435="Monthly interest",MAX(0,Assumptions!$B$5-I435),"")</f>
        <v/>
      </c>
      <c r="K435" s="7">
        <f t="shared" si="18"/>
        <v>7736</v>
      </c>
      <c r="L435" s="9">
        <v>46244</v>
      </c>
      <c r="M435" s="5" t="s">
        <v>50</v>
      </c>
      <c r="N435" s="5" t="s">
        <v>51</v>
      </c>
      <c r="O435" s="5" t="s">
        <v>71</v>
      </c>
      <c r="P435" s="5" t="s">
        <v>53</v>
      </c>
      <c r="Q435" s="5" t="s">
        <v>73</v>
      </c>
      <c r="R435" s="5" t="s">
        <v>74</v>
      </c>
      <c r="S435" s="5" t="s">
        <v>214</v>
      </c>
      <c r="T435" s="5" t="s">
        <v>57</v>
      </c>
      <c r="U435" s="5" t="s">
        <v>104</v>
      </c>
      <c r="V435" s="5" t="s">
        <v>215</v>
      </c>
      <c r="W435" s="5" t="s">
        <v>242</v>
      </c>
      <c r="X435" s="5" t="s">
        <v>2135</v>
      </c>
      <c r="Y435" s="5" t="s">
        <v>2136</v>
      </c>
      <c r="Z435" s="9">
        <v>46244</v>
      </c>
      <c r="AA435" s="8">
        <v>6</v>
      </c>
      <c r="AB435" s="9">
        <f t="shared" si="19"/>
        <v>46428</v>
      </c>
      <c r="AC435" s="10">
        <v>12</v>
      </c>
      <c r="AD435" s="7">
        <f t="shared" si="20"/>
        <v>7736</v>
      </c>
      <c r="AE435" s="7">
        <f>IF(F435="Bullet",H435*AD435,MIN(MAX(I435,1),Assumptions!$B$6)*AD435)</f>
        <v>7736</v>
      </c>
      <c r="AF435" s="8">
        <f>IF(F435="Bullet",MAX(0,Assumptions!$B$4-AB435),MAX(0,Assumptions!$B$4-L435))</f>
        <v>0</v>
      </c>
      <c r="AG435" s="9"/>
      <c r="AH435" s="8" t="str">
        <f>IF(AG435="","",Assumptions!$B$4-AG435)</f>
        <v/>
      </c>
      <c r="AI435" s="5" t="s">
        <v>80</v>
      </c>
      <c r="AJ435" s="8"/>
      <c r="AK435" s="8">
        <v>0</v>
      </c>
      <c r="AL435" s="8">
        <v>698</v>
      </c>
      <c r="AM435" s="8">
        <v>1</v>
      </c>
      <c r="AN435" s="5" t="s">
        <v>57</v>
      </c>
      <c r="AO435" s="10">
        <v>61.4</v>
      </c>
      <c r="AP435" s="8">
        <v>21</v>
      </c>
      <c r="AQ435" s="9">
        <v>46277</v>
      </c>
      <c r="AR435" s="5" t="s">
        <v>53</v>
      </c>
      <c r="AS435" s="5" t="s">
        <v>64</v>
      </c>
    </row>
    <row r="436" spans="1:45" x14ac:dyDescent="0.35">
      <c r="A436" s="5" t="s">
        <v>2137</v>
      </c>
      <c r="B436" s="5" t="s">
        <v>1182</v>
      </c>
      <c r="C436" s="6" t="s">
        <v>2138</v>
      </c>
      <c r="D436" s="7">
        <v>56400</v>
      </c>
      <c r="E436" s="5" t="s">
        <v>48</v>
      </c>
      <c r="F436" s="5" t="s">
        <v>68</v>
      </c>
      <c r="G436" s="8">
        <v>5</v>
      </c>
      <c r="H436" s="8">
        <f>IF(F436="Bullet",MIN(G436,Assumptions!$B$6),"")</f>
        <v>2</v>
      </c>
      <c r="I436" s="8"/>
      <c r="J436" s="8" t="str">
        <f>IF(F436="Monthly interest",MAX(0,Assumptions!$B$5-I436),"")</f>
        <v/>
      </c>
      <c r="K436" s="7">
        <f t="shared" si="18"/>
        <v>3055</v>
      </c>
      <c r="L436" s="9">
        <v>46145</v>
      </c>
      <c r="M436" s="5" t="s">
        <v>116</v>
      </c>
      <c r="N436" s="5" t="s">
        <v>117</v>
      </c>
      <c r="O436" s="5" t="s">
        <v>461</v>
      </c>
      <c r="P436" s="5" t="s">
        <v>72</v>
      </c>
      <c r="Q436" s="5" t="s">
        <v>169</v>
      </c>
      <c r="R436" s="5" t="s">
        <v>170</v>
      </c>
      <c r="S436" s="5" t="s">
        <v>56</v>
      </c>
      <c r="T436" s="5" t="s">
        <v>57</v>
      </c>
      <c r="U436" s="5" t="s">
        <v>104</v>
      </c>
      <c r="V436" s="5" t="s">
        <v>59</v>
      </c>
      <c r="W436" s="5" t="s">
        <v>467</v>
      </c>
      <c r="X436" s="5" t="s">
        <v>1111</v>
      </c>
      <c r="Y436" s="5" t="s">
        <v>2139</v>
      </c>
      <c r="Z436" s="9">
        <v>46145</v>
      </c>
      <c r="AA436" s="8">
        <v>6</v>
      </c>
      <c r="AB436" s="9">
        <f t="shared" si="19"/>
        <v>46329</v>
      </c>
      <c r="AC436" s="10">
        <v>13</v>
      </c>
      <c r="AD436" s="7">
        <f t="shared" si="20"/>
        <v>611</v>
      </c>
      <c r="AE436" s="7">
        <f>IF(F436="Bullet",H436*AD436,MIN(MAX(I436,1),Assumptions!$B$6)*AD436)</f>
        <v>1222</v>
      </c>
      <c r="AF436" s="8">
        <f>IF(F436="Bullet",MAX(0,Assumptions!$B$4-AB436),MAX(0,Assumptions!$B$4-L436))</f>
        <v>0</v>
      </c>
      <c r="AG436" s="9"/>
      <c r="AH436" s="8" t="str">
        <f>IF(AG436="","",Assumptions!$B$4-AG436)</f>
        <v/>
      </c>
      <c r="AI436" s="5" t="s">
        <v>80</v>
      </c>
      <c r="AJ436" s="8"/>
      <c r="AK436" s="8">
        <v>0</v>
      </c>
      <c r="AL436" s="8">
        <v>502</v>
      </c>
      <c r="AM436" s="8">
        <v>3</v>
      </c>
      <c r="AN436" s="5" t="s">
        <v>63</v>
      </c>
      <c r="AO436" s="10">
        <v>70</v>
      </c>
      <c r="AP436" s="8">
        <v>50</v>
      </c>
      <c r="AQ436" s="9">
        <v>46283</v>
      </c>
      <c r="AR436" s="5" t="s">
        <v>70</v>
      </c>
      <c r="AS436" s="5" t="s">
        <v>91</v>
      </c>
    </row>
    <row r="437" spans="1:45" x14ac:dyDescent="0.35">
      <c r="A437" s="5" t="s">
        <v>2140</v>
      </c>
      <c r="B437" s="5" t="s">
        <v>2141</v>
      </c>
      <c r="C437" s="6" t="s">
        <v>2142</v>
      </c>
      <c r="D437" s="7">
        <v>103700</v>
      </c>
      <c r="E437" s="5" t="s">
        <v>48</v>
      </c>
      <c r="F437" s="5" t="s">
        <v>49</v>
      </c>
      <c r="G437" s="8"/>
      <c r="H437" s="8" t="str">
        <f>IF(F437="Bullet",MIN(G437,Assumptions!$B$6),"")</f>
        <v/>
      </c>
      <c r="I437" s="8">
        <v>1</v>
      </c>
      <c r="J437" s="8">
        <f>IF(F437="Monthly interest",MAX(0,Assumptions!$B$5-I437),"")</f>
        <v>2</v>
      </c>
      <c r="K437" s="7">
        <f t="shared" si="18"/>
        <v>1901</v>
      </c>
      <c r="L437" s="9">
        <v>46297</v>
      </c>
      <c r="M437" s="5" t="s">
        <v>50</v>
      </c>
      <c r="N437" s="5" t="s">
        <v>53</v>
      </c>
      <c r="O437" s="5" t="s">
        <v>103</v>
      </c>
      <c r="P437" s="5" t="s">
        <v>51</v>
      </c>
      <c r="Q437" s="5" t="s">
        <v>54</v>
      </c>
      <c r="R437" s="5" t="s">
        <v>55</v>
      </c>
      <c r="S437" s="5" t="s">
        <v>56</v>
      </c>
      <c r="T437" s="5" t="s">
        <v>57</v>
      </c>
      <c r="U437" s="5" t="s">
        <v>86</v>
      </c>
      <c r="V437" s="5" t="s">
        <v>59</v>
      </c>
      <c r="W437" s="5" t="s">
        <v>156</v>
      </c>
      <c r="X437" s="5" t="s">
        <v>451</v>
      </c>
      <c r="Y437" s="5" t="s">
        <v>2143</v>
      </c>
      <c r="Z437" s="9">
        <v>46205</v>
      </c>
      <c r="AA437" s="8">
        <v>12</v>
      </c>
      <c r="AB437" s="9">
        <f t="shared" si="19"/>
        <v>46570</v>
      </c>
      <c r="AC437" s="10">
        <v>22</v>
      </c>
      <c r="AD437" s="7">
        <f t="shared" si="20"/>
        <v>1901</v>
      </c>
      <c r="AE437" s="7">
        <f>IF(F437="Bullet",H437*AD437,MIN(MAX(I437,1),Assumptions!$B$6)*AD437)</f>
        <v>1901</v>
      </c>
      <c r="AF437" s="8">
        <f>IF(F437="Bullet",MAX(0,Assumptions!$B$4-AB437),MAX(0,Assumptions!$B$4-L437))</f>
        <v>1</v>
      </c>
      <c r="AG437" s="9">
        <v>46268</v>
      </c>
      <c r="AH437" s="8">
        <f>IF(AG437="","",Assumptions!$B$4-AG437)</f>
        <v>30</v>
      </c>
      <c r="AI437" s="5" t="s">
        <v>63</v>
      </c>
      <c r="AJ437" s="8">
        <v>1</v>
      </c>
      <c r="AK437" s="8">
        <v>0</v>
      </c>
      <c r="AL437" s="8">
        <v>660</v>
      </c>
      <c r="AM437" s="8">
        <v>0</v>
      </c>
      <c r="AN437" s="5" t="s">
        <v>63</v>
      </c>
      <c r="AO437" s="10">
        <v>68.900000000000006</v>
      </c>
      <c r="AP437" s="8">
        <v>27</v>
      </c>
      <c r="AQ437" s="9">
        <v>46279</v>
      </c>
      <c r="AR437" s="5" t="s">
        <v>51</v>
      </c>
      <c r="AS437" s="5" t="s">
        <v>81</v>
      </c>
    </row>
    <row r="438" spans="1:45" x14ac:dyDescent="0.35">
      <c r="A438" s="5" t="s">
        <v>2144</v>
      </c>
      <c r="B438" s="5" t="s">
        <v>1709</v>
      </c>
      <c r="C438" s="6" t="s">
        <v>2145</v>
      </c>
      <c r="D438" s="7">
        <v>194700</v>
      </c>
      <c r="E438" s="5" t="s">
        <v>48</v>
      </c>
      <c r="F438" s="5" t="s">
        <v>68</v>
      </c>
      <c r="G438" s="8">
        <v>1</v>
      </c>
      <c r="H438" s="8">
        <f>IF(F438="Bullet",MIN(G438,Assumptions!$B$6),"")</f>
        <v>1</v>
      </c>
      <c r="I438" s="8"/>
      <c r="J438" s="8" t="str">
        <f>IF(F438="Monthly interest",MAX(0,Assumptions!$B$5-I438),"")</f>
        <v/>
      </c>
      <c r="K438" s="7">
        <f t="shared" si="18"/>
        <v>2434</v>
      </c>
      <c r="L438" s="9">
        <v>46247</v>
      </c>
      <c r="M438" s="5" t="s">
        <v>50</v>
      </c>
      <c r="N438" s="5" t="s">
        <v>51</v>
      </c>
      <c r="O438" s="5" t="s">
        <v>71</v>
      </c>
      <c r="P438" s="5" t="s">
        <v>53</v>
      </c>
      <c r="Q438" s="5" t="s">
        <v>73</v>
      </c>
      <c r="R438" s="5" t="s">
        <v>74</v>
      </c>
      <c r="S438" s="5" t="s">
        <v>56</v>
      </c>
      <c r="T438" s="5" t="s">
        <v>57</v>
      </c>
      <c r="U438" s="5" t="s">
        <v>104</v>
      </c>
      <c r="V438" s="5" t="s">
        <v>59</v>
      </c>
      <c r="W438" s="5" t="s">
        <v>467</v>
      </c>
      <c r="X438" s="5" t="s">
        <v>2146</v>
      </c>
      <c r="Y438" s="5" t="s">
        <v>2147</v>
      </c>
      <c r="Z438" s="9">
        <v>46247</v>
      </c>
      <c r="AA438" s="8">
        <v>6</v>
      </c>
      <c r="AB438" s="9">
        <f t="shared" si="19"/>
        <v>46431</v>
      </c>
      <c r="AC438" s="10">
        <v>15</v>
      </c>
      <c r="AD438" s="7">
        <f t="shared" si="20"/>
        <v>2434</v>
      </c>
      <c r="AE438" s="7">
        <f>IF(F438="Bullet",H438*AD438,MIN(MAX(I438,1),Assumptions!$B$6)*AD438)</f>
        <v>2434</v>
      </c>
      <c r="AF438" s="8">
        <f>IF(F438="Bullet",MAX(0,Assumptions!$B$4-AB438),MAX(0,Assumptions!$B$4-L438))</f>
        <v>0</v>
      </c>
      <c r="AG438" s="9"/>
      <c r="AH438" s="8" t="str">
        <f>IF(AG438="","",Assumptions!$B$4-AG438)</f>
        <v/>
      </c>
      <c r="AI438" s="5" t="s">
        <v>80</v>
      </c>
      <c r="AJ438" s="8"/>
      <c r="AK438" s="8">
        <v>0</v>
      </c>
      <c r="AL438" s="8">
        <v>705</v>
      </c>
      <c r="AM438" s="8">
        <v>1</v>
      </c>
      <c r="AN438" s="5" t="s">
        <v>63</v>
      </c>
      <c r="AO438" s="10">
        <v>68.400000000000006</v>
      </c>
      <c r="AP438" s="8">
        <v>14</v>
      </c>
      <c r="AQ438" s="9">
        <v>46283</v>
      </c>
      <c r="AR438" s="5" t="s">
        <v>51</v>
      </c>
      <c r="AS438" s="5" t="s">
        <v>64</v>
      </c>
    </row>
    <row r="439" spans="1:45" x14ac:dyDescent="0.35">
      <c r="A439" s="5" t="s">
        <v>2148</v>
      </c>
      <c r="B439" s="5" t="s">
        <v>2149</v>
      </c>
      <c r="C439" s="6" t="s">
        <v>2150</v>
      </c>
      <c r="D439" s="7">
        <v>328600</v>
      </c>
      <c r="E439" s="5" t="s">
        <v>48</v>
      </c>
      <c r="F439" s="5" t="s">
        <v>49</v>
      </c>
      <c r="G439" s="8"/>
      <c r="H439" s="8" t="str">
        <f>IF(F439="Bullet",MIN(G439,Assumptions!$B$6),"")</f>
        <v/>
      </c>
      <c r="I439" s="8">
        <v>1</v>
      </c>
      <c r="J439" s="8">
        <f>IF(F439="Monthly interest",MAX(0,Assumptions!$B$5-I439),"")</f>
        <v>2</v>
      </c>
      <c r="K439" s="7">
        <f t="shared" si="18"/>
        <v>5477</v>
      </c>
      <c r="L439" s="9">
        <v>46278</v>
      </c>
      <c r="M439" s="5" t="s">
        <v>50</v>
      </c>
      <c r="N439" s="5" t="s">
        <v>51</v>
      </c>
      <c r="O439" s="5" t="s">
        <v>52</v>
      </c>
      <c r="P439" s="5" t="s">
        <v>53</v>
      </c>
      <c r="Q439" s="5" t="s">
        <v>54</v>
      </c>
      <c r="R439" s="5" t="s">
        <v>55</v>
      </c>
      <c r="S439" s="5" t="s">
        <v>85</v>
      </c>
      <c r="T439" s="5" t="s">
        <v>57</v>
      </c>
      <c r="U439" s="5" t="s">
        <v>104</v>
      </c>
      <c r="V439" s="5" t="s">
        <v>177</v>
      </c>
      <c r="W439" s="5" t="s">
        <v>345</v>
      </c>
      <c r="X439" s="5" t="s">
        <v>2151</v>
      </c>
      <c r="Y439" s="5" t="s">
        <v>2152</v>
      </c>
      <c r="Z439" s="9">
        <v>46186</v>
      </c>
      <c r="AA439" s="8">
        <v>12</v>
      </c>
      <c r="AB439" s="9">
        <f t="shared" si="19"/>
        <v>46551</v>
      </c>
      <c r="AC439" s="10">
        <v>20</v>
      </c>
      <c r="AD439" s="7">
        <f t="shared" si="20"/>
        <v>5477</v>
      </c>
      <c r="AE439" s="7">
        <f>IF(F439="Bullet",H439*AD439,MIN(MAX(I439,1),Assumptions!$B$6)*AD439)</f>
        <v>5477</v>
      </c>
      <c r="AF439" s="8">
        <f>IF(F439="Bullet",MAX(0,Assumptions!$B$4-AB439),MAX(0,Assumptions!$B$4-L439))</f>
        <v>20</v>
      </c>
      <c r="AG439" s="9">
        <v>46251</v>
      </c>
      <c r="AH439" s="8">
        <f>IF(AG439="","",Assumptions!$B$4-AG439)</f>
        <v>47</v>
      </c>
      <c r="AI439" s="5" t="s">
        <v>63</v>
      </c>
      <c r="AJ439" s="8">
        <v>1</v>
      </c>
      <c r="AK439" s="8">
        <v>0</v>
      </c>
      <c r="AL439" s="8">
        <v>681</v>
      </c>
      <c r="AM439" s="8">
        <v>1</v>
      </c>
      <c r="AN439" s="5" t="s">
        <v>63</v>
      </c>
      <c r="AO439" s="10">
        <v>68.2</v>
      </c>
      <c r="AP439" s="8">
        <v>27</v>
      </c>
      <c r="AQ439" s="9">
        <v>46296</v>
      </c>
      <c r="AR439" s="5" t="s">
        <v>53</v>
      </c>
      <c r="AS439" s="5" t="s">
        <v>81</v>
      </c>
    </row>
    <row r="440" spans="1:45" x14ac:dyDescent="0.35">
      <c r="A440" s="5" t="s">
        <v>2153</v>
      </c>
      <c r="B440" s="5" t="s">
        <v>2154</v>
      </c>
      <c r="C440" s="6" t="s">
        <v>2155</v>
      </c>
      <c r="D440" s="7">
        <v>143800</v>
      </c>
      <c r="E440" s="5" t="s">
        <v>48</v>
      </c>
      <c r="F440" s="5" t="s">
        <v>49</v>
      </c>
      <c r="G440" s="8"/>
      <c r="H440" s="8" t="str">
        <f>IF(F440="Bullet",MIN(G440,Assumptions!$B$6),"")</f>
        <v/>
      </c>
      <c r="I440" s="8">
        <v>2</v>
      </c>
      <c r="J440" s="8">
        <f>IF(F440="Monthly interest",MAX(0,Assumptions!$B$5-I440),"")</f>
        <v>1</v>
      </c>
      <c r="K440" s="7">
        <f t="shared" si="18"/>
        <v>4314</v>
      </c>
      <c r="L440" s="9">
        <v>46254</v>
      </c>
      <c r="M440" s="5" t="s">
        <v>69</v>
      </c>
      <c r="N440" s="5" t="s">
        <v>53</v>
      </c>
      <c r="O440" s="5" t="s">
        <v>71</v>
      </c>
      <c r="P440" s="5" t="s">
        <v>70</v>
      </c>
      <c r="Q440" s="5" t="s">
        <v>73</v>
      </c>
      <c r="R440" s="5" t="s">
        <v>74</v>
      </c>
      <c r="S440" s="5" t="s">
        <v>253</v>
      </c>
      <c r="T440" s="5" t="s">
        <v>57</v>
      </c>
      <c r="U440" s="5" t="s">
        <v>58</v>
      </c>
      <c r="V440" s="5" t="s">
        <v>215</v>
      </c>
      <c r="W440" s="5" t="s">
        <v>600</v>
      </c>
      <c r="X440" s="5" t="s">
        <v>2156</v>
      </c>
      <c r="Y440" s="5" t="s">
        <v>2157</v>
      </c>
      <c r="Z440" s="9">
        <v>46011</v>
      </c>
      <c r="AA440" s="8">
        <v>18</v>
      </c>
      <c r="AB440" s="9">
        <f t="shared" si="19"/>
        <v>46558</v>
      </c>
      <c r="AC440" s="10">
        <v>18</v>
      </c>
      <c r="AD440" s="7">
        <f t="shared" si="20"/>
        <v>2157</v>
      </c>
      <c r="AE440" s="7">
        <f>IF(F440="Bullet",H440*AD440,MIN(MAX(I440,1),Assumptions!$B$6)*AD440)</f>
        <v>4314</v>
      </c>
      <c r="AF440" s="8">
        <f>IF(F440="Bullet",MAX(0,Assumptions!$B$4-AB440),MAX(0,Assumptions!$B$4-L440))</f>
        <v>44</v>
      </c>
      <c r="AG440" s="9">
        <v>46228</v>
      </c>
      <c r="AH440" s="8">
        <f>IF(AG440="","",Assumptions!$B$4-AG440)</f>
        <v>70</v>
      </c>
      <c r="AI440" s="5" t="s">
        <v>63</v>
      </c>
      <c r="AJ440" s="8">
        <v>2</v>
      </c>
      <c r="AK440" s="8">
        <v>0</v>
      </c>
      <c r="AL440" s="8">
        <v>698</v>
      </c>
      <c r="AM440" s="8">
        <v>2</v>
      </c>
      <c r="AN440" s="5" t="s">
        <v>63</v>
      </c>
      <c r="AO440" s="10">
        <v>72.2</v>
      </c>
      <c r="AP440" s="8">
        <v>41</v>
      </c>
      <c r="AQ440" s="9">
        <v>46290</v>
      </c>
      <c r="AR440" s="5" t="s">
        <v>70</v>
      </c>
      <c r="AS440" s="5" t="s">
        <v>64</v>
      </c>
    </row>
    <row r="441" spans="1:45" x14ac:dyDescent="0.35">
      <c r="A441" s="5" t="s">
        <v>2158</v>
      </c>
      <c r="B441" s="5" t="s">
        <v>2159</v>
      </c>
      <c r="C441" s="6" t="s">
        <v>2160</v>
      </c>
      <c r="D441" s="7">
        <v>177600</v>
      </c>
      <c r="E441" s="5" t="s">
        <v>48</v>
      </c>
      <c r="F441" s="5" t="s">
        <v>68</v>
      </c>
      <c r="G441" s="8">
        <v>4</v>
      </c>
      <c r="H441" s="8">
        <f>IF(F441="Bullet",MIN(G441,Assumptions!$B$6),"")</f>
        <v>2</v>
      </c>
      <c r="I441" s="8"/>
      <c r="J441" s="8" t="str">
        <f>IF(F441="Monthly interest",MAX(0,Assumptions!$B$5-I441),"")</f>
        <v/>
      </c>
      <c r="K441" s="7">
        <f t="shared" si="18"/>
        <v>8288</v>
      </c>
      <c r="L441" s="9">
        <v>46162</v>
      </c>
      <c r="M441" s="5" t="s">
        <v>50</v>
      </c>
      <c r="N441" s="5" t="s">
        <v>70</v>
      </c>
      <c r="O441" s="5" t="s">
        <v>531</v>
      </c>
      <c r="P441" s="5" t="s">
        <v>72</v>
      </c>
      <c r="Q441" s="5" t="s">
        <v>73</v>
      </c>
      <c r="R441" s="5" t="s">
        <v>74</v>
      </c>
      <c r="S441" s="5" t="s">
        <v>56</v>
      </c>
      <c r="T441" s="5" t="s">
        <v>63</v>
      </c>
      <c r="U441" s="5" t="s">
        <v>58</v>
      </c>
      <c r="V441" s="5" t="s">
        <v>59</v>
      </c>
      <c r="W441" s="5" t="s">
        <v>126</v>
      </c>
      <c r="X441" s="5" t="s">
        <v>2161</v>
      </c>
      <c r="Y441" s="5" t="s">
        <v>2162</v>
      </c>
      <c r="Z441" s="9">
        <v>46162</v>
      </c>
      <c r="AA441" s="8">
        <v>6</v>
      </c>
      <c r="AB441" s="9">
        <f t="shared" si="19"/>
        <v>46346</v>
      </c>
      <c r="AC441" s="10">
        <v>14</v>
      </c>
      <c r="AD441" s="7">
        <f t="shared" si="20"/>
        <v>2072</v>
      </c>
      <c r="AE441" s="7">
        <f>IF(F441="Bullet",H441*AD441,MIN(MAX(I441,1),Assumptions!$B$6)*AD441)</f>
        <v>4144</v>
      </c>
      <c r="AF441" s="8">
        <f>IF(F441="Bullet",MAX(0,Assumptions!$B$4-AB441),MAX(0,Assumptions!$B$4-L441))</f>
        <v>0</v>
      </c>
      <c r="AG441" s="9"/>
      <c r="AH441" s="8" t="str">
        <f>IF(AG441="","",Assumptions!$B$4-AG441)</f>
        <v/>
      </c>
      <c r="AI441" s="5" t="s">
        <v>80</v>
      </c>
      <c r="AJ441" s="8"/>
      <c r="AK441" s="8">
        <v>1</v>
      </c>
      <c r="AL441" s="8">
        <v>776</v>
      </c>
      <c r="AM441" s="8">
        <v>2</v>
      </c>
      <c r="AN441" s="5" t="s">
        <v>63</v>
      </c>
      <c r="AO441" s="10">
        <v>75.2</v>
      </c>
      <c r="AP441" s="8">
        <v>28</v>
      </c>
      <c r="AQ441" s="9">
        <v>46275</v>
      </c>
      <c r="AR441" s="5" t="s">
        <v>53</v>
      </c>
      <c r="AS441" s="5" t="s">
        <v>81</v>
      </c>
    </row>
    <row r="442" spans="1:45" x14ac:dyDescent="0.35">
      <c r="A442" s="5" t="s">
        <v>2163</v>
      </c>
      <c r="B442" s="5" t="s">
        <v>2164</v>
      </c>
      <c r="C442" s="6" t="s">
        <v>2165</v>
      </c>
      <c r="D442" s="7">
        <v>157500</v>
      </c>
      <c r="E442" s="5" t="s">
        <v>48</v>
      </c>
      <c r="F442" s="5" t="s">
        <v>68</v>
      </c>
      <c r="G442" s="8">
        <v>6</v>
      </c>
      <c r="H442" s="8">
        <f>IF(F442="Bullet",MIN(G442,Assumptions!$B$6),"")</f>
        <v>2</v>
      </c>
      <c r="I442" s="8"/>
      <c r="J442" s="8" t="str">
        <f>IF(F442="Monthly interest",MAX(0,Assumptions!$B$5-I442),"")</f>
        <v/>
      </c>
      <c r="K442" s="7">
        <f t="shared" si="18"/>
        <v>11028</v>
      </c>
      <c r="L442" s="9">
        <v>46098</v>
      </c>
      <c r="M442" s="5" t="s">
        <v>116</v>
      </c>
      <c r="N442" s="5" t="s">
        <v>117</v>
      </c>
      <c r="O442" s="5" t="s">
        <v>461</v>
      </c>
      <c r="P442" s="5" t="s">
        <v>72</v>
      </c>
      <c r="Q442" s="5" t="s">
        <v>169</v>
      </c>
      <c r="R442" s="5" t="s">
        <v>170</v>
      </c>
      <c r="S442" s="5" t="s">
        <v>75</v>
      </c>
      <c r="T442" s="5" t="s">
        <v>63</v>
      </c>
      <c r="U442" s="5" t="s">
        <v>58</v>
      </c>
      <c r="V442" s="5" t="s">
        <v>76</v>
      </c>
      <c r="W442" s="5" t="s">
        <v>140</v>
      </c>
      <c r="X442" s="5" t="s">
        <v>141</v>
      </c>
      <c r="Y442" s="5" t="s">
        <v>2166</v>
      </c>
      <c r="Z442" s="9">
        <v>46098</v>
      </c>
      <c r="AA442" s="8">
        <v>6</v>
      </c>
      <c r="AB442" s="9">
        <f t="shared" si="19"/>
        <v>46282</v>
      </c>
      <c r="AC442" s="10">
        <v>14</v>
      </c>
      <c r="AD442" s="7">
        <f t="shared" si="20"/>
        <v>1838</v>
      </c>
      <c r="AE442" s="7">
        <f>IF(F442="Bullet",H442*AD442,MIN(MAX(I442,1),Assumptions!$B$6)*AD442)</f>
        <v>3676</v>
      </c>
      <c r="AF442" s="8">
        <f>IF(F442="Bullet",MAX(0,Assumptions!$B$4-AB442),MAX(0,Assumptions!$B$4-L442))</f>
        <v>16</v>
      </c>
      <c r="AG442" s="9"/>
      <c r="AH442" s="8" t="str">
        <f>IF(AG442="","",Assumptions!$B$4-AG442)</f>
        <v/>
      </c>
      <c r="AI442" s="5" t="s">
        <v>80</v>
      </c>
      <c r="AJ442" s="8"/>
      <c r="AK442" s="8">
        <v>1</v>
      </c>
      <c r="AL442" s="8">
        <v>638</v>
      </c>
      <c r="AM442" s="8">
        <v>1</v>
      </c>
      <c r="AN442" s="5" t="s">
        <v>63</v>
      </c>
      <c r="AO442" s="10">
        <v>66.2</v>
      </c>
      <c r="AP442" s="8">
        <v>60</v>
      </c>
      <c r="AQ442" s="9">
        <v>46274</v>
      </c>
      <c r="AR442" s="5" t="s">
        <v>53</v>
      </c>
      <c r="AS442" s="5" t="s">
        <v>64</v>
      </c>
    </row>
    <row r="443" spans="1:45" x14ac:dyDescent="0.35">
      <c r="A443" s="5" t="s">
        <v>2167</v>
      </c>
      <c r="B443" s="5" t="s">
        <v>2168</v>
      </c>
      <c r="C443" s="6" t="s">
        <v>2169</v>
      </c>
      <c r="D443" s="7">
        <v>25400</v>
      </c>
      <c r="E443" s="5" t="s">
        <v>48</v>
      </c>
      <c r="F443" s="5" t="s">
        <v>49</v>
      </c>
      <c r="G443" s="8"/>
      <c r="H443" s="8" t="str">
        <f>IF(F443="Bullet",MIN(G443,Assumptions!$B$6),"")</f>
        <v/>
      </c>
      <c r="I443" s="8">
        <v>2</v>
      </c>
      <c r="J443" s="8">
        <f>IF(F443="Monthly interest",MAX(0,Assumptions!$B$5-I443),"")</f>
        <v>1</v>
      </c>
      <c r="K443" s="7">
        <f t="shared" si="18"/>
        <v>932</v>
      </c>
      <c r="L443" s="9">
        <v>46248</v>
      </c>
      <c r="M443" s="5" t="s">
        <v>69</v>
      </c>
      <c r="N443" s="5" t="s">
        <v>53</v>
      </c>
      <c r="O443" s="5" t="s">
        <v>152</v>
      </c>
      <c r="P443" s="5" t="s">
        <v>153</v>
      </c>
      <c r="Q443" s="5" t="s">
        <v>154</v>
      </c>
      <c r="R443" s="5" t="s">
        <v>155</v>
      </c>
      <c r="S443" s="5" t="s">
        <v>56</v>
      </c>
      <c r="T443" s="5" t="s">
        <v>57</v>
      </c>
      <c r="U443" s="5" t="s">
        <v>58</v>
      </c>
      <c r="V443" s="5" t="s">
        <v>59</v>
      </c>
      <c r="W443" s="5" t="s">
        <v>418</v>
      </c>
      <c r="X443" s="5" t="s">
        <v>2170</v>
      </c>
      <c r="Y443" s="5" t="s">
        <v>2171</v>
      </c>
      <c r="Z443" s="9">
        <v>46126</v>
      </c>
      <c r="AA443" s="8">
        <v>12</v>
      </c>
      <c r="AB443" s="9">
        <f t="shared" si="19"/>
        <v>46491</v>
      </c>
      <c r="AC443" s="10">
        <v>22</v>
      </c>
      <c r="AD443" s="7">
        <f t="shared" si="20"/>
        <v>466</v>
      </c>
      <c r="AE443" s="7">
        <f>IF(F443="Bullet",H443*AD443,MIN(MAX(I443,1),Assumptions!$B$6)*AD443)</f>
        <v>932</v>
      </c>
      <c r="AF443" s="8">
        <f>IF(F443="Bullet",MAX(0,Assumptions!$B$4-AB443),MAX(0,Assumptions!$B$4-L443))</f>
        <v>50</v>
      </c>
      <c r="AG443" s="9">
        <v>46222</v>
      </c>
      <c r="AH443" s="8">
        <f>IF(AG443="","",Assumptions!$B$4-AG443)</f>
        <v>76</v>
      </c>
      <c r="AI443" s="5" t="s">
        <v>57</v>
      </c>
      <c r="AJ443" s="8">
        <v>2</v>
      </c>
      <c r="AK443" s="8">
        <v>1</v>
      </c>
      <c r="AL443" s="8">
        <v>762</v>
      </c>
      <c r="AM443" s="8">
        <v>4</v>
      </c>
      <c r="AN443" s="5" t="s">
        <v>63</v>
      </c>
      <c r="AO443" s="10">
        <v>65</v>
      </c>
      <c r="AP443" s="8">
        <v>45</v>
      </c>
      <c r="AQ443" s="9">
        <v>46280</v>
      </c>
      <c r="AR443" s="5" t="s">
        <v>53</v>
      </c>
      <c r="AS443" s="5" t="s">
        <v>64</v>
      </c>
    </row>
    <row r="444" spans="1:45" x14ac:dyDescent="0.35">
      <c r="A444" s="5" t="s">
        <v>2172</v>
      </c>
      <c r="B444" s="5" t="s">
        <v>251</v>
      </c>
      <c r="C444" s="6" t="s">
        <v>2173</v>
      </c>
      <c r="D444" s="7">
        <v>202800</v>
      </c>
      <c r="E444" s="5" t="s">
        <v>48</v>
      </c>
      <c r="F444" s="5" t="s">
        <v>49</v>
      </c>
      <c r="G444" s="8"/>
      <c r="H444" s="8" t="str">
        <f>IF(F444="Bullet",MIN(G444,Assumptions!$B$6),"")</f>
        <v/>
      </c>
      <c r="I444" s="8">
        <v>2</v>
      </c>
      <c r="J444" s="8">
        <f>IF(F444="Monthly interest",MAX(0,Assumptions!$B$5-I444),"")</f>
        <v>1</v>
      </c>
      <c r="K444" s="7">
        <f t="shared" si="18"/>
        <v>8112</v>
      </c>
      <c r="L444" s="9">
        <v>46257</v>
      </c>
      <c r="M444" s="5" t="s">
        <v>50</v>
      </c>
      <c r="N444" s="5" t="s">
        <v>51</v>
      </c>
      <c r="O444" s="5" t="s">
        <v>71</v>
      </c>
      <c r="P444" s="5" t="s">
        <v>53</v>
      </c>
      <c r="Q444" s="5" t="s">
        <v>73</v>
      </c>
      <c r="R444" s="5" t="s">
        <v>74</v>
      </c>
      <c r="S444" s="5" t="s">
        <v>85</v>
      </c>
      <c r="T444" s="5" t="s">
        <v>57</v>
      </c>
      <c r="U444" s="5" t="s">
        <v>58</v>
      </c>
      <c r="V444" s="5" t="s">
        <v>96</v>
      </c>
      <c r="W444" s="5" t="s">
        <v>171</v>
      </c>
      <c r="X444" s="5" t="s">
        <v>2174</v>
      </c>
      <c r="Y444" s="5" t="s">
        <v>2175</v>
      </c>
      <c r="Z444" s="9">
        <v>46045</v>
      </c>
      <c r="AA444" s="8">
        <v>12</v>
      </c>
      <c r="AB444" s="9">
        <f t="shared" si="19"/>
        <v>46410</v>
      </c>
      <c r="AC444" s="10">
        <v>24</v>
      </c>
      <c r="AD444" s="7">
        <f t="shared" si="20"/>
        <v>4056</v>
      </c>
      <c r="AE444" s="7">
        <f>IF(F444="Bullet",H444*AD444,MIN(MAX(I444,1),Assumptions!$B$6)*AD444)</f>
        <v>8112</v>
      </c>
      <c r="AF444" s="8">
        <f>IF(F444="Bullet",MAX(0,Assumptions!$B$4-AB444),MAX(0,Assumptions!$B$4-L444))</f>
        <v>41</v>
      </c>
      <c r="AG444" s="9">
        <v>46230</v>
      </c>
      <c r="AH444" s="8">
        <f>IF(AG444="","",Assumptions!$B$4-AG444)</f>
        <v>68</v>
      </c>
      <c r="AI444" s="5" t="s">
        <v>63</v>
      </c>
      <c r="AJ444" s="8">
        <v>2</v>
      </c>
      <c r="AK444" s="8">
        <v>1</v>
      </c>
      <c r="AL444" s="8">
        <v>808</v>
      </c>
      <c r="AM444" s="8">
        <v>1</v>
      </c>
      <c r="AN444" s="5" t="s">
        <v>63</v>
      </c>
      <c r="AO444" s="10">
        <v>63.6</v>
      </c>
      <c r="AP444" s="8">
        <v>25</v>
      </c>
      <c r="AQ444" s="9">
        <v>46280</v>
      </c>
      <c r="AR444" s="5" t="s">
        <v>70</v>
      </c>
      <c r="AS444" s="5" t="s">
        <v>64</v>
      </c>
    </row>
    <row r="445" spans="1:45" x14ac:dyDescent="0.35">
      <c r="A445" s="5" t="s">
        <v>2176</v>
      </c>
      <c r="B445" s="5" t="s">
        <v>2177</v>
      </c>
      <c r="C445" s="6" t="s">
        <v>2178</v>
      </c>
      <c r="D445" s="7">
        <v>191700</v>
      </c>
      <c r="E445" s="5" t="s">
        <v>48</v>
      </c>
      <c r="F445" s="5" t="s">
        <v>49</v>
      </c>
      <c r="G445" s="8"/>
      <c r="H445" s="8" t="str">
        <f>IF(F445="Bullet",MIN(G445,Assumptions!$B$6),"")</f>
        <v/>
      </c>
      <c r="I445" s="8">
        <v>1</v>
      </c>
      <c r="J445" s="8">
        <f>IF(F445="Monthly interest",MAX(0,Assumptions!$B$5-I445),"")</f>
        <v>2</v>
      </c>
      <c r="K445" s="7">
        <f t="shared" si="18"/>
        <v>2237</v>
      </c>
      <c r="L445" s="9">
        <v>46287</v>
      </c>
      <c r="M445" s="5" t="s">
        <v>50</v>
      </c>
      <c r="N445" s="5" t="s">
        <v>51</v>
      </c>
      <c r="O445" s="5" t="s">
        <v>52</v>
      </c>
      <c r="P445" s="5" t="s">
        <v>53</v>
      </c>
      <c r="Q445" s="5" t="s">
        <v>54</v>
      </c>
      <c r="R445" s="5" t="s">
        <v>55</v>
      </c>
      <c r="S445" s="5" t="s">
        <v>214</v>
      </c>
      <c r="T445" s="5" t="s">
        <v>57</v>
      </c>
      <c r="U445" s="5" t="s">
        <v>58</v>
      </c>
      <c r="V445" s="5" t="s">
        <v>215</v>
      </c>
      <c r="W445" s="5" t="s">
        <v>216</v>
      </c>
      <c r="X445" s="5" t="s">
        <v>2179</v>
      </c>
      <c r="Y445" s="5" t="s">
        <v>2180</v>
      </c>
      <c r="Z445" s="9">
        <v>46164</v>
      </c>
      <c r="AA445" s="8">
        <v>12</v>
      </c>
      <c r="AB445" s="9">
        <f t="shared" si="19"/>
        <v>46529</v>
      </c>
      <c r="AC445" s="10">
        <v>14</v>
      </c>
      <c r="AD445" s="7">
        <f t="shared" si="20"/>
        <v>2237</v>
      </c>
      <c r="AE445" s="7">
        <f>IF(F445="Bullet",H445*AD445,MIN(MAX(I445,1),Assumptions!$B$6)*AD445)</f>
        <v>2237</v>
      </c>
      <c r="AF445" s="8">
        <f>IF(F445="Bullet",MAX(0,Assumptions!$B$4-AB445),MAX(0,Assumptions!$B$4-L445))</f>
        <v>11</v>
      </c>
      <c r="AG445" s="9">
        <v>46261</v>
      </c>
      <c r="AH445" s="8">
        <f>IF(AG445="","",Assumptions!$B$4-AG445)</f>
        <v>37</v>
      </c>
      <c r="AI445" s="5" t="s">
        <v>57</v>
      </c>
      <c r="AJ445" s="8">
        <v>1</v>
      </c>
      <c r="AK445" s="8">
        <v>0</v>
      </c>
      <c r="AL445" s="8">
        <v>692</v>
      </c>
      <c r="AM445" s="8">
        <v>1</v>
      </c>
      <c r="AN445" s="5" t="s">
        <v>63</v>
      </c>
      <c r="AO445" s="10">
        <v>50.4</v>
      </c>
      <c r="AP445" s="8">
        <v>20</v>
      </c>
      <c r="AQ445" s="9">
        <v>46287</v>
      </c>
      <c r="AR445" s="5" t="s">
        <v>53</v>
      </c>
      <c r="AS445" s="5" t="s">
        <v>91</v>
      </c>
    </row>
    <row r="446" spans="1:45" x14ac:dyDescent="0.35">
      <c r="A446" s="5" t="s">
        <v>2181</v>
      </c>
      <c r="B446" s="5" t="s">
        <v>2182</v>
      </c>
      <c r="C446" s="6" t="s">
        <v>2183</v>
      </c>
      <c r="D446" s="7">
        <v>42200</v>
      </c>
      <c r="E446" s="5" t="s">
        <v>48</v>
      </c>
      <c r="F446" s="5" t="s">
        <v>68</v>
      </c>
      <c r="G446" s="8">
        <v>4</v>
      </c>
      <c r="H446" s="8">
        <f>IF(F446="Bullet",MIN(G446,Assumptions!$B$6),"")</f>
        <v>2</v>
      </c>
      <c r="I446" s="8"/>
      <c r="J446" s="8" t="str">
        <f>IF(F446="Monthly interest",MAX(0,Assumptions!$B$5-I446),"")</f>
        <v/>
      </c>
      <c r="K446" s="7">
        <f t="shared" si="18"/>
        <v>2532</v>
      </c>
      <c r="L446" s="9">
        <v>46175</v>
      </c>
      <c r="M446" s="5" t="s">
        <v>69</v>
      </c>
      <c r="N446" s="5" t="s">
        <v>53</v>
      </c>
      <c r="O446" s="5" t="s">
        <v>152</v>
      </c>
      <c r="P446" s="5" t="s">
        <v>153</v>
      </c>
      <c r="Q446" s="5" t="s">
        <v>154</v>
      </c>
      <c r="R446" s="5" t="s">
        <v>155</v>
      </c>
      <c r="S446" s="5" t="s">
        <v>75</v>
      </c>
      <c r="T446" s="5" t="s">
        <v>57</v>
      </c>
      <c r="U446" s="5" t="s">
        <v>86</v>
      </c>
      <c r="V446" s="5" t="s">
        <v>76</v>
      </c>
      <c r="W446" s="5" t="s">
        <v>306</v>
      </c>
      <c r="X446" s="5" t="s">
        <v>1094</v>
      </c>
      <c r="Y446" s="5" t="s">
        <v>2184</v>
      </c>
      <c r="Z446" s="9">
        <v>46175</v>
      </c>
      <c r="AA446" s="8">
        <v>6</v>
      </c>
      <c r="AB446" s="9">
        <f t="shared" si="19"/>
        <v>46358</v>
      </c>
      <c r="AC446" s="10">
        <v>18</v>
      </c>
      <c r="AD446" s="7">
        <f t="shared" si="20"/>
        <v>633</v>
      </c>
      <c r="AE446" s="7">
        <f>IF(F446="Bullet",H446*AD446,MIN(MAX(I446,1),Assumptions!$B$6)*AD446)</f>
        <v>1266</v>
      </c>
      <c r="AF446" s="8">
        <f>IF(F446="Bullet",MAX(0,Assumptions!$B$4-AB446),MAX(0,Assumptions!$B$4-L446))</f>
        <v>0</v>
      </c>
      <c r="AG446" s="9"/>
      <c r="AH446" s="8" t="str">
        <f>IF(AG446="","",Assumptions!$B$4-AG446)</f>
        <v/>
      </c>
      <c r="AI446" s="5" t="s">
        <v>80</v>
      </c>
      <c r="AJ446" s="8"/>
      <c r="AK446" s="8">
        <v>2</v>
      </c>
      <c r="AL446" s="8">
        <v>665</v>
      </c>
      <c r="AM446" s="8">
        <v>1</v>
      </c>
      <c r="AN446" s="5" t="s">
        <v>63</v>
      </c>
      <c r="AO446" s="10">
        <v>56.1</v>
      </c>
      <c r="AP446" s="8">
        <v>36</v>
      </c>
      <c r="AQ446" s="9">
        <v>46275</v>
      </c>
      <c r="AR446" s="5" t="s">
        <v>72</v>
      </c>
      <c r="AS446" s="5" t="s">
        <v>190</v>
      </c>
    </row>
    <row r="447" spans="1:45" x14ac:dyDescent="0.35">
      <c r="A447" s="5" t="s">
        <v>2185</v>
      </c>
      <c r="B447" s="5" t="s">
        <v>2186</v>
      </c>
      <c r="C447" s="6" t="s">
        <v>2187</v>
      </c>
      <c r="D447" s="7">
        <v>154900</v>
      </c>
      <c r="E447" s="5" t="s">
        <v>48</v>
      </c>
      <c r="F447" s="5" t="s">
        <v>68</v>
      </c>
      <c r="G447" s="8">
        <v>1</v>
      </c>
      <c r="H447" s="8">
        <f>IF(F447="Bullet",MIN(G447,Assumptions!$B$6),"")</f>
        <v>1</v>
      </c>
      <c r="I447" s="8"/>
      <c r="J447" s="8" t="str">
        <f>IF(F447="Monthly interest",MAX(0,Assumptions!$B$5-I447),"")</f>
        <v/>
      </c>
      <c r="K447" s="7">
        <f t="shared" si="18"/>
        <v>1807</v>
      </c>
      <c r="L447" s="9">
        <v>46255</v>
      </c>
      <c r="M447" s="5" t="s">
        <v>50</v>
      </c>
      <c r="N447" s="5" t="s">
        <v>53</v>
      </c>
      <c r="O447" s="5" t="s">
        <v>95</v>
      </c>
      <c r="P447" s="5" t="s">
        <v>70</v>
      </c>
      <c r="Q447" s="5" t="s">
        <v>73</v>
      </c>
      <c r="R447" s="5" t="s">
        <v>74</v>
      </c>
      <c r="S447" s="5" t="s">
        <v>75</v>
      </c>
      <c r="T447" s="5" t="s">
        <v>63</v>
      </c>
      <c r="U447" s="5" t="s">
        <v>58</v>
      </c>
      <c r="V447" s="5" t="s">
        <v>76</v>
      </c>
      <c r="W447" s="5" t="s">
        <v>547</v>
      </c>
      <c r="X447" s="5" t="s">
        <v>1428</v>
      </c>
      <c r="Y447" s="5" t="s">
        <v>2188</v>
      </c>
      <c r="Z447" s="9">
        <v>46255</v>
      </c>
      <c r="AA447" s="8">
        <v>6</v>
      </c>
      <c r="AB447" s="9">
        <f t="shared" si="19"/>
        <v>46439</v>
      </c>
      <c r="AC447" s="10">
        <v>14</v>
      </c>
      <c r="AD447" s="7">
        <f t="shared" si="20"/>
        <v>1807</v>
      </c>
      <c r="AE447" s="7">
        <f>IF(F447="Bullet",H447*AD447,MIN(MAX(I447,1),Assumptions!$B$6)*AD447)</f>
        <v>1807</v>
      </c>
      <c r="AF447" s="8">
        <f>IF(F447="Bullet",MAX(0,Assumptions!$B$4-AB447),MAX(0,Assumptions!$B$4-L447))</f>
        <v>0</v>
      </c>
      <c r="AG447" s="9"/>
      <c r="AH447" s="8" t="str">
        <f>IF(AG447="","",Assumptions!$B$4-AG447)</f>
        <v/>
      </c>
      <c r="AI447" s="5" t="s">
        <v>80</v>
      </c>
      <c r="AJ447" s="8"/>
      <c r="AK447" s="8">
        <v>1</v>
      </c>
      <c r="AL447" s="8">
        <v>677</v>
      </c>
      <c r="AM447" s="8">
        <v>0</v>
      </c>
      <c r="AN447" s="5" t="s">
        <v>63</v>
      </c>
      <c r="AO447" s="10">
        <v>66.5</v>
      </c>
      <c r="AP447" s="8">
        <v>18</v>
      </c>
      <c r="AQ447" s="9">
        <v>46291</v>
      </c>
      <c r="AR447" s="5" t="s">
        <v>51</v>
      </c>
      <c r="AS447" s="5" t="s">
        <v>190</v>
      </c>
    </row>
    <row r="448" spans="1:45" x14ac:dyDescent="0.35">
      <c r="A448" s="5" t="s">
        <v>2189</v>
      </c>
      <c r="B448" s="5" t="s">
        <v>1563</v>
      </c>
      <c r="C448" s="6" t="s">
        <v>2190</v>
      </c>
      <c r="D448" s="7">
        <v>372600</v>
      </c>
      <c r="E448" s="5" t="s">
        <v>48</v>
      </c>
      <c r="F448" s="5" t="s">
        <v>68</v>
      </c>
      <c r="G448" s="8">
        <v>6</v>
      </c>
      <c r="H448" s="8">
        <f>IF(F448="Bullet",MIN(G448,Assumptions!$B$6),"")</f>
        <v>2</v>
      </c>
      <c r="I448" s="8"/>
      <c r="J448" s="8" t="str">
        <f>IF(F448="Monthly interest",MAX(0,Assumptions!$B$5-I448),"")</f>
        <v/>
      </c>
      <c r="K448" s="7">
        <f t="shared" si="18"/>
        <v>24222</v>
      </c>
      <c r="L448" s="9">
        <v>46113</v>
      </c>
      <c r="M448" s="5" t="s">
        <v>116</v>
      </c>
      <c r="N448" s="5" t="s">
        <v>117</v>
      </c>
      <c r="O448" s="5" t="s">
        <v>461</v>
      </c>
      <c r="P448" s="5" t="s">
        <v>72</v>
      </c>
      <c r="Q448" s="5" t="s">
        <v>169</v>
      </c>
      <c r="R448" s="5" t="s">
        <v>170</v>
      </c>
      <c r="S448" s="5" t="s">
        <v>75</v>
      </c>
      <c r="T448" s="5" t="s">
        <v>57</v>
      </c>
      <c r="U448" s="5" t="s">
        <v>86</v>
      </c>
      <c r="V448" s="5" t="s">
        <v>76</v>
      </c>
      <c r="W448" s="5" t="s">
        <v>146</v>
      </c>
      <c r="X448" s="5" t="s">
        <v>2191</v>
      </c>
      <c r="Y448" s="5" t="s">
        <v>2192</v>
      </c>
      <c r="Z448" s="9">
        <v>46113</v>
      </c>
      <c r="AA448" s="8">
        <v>6</v>
      </c>
      <c r="AB448" s="9">
        <f t="shared" si="19"/>
        <v>46296</v>
      </c>
      <c r="AC448" s="10">
        <v>13</v>
      </c>
      <c r="AD448" s="7">
        <f t="shared" si="20"/>
        <v>4037</v>
      </c>
      <c r="AE448" s="7">
        <f>IF(F448="Bullet",H448*AD448,MIN(MAX(I448,1),Assumptions!$B$6)*AD448)</f>
        <v>8074</v>
      </c>
      <c r="AF448" s="8">
        <f>IF(F448="Bullet",MAX(0,Assumptions!$B$4-AB448),MAX(0,Assumptions!$B$4-L448))</f>
        <v>2</v>
      </c>
      <c r="AG448" s="9"/>
      <c r="AH448" s="8" t="str">
        <f>IF(AG448="","",Assumptions!$B$4-AG448)</f>
        <v/>
      </c>
      <c r="AI448" s="5" t="s">
        <v>80</v>
      </c>
      <c r="AJ448" s="8"/>
      <c r="AK448" s="8">
        <v>1</v>
      </c>
      <c r="AL448" s="8">
        <v>715</v>
      </c>
      <c r="AM448" s="8">
        <v>1</v>
      </c>
      <c r="AN448" s="5" t="s">
        <v>63</v>
      </c>
      <c r="AO448" s="10">
        <v>76.099999999999994</v>
      </c>
      <c r="AP448" s="8">
        <v>63</v>
      </c>
      <c r="AQ448" s="9">
        <v>46283</v>
      </c>
      <c r="AR448" s="5" t="s">
        <v>70</v>
      </c>
      <c r="AS448" s="5" t="s">
        <v>81</v>
      </c>
    </row>
    <row r="449" spans="1:45" x14ac:dyDescent="0.35">
      <c r="A449" s="5" t="s">
        <v>2193</v>
      </c>
      <c r="B449" s="5" t="s">
        <v>2194</v>
      </c>
      <c r="C449" s="6" t="s">
        <v>2195</v>
      </c>
      <c r="D449" s="7">
        <v>101600</v>
      </c>
      <c r="E449" s="5" t="s">
        <v>48</v>
      </c>
      <c r="F449" s="5" t="s">
        <v>49</v>
      </c>
      <c r="G449" s="8"/>
      <c r="H449" s="8" t="str">
        <f>IF(F449="Bullet",MIN(G449,Assumptions!$B$6),"")</f>
        <v/>
      </c>
      <c r="I449" s="8">
        <v>1</v>
      </c>
      <c r="J449" s="8">
        <f>IF(F449="Monthly interest",MAX(0,Assumptions!$B$5-I449),"")</f>
        <v>2</v>
      </c>
      <c r="K449" s="7">
        <f t="shared" si="18"/>
        <v>1185</v>
      </c>
      <c r="L449" s="9">
        <v>46289</v>
      </c>
      <c r="M449" s="5" t="s">
        <v>50</v>
      </c>
      <c r="N449" s="5" t="s">
        <v>53</v>
      </c>
      <c r="O449" s="5" t="s">
        <v>103</v>
      </c>
      <c r="P449" s="5" t="s">
        <v>51</v>
      </c>
      <c r="Q449" s="5" t="s">
        <v>54</v>
      </c>
      <c r="R449" s="5" t="s">
        <v>55</v>
      </c>
      <c r="S449" s="5" t="s">
        <v>85</v>
      </c>
      <c r="T449" s="5" t="s">
        <v>57</v>
      </c>
      <c r="U449" s="5" t="s">
        <v>104</v>
      </c>
      <c r="V449" s="5" t="s">
        <v>177</v>
      </c>
      <c r="W449" s="5" t="s">
        <v>208</v>
      </c>
      <c r="X449" s="5" t="s">
        <v>909</v>
      </c>
      <c r="Y449" s="5" t="s">
        <v>2196</v>
      </c>
      <c r="Z449" s="9">
        <v>46105</v>
      </c>
      <c r="AA449" s="8">
        <v>12</v>
      </c>
      <c r="AB449" s="9">
        <f t="shared" si="19"/>
        <v>46470</v>
      </c>
      <c r="AC449" s="10">
        <v>14</v>
      </c>
      <c r="AD449" s="7">
        <f t="shared" si="20"/>
        <v>1185</v>
      </c>
      <c r="AE449" s="7">
        <f>IF(F449="Bullet",H449*AD449,MIN(MAX(I449,1),Assumptions!$B$6)*AD449)</f>
        <v>1185</v>
      </c>
      <c r="AF449" s="8">
        <f>IF(F449="Bullet",MAX(0,Assumptions!$B$4-AB449),MAX(0,Assumptions!$B$4-L449))</f>
        <v>9</v>
      </c>
      <c r="AG449" s="9">
        <v>46260</v>
      </c>
      <c r="AH449" s="8">
        <f>IF(AG449="","",Assumptions!$B$4-AG449)</f>
        <v>38</v>
      </c>
      <c r="AI449" s="5" t="s">
        <v>57</v>
      </c>
      <c r="AJ449" s="8">
        <v>1</v>
      </c>
      <c r="AK449" s="8">
        <v>0</v>
      </c>
      <c r="AL449" s="8">
        <v>717</v>
      </c>
      <c r="AM449" s="8">
        <v>0</v>
      </c>
      <c r="AN449" s="5" t="s">
        <v>63</v>
      </c>
      <c r="AO449" s="10">
        <v>72.099999999999994</v>
      </c>
      <c r="AP449" s="8">
        <v>21</v>
      </c>
      <c r="AQ449" s="9">
        <v>46275</v>
      </c>
      <c r="AR449" s="5" t="s">
        <v>51</v>
      </c>
      <c r="AS449" s="5" t="s">
        <v>81</v>
      </c>
    </row>
    <row r="450" spans="1:45" x14ac:dyDescent="0.35">
      <c r="A450" s="5" t="s">
        <v>2197</v>
      </c>
      <c r="B450" s="5" t="s">
        <v>2198</v>
      </c>
      <c r="C450" s="6" t="s">
        <v>2199</v>
      </c>
      <c r="D450" s="7">
        <v>136600</v>
      </c>
      <c r="E450" s="5" t="s">
        <v>48</v>
      </c>
      <c r="F450" s="5" t="s">
        <v>68</v>
      </c>
      <c r="G450" s="8">
        <v>4</v>
      </c>
      <c r="H450" s="8">
        <f>IF(F450="Bullet",MIN(G450,Assumptions!$B$6),"")</f>
        <v>2</v>
      </c>
      <c r="I450" s="8"/>
      <c r="J450" s="8" t="str">
        <f>IF(F450="Monthly interest",MAX(0,Assumptions!$B$5-I450),"")</f>
        <v/>
      </c>
      <c r="K450" s="7">
        <f t="shared" ref="K450:K513" si="21">IF(F450="Bullet",G450*AD450,MAX(I450,1)*AD450)</f>
        <v>6376</v>
      </c>
      <c r="L450" s="9">
        <v>46165</v>
      </c>
      <c r="M450" s="5" t="s">
        <v>69</v>
      </c>
      <c r="N450" s="5" t="s">
        <v>53</v>
      </c>
      <c r="O450" s="5" t="s">
        <v>71</v>
      </c>
      <c r="P450" s="5" t="s">
        <v>70</v>
      </c>
      <c r="Q450" s="5" t="s">
        <v>73</v>
      </c>
      <c r="R450" s="5" t="s">
        <v>74</v>
      </c>
      <c r="S450" s="5" t="s">
        <v>75</v>
      </c>
      <c r="T450" s="5" t="s">
        <v>57</v>
      </c>
      <c r="U450" s="5" t="s">
        <v>86</v>
      </c>
      <c r="V450" s="5" t="s">
        <v>76</v>
      </c>
      <c r="W450" s="5" t="s">
        <v>77</v>
      </c>
      <c r="X450" s="5" t="s">
        <v>2200</v>
      </c>
      <c r="Y450" s="5" t="s">
        <v>2201</v>
      </c>
      <c r="Z450" s="9">
        <v>46165</v>
      </c>
      <c r="AA450" s="8">
        <v>3</v>
      </c>
      <c r="AB450" s="9">
        <f t="shared" ref="AB450:AB513" si="22">EDATE(Z450,AA450)</f>
        <v>46257</v>
      </c>
      <c r="AC450" s="10">
        <v>14</v>
      </c>
      <c r="AD450" s="7">
        <f t="shared" ref="AD450:AD513" si="23">ROUND(D450*AC450/100/12,0)</f>
        <v>1594</v>
      </c>
      <c r="AE450" s="7">
        <f>IF(F450="Bullet",H450*AD450,MIN(MAX(I450,1),Assumptions!$B$6)*AD450)</f>
        <v>3188</v>
      </c>
      <c r="AF450" s="8">
        <f>IF(F450="Bullet",MAX(0,Assumptions!$B$4-AB450),MAX(0,Assumptions!$B$4-L450))</f>
        <v>41</v>
      </c>
      <c r="AG450" s="9"/>
      <c r="AH450" s="8" t="str">
        <f>IF(AG450="","",Assumptions!$B$4-AG450)</f>
        <v/>
      </c>
      <c r="AI450" s="5" t="s">
        <v>80</v>
      </c>
      <c r="AJ450" s="8"/>
      <c r="AK450" s="8">
        <v>0</v>
      </c>
      <c r="AL450" s="8">
        <v>755</v>
      </c>
      <c r="AM450" s="8">
        <v>0</v>
      </c>
      <c r="AN450" s="5" t="s">
        <v>63</v>
      </c>
      <c r="AO450" s="10">
        <v>59</v>
      </c>
      <c r="AP450" s="8">
        <v>32</v>
      </c>
      <c r="AQ450" s="9">
        <v>46295</v>
      </c>
      <c r="AR450" s="5" t="s">
        <v>70</v>
      </c>
      <c r="AS450" s="5" t="s">
        <v>81</v>
      </c>
    </row>
    <row r="451" spans="1:45" x14ac:dyDescent="0.35">
      <c r="A451" s="5" t="s">
        <v>2202</v>
      </c>
      <c r="B451" s="5" t="s">
        <v>2203</v>
      </c>
      <c r="C451" s="6" t="s">
        <v>2204</v>
      </c>
      <c r="D451" s="7">
        <v>40400</v>
      </c>
      <c r="E451" s="5" t="s">
        <v>48</v>
      </c>
      <c r="F451" s="5" t="s">
        <v>68</v>
      </c>
      <c r="G451" s="8">
        <v>6</v>
      </c>
      <c r="H451" s="8">
        <f>IF(F451="Bullet",MIN(G451,Assumptions!$B$6),"")</f>
        <v>2</v>
      </c>
      <c r="I451" s="8"/>
      <c r="J451" s="8" t="str">
        <f>IF(F451="Monthly interest",MAX(0,Assumptions!$B$5-I451),"")</f>
        <v/>
      </c>
      <c r="K451" s="7">
        <f t="shared" si="21"/>
        <v>2826</v>
      </c>
      <c r="L451" s="9">
        <v>46114</v>
      </c>
      <c r="M451" s="5" t="s">
        <v>116</v>
      </c>
      <c r="N451" s="5" t="s">
        <v>117</v>
      </c>
      <c r="O451" s="5" t="s">
        <v>461</v>
      </c>
      <c r="P451" s="5" t="s">
        <v>72</v>
      </c>
      <c r="Q451" s="5" t="s">
        <v>169</v>
      </c>
      <c r="R451" s="5" t="s">
        <v>170</v>
      </c>
      <c r="S451" s="5" t="s">
        <v>75</v>
      </c>
      <c r="T451" s="5" t="s">
        <v>63</v>
      </c>
      <c r="U451" s="5" t="s">
        <v>104</v>
      </c>
      <c r="V451" s="5" t="s">
        <v>76</v>
      </c>
      <c r="W451" s="5" t="s">
        <v>444</v>
      </c>
      <c r="X451" s="5" t="s">
        <v>787</v>
      </c>
      <c r="Y451" s="5" t="s">
        <v>2205</v>
      </c>
      <c r="Z451" s="9">
        <v>46114</v>
      </c>
      <c r="AA451" s="8">
        <v>6</v>
      </c>
      <c r="AB451" s="9">
        <f t="shared" si="22"/>
        <v>46297</v>
      </c>
      <c r="AC451" s="10">
        <v>14</v>
      </c>
      <c r="AD451" s="7">
        <f t="shared" si="23"/>
        <v>471</v>
      </c>
      <c r="AE451" s="7">
        <f>IF(F451="Bullet",H451*AD451,MIN(MAX(I451,1),Assumptions!$B$6)*AD451)</f>
        <v>942</v>
      </c>
      <c r="AF451" s="8">
        <f>IF(F451="Bullet",MAX(0,Assumptions!$B$4-AB451),MAX(0,Assumptions!$B$4-L451))</f>
        <v>1</v>
      </c>
      <c r="AG451" s="9"/>
      <c r="AH451" s="8" t="str">
        <f>IF(AG451="","",Assumptions!$B$4-AG451)</f>
        <v/>
      </c>
      <c r="AI451" s="5" t="s">
        <v>80</v>
      </c>
      <c r="AJ451" s="8"/>
      <c r="AK451" s="8">
        <v>1</v>
      </c>
      <c r="AL451" s="8">
        <v>675</v>
      </c>
      <c r="AM451" s="8">
        <v>2</v>
      </c>
      <c r="AN451" s="5" t="s">
        <v>57</v>
      </c>
      <c r="AO451" s="10">
        <v>64.3</v>
      </c>
      <c r="AP451" s="8">
        <v>72</v>
      </c>
      <c r="AQ451" s="9"/>
      <c r="AR451" s="5"/>
      <c r="AS451" s="5" t="s">
        <v>159</v>
      </c>
    </row>
    <row r="452" spans="1:45" x14ac:dyDescent="0.35">
      <c r="A452" s="5" t="s">
        <v>2206</v>
      </c>
      <c r="B452" s="5" t="s">
        <v>2207</v>
      </c>
      <c r="C452" s="6" t="s">
        <v>2208</v>
      </c>
      <c r="D452" s="7">
        <v>205900</v>
      </c>
      <c r="E452" s="5" t="s">
        <v>48</v>
      </c>
      <c r="F452" s="5" t="s">
        <v>68</v>
      </c>
      <c r="G452" s="8">
        <v>1</v>
      </c>
      <c r="H452" s="8">
        <f>IF(F452="Bullet",MIN(G452,Assumptions!$B$6),"")</f>
        <v>1</v>
      </c>
      <c r="I452" s="8"/>
      <c r="J452" s="8" t="str">
        <f>IF(F452="Monthly interest",MAX(0,Assumptions!$B$5-I452),"")</f>
        <v/>
      </c>
      <c r="K452" s="7">
        <f t="shared" si="21"/>
        <v>2402</v>
      </c>
      <c r="L452" s="9">
        <v>46258</v>
      </c>
      <c r="M452" s="5" t="s">
        <v>50</v>
      </c>
      <c r="N452" s="5" t="s">
        <v>53</v>
      </c>
      <c r="O452" s="5" t="s">
        <v>132</v>
      </c>
      <c r="P452" s="5" t="s">
        <v>51</v>
      </c>
      <c r="Q452" s="5" t="s">
        <v>73</v>
      </c>
      <c r="R452" s="5" t="s">
        <v>74</v>
      </c>
      <c r="S452" s="5" t="s">
        <v>75</v>
      </c>
      <c r="T452" s="5" t="s">
        <v>57</v>
      </c>
      <c r="U452" s="5" t="s">
        <v>104</v>
      </c>
      <c r="V452" s="5" t="s">
        <v>76</v>
      </c>
      <c r="W452" s="5" t="s">
        <v>146</v>
      </c>
      <c r="X452" s="5" t="s">
        <v>2191</v>
      </c>
      <c r="Y452" s="5" t="s">
        <v>2209</v>
      </c>
      <c r="Z452" s="9">
        <v>46258</v>
      </c>
      <c r="AA452" s="8">
        <v>12</v>
      </c>
      <c r="AB452" s="9">
        <f t="shared" si="22"/>
        <v>46623</v>
      </c>
      <c r="AC452" s="10">
        <v>14</v>
      </c>
      <c r="AD452" s="7">
        <f t="shared" si="23"/>
        <v>2402</v>
      </c>
      <c r="AE452" s="7">
        <f>IF(F452="Bullet",H452*AD452,MIN(MAX(I452,1),Assumptions!$B$6)*AD452)</f>
        <v>2402</v>
      </c>
      <c r="AF452" s="8">
        <f>IF(F452="Bullet",MAX(0,Assumptions!$B$4-AB452),MAX(0,Assumptions!$B$4-L452))</f>
        <v>0</v>
      </c>
      <c r="AG452" s="9"/>
      <c r="AH452" s="8" t="str">
        <f>IF(AG452="","",Assumptions!$B$4-AG452)</f>
        <v/>
      </c>
      <c r="AI452" s="5" t="s">
        <v>80</v>
      </c>
      <c r="AJ452" s="8"/>
      <c r="AK452" s="8">
        <v>0</v>
      </c>
      <c r="AL452" s="8">
        <v>728</v>
      </c>
      <c r="AM452" s="8">
        <v>0</v>
      </c>
      <c r="AN452" s="5" t="s">
        <v>63</v>
      </c>
      <c r="AO452" s="10">
        <v>63.9</v>
      </c>
      <c r="AP452" s="8">
        <v>6</v>
      </c>
      <c r="AQ452" s="9">
        <v>46288</v>
      </c>
      <c r="AR452" s="5" t="s">
        <v>51</v>
      </c>
      <c r="AS452" s="5" t="s">
        <v>91</v>
      </c>
    </row>
    <row r="453" spans="1:45" x14ac:dyDescent="0.35">
      <c r="A453" s="5" t="s">
        <v>2210</v>
      </c>
      <c r="B453" s="5" t="s">
        <v>2211</v>
      </c>
      <c r="C453" s="6" t="s">
        <v>2212</v>
      </c>
      <c r="D453" s="7">
        <v>220500</v>
      </c>
      <c r="E453" s="5" t="s">
        <v>48</v>
      </c>
      <c r="F453" s="5" t="s">
        <v>49</v>
      </c>
      <c r="G453" s="8"/>
      <c r="H453" s="8" t="str">
        <f>IF(F453="Bullet",MIN(G453,Assumptions!$B$6),"")</f>
        <v/>
      </c>
      <c r="I453" s="8">
        <v>1</v>
      </c>
      <c r="J453" s="8">
        <f>IF(F453="Monthly interest",MAX(0,Assumptions!$B$5-I453),"")</f>
        <v>2</v>
      </c>
      <c r="K453" s="7">
        <f t="shared" si="21"/>
        <v>3675</v>
      </c>
      <c r="L453" s="9">
        <v>46278</v>
      </c>
      <c r="M453" s="5" t="s">
        <v>69</v>
      </c>
      <c r="N453" s="5" t="s">
        <v>53</v>
      </c>
      <c r="O453" s="5" t="s">
        <v>103</v>
      </c>
      <c r="P453" s="5" t="s">
        <v>70</v>
      </c>
      <c r="Q453" s="5" t="s">
        <v>54</v>
      </c>
      <c r="R453" s="5" t="s">
        <v>55</v>
      </c>
      <c r="S453" s="5" t="s">
        <v>75</v>
      </c>
      <c r="T453" s="5" t="s">
        <v>57</v>
      </c>
      <c r="U453" s="5" t="s">
        <v>86</v>
      </c>
      <c r="V453" s="5" t="s">
        <v>76</v>
      </c>
      <c r="W453" s="5" t="s">
        <v>77</v>
      </c>
      <c r="X453" s="5" t="s">
        <v>2200</v>
      </c>
      <c r="Y453" s="5" t="s">
        <v>2213</v>
      </c>
      <c r="Z453" s="9">
        <v>46186</v>
      </c>
      <c r="AA453" s="8">
        <v>12</v>
      </c>
      <c r="AB453" s="9">
        <f t="shared" si="22"/>
        <v>46551</v>
      </c>
      <c r="AC453" s="10">
        <v>20</v>
      </c>
      <c r="AD453" s="7">
        <f t="shared" si="23"/>
        <v>3675</v>
      </c>
      <c r="AE453" s="7">
        <f>IF(F453="Bullet",H453*AD453,MIN(MAX(I453,1),Assumptions!$B$6)*AD453)</f>
        <v>3675</v>
      </c>
      <c r="AF453" s="8">
        <f>IF(F453="Bullet",MAX(0,Assumptions!$B$4-AB453),MAX(0,Assumptions!$B$4-L453))</f>
        <v>20</v>
      </c>
      <c r="AG453" s="9">
        <v>46252</v>
      </c>
      <c r="AH453" s="8">
        <f>IF(AG453="","",Assumptions!$B$4-AG453)</f>
        <v>46</v>
      </c>
      <c r="AI453" s="5" t="s">
        <v>57</v>
      </c>
      <c r="AJ453" s="8">
        <v>1</v>
      </c>
      <c r="AK453" s="8">
        <v>0</v>
      </c>
      <c r="AL453" s="8">
        <v>631</v>
      </c>
      <c r="AM453" s="8">
        <v>2</v>
      </c>
      <c r="AN453" s="5" t="s">
        <v>63</v>
      </c>
      <c r="AO453" s="10">
        <v>60.5</v>
      </c>
      <c r="AP453" s="8">
        <v>42</v>
      </c>
      <c r="AQ453" s="9">
        <v>46278</v>
      </c>
      <c r="AR453" s="5" t="s">
        <v>51</v>
      </c>
      <c r="AS453" s="5" t="s">
        <v>81</v>
      </c>
    </row>
    <row r="454" spans="1:45" x14ac:dyDescent="0.35">
      <c r="A454" s="5" t="s">
        <v>2214</v>
      </c>
      <c r="B454" s="5" t="s">
        <v>2215</v>
      </c>
      <c r="C454" s="6" t="s">
        <v>2216</v>
      </c>
      <c r="D454" s="7">
        <v>239300</v>
      </c>
      <c r="E454" s="5" t="s">
        <v>48</v>
      </c>
      <c r="F454" s="5" t="s">
        <v>49</v>
      </c>
      <c r="G454" s="8"/>
      <c r="H454" s="8" t="str">
        <f>IF(F454="Bullet",MIN(G454,Assumptions!$B$6),"")</f>
        <v/>
      </c>
      <c r="I454" s="8">
        <v>1</v>
      </c>
      <c r="J454" s="8">
        <f>IF(F454="Monthly interest",MAX(0,Assumptions!$B$5-I454),"")</f>
        <v>2</v>
      </c>
      <c r="K454" s="7">
        <f t="shared" si="21"/>
        <v>3191</v>
      </c>
      <c r="L454" s="9">
        <v>46272</v>
      </c>
      <c r="M454" s="5" t="s">
        <v>69</v>
      </c>
      <c r="N454" s="5" t="s">
        <v>51</v>
      </c>
      <c r="O454" s="5" t="s">
        <v>52</v>
      </c>
      <c r="P454" s="5" t="s">
        <v>53</v>
      </c>
      <c r="Q454" s="5" t="s">
        <v>54</v>
      </c>
      <c r="R454" s="5" t="s">
        <v>55</v>
      </c>
      <c r="S454" s="5" t="s">
        <v>56</v>
      </c>
      <c r="T454" s="5" t="s">
        <v>57</v>
      </c>
      <c r="U454" s="5" t="s">
        <v>58</v>
      </c>
      <c r="V454" s="5" t="s">
        <v>59</v>
      </c>
      <c r="W454" s="5" t="s">
        <v>60</v>
      </c>
      <c r="X454" s="5" t="s">
        <v>335</v>
      </c>
      <c r="Y454" s="5" t="s">
        <v>2217</v>
      </c>
      <c r="Z454" s="9">
        <v>46180</v>
      </c>
      <c r="AA454" s="8">
        <v>12</v>
      </c>
      <c r="AB454" s="9">
        <f t="shared" si="22"/>
        <v>46545</v>
      </c>
      <c r="AC454" s="10">
        <v>16</v>
      </c>
      <c r="AD454" s="7">
        <f t="shared" si="23"/>
        <v>3191</v>
      </c>
      <c r="AE454" s="7">
        <f>IF(F454="Bullet",H454*AD454,MIN(MAX(I454,1),Assumptions!$B$6)*AD454)</f>
        <v>3191</v>
      </c>
      <c r="AF454" s="8">
        <f>IF(F454="Bullet",MAX(0,Assumptions!$B$4-AB454),MAX(0,Assumptions!$B$4-L454))</f>
        <v>26</v>
      </c>
      <c r="AG454" s="9">
        <v>46243</v>
      </c>
      <c r="AH454" s="8">
        <f>IF(AG454="","",Assumptions!$B$4-AG454)</f>
        <v>55</v>
      </c>
      <c r="AI454" s="5" t="s">
        <v>63</v>
      </c>
      <c r="AJ454" s="8">
        <v>1</v>
      </c>
      <c r="AK454" s="8">
        <v>1</v>
      </c>
      <c r="AL454" s="8">
        <v>685</v>
      </c>
      <c r="AM454" s="8">
        <v>4</v>
      </c>
      <c r="AN454" s="5" t="s">
        <v>63</v>
      </c>
      <c r="AO454" s="10">
        <v>53.5</v>
      </c>
      <c r="AP454" s="8">
        <v>32</v>
      </c>
      <c r="AQ454" s="9">
        <v>46293</v>
      </c>
      <c r="AR454" s="5" t="s">
        <v>51</v>
      </c>
      <c r="AS454" s="5" t="s">
        <v>64</v>
      </c>
    </row>
    <row r="455" spans="1:45" x14ac:dyDescent="0.35">
      <c r="A455" s="5" t="s">
        <v>2218</v>
      </c>
      <c r="B455" s="5" t="s">
        <v>2219</v>
      </c>
      <c r="C455" s="6" t="s">
        <v>2220</v>
      </c>
      <c r="D455" s="7">
        <v>303300</v>
      </c>
      <c r="E455" s="5" t="s">
        <v>48</v>
      </c>
      <c r="F455" s="5" t="s">
        <v>49</v>
      </c>
      <c r="G455" s="8"/>
      <c r="H455" s="8" t="str">
        <f>IF(F455="Bullet",MIN(G455,Assumptions!$B$6),"")</f>
        <v/>
      </c>
      <c r="I455" s="8">
        <v>1</v>
      </c>
      <c r="J455" s="8">
        <f>IF(F455="Monthly interest",MAX(0,Assumptions!$B$5-I455),"")</f>
        <v>2</v>
      </c>
      <c r="K455" s="7">
        <f t="shared" si="21"/>
        <v>6066</v>
      </c>
      <c r="L455" s="9">
        <v>46282</v>
      </c>
      <c r="M455" s="5" t="s">
        <v>50</v>
      </c>
      <c r="N455" s="5" t="s">
        <v>53</v>
      </c>
      <c r="O455" s="5" t="s">
        <v>103</v>
      </c>
      <c r="P455" s="5" t="s">
        <v>51</v>
      </c>
      <c r="Q455" s="5" t="s">
        <v>54</v>
      </c>
      <c r="R455" s="5" t="s">
        <v>55</v>
      </c>
      <c r="S455" s="5" t="s">
        <v>253</v>
      </c>
      <c r="T455" s="5" t="s">
        <v>57</v>
      </c>
      <c r="U455" s="5" t="s">
        <v>86</v>
      </c>
      <c r="V455" s="5" t="s">
        <v>76</v>
      </c>
      <c r="W455" s="5" t="s">
        <v>306</v>
      </c>
      <c r="X455" s="5" t="s">
        <v>1983</v>
      </c>
      <c r="Y455" s="5" t="s">
        <v>2221</v>
      </c>
      <c r="Z455" s="9">
        <v>46039</v>
      </c>
      <c r="AA455" s="8">
        <v>24</v>
      </c>
      <c r="AB455" s="9">
        <f t="shared" si="22"/>
        <v>46769</v>
      </c>
      <c r="AC455" s="10">
        <v>24</v>
      </c>
      <c r="AD455" s="7">
        <f t="shared" si="23"/>
        <v>6066</v>
      </c>
      <c r="AE455" s="7">
        <f>IF(F455="Bullet",H455*AD455,MIN(MAX(I455,1),Assumptions!$B$6)*AD455)</f>
        <v>6066</v>
      </c>
      <c r="AF455" s="8">
        <f>IF(F455="Bullet",MAX(0,Assumptions!$B$4-AB455),MAX(0,Assumptions!$B$4-L455))</f>
        <v>16</v>
      </c>
      <c r="AG455" s="9">
        <v>46254</v>
      </c>
      <c r="AH455" s="8">
        <f>IF(AG455="","",Assumptions!$B$4-AG455)</f>
        <v>44</v>
      </c>
      <c r="AI455" s="5" t="s">
        <v>63</v>
      </c>
      <c r="AJ455" s="8">
        <v>1</v>
      </c>
      <c r="AK455" s="8">
        <v>0</v>
      </c>
      <c r="AL455" s="8">
        <v>762</v>
      </c>
      <c r="AM455" s="8">
        <v>1</v>
      </c>
      <c r="AN455" s="5" t="s">
        <v>63</v>
      </c>
      <c r="AO455" s="10">
        <v>74.7</v>
      </c>
      <c r="AP455" s="8">
        <v>18</v>
      </c>
      <c r="AQ455" s="9">
        <v>46285</v>
      </c>
      <c r="AR455" s="5" t="s">
        <v>51</v>
      </c>
      <c r="AS455" s="5" t="s">
        <v>81</v>
      </c>
    </row>
    <row r="456" spans="1:45" x14ac:dyDescent="0.35">
      <c r="A456" s="5" t="s">
        <v>2222</v>
      </c>
      <c r="B456" s="5" t="s">
        <v>2223</v>
      </c>
      <c r="C456" s="6" t="s">
        <v>2224</v>
      </c>
      <c r="D456" s="7">
        <v>84100</v>
      </c>
      <c r="E456" s="5" t="s">
        <v>48</v>
      </c>
      <c r="F456" s="5" t="s">
        <v>49</v>
      </c>
      <c r="G456" s="8"/>
      <c r="H456" s="8" t="str">
        <f>IF(F456="Bullet",MIN(G456,Assumptions!$B$6),"")</f>
        <v/>
      </c>
      <c r="I456" s="8">
        <v>1</v>
      </c>
      <c r="J456" s="8">
        <f>IF(F456="Monthly interest",MAX(0,Assumptions!$B$5-I456),"")</f>
        <v>2</v>
      </c>
      <c r="K456" s="7">
        <f t="shared" si="21"/>
        <v>1542</v>
      </c>
      <c r="L456" s="9">
        <v>46273</v>
      </c>
      <c r="M456" s="5" t="s">
        <v>50</v>
      </c>
      <c r="N456" s="5" t="s">
        <v>51</v>
      </c>
      <c r="O456" s="5" t="s">
        <v>52</v>
      </c>
      <c r="P456" s="5" t="s">
        <v>53</v>
      </c>
      <c r="Q456" s="5" t="s">
        <v>54</v>
      </c>
      <c r="R456" s="5" t="s">
        <v>55</v>
      </c>
      <c r="S456" s="5" t="s">
        <v>214</v>
      </c>
      <c r="T456" s="5" t="s">
        <v>57</v>
      </c>
      <c r="U456" s="5" t="s">
        <v>86</v>
      </c>
      <c r="V456" s="5" t="s">
        <v>215</v>
      </c>
      <c r="W456" s="5" t="s">
        <v>216</v>
      </c>
      <c r="X456" s="5" t="s">
        <v>710</v>
      </c>
      <c r="Y456" s="5" t="s">
        <v>2225</v>
      </c>
      <c r="Z456" s="9">
        <v>46061</v>
      </c>
      <c r="AA456" s="8">
        <v>12</v>
      </c>
      <c r="AB456" s="9">
        <f t="shared" si="22"/>
        <v>46426</v>
      </c>
      <c r="AC456" s="10">
        <v>22</v>
      </c>
      <c r="AD456" s="7">
        <f t="shared" si="23"/>
        <v>1542</v>
      </c>
      <c r="AE456" s="7">
        <f>IF(F456="Bullet",H456*AD456,MIN(MAX(I456,1),Assumptions!$B$6)*AD456)</f>
        <v>1542</v>
      </c>
      <c r="AF456" s="8">
        <f>IF(F456="Bullet",MAX(0,Assumptions!$B$4-AB456),MAX(0,Assumptions!$B$4-L456))</f>
        <v>25</v>
      </c>
      <c r="AG456" s="9">
        <v>46246</v>
      </c>
      <c r="AH456" s="8">
        <f>IF(AG456="","",Assumptions!$B$4-AG456)</f>
        <v>52</v>
      </c>
      <c r="AI456" s="5" t="s">
        <v>57</v>
      </c>
      <c r="AJ456" s="8">
        <v>1</v>
      </c>
      <c r="AK456" s="8">
        <v>0</v>
      </c>
      <c r="AL456" s="8">
        <v>673</v>
      </c>
      <c r="AM456" s="8">
        <v>0</v>
      </c>
      <c r="AN456" s="5" t="s">
        <v>63</v>
      </c>
      <c r="AO456" s="10">
        <v>70.5</v>
      </c>
      <c r="AP456" s="8">
        <v>17</v>
      </c>
      <c r="AQ456" s="9">
        <v>46280</v>
      </c>
      <c r="AR456" s="5" t="s">
        <v>51</v>
      </c>
      <c r="AS456" s="5" t="s">
        <v>64</v>
      </c>
    </row>
    <row r="457" spans="1:45" x14ac:dyDescent="0.35">
      <c r="A457" s="5" t="s">
        <v>2226</v>
      </c>
      <c r="B457" s="5" t="s">
        <v>535</v>
      </c>
      <c r="C457" s="6" t="s">
        <v>2227</v>
      </c>
      <c r="D457" s="7">
        <v>214300</v>
      </c>
      <c r="E457" s="5" t="s">
        <v>48</v>
      </c>
      <c r="F457" s="5" t="s">
        <v>49</v>
      </c>
      <c r="G457" s="8"/>
      <c r="H457" s="8" t="str">
        <f>IF(F457="Bullet",MIN(G457,Assumptions!$B$6),"")</f>
        <v/>
      </c>
      <c r="I457" s="8">
        <v>2</v>
      </c>
      <c r="J457" s="8">
        <f>IF(F457="Monthly interest",MAX(0,Assumptions!$B$5-I457),"")</f>
        <v>1</v>
      </c>
      <c r="K457" s="7">
        <f t="shared" si="21"/>
        <v>5358</v>
      </c>
      <c r="L457" s="9">
        <v>46261</v>
      </c>
      <c r="M457" s="5" t="s">
        <v>116</v>
      </c>
      <c r="N457" s="5" t="s">
        <v>117</v>
      </c>
      <c r="O457" s="5" t="s">
        <v>118</v>
      </c>
      <c r="P457" s="5" t="s">
        <v>72</v>
      </c>
      <c r="Q457" s="5" t="s">
        <v>119</v>
      </c>
      <c r="R457" s="5" t="s">
        <v>120</v>
      </c>
      <c r="S457" s="5" t="s">
        <v>185</v>
      </c>
      <c r="T457" s="5" t="s">
        <v>57</v>
      </c>
      <c r="U457" s="5" t="s">
        <v>104</v>
      </c>
      <c r="V457" s="5" t="s">
        <v>200</v>
      </c>
      <c r="W457" s="5" t="s">
        <v>767</v>
      </c>
      <c r="X457" s="5" t="s">
        <v>2228</v>
      </c>
      <c r="Y457" s="5" t="s">
        <v>2229</v>
      </c>
      <c r="Z457" s="9">
        <v>46080</v>
      </c>
      <c r="AA457" s="8">
        <v>24</v>
      </c>
      <c r="AB457" s="9">
        <f t="shared" si="22"/>
        <v>46810</v>
      </c>
      <c r="AC457" s="10">
        <v>15</v>
      </c>
      <c r="AD457" s="7">
        <f t="shared" si="23"/>
        <v>2679</v>
      </c>
      <c r="AE457" s="7">
        <f>IF(F457="Bullet",H457*AD457,MIN(MAX(I457,1),Assumptions!$B$6)*AD457)</f>
        <v>5358</v>
      </c>
      <c r="AF457" s="8">
        <f>IF(F457="Bullet",MAX(0,Assumptions!$B$4-AB457),MAX(0,Assumptions!$B$4-L457))</f>
        <v>37</v>
      </c>
      <c r="AG457" s="9">
        <v>46235</v>
      </c>
      <c r="AH457" s="8">
        <f>IF(AG457="","",Assumptions!$B$4-AG457)</f>
        <v>63</v>
      </c>
      <c r="AI457" s="5" t="s">
        <v>63</v>
      </c>
      <c r="AJ457" s="8">
        <v>2</v>
      </c>
      <c r="AK457" s="8">
        <v>0</v>
      </c>
      <c r="AL457" s="8">
        <v>780</v>
      </c>
      <c r="AM457" s="8">
        <v>3</v>
      </c>
      <c r="AN457" s="5" t="s">
        <v>63</v>
      </c>
      <c r="AO457" s="10">
        <v>88</v>
      </c>
      <c r="AP457" s="8">
        <v>54</v>
      </c>
      <c r="AQ457" s="9">
        <v>46290</v>
      </c>
      <c r="AR457" s="5" t="s">
        <v>53</v>
      </c>
      <c r="AS457" s="5" t="s">
        <v>91</v>
      </c>
    </row>
    <row r="458" spans="1:45" x14ac:dyDescent="0.35">
      <c r="A458" s="5" t="s">
        <v>2230</v>
      </c>
      <c r="B458" s="5" t="s">
        <v>426</v>
      </c>
      <c r="C458" s="6" t="s">
        <v>2231</v>
      </c>
      <c r="D458" s="7">
        <v>171100</v>
      </c>
      <c r="E458" s="5" t="s">
        <v>48</v>
      </c>
      <c r="F458" s="5" t="s">
        <v>68</v>
      </c>
      <c r="G458" s="8">
        <v>3</v>
      </c>
      <c r="H458" s="8">
        <f>IF(F458="Bullet",MIN(G458,Assumptions!$B$6),"")</f>
        <v>2</v>
      </c>
      <c r="I458" s="8"/>
      <c r="J458" s="8" t="str">
        <f>IF(F458="Monthly interest",MAX(0,Assumptions!$B$5-I458),"")</f>
        <v/>
      </c>
      <c r="K458" s="7">
        <f t="shared" si="21"/>
        <v>6417</v>
      </c>
      <c r="L458" s="9">
        <v>46201</v>
      </c>
      <c r="M458" s="5" t="s">
        <v>69</v>
      </c>
      <c r="N458" s="5" t="s">
        <v>53</v>
      </c>
      <c r="O458" s="5" t="s">
        <v>71</v>
      </c>
      <c r="P458" s="5" t="s">
        <v>70</v>
      </c>
      <c r="Q458" s="5" t="s">
        <v>73</v>
      </c>
      <c r="R458" s="5" t="s">
        <v>74</v>
      </c>
      <c r="S458" s="5" t="s">
        <v>185</v>
      </c>
      <c r="T458" s="5" t="s">
        <v>57</v>
      </c>
      <c r="U458" s="5" t="s">
        <v>58</v>
      </c>
      <c r="V458" s="5" t="s">
        <v>186</v>
      </c>
      <c r="W458" s="5" t="s">
        <v>329</v>
      </c>
      <c r="X458" s="5" t="s">
        <v>2232</v>
      </c>
      <c r="Y458" s="5" t="s">
        <v>2233</v>
      </c>
      <c r="Z458" s="9">
        <v>46201</v>
      </c>
      <c r="AA458" s="8">
        <v>6</v>
      </c>
      <c r="AB458" s="9">
        <f t="shared" si="22"/>
        <v>46384</v>
      </c>
      <c r="AC458" s="10">
        <v>15</v>
      </c>
      <c r="AD458" s="7">
        <f t="shared" si="23"/>
        <v>2139</v>
      </c>
      <c r="AE458" s="7">
        <f>IF(F458="Bullet",H458*AD458,MIN(MAX(I458,1),Assumptions!$B$6)*AD458)</f>
        <v>4278</v>
      </c>
      <c r="AF458" s="8">
        <f>IF(F458="Bullet",MAX(0,Assumptions!$B$4-AB458),MAX(0,Assumptions!$B$4-L458))</f>
        <v>0</v>
      </c>
      <c r="AG458" s="9"/>
      <c r="AH458" s="8" t="str">
        <f>IF(AG458="","",Assumptions!$B$4-AG458)</f>
        <v/>
      </c>
      <c r="AI458" s="5" t="s">
        <v>80</v>
      </c>
      <c r="AJ458" s="8"/>
      <c r="AK458" s="8">
        <v>0</v>
      </c>
      <c r="AL458" s="8">
        <v>839</v>
      </c>
      <c r="AM458" s="8">
        <v>2</v>
      </c>
      <c r="AN458" s="5" t="s">
        <v>57</v>
      </c>
      <c r="AO458" s="10">
        <v>88</v>
      </c>
      <c r="AP458" s="8">
        <v>34</v>
      </c>
      <c r="AQ458" s="9">
        <v>46278</v>
      </c>
      <c r="AR458" s="5" t="s">
        <v>70</v>
      </c>
      <c r="AS458" s="5" t="s">
        <v>190</v>
      </c>
    </row>
    <row r="459" spans="1:45" x14ac:dyDescent="0.35">
      <c r="A459" s="5" t="s">
        <v>2234</v>
      </c>
      <c r="B459" s="5" t="s">
        <v>2235</v>
      </c>
      <c r="C459" s="6" t="s">
        <v>2236</v>
      </c>
      <c r="D459" s="7">
        <v>170000</v>
      </c>
      <c r="E459" s="5" t="s">
        <v>48</v>
      </c>
      <c r="F459" s="5" t="s">
        <v>49</v>
      </c>
      <c r="G459" s="8"/>
      <c r="H459" s="8" t="str">
        <f>IF(F459="Bullet",MIN(G459,Assumptions!$B$6),"")</f>
        <v/>
      </c>
      <c r="I459" s="8">
        <v>1</v>
      </c>
      <c r="J459" s="8">
        <f>IF(F459="Monthly interest",MAX(0,Assumptions!$B$5-I459),"")</f>
        <v>2</v>
      </c>
      <c r="K459" s="7">
        <f t="shared" si="21"/>
        <v>2550</v>
      </c>
      <c r="L459" s="9">
        <v>46280</v>
      </c>
      <c r="M459" s="5" t="s">
        <v>69</v>
      </c>
      <c r="N459" s="5" t="s">
        <v>51</v>
      </c>
      <c r="O459" s="5" t="s">
        <v>52</v>
      </c>
      <c r="P459" s="5" t="s">
        <v>53</v>
      </c>
      <c r="Q459" s="5" t="s">
        <v>54</v>
      </c>
      <c r="R459" s="5" t="s">
        <v>55</v>
      </c>
      <c r="S459" s="5" t="s">
        <v>75</v>
      </c>
      <c r="T459" s="5" t="s">
        <v>57</v>
      </c>
      <c r="U459" s="5" t="s">
        <v>86</v>
      </c>
      <c r="V459" s="5" t="s">
        <v>76</v>
      </c>
      <c r="W459" s="5" t="s">
        <v>382</v>
      </c>
      <c r="X459" s="5" t="s">
        <v>2237</v>
      </c>
      <c r="Y459" s="5" t="s">
        <v>2238</v>
      </c>
      <c r="Z459" s="9">
        <v>46188</v>
      </c>
      <c r="AA459" s="8">
        <v>12</v>
      </c>
      <c r="AB459" s="9">
        <f t="shared" si="22"/>
        <v>46553</v>
      </c>
      <c r="AC459" s="10">
        <v>18</v>
      </c>
      <c r="AD459" s="7">
        <f t="shared" si="23"/>
        <v>2550</v>
      </c>
      <c r="AE459" s="7">
        <f>IF(F459="Bullet",H459*AD459,MIN(MAX(I459,1),Assumptions!$B$6)*AD459)</f>
        <v>2550</v>
      </c>
      <c r="AF459" s="8">
        <f>IF(F459="Bullet",MAX(0,Assumptions!$B$4-AB459),MAX(0,Assumptions!$B$4-L459))</f>
        <v>18</v>
      </c>
      <c r="AG459" s="9">
        <v>46252</v>
      </c>
      <c r="AH459" s="8">
        <f>IF(AG459="","",Assumptions!$B$4-AG459)</f>
        <v>46</v>
      </c>
      <c r="AI459" s="5" t="s">
        <v>63</v>
      </c>
      <c r="AJ459" s="8">
        <v>1</v>
      </c>
      <c r="AK459" s="8">
        <v>0</v>
      </c>
      <c r="AL459" s="8" t="s">
        <v>80</v>
      </c>
      <c r="AM459" s="8">
        <v>0</v>
      </c>
      <c r="AN459" s="5" t="s">
        <v>63</v>
      </c>
      <c r="AO459" s="10">
        <v>83.3</v>
      </c>
      <c r="AP459" s="8">
        <v>36</v>
      </c>
      <c r="AQ459" s="9">
        <v>46289</v>
      </c>
      <c r="AR459" s="5" t="s">
        <v>53</v>
      </c>
      <c r="AS459" s="5" t="s">
        <v>81</v>
      </c>
    </row>
    <row r="460" spans="1:45" x14ac:dyDescent="0.35">
      <c r="A460" s="5" t="s">
        <v>2239</v>
      </c>
      <c r="B460" s="5" t="s">
        <v>2240</v>
      </c>
      <c r="C460" s="6" t="s">
        <v>2241</v>
      </c>
      <c r="D460" s="7">
        <v>88100</v>
      </c>
      <c r="E460" s="5" t="s">
        <v>48</v>
      </c>
      <c r="F460" s="5" t="s">
        <v>49</v>
      </c>
      <c r="G460" s="8"/>
      <c r="H460" s="8" t="str">
        <f>IF(F460="Bullet",MIN(G460,Assumptions!$B$6),"")</f>
        <v/>
      </c>
      <c r="I460" s="8">
        <v>1</v>
      </c>
      <c r="J460" s="8">
        <f>IF(F460="Monthly interest",MAX(0,Assumptions!$B$5-I460),"")</f>
        <v>2</v>
      </c>
      <c r="K460" s="7">
        <f t="shared" si="21"/>
        <v>1615</v>
      </c>
      <c r="L460" s="9">
        <v>46276</v>
      </c>
      <c r="M460" s="5" t="s">
        <v>50</v>
      </c>
      <c r="N460" s="5" t="s">
        <v>53</v>
      </c>
      <c r="O460" s="5" t="s">
        <v>103</v>
      </c>
      <c r="P460" s="5" t="s">
        <v>51</v>
      </c>
      <c r="Q460" s="5" t="s">
        <v>54</v>
      </c>
      <c r="R460" s="5" t="s">
        <v>55</v>
      </c>
      <c r="S460" s="5" t="s">
        <v>85</v>
      </c>
      <c r="T460" s="5" t="s">
        <v>57</v>
      </c>
      <c r="U460" s="5" t="s">
        <v>86</v>
      </c>
      <c r="V460" s="5" t="s">
        <v>96</v>
      </c>
      <c r="W460" s="5" t="s">
        <v>265</v>
      </c>
      <c r="X460" s="5" t="s">
        <v>272</v>
      </c>
      <c r="Y460" s="5" t="s">
        <v>2242</v>
      </c>
      <c r="Z460" s="9">
        <v>46153</v>
      </c>
      <c r="AA460" s="8">
        <v>12</v>
      </c>
      <c r="AB460" s="9">
        <f t="shared" si="22"/>
        <v>46518</v>
      </c>
      <c r="AC460" s="10">
        <v>22</v>
      </c>
      <c r="AD460" s="7">
        <f t="shared" si="23"/>
        <v>1615</v>
      </c>
      <c r="AE460" s="7">
        <f>IF(F460="Bullet",H460*AD460,MIN(MAX(I460,1),Assumptions!$B$6)*AD460)</f>
        <v>1615</v>
      </c>
      <c r="AF460" s="8">
        <f>IF(F460="Bullet",MAX(0,Assumptions!$B$4-AB460),MAX(0,Assumptions!$B$4-L460))</f>
        <v>22</v>
      </c>
      <c r="AG460" s="9">
        <v>46247</v>
      </c>
      <c r="AH460" s="8">
        <f>IF(AG460="","",Assumptions!$B$4-AG460)</f>
        <v>51</v>
      </c>
      <c r="AI460" s="5" t="s">
        <v>63</v>
      </c>
      <c r="AJ460" s="8">
        <v>1</v>
      </c>
      <c r="AK460" s="8">
        <v>0</v>
      </c>
      <c r="AL460" s="8">
        <v>779</v>
      </c>
      <c r="AM460" s="8">
        <v>1</v>
      </c>
      <c r="AN460" s="5" t="s">
        <v>63</v>
      </c>
      <c r="AO460" s="10">
        <v>72.400000000000006</v>
      </c>
      <c r="AP460" s="8">
        <v>20</v>
      </c>
      <c r="AQ460" s="9">
        <v>46285</v>
      </c>
      <c r="AR460" s="5" t="s">
        <v>51</v>
      </c>
      <c r="AS460" s="5" t="s">
        <v>81</v>
      </c>
    </row>
    <row r="461" spans="1:45" x14ac:dyDescent="0.35">
      <c r="A461" s="5" t="s">
        <v>2243</v>
      </c>
      <c r="B461" s="5" t="s">
        <v>2244</v>
      </c>
      <c r="C461" s="6" t="s">
        <v>2245</v>
      </c>
      <c r="D461" s="7">
        <v>119300</v>
      </c>
      <c r="E461" s="5" t="s">
        <v>48</v>
      </c>
      <c r="F461" s="5" t="s">
        <v>68</v>
      </c>
      <c r="G461" s="8">
        <v>6</v>
      </c>
      <c r="H461" s="8">
        <f>IF(F461="Bullet",MIN(G461,Assumptions!$B$6),"")</f>
        <v>2</v>
      </c>
      <c r="I461" s="8"/>
      <c r="J461" s="8" t="str">
        <f>IF(F461="Monthly interest",MAX(0,Assumptions!$B$5-I461),"")</f>
        <v/>
      </c>
      <c r="K461" s="7">
        <f t="shared" si="21"/>
        <v>10740</v>
      </c>
      <c r="L461" s="9">
        <v>46115</v>
      </c>
      <c r="M461" s="5" t="s">
        <v>116</v>
      </c>
      <c r="N461" s="5" t="s">
        <v>117</v>
      </c>
      <c r="O461" s="5" t="s">
        <v>461</v>
      </c>
      <c r="P461" s="5" t="s">
        <v>72</v>
      </c>
      <c r="Q461" s="5" t="s">
        <v>169</v>
      </c>
      <c r="R461" s="5" t="s">
        <v>170</v>
      </c>
      <c r="S461" s="5" t="s">
        <v>214</v>
      </c>
      <c r="T461" s="5" t="s">
        <v>63</v>
      </c>
      <c r="U461" s="5" t="s">
        <v>104</v>
      </c>
      <c r="V461" s="5" t="s">
        <v>215</v>
      </c>
      <c r="W461" s="5" t="s">
        <v>1057</v>
      </c>
      <c r="X461" s="5" t="s">
        <v>2246</v>
      </c>
      <c r="Y461" s="5" t="s">
        <v>2247</v>
      </c>
      <c r="Z461" s="9">
        <v>46115</v>
      </c>
      <c r="AA461" s="8">
        <v>6</v>
      </c>
      <c r="AB461" s="9">
        <f t="shared" si="22"/>
        <v>46298</v>
      </c>
      <c r="AC461" s="10">
        <v>18</v>
      </c>
      <c r="AD461" s="7">
        <f t="shared" si="23"/>
        <v>1790</v>
      </c>
      <c r="AE461" s="7">
        <f>IF(F461="Bullet",H461*AD461,MIN(MAX(I461,1),Assumptions!$B$6)*AD461)</f>
        <v>3580</v>
      </c>
      <c r="AF461" s="8">
        <f>IF(F461="Bullet",MAX(0,Assumptions!$B$4-AB461),MAX(0,Assumptions!$B$4-L461))</f>
        <v>0</v>
      </c>
      <c r="AG461" s="9"/>
      <c r="AH461" s="8" t="str">
        <f>IF(AG461="","",Assumptions!$B$4-AG461)</f>
        <v/>
      </c>
      <c r="AI461" s="5" t="s">
        <v>80</v>
      </c>
      <c r="AJ461" s="8"/>
      <c r="AK461" s="8">
        <v>1</v>
      </c>
      <c r="AL461" s="8" t="s">
        <v>80</v>
      </c>
      <c r="AM461" s="8">
        <v>0</v>
      </c>
      <c r="AN461" s="5" t="s">
        <v>63</v>
      </c>
      <c r="AO461" s="10">
        <v>78.5</v>
      </c>
      <c r="AP461" s="8">
        <v>55</v>
      </c>
      <c r="AQ461" s="9">
        <v>46277</v>
      </c>
      <c r="AR461" s="5" t="s">
        <v>70</v>
      </c>
      <c r="AS461" s="5" t="s">
        <v>81</v>
      </c>
    </row>
    <row r="462" spans="1:45" x14ac:dyDescent="0.35">
      <c r="A462" s="5" t="s">
        <v>2248</v>
      </c>
      <c r="B462" s="5" t="s">
        <v>380</v>
      </c>
      <c r="C462" s="6" t="s">
        <v>2249</v>
      </c>
      <c r="D462" s="7">
        <v>208700</v>
      </c>
      <c r="E462" s="5" t="s">
        <v>48</v>
      </c>
      <c r="F462" s="5" t="s">
        <v>68</v>
      </c>
      <c r="G462" s="8">
        <v>2</v>
      </c>
      <c r="H462" s="8">
        <f>IF(F462="Bullet",MIN(G462,Assumptions!$B$6),"")</f>
        <v>2</v>
      </c>
      <c r="I462" s="8"/>
      <c r="J462" s="8" t="str">
        <f>IF(F462="Monthly interest",MAX(0,Assumptions!$B$5-I462),"")</f>
        <v/>
      </c>
      <c r="K462" s="7">
        <f t="shared" si="21"/>
        <v>5566</v>
      </c>
      <c r="L462" s="9">
        <v>46227</v>
      </c>
      <c r="M462" s="5" t="s">
        <v>50</v>
      </c>
      <c r="N462" s="5" t="s">
        <v>53</v>
      </c>
      <c r="O462" s="5" t="s">
        <v>103</v>
      </c>
      <c r="P462" s="5" t="s">
        <v>51</v>
      </c>
      <c r="Q462" s="5" t="s">
        <v>73</v>
      </c>
      <c r="R462" s="5" t="s">
        <v>74</v>
      </c>
      <c r="S462" s="5" t="s">
        <v>75</v>
      </c>
      <c r="T462" s="5" t="s">
        <v>57</v>
      </c>
      <c r="U462" s="5" t="s">
        <v>86</v>
      </c>
      <c r="V462" s="5" t="s">
        <v>76</v>
      </c>
      <c r="W462" s="5" t="s">
        <v>105</v>
      </c>
      <c r="X462" s="5" t="s">
        <v>585</v>
      </c>
      <c r="Y462" s="5" t="s">
        <v>2250</v>
      </c>
      <c r="Z462" s="9">
        <v>46227</v>
      </c>
      <c r="AA462" s="8">
        <v>6</v>
      </c>
      <c r="AB462" s="9">
        <f t="shared" si="22"/>
        <v>46411</v>
      </c>
      <c r="AC462" s="10">
        <v>16</v>
      </c>
      <c r="AD462" s="7">
        <f t="shared" si="23"/>
        <v>2783</v>
      </c>
      <c r="AE462" s="7">
        <f>IF(F462="Bullet",H462*AD462,MIN(MAX(I462,1),Assumptions!$B$6)*AD462)</f>
        <v>5566</v>
      </c>
      <c r="AF462" s="8">
        <f>IF(F462="Bullet",MAX(0,Assumptions!$B$4-AB462),MAX(0,Assumptions!$B$4-L462))</f>
        <v>0</v>
      </c>
      <c r="AG462" s="9"/>
      <c r="AH462" s="8" t="str">
        <f>IF(AG462="","",Assumptions!$B$4-AG462)</f>
        <v/>
      </c>
      <c r="AI462" s="5" t="s">
        <v>80</v>
      </c>
      <c r="AJ462" s="8"/>
      <c r="AK462" s="8">
        <v>0</v>
      </c>
      <c r="AL462" s="8">
        <v>695</v>
      </c>
      <c r="AM462" s="8">
        <v>0</v>
      </c>
      <c r="AN462" s="5" t="s">
        <v>63</v>
      </c>
      <c r="AO462" s="10">
        <v>61.1</v>
      </c>
      <c r="AP462" s="8">
        <v>11</v>
      </c>
      <c r="AQ462" s="9">
        <v>46288</v>
      </c>
      <c r="AR462" s="5" t="s">
        <v>51</v>
      </c>
      <c r="AS462" s="5" t="s">
        <v>81</v>
      </c>
    </row>
    <row r="463" spans="1:45" x14ac:dyDescent="0.35">
      <c r="A463" s="5" t="s">
        <v>2251</v>
      </c>
      <c r="B463" s="5" t="s">
        <v>2252</v>
      </c>
      <c r="C463" s="6" t="s">
        <v>2253</v>
      </c>
      <c r="D463" s="7">
        <v>101900</v>
      </c>
      <c r="E463" s="5" t="s">
        <v>48</v>
      </c>
      <c r="F463" s="5" t="s">
        <v>68</v>
      </c>
      <c r="G463" s="8">
        <v>6</v>
      </c>
      <c r="H463" s="8">
        <f>IF(F463="Bullet",MIN(G463,Assumptions!$B$6),"")</f>
        <v>2</v>
      </c>
      <c r="I463" s="8"/>
      <c r="J463" s="8" t="str">
        <f>IF(F463="Monthly interest",MAX(0,Assumptions!$B$5-I463),"")</f>
        <v/>
      </c>
      <c r="K463" s="7">
        <f t="shared" si="21"/>
        <v>6114</v>
      </c>
      <c r="L463" s="9">
        <v>46092</v>
      </c>
      <c r="M463" s="5" t="s">
        <v>69</v>
      </c>
      <c r="N463" s="5" t="s">
        <v>53</v>
      </c>
      <c r="O463" s="5" t="s">
        <v>168</v>
      </c>
      <c r="P463" s="5" t="s">
        <v>70</v>
      </c>
      <c r="Q463" s="5" t="s">
        <v>169</v>
      </c>
      <c r="R463" s="5" t="s">
        <v>170</v>
      </c>
      <c r="S463" s="5" t="s">
        <v>214</v>
      </c>
      <c r="T463" s="5" t="s">
        <v>57</v>
      </c>
      <c r="U463" s="5" t="s">
        <v>104</v>
      </c>
      <c r="V463" s="5" t="s">
        <v>215</v>
      </c>
      <c r="W463" s="5" t="s">
        <v>284</v>
      </c>
      <c r="X463" s="5" t="s">
        <v>1731</v>
      </c>
      <c r="Y463" s="5" t="s">
        <v>2254</v>
      </c>
      <c r="Z463" s="9">
        <v>46092</v>
      </c>
      <c r="AA463" s="8">
        <v>12</v>
      </c>
      <c r="AB463" s="9">
        <f t="shared" si="22"/>
        <v>46457</v>
      </c>
      <c r="AC463" s="10">
        <v>12</v>
      </c>
      <c r="AD463" s="7">
        <f t="shared" si="23"/>
        <v>1019</v>
      </c>
      <c r="AE463" s="7">
        <f>IF(F463="Bullet",H463*AD463,MIN(MAX(I463,1),Assumptions!$B$6)*AD463)</f>
        <v>2038</v>
      </c>
      <c r="AF463" s="8">
        <f>IF(F463="Bullet",MAX(0,Assumptions!$B$4-AB463),MAX(0,Assumptions!$B$4-L463))</f>
        <v>0</v>
      </c>
      <c r="AG463" s="9"/>
      <c r="AH463" s="8" t="str">
        <f>IF(AG463="","",Assumptions!$B$4-AG463)</f>
        <v/>
      </c>
      <c r="AI463" s="5" t="s">
        <v>80</v>
      </c>
      <c r="AJ463" s="8"/>
      <c r="AK463" s="8">
        <v>1</v>
      </c>
      <c r="AL463" s="8">
        <v>691</v>
      </c>
      <c r="AM463" s="8">
        <v>3</v>
      </c>
      <c r="AN463" s="5" t="s">
        <v>63</v>
      </c>
      <c r="AO463" s="10">
        <v>65.3</v>
      </c>
      <c r="AP463" s="8">
        <v>46</v>
      </c>
      <c r="AQ463" s="9">
        <v>46283</v>
      </c>
      <c r="AR463" s="5" t="s">
        <v>51</v>
      </c>
      <c r="AS463" s="5" t="s">
        <v>91</v>
      </c>
    </row>
    <row r="464" spans="1:45" x14ac:dyDescent="0.35">
      <c r="A464" s="5" t="s">
        <v>2255</v>
      </c>
      <c r="B464" s="5" t="s">
        <v>2256</v>
      </c>
      <c r="C464" s="6" t="s">
        <v>2257</v>
      </c>
      <c r="D464" s="7">
        <v>138300</v>
      </c>
      <c r="E464" s="5" t="s">
        <v>48</v>
      </c>
      <c r="F464" s="5" t="s">
        <v>49</v>
      </c>
      <c r="G464" s="8"/>
      <c r="H464" s="8" t="str">
        <f>IF(F464="Bullet",MIN(G464,Assumptions!$B$6),"")</f>
        <v/>
      </c>
      <c r="I464" s="8">
        <v>1</v>
      </c>
      <c r="J464" s="8">
        <f>IF(F464="Monthly interest",MAX(0,Assumptions!$B$5-I464),"")</f>
        <v>2</v>
      </c>
      <c r="K464" s="7">
        <f t="shared" si="21"/>
        <v>1844</v>
      </c>
      <c r="L464" s="9">
        <v>46272</v>
      </c>
      <c r="M464" s="5" t="s">
        <v>50</v>
      </c>
      <c r="N464" s="5" t="s">
        <v>51</v>
      </c>
      <c r="O464" s="5" t="s">
        <v>52</v>
      </c>
      <c r="P464" s="5" t="s">
        <v>53</v>
      </c>
      <c r="Q464" s="5" t="s">
        <v>54</v>
      </c>
      <c r="R464" s="5" t="s">
        <v>55</v>
      </c>
      <c r="S464" s="5" t="s">
        <v>253</v>
      </c>
      <c r="T464" s="5" t="s">
        <v>57</v>
      </c>
      <c r="U464" s="5" t="s">
        <v>104</v>
      </c>
      <c r="V464" s="5" t="s">
        <v>215</v>
      </c>
      <c r="W464" s="5" t="s">
        <v>278</v>
      </c>
      <c r="X464" s="5" t="s">
        <v>1284</v>
      </c>
      <c r="Y464" s="5" t="s">
        <v>2258</v>
      </c>
      <c r="Z464" s="9">
        <v>46060</v>
      </c>
      <c r="AA464" s="8">
        <v>12</v>
      </c>
      <c r="AB464" s="9">
        <f t="shared" si="22"/>
        <v>46425</v>
      </c>
      <c r="AC464" s="10">
        <v>16</v>
      </c>
      <c r="AD464" s="7">
        <f t="shared" si="23"/>
        <v>1844</v>
      </c>
      <c r="AE464" s="7">
        <f>IF(F464="Bullet",H464*AD464,MIN(MAX(I464,1),Assumptions!$B$6)*AD464)</f>
        <v>1844</v>
      </c>
      <c r="AF464" s="8">
        <f>IF(F464="Bullet",MAX(0,Assumptions!$B$4-AB464),MAX(0,Assumptions!$B$4-L464))</f>
        <v>26</v>
      </c>
      <c r="AG464" s="9">
        <v>46243</v>
      </c>
      <c r="AH464" s="8">
        <f>IF(AG464="","",Assumptions!$B$4-AG464)</f>
        <v>55</v>
      </c>
      <c r="AI464" s="5" t="s">
        <v>63</v>
      </c>
      <c r="AJ464" s="8">
        <v>1</v>
      </c>
      <c r="AK464" s="8">
        <v>0</v>
      </c>
      <c r="AL464" s="8">
        <v>673</v>
      </c>
      <c r="AM464" s="8">
        <v>1</v>
      </c>
      <c r="AN464" s="5" t="s">
        <v>63</v>
      </c>
      <c r="AO464" s="10">
        <v>72.099999999999994</v>
      </c>
      <c r="AP464" s="8">
        <v>26</v>
      </c>
      <c r="AQ464" s="9">
        <v>46287</v>
      </c>
      <c r="AR464" s="5" t="s">
        <v>51</v>
      </c>
      <c r="AS464" s="5" t="s">
        <v>190</v>
      </c>
    </row>
    <row r="465" spans="1:45" x14ac:dyDescent="0.35">
      <c r="A465" s="5" t="s">
        <v>2259</v>
      </c>
      <c r="B465" s="5" t="s">
        <v>2008</v>
      </c>
      <c r="C465" s="6" t="s">
        <v>2260</v>
      </c>
      <c r="D465" s="7">
        <v>205500</v>
      </c>
      <c r="E465" s="5" t="s">
        <v>48</v>
      </c>
      <c r="F465" s="5" t="s">
        <v>68</v>
      </c>
      <c r="G465" s="8">
        <v>3</v>
      </c>
      <c r="H465" s="8">
        <f>IF(F465="Bullet",MIN(G465,Assumptions!$B$6),"")</f>
        <v>2</v>
      </c>
      <c r="I465" s="8"/>
      <c r="J465" s="8" t="str">
        <f>IF(F465="Monthly interest",MAX(0,Assumptions!$B$5-I465),"")</f>
        <v/>
      </c>
      <c r="K465" s="7">
        <f t="shared" si="21"/>
        <v>8220</v>
      </c>
      <c r="L465" s="9">
        <v>46182</v>
      </c>
      <c r="M465" s="5" t="s">
        <v>50</v>
      </c>
      <c r="N465" s="5" t="s">
        <v>53</v>
      </c>
      <c r="O465" s="5" t="s">
        <v>71</v>
      </c>
      <c r="P465" s="5" t="s">
        <v>51</v>
      </c>
      <c r="Q465" s="5" t="s">
        <v>73</v>
      </c>
      <c r="R465" s="5" t="s">
        <v>74</v>
      </c>
      <c r="S465" s="5" t="s">
        <v>85</v>
      </c>
      <c r="T465" s="5" t="s">
        <v>57</v>
      </c>
      <c r="U465" s="5" t="s">
        <v>58</v>
      </c>
      <c r="V465" s="5" t="s">
        <v>133</v>
      </c>
      <c r="W465" s="5" t="s">
        <v>317</v>
      </c>
      <c r="X465" s="5" t="s">
        <v>891</v>
      </c>
      <c r="Y465" s="5" t="s">
        <v>2261</v>
      </c>
      <c r="Z465" s="9">
        <v>46182</v>
      </c>
      <c r="AA465" s="8">
        <v>6</v>
      </c>
      <c r="AB465" s="9">
        <f t="shared" si="22"/>
        <v>46365</v>
      </c>
      <c r="AC465" s="10">
        <v>16</v>
      </c>
      <c r="AD465" s="7">
        <f t="shared" si="23"/>
        <v>2740</v>
      </c>
      <c r="AE465" s="7">
        <f>IF(F465="Bullet",H465*AD465,MIN(MAX(I465,1),Assumptions!$B$6)*AD465)</f>
        <v>5480</v>
      </c>
      <c r="AF465" s="8">
        <f>IF(F465="Bullet",MAX(0,Assumptions!$B$4-AB465),MAX(0,Assumptions!$B$4-L465))</f>
        <v>0</v>
      </c>
      <c r="AG465" s="9"/>
      <c r="AH465" s="8" t="str">
        <f>IF(AG465="","",Assumptions!$B$4-AG465)</f>
        <v/>
      </c>
      <c r="AI465" s="5" t="s">
        <v>80</v>
      </c>
      <c r="AJ465" s="8"/>
      <c r="AK465" s="8">
        <v>1</v>
      </c>
      <c r="AL465" s="8">
        <v>703</v>
      </c>
      <c r="AM465" s="8">
        <v>0</v>
      </c>
      <c r="AN465" s="5" t="s">
        <v>63</v>
      </c>
      <c r="AO465" s="10">
        <v>62.8</v>
      </c>
      <c r="AP465" s="8">
        <v>26</v>
      </c>
      <c r="AQ465" s="9">
        <v>46290</v>
      </c>
      <c r="AR465" s="5" t="s">
        <v>70</v>
      </c>
      <c r="AS465" s="5" t="s">
        <v>181</v>
      </c>
    </row>
    <row r="466" spans="1:45" x14ac:dyDescent="0.35">
      <c r="A466" s="5" t="s">
        <v>2262</v>
      </c>
      <c r="B466" s="5" t="s">
        <v>2263</v>
      </c>
      <c r="C466" s="6" t="s">
        <v>2264</v>
      </c>
      <c r="D466" s="7">
        <v>39100</v>
      </c>
      <c r="E466" s="5" t="s">
        <v>48</v>
      </c>
      <c r="F466" s="5" t="s">
        <v>68</v>
      </c>
      <c r="G466" s="8">
        <v>4</v>
      </c>
      <c r="H466" s="8">
        <f>IF(F466="Bullet",MIN(G466,Assumptions!$B$6),"")</f>
        <v>2</v>
      </c>
      <c r="I466" s="8"/>
      <c r="J466" s="8" t="str">
        <f>IF(F466="Monthly interest",MAX(0,Assumptions!$B$5-I466),"")</f>
        <v/>
      </c>
      <c r="K466" s="7">
        <f t="shared" si="21"/>
        <v>1564</v>
      </c>
      <c r="L466" s="9">
        <v>46155</v>
      </c>
      <c r="M466" s="5" t="s">
        <v>116</v>
      </c>
      <c r="N466" s="5" t="s">
        <v>117</v>
      </c>
      <c r="O466" s="5" t="s">
        <v>450</v>
      </c>
      <c r="P466" s="5" t="s">
        <v>72</v>
      </c>
      <c r="Q466" s="5" t="s">
        <v>154</v>
      </c>
      <c r="R466" s="5" t="s">
        <v>155</v>
      </c>
      <c r="S466" s="5" t="s">
        <v>85</v>
      </c>
      <c r="T466" s="5" t="s">
        <v>63</v>
      </c>
      <c r="U466" s="5" t="s">
        <v>86</v>
      </c>
      <c r="V466" s="5" t="s">
        <v>133</v>
      </c>
      <c r="W466" s="5" t="s">
        <v>594</v>
      </c>
      <c r="X466" s="5" t="s">
        <v>2265</v>
      </c>
      <c r="Y466" s="5" t="s">
        <v>2266</v>
      </c>
      <c r="Z466" s="9">
        <v>46155</v>
      </c>
      <c r="AA466" s="8">
        <v>3</v>
      </c>
      <c r="AB466" s="9">
        <f t="shared" si="22"/>
        <v>46247</v>
      </c>
      <c r="AC466" s="10">
        <v>12</v>
      </c>
      <c r="AD466" s="7">
        <f t="shared" si="23"/>
        <v>391</v>
      </c>
      <c r="AE466" s="7">
        <f>IF(F466="Bullet",H466*AD466,MIN(MAX(I466,1),Assumptions!$B$6)*AD466)</f>
        <v>782</v>
      </c>
      <c r="AF466" s="8">
        <f>IF(F466="Bullet",MAX(0,Assumptions!$B$4-AB466),MAX(0,Assumptions!$B$4-L466))</f>
        <v>51</v>
      </c>
      <c r="AG466" s="9"/>
      <c r="AH466" s="8" t="str">
        <f>IF(AG466="","",Assumptions!$B$4-AG466)</f>
        <v/>
      </c>
      <c r="AI466" s="5" t="s">
        <v>80</v>
      </c>
      <c r="AJ466" s="8"/>
      <c r="AK466" s="8">
        <v>2</v>
      </c>
      <c r="AL466" s="8">
        <v>610</v>
      </c>
      <c r="AM466" s="8">
        <v>3</v>
      </c>
      <c r="AN466" s="5" t="s">
        <v>57</v>
      </c>
      <c r="AO466" s="10">
        <v>74</v>
      </c>
      <c r="AP466" s="8">
        <v>70</v>
      </c>
      <c r="AQ466" s="9">
        <v>46284</v>
      </c>
      <c r="AR466" s="5" t="s">
        <v>72</v>
      </c>
      <c r="AS466" s="5" t="s">
        <v>91</v>
      </c>
    </row>
    <row r="467" spans="1:45" x14ac:dyDescent="0.35">
      <c r="A467" s="5" t="s">
        <v>2267</v>
      </c>
      <c r="B467" s="5" t="s">
        <v>2268</v>
      </c>
      <c r="C467" s="6" t="s">
        <v>2269</v>
      </c>
      <c r="D467" s="7">
        <v>101500</v>
      </c>
      <c r="E467" s="5" t="s">
        <v>48</v>
      </c>
      <c r="F467" s="5" t="s">
        <v>68</v>
      </c>
      <c r="G467" s="8">
        <v>2</v>
      </c>
      <c r="H467" s="8">
        <f>IF(F467="Bullet",MIN(G467,Assumptions!$B$6),"")</f>
        <v>2</v>
      </c>
      <c r="I467" s="8"/>
      <c r="J467" s="8" t="str">
        <f>IF(F467="Monthly interest",MAX(0,Assumptions!$B$5-I467),"")</f>
        <v/>
      </c>
      <c r="K467" s="7">
        <f t="shared" si="21"/>
        <v>2368</v>
      </c>
      <c r="L467" s="9">
        <v>46221</v>
      </c>
      <c r="M467" s="5" t="s">
        <v>50</v>
      </c>
      <c r="N467" s="5" t="s">
        <v>53</v>
      </c>
      <c r="O467" s="5" t="s">
        <v>103</v>
      </c>
      <c r="P467" s="5" t="s">
        <v>51</v>
      </c>
      <c r="Q467" s="5" t="s">
        <v>73</v>
      </c>
      <c r="R467" s="5" t="s">
        <v>74</v>
      </c>
      <c r="S467" s="5" t="s">
        <v>75</v>
      </c>
      <c r="T467" s="5" t="s">
        <v>57</v>
      </c>
      <c r="U467" s="5" t="s">
        <v>58</v>
      </c>
      <c r="V467" s="5" t="s">
        <v>76</v>
      </c>
      <c r="W467" s="5" t="s">
        <v>382</v>
      </c>
      <c r="X467" s="5" t="s">
        <v>383</v>
      </c>
      <c r="Y467" s="5" t="s">
        <v>2270</v>
      </c>
      <c r="Z467" s="9">
        <v>46221</v>
      </c>
      <c r="AA467" s="8">
        <v>6</v>
      </c>
      <c r="AB467" s="9">
        <f t="shared" si="22"/>
        <v>46405</v>
      </c>
      <c r="AC467" s="10">
        <v>14</v>
      </c>
      <c r="AD467" s="7">
        <f t="shared" si="23"/>
        <v>1184</v>
      </c>
      <c r="AE467" s="7">
        <f>IF(F467="Bullet",H467*AD467,MIN(MAX(I467,1),Assumptions!$B$6)*AD467)</f>
        <v>2368</v>
      </c>
      <c r="AF467" s="8">
        <f>IF(F467="Bullet",MAX(0,Assumptions!$B$4-AB467),MAX(0,Assumptions!$B$4-L467))</f>
        <v>0</v>
      </c>
      <c r="AG467" s="9"/>
      <c r="AH467" s="8" t="str">
        <f>IF(AG467="","",Assumptions!$B$4-AG467)</f>
        <v/>
      </c>
      <c r="AI467" s="5" t="s">
        <v>80</v>
      </c>
      <c r="AJ467" s="8"/>
      <c r="AK467" s="8">
        <v>0</v>
      </c>
      <c r="AL467" s="8">
        <v>752</v>
      </c>
      <c r="AM467" s="8">
        <v>2</v>
      </c>
      <c r="AN467" s="5" t="s">
        <v>63</v>
      </c>
      <c r="AO467" s="10">
        <v>85</v>
      </c>
      <c r="AP467" s="8">
        <v>19</v>
      </c>
      <c r="AQ467" s="9">
        <v>46289</v>
      </c>
      <c r="AR467" s="5" t="s">
        <v>51</v>
      </c>
      <c r="AS467" s="5" t="s">
        <v>81</v>
      </c>
    </row>
    <row r="468" spans="1:45" x14ac:dyDescent="0.35">
      <c r="A468" s="5" t="s">
        <v>2271</v>
      </c>
      <c r="B468" s="5" t="s">
        <v>1155</v>
      </c>
      <c r="C468" s="6" t="s">
        <v>2272</v>
      </c>
      <c r="D468" s="7">
        <v>330100</v>
      </c>
      <c r="E468" s="5" t="s">
        <v>48</v>
      </c>
      <c r="F468" s="5" t="s">
        <v>49</v>
      </c>
      <c r="G468" s="8"/>
      <c r="H468" s="8" t="str">
        <f>IF(F468="Bullet",MIN(G468,Assumptions!$B$6),"")</f>
        <v/>
      </c>
      <c r="I468" s="8">
        <v>2</v>
      </c>
      <c r="J468" s="8">
        <f>IF(F468="Monthly interest",MAX(0,Assumptions!$B$5-I468),"")</f>
        <v>1</v>
      </c>
      <c r="K468" s="7">
        <f t="shared" si="21"/>
        <v>11004</v>
      </c>
      <c r="L468" s="9">
        <v>46241</v>
      </c>
      <c r="M468" s="5" t="s">
        <v>69</v>
      </c>
      <c r="N468" s="5" t="s">
        <v>70</v>
      </c>
      <c r="O468" s="5" t="s">
        <v>71</v>
      </c>
      <c r="P468" s="5" t="s">
        <v>72</v>
      </c>
      <c r="Q468" s="5" t="s">
        <v>73</v>
      </c>
      <c r="R468" s="5" t="s">
        <v>74</v>
      </c>
      <c r="S468" s="5" t="s">
        <v>85</v>
      </c>
      <c r="T468" s="5" t="s">
        <v>63</v>
      </c>
      <c r="U468" s="5" t="s">
        <v>104</v>
      </c>
      <c r="V468" s="5" t="s">
        <v>96</v>
      </c>
      <c r="W468" s="5" t="s">
        <v>171</v>
      </c>
      <c r="X468" s="5" t="s">
        <v>1760</v>
      </c>
      <c r="Y468" s="5" t="s">
        <v>2273</v>
      </c>
      <c r="Z468" s="9">
        <v>46149</v>
      </c>
      <c r="AA468" s="8">
        <v>12</v>
      </c>
      <c r="AB468" s="9">
        <f t="shared" si="22"/>
        <v>46514</v>
      </c>
      <c r="AC468" s="10">
        <v>20</v>
      </c>
      <c r="AD468" s="7">
        <f t="shared" si="23"/>
        <v>5502</v>
      </c>
      <c r="AE468" s="7">
        <f>IF(F468="Bullet",H468*AD468,MIN(MAX(I468,1),Assumptions!$B$6)*AD468)</f>
        <v>11004</v>
      </c>
      <c r="AF468" s="8">
        <f>IF(F468="Bullet",MAX(0,Assumptions!$B$4-AB468),MAX(0,Assumptions!$B$4-L468))</f>
        <v>57</v>
      </c>
      <c r="AG468" s="9">
        <v>46215</v>
      </c>
      <c r="AH468" s="8">
        <f>IF(AG468="","",Assumptions!$B$4-AG468)</f>
        <v>83</v>
      </c>
      <c r="AI468" s="5" t="s">
        <v>63</v>
      </c>
      <c r="AJ468" s="8">
        <v>3</v>
      </c>
      <c r="AK468" s="8">
        <v>0</v>
      </c>
      <c r="AL468" s="8">
        <v>747</v>
      </c>
      <c r="AM468" s="8">
        <v>1</v>
      </c>
      <c r="AN468" s="5" t="s">
        <v>63</v>
      </c>
      <c r="AO468" s="10">
        <v>77.900000000000006</v>
      </c>
      <c r="AP468" s="8">
        <v>46</v>
      </c>
      <c r="AQ468" s="9">
        <v>46290</v>
      </c>
      <c r="AR468" s="5" t="s">
        <v>53</v>
      </c>
      <c r="AS468" s="5" t="s">
        <v>181</v>
      </c>
    </row>
    <row r="469" spans="1:45" x14ac:dyDescent="0.35">
      <c r="A469" s="5" t="s">
        <v>2274</v>
      </c>
      <c r="B469" s="5" t="s">
        <v>2164</v>
      </c>
      <c r="C469" s="6" t="s">
        <v>2275</v>
      </c>
      <c r="D469" s="7">
        <v>131700</v>
      </c>
      <c r="E469" s="5" t="s">
        <v>48</v>
      </c>
      <c r="F469" s="5" t="s">
        <v>68</v>
      </c>
      <c r="G469" s="8">
        <v>5</v>
      </c>
      <c r="H469" s="8">
        <f>IF(F469="Bullet",MIN(G469,Assumptions!$B$6),"")</f>
        <v>2</v>
      </c>
      <c r="I469" s="8"/>
      <c r="J469" s="8" t="str">
        <f>IF(F469="Monthly interest",MAX(0,Assumptions!$B$5-I469),"")</f>
        <v/>
      </c>
      <c r="K469" s="7">
        <f t="shared" si="21"/>
        <v>8230</v>
      </c>
      <c r="L469" s="9">
        <v>46134</v>
      </c>
      <c r="M469" s="5" t="s">
        <v>116</v>
      </c>
      <c r="N469" s="5" t="s">
        <v>117</v>
      </c>
      <c r="O469" s="5" t="s">
        <v>461</v>
      </c>
      <c r="P469" s="5" t="s">
        <v>72</v>
      </c>
      <c r="Q469" s="5" t="s">
        <v>169</v>
      </c>
      <c r="R469" s="5" t="s">
        <v>170</v>
      </c>
      <c r="S469" s="5" t="s">
        <v>75</v>
      </c>
      <c r="T469" s="5" t="s">
        <v>57</v>
      </c>
      <c r="U469" s="5" t="s">
        <v>86</v>
      </c>
      <c r="V469" s="5" t="s">
        <v>76</v>
      </c>
      <c r="W469" s="5" t="s">
        <v>382</v>
      </c>
      <c r="X469" s="5" t="s">
        <v>2276</v>
      </c>
      <c r="Y469" s="5" t="s">
        <v>2277</v>
      </c>
      <c r="Z469" s="9">
        <v>46134</v>
      </c>
      <c r="AA469" s="8">
        <v>6</v>
      </c>
      <c r="AB469" s="9">
        <f t="shared" si="22"/>
        <v>46317</v>
      </c>
      <c r="AC469" s="10">
        <v>15</v>
      </c>
      <c r="AD469" s="7">
        <f t="shared" si="23"/>
        <v>1646</v>
      </c>
      <c r="AE469" s="7">
        <f>IF(F469="Bullet",H469*AD469,MIN(MAX(I469,1),Assumptions!$B$6)*AD469)</f>
        <v>3292</v>
      </c>
      <c r="AF469" s="8">
        <f>IF(F469="Bullet",MAX(0,Assumptions!$B$4-AB469),MAX(0,Assumptions!$B$4-L469))</f>
        <v>0</v>
      </c>
      <c r="AG469" s="9"/>
      <c r="AH469" s="8" t="str">
        <f>IF(AG469="","",Assumptions!$B$4-AG469)</f>
        <v/>
      </c>
      <c r="AI469" s="5" t="s">
        <v>80</v>
      </c>
      <c r="AJ469" s="8"/>
      <c r="AK469" s="8">
        <v>2</v>
      </c>
      <c r="AL469" s="8">
        <v>735</v>
      </c>
      <c r="AM469" s="8">
        <v>2</v>
      </c>
      <c r="AN469" s="5" t="s">
        <v>63</v>
      </c>
      <c r="AO469" s="10">
        <v>64.3</v>
      </c>
      <c r="AP469" s="8">
        <v>50</v>
      </c>
      <c r="AQ469" s="9">
        <v>46284</v>
      </c>
      <c r="AR469" s="5" t="s">
        <v>70</v>
      </c>
      <c r="AS469" s="5" t="s">
        <v>190</v>
      </c>
    </row>
    <row r="470" spans="1:45" x14ac:dyDescent="0.35">
      <c r="A470" s="5" t="s">
        <v>2278</v>
      </c>
      <c r="B470" s="5" t="s">
        <v>263</v>
      </c>
      <c r="C470" s="6" t="s">
        <v>2279</v>
      </c>
      <c r="D470" s="7">
        <v>236100</v>
      </c>
      <c r="E470" s="5" t="s">
        <v>48</v>
      </c>
      <c r="F470" s="5" t="s">
        <v>49</v>
      </c>
      <c r="G470" s="8"/>
      <c r="H470" s="8" t="str">
        <f>IF(F470="Bullet",MIN(G470,Assumptions!$B$6),"")</f>
        <v/>
      </c>
      <c r="I470" s="8">
        <v>1</v>
      </c>
      <c r="J470" s="8">
        <f>IF(F470="Monthly interest",MAX(0,Assumptions!$B$5-I470),"")</f>
        <v>2</v>
      </c>
      <c r="K470" s="7">
        <f t="shared" si="21"/>
        <v>3148</v>
      </c>
      <c r="L470" s="9">
        <v>46273</v>
      </c>
      <c r="M470" s="5" t="s">
        <v>69</v>
      </c>
      <c r="N470" s="5" t="s">
        <v>51</v>
      </c>
      <c r="O470" s="5" t="s">
        <v>52</v>
      </c>
      <c r="P470" s="5" t="s">
        <v>53</v>
      </c>
      <c r="Q470" s="5" t="s">
        <v>54</v>
      </c>
      <c r="R470" s="5" t="s">
        <v>55</v>
      </c>
      <c r="S470" s="5" t="s">
        <v>85</v>
      </c>
      <c r="T470" s="5" t="s">
        <v>57</v>
      </c>
      <c r="U470" s="5" t="s">
        <v>86</v>
      </c>
      <c r="V470" s="5" t="s">
        <v>96</v>
      </c>
      <c r="W470" s="5" t="s">
        <v>819</v>
      </c>
      <c r="X470" s="5" t="s">
        <v>2280</v>
      </c>
      <c r="Y470" s="5" t="s">
        <v>2281</v>
      </c>
      <c r="Z470" s="9">
        <v>46120</v>
      </c>
      <c r="AA470" s="8">
        <v>12</v>
      </c>
      <c r="AB470" s="9">
        <f t="shared" si="22"/>
        <v>46485</v>
      </c>
      <c r="AC470" s="10">
        <v>16</v>
      </c>
      <c r="AD470" s="7">
        <f t="shared" si="23"/>
        <v>3148</v>
      </c>
      <c r="AE470" s="7">
        <f>IF(F470="Bullet",H470*AD470,MIN(MAX(I470,1),Assumptions!$B$6)*AD470)</f>
        <v>3148</v>
      </c>
      <c r="AF470" s="8">
        <f>IF(F470="Bullet",MAX(0,Assumptions!$B$4-AB470),MAX(0,Assumptions!$B$4-L470))</f>
        <v>25</v>
      </c>
      <c r="AG470" s="9">
        <v>46246</v>
      </c>
      <c r="AH470" s="8">
        <f>IF(AG470="","",Assumptions!$B$4-AG470)</f>
        <v>52</v>
      </c>
      <c r="AI470" s="5" t="s">
        <v>63</v>
      </c>
      <c r="AJ470" s="8">
        <v>1</v>
      </c>
      <c r="AK470" s="8">
        <v>0</v>
      </c>
      <c r="AL470" s="8">
        <v>672</v>
      </c>
      <c r="AM470" s="8">
        <v>1</v>
      </c>
      <c r="AN470" s="5" t="s">
        <v>63</v>
      </c>
      <c r="AO470" s="10">
        <v>82.1</v>
      </c>
      <c r="AP470" s="8">
        <v>39</v>
      </c>
      <c r="AQ470" s="9">
        <v>46287</v>
      </c>
      <c r="AR470" s="5" t="s">
        <v>51</v>
      </c>
      <c r="AS470" s="5" t="s">
        <v>181</v>
      </c>
    </row>
    <row r="471" spans="1:45" x14ac:dyDescent="0.35">
      <c r="A471" s="5" t="s">
        <v>2282</v>
      </c>
      <c r="B471" s="5" t="s">
        <v>2283</v>
      </c>
      <c r="C471" s="6" t="s">
        <v>2284</v>
      </c>
      <c r="D471" s="7">
        <v>72700</v>
      </c>
      <c r="E471" s="5" t="s">
        <v>48</v>
      </c>
      <c r="F471" s="5" t="s">
        <v>68</v>
      </c>
      <c r="G471" s="8">
        <v>1</v>
      </c>
      <c r="H471" s="8">
        <f>IF(F471="Bullet",MIN(G471,Assumptions!$B$6),"")</f>
        <v>1</v>
      </c>
      <c r="I471" s="8"/>
      <c r="J471" s="8" t="str">
        <f>IF(F471="Monthly interest",MAX(0,Assumptions!$B$5-I471),"")</f>
        <v/>
      </c>
      <c r="K471" s="7">
        <f t="shared" si="21"/>
        <v>909</v>
      </c>
      <c r="L471" s="9">
        <v>46265</v>
      </c>
      <c r="M471" s="5" t="s">
        <v>50</v>
      </c>
      <c r="N471" s="5" t="s">
        <v>53</v>
      </c>
      <c r="O471" s="5" t="s">
        <v>132</v>
      </c>
      <c r="P471" s="5" t="s">
        <v>51</v>
      </c>
      <c r="Q471" s="5" t="s">
        <v>73</v>
      </c>
      <c r="R471" s="5" t="s">
        <v>74</v>
      </c>
      <c r="S471" s="5" t="s">
        <v>214</v>
      </c>
      <c r="T471" s="5" t="s">
        <v>57</v>
      </c>
      <c r="U471" s="5" t="s">
        <v>58</v>
      </c>
      <c r="V471" s="5" t="s">
        <v>215</v>
      </c>
      <c r="W471" s="5" t="s">
        <v>278</v>
      </c>
      <c r="X471" s="5" t="s">
        <v>516</v>
      </c>
      <c r="Y471" s="5" t="s">
        <v>2285</v>
      </c>
      <c r="Z471" s="9">
        <v>46265</v>
      </c>
      <c r="AA471" s="8">
        <v>12</v>
      </c>
      <c r="AB471" s="9">
        <f t="shared" si="22"/>
        <v>46630</v>
      </c>
      <c r="AC471" s="10">
        <v>15</v>
      </c>
      <c r="AD471" s="7">
        <f t="shared" si="23"/>
        <v>909</v>
      </c>
      <c r="AE471" s="7">
        <f>IF(F471="Bullet",H471*AD471,MIN(MAX(I471,1),Assumptions!$B$6)*AD471)</f>
        <v>909</v>
      </c>
      <c r="AF471" s="8">
        <f>IF(F471="Bullet",MAX(0,Assumptions!$B$4-AB471),MAX(0,Assumptions!$B$4-L471))</f>
        <v>0</v>
      </c>
      <c r="AG471" s="9"/>
      <c r="AH471" s="8" t="str">
        <f>IF(AG471="","",Assumptions!$B$4-AG471)</f>
        <v/>
      </c>
      <c r="AI471" s="5" t="s">
        <v>80</v>
      </c>
      <c r="AJ471" s="8"/>
      <c r="AK471" s="8">
        <v>0</v>
      </c>
      <c r="AL471" s="8">
        <v>710</v>
      </c>
      <c r="AM471" s="8">
        <v>0</v>
      </c>
      <c r="AN471" s="5" t="s">
        <v>63</v>
      </c>
      <c r="AO471" s="10">
        <v>77.2</v>
      </c>
      <c r="AP471" s="8">
        <v>19</v>
      </c>
      <c r="AQ471" s="9">
        <v>46296</v>
      </c>
      <c r="AR471" s="5" t="s">
        <v>51</v>
      </c>
      <c r="AS471" s="5" t="s">
        <v>91</v>
      </c>
    </row>
    <row r="472" spans="1:45" x14ac:dyDescent="0.35">
      <c r="A472" s="5" t="s">
        <v>2286</v>
      </c>
      <c r="B472" s="5" t="s">
        <v>2287</v>
      </c>
      <c r="C472" s="6" t="s">
        <v>2288</v>
      </c>
      <c r="D472" s="7">
        <v>371900</v>
      </c>
      <c r="E472" s="5" t="s">
        <v>48</v>
      </c>
      <c r="F472" s="5" t="s">
        <v>49</v>
      </c>
      <c r="G472" s="8"/>
      <c r="H472" s="8" t="str">
        <f>IF(F472="Bullet",MIN(G472,Assumptions!$B$6),"")</f>
        <v/>
      </c>
      <c r="I472" s="8">
        <v>2</v>
      </c>
      <c r="J472" s="8">
        <f>IF(F472="Monthly interest",MAX(0,Assumptions!$B$5-I472),"")</f>
        <v>1</v>
      </c>
      <c r="K472" s="7">
        <f t="shared" si="21"/>
        <v>11158</v>
      </c>
      <c r="L472" s="9">
        <v>46262</v>
      </c>
      <c r="M472" s="5" t="s">
        <v>116</v>
      </c>
      <c r="N472" s="5" t="s">
        <v>117</v>
      </c>
      <c r="O472" s="5" t="s">
        <v>118</v>
      </c>
      <c r="P472" s="5" t="s">
        <v>72</v>
      </c>
      <c r="Q472" s="5" t="s">
        <v>119</v>
      </c>
      <c r="R472" s="5" t="s">
        <v>120</v>
      </c>
      <c r="S472" s="5" t="s">
        <v>253</v>
      </c>
      <c r="T472" s="5" t="s">
        <v>57</v>
      </c>
      <c r="U472" s="5" t="s">
        <v>58</v>
      </c>
      <c r="V472" s="5" t="s">
        <v>200</v>
      </c>
      <c r="W472" s="5" t="s">
        <v>201</v>
      </c>
      <c r="X472" s="5" t="s">
        <v>2289</v>
      </c>
      <c r="Y472" s="5" t="s">
        <v>2290</v>
      </c>
      <c r="Z472" s="9">
        <v>45989</v>
      </c>
      <c r="AA472" s="8">
        <v>24</v>
      </c>
      <c r="AB472" s="9">
        <f t="shared" si="22"/>
        <v>46719</v>
      </c>
      <c r="AC472" s="10">
        <v>18</v>
      </c>
      <c r="AD472" s="7">
        <f t="shared" si="23"/>
        <v>5579</v>
      </c>
      <c r="AE472" s="7">
        <f>IF(F472="Bullet",H472*AD472,MIN(MAX(I472,1),Assumptions!$B$6)*AD472)</f>
        <v>11158</v>
      </c>
      <c r="AF472" s="8">
        <f>IF(F472="Bullet",MAX(0,Assumptions!$B$4-AB472),MAX(0,Assumptions!$B$4-L472))</f>
        <v>36</v>
      </c>
      <c r="AG472" s="9">
        <v>46233</v>
      </c>
      <c r="AH472" s="8">
        <f>IF(AG472="","",Assumptions!$B$4-AG472)</f>
        <v>65</v>
      </c>
      <c r="AI472" s="5" t="s">
        <v>57</v>
      </c>
      <c r="AJ472" s="8">
        <v>4</v>
      </c>
      <c r="AK472" s="8">
        <v>1</v>
      </c>
      <c r="AL472" s="8">
        <v>682</v>
      </c>
      <c r="AM472" s="8">
        <v>2</v>
      </c>
      <c r="AN472" s="5" t="s">
        <v>63</v>
      </c>
      <c r="AO472" s="10">
        <v>48.4</v>
      </c>
      <c r="AP472" s="8">
        <v>62</v>
      </c>
      <c r="AQ472" s="9">
        <v>46287</v>
      </c>
      <c r="AR472" s="5" t="s">
        <v>51</v>
      </c>
      <c r="AS472" s="5" t="s">
        <v>91</v>
      </c>
    </row>
    <row r="473" spans="1:45" x14ac:dyDescent="0.35">
      <c r="A473" s="5" t="s">
        <v>2291</v>
      </c>
      <c r="B473" s="5" t="s">
        <v>2292</v>
      </c>
      <c r="C473" s="6" t="s">
        <v>2293</v>
      </c>
      <c r="D473" s="7">
        <v>203000</v>
      </c>
      <c r="E473" s="5" t="s">
        <v>48</v>
      </c>
      <c r="F473" s="5" t="s">
        <v>49</v>
      </c>
      <c r="G473" s="8"/>
      <c r="H473" s="8" t="str">
        <f>IF(F473="Bullet",MIN(G473,Assumptions!$B$6),"")</f>
        <v/>
      </c>
      <c r="I473" s="8">
        <v>1</v>
      </c>
      <c r="J473" s="8">
        <f>IF(F473="Monthly interest",MAX(0,Assumptions!$B$5-I473),"")</f>
        <v>2</v>
      </c>
      <c r="K473" s="7">
        <f t="shared" si="21"/>
        <v>2538</v>
      </c>
      <c r="L473" s="9">
        <v>46274</v>
      </c>
      <c r="M473" s="5" t="s">
        <v>50</v>
      </c>
      <c r="N473" s="5" t="s">
        <v>53</v>
      </c>
      <c r="O473" s="5" t="s">
        <v>103</v>
      </c>
      <c r="P473" s="5" t="s">
        <v>51</v>
      </c>
      <c r="Q473" s="5" t="s">
        <v>54</v>
      </c>
      <c r="R473" s="5" t="s">
        <v>55</v>
      </c>
      <c r="S473" s="5" t="s">
        <v>185</v>
      </c>
      <c r="T473" s="5" t="s">
        <v>57</v>
      </c>
      <c r="U473" s="5" t="s">
        <v>86</v>
      </c>
      <c r="V473" s="5" t="s">
        <v>200</v>
      </c>
      <c r="W473" s="5" t="s">
        <v>767</v>
      </c>
      <c r="X473" s="5" t="s">
        <v>1366</v>
      </c>
      <c r="Y473" s="5" t="s">
        <v>2294</v>
      </c>
      <c r="Z473" s="9">
        <v>46212</v>
      </c>
      <c r="AA473" s="8">
        <v>12</v>
      </c>
      <c r="AB473" s="9">
        <f t="shared" si="22"/>
        <v>46577</v>
      </c>
      <c r="AC473" s="10">
        <v>15</v>
      </c>
      <c r="AD473" s="7">
        <f t="shared" si="23"/>
        <v>2538</v>
      </c>
      <c r="AE473" s="7">
        <f>IF(F473="Bullet",H473*AD473,MIN(MAX(I473,1),Assumptions!$B$6)*AD473)</f>
        <v>2538</v>
      </c>
      <c r="AF473" s="8">
        <f>IF(F473="Bullet",MAX(0,Assumptions!$B$4-AB473),MAX(0,Assumptions!$B$4-L473))</f>
        <v>24</v>
      </c>
      <c r="AG473" s="9">
        <v>46245</v>
      </c>
      <c r="AH473" s="8">
        <f>IF(AG473="","",Assumptions!$B$4-AG473)</f>
        <v>53</v>
      </c>
      <c r="AI473" s="5" t="s">
        <v>63</v>
      </c>
      <c r="AJ473" s="8">
        <v>2</v>
      </c>
      <c r="AK473" s="8">
        <v>0</v>
      </c>
      <c r="AL473" s="8">
        <v>656</v>
      </c>
      <c r="AM473" s="8">
        <v>1</v>
      </c>
      <c r="AN473" s="5" t="s">
        <v>63</v>
      </c>
      <c r="AO473" s="10">
        <v>59.2</v>
      </c>
      <c r="AP473" s="8">
        <v>30</v>
      </c>
      <c r="AQ473" s="9">
        <v>46288</v>
      </c>
      <c r="AR473" s="5" t="s">
        <v>51</v>
      </c>
      <c r="AS473" s="5" t="s">
        <v>81</v>
      </c>
    </row>
    <row r="474" spans="1:45" x14ac:dyDescent="0.35">
      <c r="A474" s="5" t="s">
        <v>2295</v>
      </c>
      <c r="B474" s="5" t="s">
        <v>46</v>
      </c>
      <c r="C474" s="6" t="s">
        <v>2296</v>
      </c>
      <c r="D474" s="7">
        <v>60700</v>
      </c>
      <c r="E474" s="5" t="s">
        <v>48</v>
      </c>
      <c r="F474" s="5" t="s">
        <v>49</v>
      </c>
      <c r="G474" s="8"/>
      <c r="H474" s="8" t="str">
        <f>IF(F474="Bullet",MIN(G474,Assumptions!$B$6),"")</f>
        <v/>
      </c>
      <c r="I474" s="8">
        <v>1</v>
      </c>
      <c r="J474" s="8">
        <f>IF(F474="Monthly interest",MAX(0,Assumptions!$B$5-I474),"")</f>
        <v>2</v>
      </c>
      <c r="K474" s="7">
        <f t="shared" si="21"/>
        <v>708</v>
      </c>
      <c r="L474" s="9">
        <v>46285</v>
      </c>
      <c r="M474" s="5" t="s">
        <v>50</v>
      </c>
      <c r="N474" s="5" t="s">
        <v>53</v>
      </c>
      <c r="O474" s="5" t="s">
        <v>103</v>
      </c>
      <c r="P474" s="5" t="s">
        <v>51</v>
      </c>
      <c r="Q474" s="5" t="s">
        <v>54</v>
      </c>
      <c r="R474" s="5" t="s">
        <v>55</v>
      </c>
      <c r="S474" s="5" t="s">
        <v>56</v>
      </c>
      <c r="T474" s="5" t="s">
        <v>57</v>
      </c>
      <c r="U474" s="5" t="s">
        <v>86</v>
      </c>
      <c r="V474" s="5" t="s">
        <v>59</v>
      </c>
      <c r="W474" s="5" t="s">
        <v>323</v>
      </c>
      <c r="X474" s="5" t="s">
        <v>1923</v>
      </c>
      <c r="Y474" s="5" t="s">
        <v>2297</v>
      </c>
      <c r="Z474" s="9">
        <v>46042</v>
      </c>
      <c r="AA474" s="8">
        <v>12</v>
      </c>
      <c r="AB474" s="9">
        <f t="shared" si="22"/>
        <v>46407</v>
      </c>
      <c r="AC474" s="10">
        <v>14</v>
      </c>
      <c r="AD474" s="7">
        <f t="shared" si="23"/>
        <v>708</v>
      </c>
      <c r="AE474" s="7">
        <f>IF(F474="Bullet",H474*AD474,MIN(MAX(I474,1),Assumptions!$B$6)*AD474)</f>
        <v>708</v>
      </c>
      <c r="AF474" s="8">
        <f>IF(F474="Bullet",MAX(0,Assumptions!$B$4-AB474),MAX(0,Assumptions!$B$4-L474))</f>
        <v>13</v>
      </c>
      <c r="AG474" s="9">
        <v>46257</v>
      </c>
      <c r="AH474" s="8">
        <f>IF(AG474="","",Assumptions!$B$4-AG474)</f>
        <v>41</v>
      </c>
      <c r="AI474" s="5" t="s">
        <v>57</v>
      </c>
      <c r="AJ474" s="8">
        <v>2</v>
      </c>
      <c r="AK474" s="8">
        <v>0</v>
      </c>
      <c r="AL474" s="8">
        <v>744</v>
      </c>
      <c r="AM474" s="8">
        <v>0</v>
      </c>
      <c r="AN474" s="5" t="s">
        <v>63</v>
      </c>
      <c r="AO474" s="10">
        <v>78.2</v>
      </c>
      <c r="AP474" s="8">
        <v>26</v>
      </c>
      <c r="AQ474" s="9">
        <v>46288</v>
      </c>
      <c r="AR474" s="5" t="s">
        <v>51</v>
      </c>
      <c r="AS474" s="5" t="s">
        <v>81</v>
      </c>
    </row>
    <row r="475" spans="1:45" x14ac:dyDescent="0.35">
      <c r="A475" s="5" t="s">
        <v>2298</v>
      </c>
      <c r="B475" s="5" t="s">
        <v>2299</v>
      </c>
      <c r="C475" s="6" t="s">
        <v>2300</v>
      </c>
      <c r="D475" s="7">
        <v>273100</v>
      </c>
      <c r="E475" s="5" t="s">
        <v>48</v>
      </c>
      <c r="F475" s="5" t="s">
        <v>68</v>
      </c>
      <c r="G475" s="8">
        <v>3</v>
      </c>
      <c r="H475" s="8">
        <f>IF(F475="Bullet",MIN(G475,Assumptions!$B$6),"")</f>
        <v>2</v>
      </c>
      <c r="I475" s="8"/>
      <c r="J475" s="8" t="str">
        <f>IF(F475="Monthly interest",MAX(0,Assumptions!$B$5-I475),"")</f>
        <v/>
      </c>
      <c r="K475" s="7">
        <f t="shared" si="21"/>
        <v>9558</v>
      </c>
      <c r="L475" s="9">
        <v>46193</v>
      </c>
      <c r="M475" s="5" t="s">
        <v>50</v>
      </c>
      <c r="N475" s="5" t="s">
        <v>53</v>
      </c>
      <c r="O475" s="5" t="s">
        <v>71</v>
      </c>
      <c r="P475" s="5" t="s">
        <v>51</v>
      </c>
      <c r="Q475" s="5" t="s">
        <v>73</v>
      </c>
      <c r="R475" s="5" t="s">
        <v>74</v>
      </c>
      <c r="S475" s="5" t="s">
        <v>253</v>
      </c>
      <c r="T475" s="5" t="s">
        <v>57</v>
      </c>
      <c r="U475" s="5" t="s">
        <v>104</v>
      </c>
      <c r="V475" s="5" t="s">
        <v>59</v>
      </c>
      <c r="W475" s="5" t="s">
        <v>467</v>
      </c>
      <c r="X475" s="5" t="s">
        <v>1740</v>
      </c>
      <c r="Y475" s="5" t="s">
        <v>2301</v>
      </c>
      <c r="Z475" s="9">
        <v>46193</v>
      </c>
      <c r="AA475" s="8">
        <v>12</v>
      </c>
      <c r="AB475" s="9">
        <f t="shared" si="22"/>
        <v>46558</v>
      </c>
      <c r="AC475" s="10">
        <v>14</v>
      </c>
      <c r="AD475" s="7">
        <f t="shared" si="23"/>
        <v>3186</v>
      </c>
      <c r="AE475" s="7">
        <f>IF(F475="Bullet",H475*AD475,MIN(MAX(I475,1),Assumptions!$B$6)*AD475)</f>
        <v>6372</v>
      </c>
      <c r="AF475" s="8">
        <f>IF(F475="Bullet",MAX(0,Assumptions!$B$4-AB475),MAX(0,Assumptions!$B$4-L475))</f>
        <v>0</v>
      </c>
      <c r="AG475" s="9"/>
      <c r="AH475" s="8" t="str">
        <f>IF(AG475="","",Assumptions!$B$4-AG475)</f>
        <v/>
      </c>
      <c r="AI475" s="5" t="s">
        <v>80</v>
      </c>
      <c r="AJ475" s="8"/>
      <c r="AK475" s="8">
        <v>1</v>
      </c>
      <c r="AL475" s="8">
        <v>739</v>
      </c>
      <c r="AM475" s="8">
        <v>1</v>
      </c>
      <c r="AN475" s="5" t="s">
        <v>63</v>
      </c>
      <c r="AO475" s="10">
        <v>73</v>
      </c>
      <c r="AP475" s="8">
        <v>21</v>
      </c>
      <c r="AQ475" s="9">
        <v>46281</v>
      </c>
      <c r="AR475" s="5" t="s">
        <v>70</v>
      </c>
      <c r="AS475" s="5" t="s">
        <v>81</v>
      </c>
    </row>
    <row r="476" spans="1:45" x14ac:dyDescent="0.35">
      <c r="A476" s="5" t="s">
        <v>2302</v>
      </c>
      <c r="B476" s="5" t="s">
        <v>2303</v>
      </c>
      <c r="C476" s="6" t="s">
        <v>2304</v>
      </c>
      <c r="D476" s="7">
        <v>50500</v>
      </c>
      <c r="E476" s="5" t="s">
        <v>48</v>
      </c>
      <c r="F476" s="5" t="s">
        <v>49</v>
      </c>
      <c r="G476" s="8"/>
      <c r="H476" s="8" t="str">
        <f>IF(F476="Bullet",MIN(G476,Assumptions!$B$6),"")</f>
        <v/>
      </c>
      <c r="I476" s="8">
        <v>1</v>
      </c>
      <c r="J476" s="8">
        <f>IF(F476="Monthly interest",MAX(0,Assumptions!$B$5-I476),"")</f>
        <v>2</v>
      </c>
      <c r="K476" s="7">
        <f t="shared" si="21"/>
        <v>1010</v>
      </c>
      <c r="L476" s="9">
        <v>46285</v>
      </c>
      <c r="M476" s="5" t="s">
        <v>50</v>
      </c>
      <c r="N476" s="5" t="s">
        <v>53</v>
      </c>
      <c r="O476" s="5" t="s">
        <v>103</v>
      </c>
      <c r="P476" s="5" t="s">
        <v>51</v>
      </c>
      <c r="Q476" s="5" t="s">
        <v>54</v>
      </c>
      <c r="R476" s="5" t="s">
        <v>55</v>
      </c>
      <c r="S476" s="5" t="s">
        <v>214</v>
      </c>
      <c r="T476" s="5" t="s">
        <v>57</v>
      </c>
      <c r="U476" s="5" t="s">
        <v>58</v>
      </c>
      <c r="V476" s="5" t="s">
        <v>215</v>
      </c>
      <c r="W476" s="5" t="s">
        <v>278</v>
      </c>
      <c r="X476" s="5" t="s">
        <v>2305</v>
      </c>
      <c r="Y476" s="5" t="s">
        <v>2306</v>
      </c>
      <c r="Z476" s="9">
        <v>46011</v>
      </c>
      <c r="AA476" s="8">
        <v>24</v>
      </c>
      <c r="AB476" s="9">
        <f t="shared" si="22"/>
        <v>46741</v>
      </c>
      <c r="AC476" s="10">
        <v>24</v>
      </c>
      <c r="AD476" s="7">
        <f t="shared" si="23"/>
        <v>1010</v>
      </c>
      <c r="AE476" s="7">
        <f>IF(F476="Bullet",H476*AD476,MIN(MAX(I476,1),Assumptions!$B$6)*AD476)</f>
        <v>1010</v>
      </c>
      <c r="AF476" s="8">
        <f>IF(F476="Bullet",MAX(0,Assumptions!$B$4-AB476),MAX(0,Assumptions!$B$4-L476))</f>
        <v>13</v>
      </c>
      <c r="AG476" s="9">
        <v>46256</v>
      </c>
      <c r="AH476" s="8">
        <f>IF(AG476="","",Assumptions!$B$4-AG476)</f>
        <v>42</v>
      </c>
      <c r="AI476" s="5" t="s">
        <v>57</v>
      </c>
      <c r="AJ476" s="8">
        <v>1</v>
      </c>
      <c r="AK476" s="8">
        <v>0</v>
      </c>
      <c r="AL476" s="8">
        <v>712</v>
      </c>
      <c r="AM476" s="8">
        <v>0</v>
      </c>
      <c r="AN476" s="5" t="s">
        <v>63</v>
      </c>
      <c r="AO476" s="10">
        <v>64.900000000000006</v>
      </c>
      <c r="AP476" s="8">
        <v>25</v>
      </c>
      <c r="AQ476" s="9">
        <v>46276</v>
      </c>
      <c r="AR476" s="5" t="s">
        <v>51</v>
      </c>
      <c r="AS476" s="5" t="s">
        <v>81</v>
      </c>
    </row>
    <row r="477" spans="1:45" x14ac:dyDescent="0.35">
      <c r="A477" s="5" t="s">
        <v>2307</v>
      </c>
      <c r="B477" s="5" t="s">
        <v>2308</v>
      </c>
      <c r="C477" s="6" t="s">
        <v>2309</v>
      </c>
      <c r="D477" s="7">
        <v>30500</v>
      </c>
      <c r="E477" s="5" t="s">
        <v>48</v>
      </c>
      <c r="F477" s="5" t="s">
        <v>68</v>
      </c>
      <c r="G477" s="8">
        <v>4</v>
      </c>
      <c r="H477" s="8">
        <f>IF(F477="Bullet",MIN(G477,Assumptions!$B$6),"")</f>
        <v>2</v>
      </c>
      <c r="I477" s="8"/>
      <c r="J477" s="8" t="str">
        <f>IF(F477="Monthly interest",MAX(0,Assumptions!$B$5-I477),"")</f>
        <v/>
      </c>
      <c r="K477" s="7">
        <f t="shared" si="21"/>
        <v>1424</v>
      </c>
      <c r="L477" s="9">
        <v>46159</v>
      </c>
      <c r="M477" s="5" t="s">
        <v>69</v>
      </c>
      <c r="N477" s="5" t="s">
        <v>53</v>
      </c>
      <c r="O477" s="5" t="s">
        <v>152</v>
      </c>
      <c r="P477" s="5" t="s">
        <v>153</v>
      </c>
      <c r="Q477" s="5" t="s">
        <v>154</v>
      </c>
      <c r="R477" s="5" t="s">
        <v>155</v>
      </c>
      <c r="S477" s="5" t="s">
        <v>56</v>
      </c>
      <c r="T477" s="5" t="s">
        <v>57</v>
      </c>
      <c r="U477" s="5" t="s">
        <v>104</v>
      </c>
      <c r="V477" s="5" t="s">
        <v>59</v>
      </c>
      <c r="W477" s="5" t="s">
        <v>300</v>
      </c>
      <c r="X477" s="5" t="s">
        <v>2310</v>
      </c>
      <c r="Y477" s="5" t="s">
        <v>2311</v>
      </c>
      <c r="Z477" s="9">
        <v>46159</v>
      </c>
      <c r="AA477" s="8">
        <v>6</v>
      </c>
      <c r="AB477" s="9">
        <f t="shared" si="22"/>
        <v>46343</v>
      </c>
      <c r="AC477" s="10">
        <v>14</v>
      </c>
      <c r="AD477" s="7">
        <f t="shared" si="23"/>
        <v>356</v>
      </c>
      <c r="AE477" s="7">
        <f>IF(F477="Bullet",H477*AD477,MIN(MAX(I477,1),Assumptions!$B$6)*AD477)</f>
        <v>712</v>
      </c>
      <c r="AF477" s="8">
        <f>IF(F477="Bullet",MAX(0,Assumptions!$B$4-AB477),MAX(0,Assumptions!$B$4-L477))</f>
        <v>0</v>
      </c>
      <c r="AG477" s="9"/>
      <c r="AH477" s="8" t="str">
        <f>IF(AG477="","",Assumptions!$B$4-AG477)</f>
        <v/>
      </c>
      <c r="AI477" s="5" t="s">
        <v>80</v>
      </c>
      <c r="AJ477" s="8"/>
      <c r="AK477" s="8">
        <v>2</v>
      </c>
      <c r="AL477" s="8">
        <v>747</v>
      </c>
      <c r="AM477" s="8">
        <v>1</v>
      </c>
      <c r="AN477" s="5" t="s">
        <v>63</v>
      </c>
      <c r="AO477" s="10">
        <v>77.099999999999994</v>
      </c>
      <c r="AP477" s="8">
        <v>33</v>
      </c>
      <c r="AQ477" s="9">
        <v>46283</v>
      </c>
      <c r="AR477" s="5" t="s">
        <v>51</v>
      </c>
      <c r="AS477" s="5" t="s">
        <v>81</v>
      </c>
    </row>
    <row r="478" spans="1:45" x14ac:dyDescent="0.35">
      <c r="A478" s="5" t="s">
        <v>2312</v>
      </c>
      <c r="B478" s="5" t="s">
        <v>2313</v>
      </c>
      <c r="C478" s="6" t="s">
        <v>2314</v>
      </c>
      <c r="D478" s="7">
        <v>50000</v>
      </c>
      <c r="E478" s="5" t="s">
        <v>48</v>
      </c>
      <c r="F478" s="5" t="s">
        <v>68</v>
      </c>
      <c r="G478" s="8">
        <v>3</v>
      </c>
      <c r="H478" s="8">
        <f>IF(F478="Bullet",MIN(G478,Assumptions!$B$6),"")</f>
        <v>2</v>
      </c>
      <c r="I478" s="8"/>
      <c r="J478" s="8" t="str">
        <f>IF(F478="Monthly interest",MAX(0,Assumptions!$B$5-I478),"")</f>
        <v/>
      </c>
      <c r="K478" s="7">
        <f t="shared" si="21"/>
        <v>1749</v>
      </c>
      <c r="L478" s="9">
        <v>46183</v>
      </c>
      <c r="M478" s="5" t="s">
        <v>69</v>
      </c>
      <c r="N478" s="5" t="s">
        <v>53</v>
      </c>
      <c r="O478" s="5" t="s">
        <v>71</v>
      </c>
      <c r="P478" s="5" t="s">
        <v>70</v>
      </c>
      <c r="Q478" s="5" t="s">
        <v>73</v>
      </c>
      <c r="R478" s="5" t="s">
        <v>74</v>
      </c>
      <c r="S478" s="5" t="s">
        <v>85</v>
      </c>
      <c r="T478" s="5" t="s">
        <v>57</v>
      </c>
      <c r="U478" s="5" t="s">
        <v>86</v>
      </c>
      <c r="V478" s="5" t="s">
        <v>133</v>
      </c>
      <c r="W478" s="5" t="s">
        <v>134</v>
      </c>
      <c r="X478" s="5" t="s">
        <v>135</v>
      </c>
      <c r="Y478" s="5" t="s">
        <v>2315</v>
      </c>
      <c r="Z478" s="9">
        <v>46183</v>
      </c>
      <c r="AA478" s="8">
        <v>12</v>
      </c>
      <c r="AB478" s="9">
        <f t="shared" si="22"/>
        <v>46548</v>
      </c>
      <c r="AC478" s="10">
        <v>14</v>
      </c>
      <c r="AD478" s="7">
        <f t="shared" si="23"/>
        <v>583</v>
      </c>
      <c r="AE478" s="7">
        <f>IF(F478="Bullet",H478*AD478,MIN(MAX(I478,1),Assumptions!$B$6)*AD478)</f>
        <v>1166</v>
      </c>
      <c r="AF478" s="8">
        <f>IF(F478="Bullet",MAX(0,Assumptions!$B$4-AB478),MAX(0,Assumptions!$B$4-L478))</f>
        <v>0</v>
      </c>
      <c r="AG478" s="9"/>
      <c r="AH478" s="8" t="str">
        <f>IF(AG478="","",Assumptions!$B$4-AG478)</f>
        <v/>
      </c>
      <c r="AI478" s="5" t="s">
        <v>80</v>
      </c>
      <c r="AJ478" s="8"/>
      <c r="AK478" s="8">
        <v>1</v>
      </c>
      <c r="AL478" s="8" t="s">
        <v>80</v>
      </c>
      <c r="AM478" s="8">
        <v>0</v>
      </c>
      <c r="AN478" s="5" t="s">
        <v>63</v>
      </c>
      <c r="AO478" s="10">
        <v>83</v>
      </c>
      <c r="AP478" s="8">
        <v>32</v>
      </c>
      <c r="AQ478" s="9"/>
      <c r="AR478" s="5"/>
      <c r="AS478" s="5" t="s">
        <v>159</v>
      </c>
    </row>
    <row r="479" spans="1:45" x14ac:dyDescent="0.35">
      <c r="A479" s="5" t="s">
        <v>2316</v>
      </c>
      <c r="B479" s="5" t="s">
        <v>2317</v>
      </c>
      <c r="C479" s="6" t="s">
        <v>2318</v>
      </c>
      <c r="D479" s="7">
        <v>178800</v>
      </c>
      <c r="E479" s="5" t="s">
        <v>48</v>
      </c>
      <c r="F479" s="5" t="s">
        <v>49</v>
      </c>
      <c r="G479" s="8"/>
      <c r="H479" s="8" t="str">
        <f>IF(F479="Bullet",MIN(G479,Assumptions!$B$6),"")</f>
        <v/>
      </c>
      <c r="I479" s="8">
        <v>2</v>
      </c>
      <c r="J479" s="8">
        <f>IF(F479="Monthly interest",MAX(0,Assumptions!$B$5-I479),"")</f>
        <v>1</v>
      </c>
      <c r="K479" s="7">
        <f t="shared" si="21"/>
        <v>5364</v>
      </c>
      <c r="L479" s="9">
        <v>46260</v>
      </c>
      <c r="M479" s="5" t="s">
        <v>116</v>
      </c>
      <c r="N479" s="5" t="s">
        <v>117</v>
      </c>
      <c r="O479" s="5" t="s">
        <v>118</v>
      </c>
      <c r="P479" s="5" t="s">
        <v>72</v>
      </c>
      <c r="Q479" s="5" t="s">
        <v>119</v>
      </c>
      <c r="R479" s="5" t="s">
        <v>120</v>
      </c>
      <c r="S479" s="5" t="s">
        <v>75</v>
      </c>
      <c r="T479" s="5" t="s">
        <v>57</v>
      </c>
      <c r="U479" s="5" t="s">
        <v>104</v>
      </c>
      <c r="V479" s="5" t="s">
        <v>76</v>
      </c>
      <c r="W479" s="5" t="s">
        <v>105</v>
      </c>
      <c r="X479" s="5" t="s">
        <v>1588</v>
      </c>
      <c r="Y479" s="5" t="s">
        <v>2319</v>
      </c>
      <c r="Z479" s="9">
        <v>46168</v>
      </c>
      <c r="AA479" s="8">
        <v>12</v>
      </c>
      <c r="AB479" s="9">
        <f t="shared" si="22"/>
        <v>46533</v>
      </c>
      <c r="AC479" s="10">
        <v>18</v>
      </c>
      <c r="AD479" s="7">
        <f t="shared" si="23"/>
        <v>2682</v>
      </c>
      <c r="AE479" s="7">
        <f>IF(F479="Bullet",H479*AD479,MIN(MAX(I479,1),Assumptions!$B$6)*AD479)</f>
        <v>5364</v>
      </c>
      <c r="AF479" s="8">
        <f>IF(F479="Bullet",MAX(0,Assumptions!$B$4-AB479),MAX(0,Assumptions!$B$4-L479))</f>
        <v>38</v>
      </c>
      <c r="AG479" s="9">
        <v>46232</v>
      </c>
      <c r="AH479" s="8">
        <f>IF(AG479="","",Assumptions!$B$4-AG479)</f>
        <v>66</v>
      </c>
      <c r="AI479" s="5" t="s">
        <v>63</v>
      </c>
      <c r="AJ479" s="8">
        <v>2</v>
      </c>
      <c r="AK479" s="8">
        <v>0</v>
      </c>
      <c r="AL479" s="8">
        <v>643</v>
      </c>
      <c r="AM479" s="8">
        <v>2</v>
      </c>
      <c r="AN479" s="5" t="s">
        <v>63</v>
      </c>
      <c r="AO479" s="10">
        <v>71.599999999999994</v>
      </c>
      <c r="AP479" s="8">
        <v>50</v>
      </c>
      <c r="AQ479" s="9"/>
      <c r="AR479" s="5"/>
      <c r="AS479" s="5" t="s">
        <v>159</v>
      </c>
    </row>
    <row r="480" spans="1:45" x14ac:dyDescent="0.35">
      <c r="A480" s="5" t="s">
        <v>2320</v>
      </c>
      <c r="B480" s="5" t="s">
        <v>2321</v>
      </c>
      <c r="C480" s="6" t="s">
        <v>2322</v>
      </c>
      <c r="D480" s="7">
        <v>196700</v>
      </c>
      <c r="E480" s="5" t="s">
        <v>48</v>
      </c>
      <c r="F480" s="5" t="s">
        <v>49</v>
      </c>
      <c r="G480" s="8"/>
      <c r="H480" s="8" t="str">
        <f>IF(F480="Bullet",MIN(G480,Assumptions!$B$6),"")</f>
        <v/>
      </c>
      <c r="I480" s="8">
        <v>1</v>
      </c>
      <c r="J480" s="8">
        <f>IF(F480="Monthly interest",MAX(0,Assumptions!$B$5-I480),"")</f>
        <v>2</v>
      </c>
      <c r="K480" s="7">
        <f t="shared" si="21"/>
        <v>2295</v>
      </c>
      <c r="L480" s="9">
        <v>46298</v>
      </c>
      <c r="M480" s="5" t="s">
        <v>116</v>
      </c>
      <c r="N480" s="5" t="s">
        <v>117</v>
      </c>
      <c r="O480" s="5" t="s">
        <v>118</v>
      </c>
      <c r="P480" s="5" t="s">
        <v>72</v>
      </c>
      <c r="Q480" s="5" t="s">
        <v>119</v>
      </c>
      <c r="R480" s="5" t="s">
        <v>120</v>
      </c>
      <c r="S480" s="5" t="s">
        <v>56</v>
      </c>
      <c r="T480" s="5" t="s">
        <v>57</v>
      </c>
      <c r="U480" s="5" t="s">
        <v>86</v>
      </c>
      <c r="V480" s="5" t="s">
        <v>59</v>
      </c>
      <c r="W480" s="5" t="s">
        <v>418</v>
      </c>
      <c r="X480" s="5" t="s">
        <v>2323</v>
      </c>
      <c r="Y480" s="5" t="s">
        <v>2324</v>
      </c>
      <c r="Z480" s="9">
        <v>46206</v>
      </c>
      <c r="AA480" s="8">
        <v>12</v>
      </c>
      <c r="AB480" s="9">
        <f t="shared" si="22"/>
        <v>46571</v>
      </c>
      <c r="AC480" s="10">
        <v>14</v>
      </c>
      <c r="AD480" s="7">
        <f t="shared" si="23"/>
        <v>2295</v>
      </c>
      <c r="AE480" s="7">
        <f>IF(F480="Bullet",H480*AD480,MIN(MAX(I480,1),Assumptions!$B$6)*AD480)</f>
        <v>2295</v>
      </c>
      <c r="AF480" s="8">
        <f>IF(F480="Bullet",MAX(0,Assumptions!$B$4-AB480),MAX(0,Assumptions!$B$4-L480))</f>
        <v>0</v>
      </c>
      <c r="AG480" s="9">
        <v>46269</v>
      </c>
      <c r="AH480" s="8">
        <f>IF(AG480="","",Assumptions!$B$4-AG480)</f>
        <v>29</v>
      </c>
      <c r="AI480" s="5" t="s">
        <v>63</v>
      </c>
      <c r="AJ480" s="8">
        <v>1</v>
      </c>
      <c r="AK480" s="8">
        <v>1</v>
      </c>
      <c r="AL480" s="8">
        <v>628</v>
      </c>
      <c r="AM480" s="8">
        <v>1</v>
      </c>
      <c r="AN480" s="5" t="s">
        <v>63</v>
      </c>
      <c r="AO480" s="10">
        <v>88</v>
      </c>
      <c r="AP480" s="8">
        <v>55</v>
      </c>
      <c r="AQ480" s="9">
        <v>46288</v>
      </c>
      <c r="AR480" s="5" t="s">
        <v>51</v>
      </c>
      <c r="AS480" s="5" t="s">
        <v>190</v>
      </c>
    </row>
    <row r="481" spans="1:45" x14ac:dyDescent="0.35">
      <c r="A481" s="5" t="s">
        <v>2325</v>
      </c>
      <c r="B481" s="5" t="s">
        <v>2252</v>
      </c>
      <c r="C481" s="6" t="s">
        <v>2326</v>
      </c>
      <c r="D481" s="7">
        <v>30600</v>
      </c>
      <c r="E481" s="5" t="s">
        <v>48</v>
      </c>
      <c r="F481" s="5" t="s">
        <v>68</v>
      </c>
      <c r="G481" s="8">
        <v>3</v>
      </c>
      <c r="H481" s="8">
        <f>IF(F481="Bullet",MIN(G481,Assumptions!$B$6),"")</f>
        <v>2</v>
      </c>
      <c r="I481" s="8"/>
      <c r="J481" s="8" t="str">
        <f>IF(F481="Monthly interest",MAX(0,Assumptions!$B$5-I481),"")</f>
        <v/>
      </c>
      <c r="K481" s="7">
        <f t="shared" si="21"/>
        <v>1149</v>
      </c>
      <c r="L481" s="9">
        <v>46192</v>
      </c>
      <c r="M481" s="5" t="s">
        <v>50</v>
      </c>
      <c r="N481" s="5" t="s">
        <v>53</v>
      </c>
      <c r="O481" s="5" t="s">
        <v>152</v>
      </c>
      <c r="P481" s="5" t="s">
        <v>153</v>
      </c>
      <c r="Q481" s="5" t="s">
        <v>154</v>
      </c>
      <c r="R481" s="5" t="s">
        <v>155</v>
      </c>
      <c r="S481" s="5" t="s">
        <v>214</v>
      </c>
      <c r="T481" s="5" t="s">
        <v>57</v>
      </c>
      <c r="U481" s="5" t="s">
        <v>86</v>
      </c>
      <c r="V481" s="5" t="s">
        <v>215</v>
      </c>
      <c r="W481" s="5" t="s">
        <v>600</v>
      </c>
      <c r="X481" s="5" t="s">
        <v>2327</v>
      </c>
      <c r="Y481" s="5" t="s">
        <v>2328</v>
      </c>
      <c r="Z481" s="9">
        <v>46192</v>
      </c>
      <c r="AA481" s="8">
        <v>12</v>
      </c>
      <c r="AB481" s="9">
        <f t="shared" si="22"/>
        <v>46557</v>
      </c>
      <c r="AC481" s="10">
        <v>15</v>
      </c>
      <c r="AD481" s="7">
        <f t="shared" si="23"/>
        <v>383</v>
      </c>
      <c r="AE481" s="7">
        <f>IF(F481="Bullet",H481*AD481,MIN(MAX(I481,1),Assumptions!$B$6)*AD481)</f>
        <v>766</v>
      </c>
      <c r="AF481" s="8">
        <f>IF(F481="Bullet",MAX(0,Assumptions!$B$4-AB481),MAX(0,Assumptions!$B$4-L481))</f>
        <v>0</v>
      </c>
      <c r="AG481" s="9"/>
      <c r="AH481" s="8" t="str">
        <f>IF(AG481="","",Assumptions!$B$4-AG481)</f>
        <v/>
      </c>
      <c r="AI481" s="5" t="s">
        <v>80</v>
      </c>
      <c r="AJ481" s="8"/>
      <c r="AK481" s="8">
        <v>2</v>
      </c>
      <c r="AL481" s="8">
        <v>714</v>
      </c>
      <c r="AM481" s="8">
        <v>2</v>
      </c>
      <c r="AN481" s="5" t="s">
        <v>63</v>
      </c>
      <c r="AO481" s="10">
        <v>76.7</v>
      </c>
      <c r="AP481" s="8">
        <v>26</v>
      </c>
      <c r="AQ481" s="9">
        <v>46273</v>
      </c>
      <c r="AR481" s="5" t="s">
        <v>51</v>
      </c>
      <c r="AS481" s="5" t="s">
        <v>64</v>
      </c>
    </row>
    <row r="482" spans="1:45" x14ac:dyDescent="0.35">
      <c r="A482" s="5" t="s">
        <v>2329</v>
      </c>
      <c r="B482" s="5" t="s">
        <v>1691</v>
      </c>
      <c r="C482" s="6" t="s">
        <v>2330</v>
      </c>
      <c r="D482" s="7">
        <v>189700</v>
      </c>
      <c r="E482" s="5" t="s">
        <v>48</v>
      </c>
      <c r="F482" s="5" t="s">
        <v>68</v>
      </c>
      <c r="G482" s="8">
        <v>5</v>
      </c>
      <c r="H482" s="8">
        <f>IF(F482="Bullet",MIN(G482,Assumptions!$B$6),"")</f>
        <v>2</v>
      </c>
      <c r="I482" s="8"/>
      <c r="J482" s="8" t="str">
        <f>IF(F482="Monthly interest",MAX(0,Assumptions!$B$5-I482),"")</f>
        <v/>
      </c>
      <c r="K482" s="7">
        <f t="shared" si="21"/>
        <v>10275</v>
      </c>
      <c r="L482" s="9">
        <v>46138</v>
      </c>
      <c r="M482" s="5" t="s">
        <v>116</v>
      </c>
      <c r="N482" s="5" t="s">
        <v>117</v>
      </c>
      <c r="O482" s="5" t="s">
        <v>461</v>
      </c>
      <c r="P482" s="5" t="s">
        <v>72</v>
      </c>
      <c r="Q482" s="5" t="s">
        <v>169</v>
      </c>
      <c r="R482" s="5" t="s">
        <v>170</v>
      </c>
      <c r="S482" s="5" t="s">
        <v>85</v>
      </c>
      <c r="T482" s="5" t="s">
        <v>57</v>
      </c>
      <c r="U482" s="5" t="s">
        <v>58</v>
      </c>
      <c r="V482" s="5" t="s">
        <v>177</v>
      </c>
      <c r="W482" s="5" t="s">
        <v>208</v>
      </c>
      <c r="X482" s="5" t="s">
        <v>904</v>
      </c>
      <c r="Y482" s="5" t="s">
        <v>2331</v>
      </c>
      <c r="Z482" s="9">
        <v>46138</v>
      </c>
      <c r="AA482" s="8">
        <v>3</v>
      </c>
      <c r="AB482" s="9">
        <f t="shared" si="22"/>
        <v>46229</v>
      </c>
      <c r="AC482" s="10">
        <v>13</v>
      </c>
      <c r="AD482" s="7">
        <f t="shared" si="23"/>
        <v>2055</v>
      </c>
      <c r="AE482" s="7">
        <f>IF(F482="Bullet",H482*AD482,MIN(MAX(I482,1),Assumptions!$B$6)*AD482)</f>
        <v>4110</v>
      </c>
      <c r="AF482" s="8">
        <f>IF(F482="Bullet",MAX(0,Assumptions!$B$4-AB482),MAX(0,Assumptions!$B$4-L482))</f>
        <v>69</v>
      </c>
      <c r="AG482" s="9"/>
      <c r="AH482" s="8" t="str">
        <f>IF(AG482="","",Assumptions!$B$4-AG482)</f>
        <v/>
      </c>
      <c r="AI482" s="5" t="s">
        <v>80</v>
      </c>
      <c r="AJ482" s="8"/>
      <c r="AK482" s="8">
        <v>1</v>
      </c>
      <c r="AL482" s="8">
        <v>671</v>
      </c>
      <c r="AM482" s="8">
        <v>0</v>
      </c>
      <c r="AN482" s="5" t="s">
        <v>63</v>
      </c>
      <c r="AO482" s="10">
        <v>74.599999999999994</v>
      </c>
      <c r="AP482" s="8">
        <v>57</v>
      </c>
      <c r="AQ482" s="9">
        <v>46292</v>
      </c>
      <c r="AR482" s="5" t="s">
        <v>53</v>
      </c>
      <c r="AS482" s="5" t="s">
        <v>81</v>
      </c>
    </row>
    <row r="483" spans="1:45" x14ac:dyDescent="0.35">
      <c r="A483" s="5" t="s">
        <v>2332</v>
      </c>
      <c r="B483" s="5" t="s">
        <v>2333</v>
      </c>
      <c r="C483" s="6" t="s">
        <v>2334</v>
      </c>
      <c r="D483" s="7">
        <v>48700</v>
      </c>
      <c r="E483" s="5" t="s">
        <v>48</v>
      </c>
      <c r="F483" s="5" t="s">
        <v>68</v>
      </c>
      <c r="G483" s="8">
        <v>2</v>
      </c>
      <c r="H483" s="8">
        <f>IF(F483="Bullet",MIN(G483,Assumptions!$B$6),"")</f>
        <v>2</v>
      </c>
      <c r="I483" s="8"/>
      <c r="J483" s="8" t="str">
        <f>IF(F483="Monthly interest",MAX(0,Assumptions!$B$5-I483),"")</f>
        <v/>
      </c>
      <c r="K483" s="7">
        <f t="shared" si="21"/>
        <v>1298</v>
      </c>
      <c r="L483" s="9">
        <v>46232</v>
      </c>
      <c r="M483" s="5" t="s">
        <v>50</v>
      </c>
      <c r="N483" s="5" t="s">
        <v>53</v>
      </c>
      <c r="O483" s="5" t="s">
        <v>152</v>
      </c>
      <c r="P483" s="5" t="s">
        <v>153</v>
      </c>
      <c r="Q483" s="5" t="s">
        <v>154</v>
      </c>
      <c r="R483" s="5" t="s">
        <v>155</v>
      </c>
      <c r="S483" s="5" t="s">
        <v>214</v>
      </c>
      <c r="T483" s="5" t="s">
        <v>57</v>
      </c>
      <c r="U483" s="5" t="s">
        <v>104</v>
      </c>
      <c r="V483" s="5" t="s">
        <v>215</v>
      </c>
      <c r="W483" s="5" t="s">
        <v>284</v>
      </c>
      <c r="X483" s="5" t="s">
        <v>2335</v>
      </c>
      <c r="Y483" s="5" t="s">
        <v>2336</v>
      </c>
      <c r="Z483" s="9">
        <v>46232</v>
      </c>
      <c r="AA483" s="8">
        <v>6</v>
      </c>
      <c r="AB483" s="9">
        <f t="shared" si="22"/>
        <v>46416</v>
      </c>
      <c r="AC483" s="10">
        <v>16</v>
      </c>
      <c r="AD483" s="7">
        <f t="shared" si="23"/>
        <v>649</v>
      </c>
      <c r="AE483" s="7">
        <f>IF(F483="Bullet",H483*AD483,MIN(MAX(I483,1),Assumptions!$B$6)*AD483)</f>
        <v>1298</v>
      </c>
      <c r="AF483" s="8">
        <f>IF(F483="Bullet",MAX(0,Assumptions!$B$4-AB483),MAX(0,Assumptions!$B$4-L483))</f>
        <v>0</v>
      </c>
      <c r="AG483" s="9"/>
      <c r="AH483" s="8" t="str">
        <f>IF(AG483="","",Assumptions!$B$4-AG483)</f>
        <v/>
      </c>
      <c r="AI483" s="5" t="s">
        <v>80</v>
      </c>
      <c r="AJ483" s="8"/>
      <c r="AK483" s="8">
        <v>1</v>
      </c>
      <c r="AL483" s="8">
        <v>804</v>
      </c>
      <c r="AM483" s="8">
        <v>0</v>
      </c>
      <c r="AN483" s="5" t="s">
        <v>57</v>
      </c>
      <c r="AO483" s="10">
        <v>55.3</v>
      </c>
      <c r="AP483" s="8">
        <v>11</v>
      </c>
      <c r="AQ483" s="9">
        <v>46295</v>
      </c>
      <c r="AR483" s="5" t="s">
        <v>70</v>
      </c>
      <c r="AS483" s="5" t="s">
        <v>181</v>
      </c>
    </row>
    <row r="484" spans="1:45" x14ac:dyDescent="0.35">
      <c r="A484" s="5" t="s">
        <v>2337</v>
      </c>
      <c r="B484" s="5" t="s">
        <v>2338</v>
      </c>
      <c r="C484" s="6" t="s">
        <v>2339</v>
      </c>
      <c r="D484" s="7">
        <v>66000</v>
      </c>
      <c r="E484" s="5" t="s">
        <v>48</v>
      </c>
      <c r="F484" s="5" t="s">
        <v>49</v>
      </c>
      <c r="G484" s="8"/>
      <c r="H484" s="8" t="str">
        <f>IF(F484="Bullet",MIN(G484,Assumptions!$B$6),"")</f>
        <v/>
      </c>
      <c r="I484" s="8">
        <v>2</v>
      </c>
      <c r="J484" s="8">
        <f>IF(F484="Monthly interest",MAX(0,Assumptions!$B$5-I484),"")</f>
        <v>1</v>
      </c>
      <c r="K484" s="7">
        <f t="shared" si="21"/>
        <v>2640</v>
      </c>
      <c r="L484" s="9">
        <v>46239</v>
      </c>
      <c r="M484" s="5" t="s">
        <v>69</v>
      </c>
      <c r="N484" s="5" t="s">
        <v>53</v>
      </c>
      <c r="O484" s="5" t="s">
        <v>71</v>
      </c>
      <c r="P484" s="5" t="s">
        <v>70</v>
      </c>
      <c r="Q484" s="5" t="s">
        <v>73</v>
      </c>
      <c r="R484" s="5" t="s">
        <v>74</v>
      </c>
      <c r="S484" s="5" t="s">
        <v>75</v>
      </c>
      <c r="T484" s="5" t="s">
        <v>57</v>
      </c>
      <c r="U484" s="5" t="s">
        <v>104</v>
      </c>
      <c r="V484" s="5" t="s">
        <v>76</v>
      </c>
      <c r="W484" s="5" t="s">
        <v>382</v>
      </c>
      <c r="X484" s="5" t="s">
        <v>383</v>
      </c>
      <c r="Y484" s="5" t="s">
        <v>2340</v>
      </c>
      <c r="Z484" s="9">
        <v>46027</v>
      </c>
      <c r="AA484" s="8">
        <v>12</v>
      </c>
      <c r="AB484" s="9">
        <f t="shared" si="22"/>
        <v>46392</v>
      </c>
      <c r="AC484" s="10">
        <v>24</v>
      </c>
      <c r="AD484" s="7">
        <f t="shared" si="23"/>
        <v>1320</v>
      </c>
      <c r="AE484" s="7">
        <f>IF(F484="Bullet",H484*AD484,MIN(MAX(I484,1),Assumptions!$B$6)*AD484)</f>
        <v>2640</v>
      </c>
      <c r="AF484" s="8">
        <f>IF(F484="Bullet",MAX(0,Assumptions!$B$4-AB484),MAX(0,Assumptions!$B$4-L484))</f>
        <v>59</v>
      </c>
      <c r="AG484" s="9">
        <v>46213</v>
      </c>
      <c r="AH484" s="8">
        <f>IF(AG484="","",Assumptions!$B$4-AG484)</f>
        <v>85</v>
      </c>
      <c r="AI484" s="5" t="s">
        <v>57</v>
      </c>
      <c r="AJ484" s="8">
        <v>2</v>
      </c>
      <c r="AK484" s="8">
        <v>1</v>
      </c>
      <c r="AL484" s="8">
        <v>708</v>
      </c>
      <c r="AM484" s="8">
        <v>0</v>
      </c>
      <c r="AN484" s="5" t="s">
        <v>63</v>
      </c>
      <c r="AO484" s="10">
        <v>71.5</v>
      </c>
      <c r="AP484" s="8">
        <v>40</v>
      </c>
      <c r="AQ484" s="9">
        <v>46284</v>
      </c>
      <c r="AR484" s="5" t="s">
        <v>72</v>
      </c>
      <c r="AS484" s="5" t="s">
        <v>81</v>
      </c>
    </row>
    <row r="485" spans="1:45" x14ac:dyDescent="0.35">
      <c r="A485" s="5" t="s">
        <v>2341</v>
      </c>
      <c r="B485" s="5" t="s">
        <v>1616</v>
      </c>
      <c r="C485" s="6" t="s">
        <v>2342</v>
      </c>
      <c r="D485" s="7">
        <v>150700</v>
      </c>
      <c r="E485" s="5" t="s">
        <v>48</v>
      </c>
      <c r="F485" s="5" t="s">
        <v>68</v>
      </c>
      <c r="G485" s="8">
        <v>4</v>
      </c>
      <c r="H485" s="8">
        <f>IF(F485="Bullet",MIN(G485,Assumptions!$B$6),"")</f>
        <v>2</v>
      </c>
      <c r="I485" s="8"/>
      <c r="J485" s="8" t="str">
        <f>IF(F485="Monthly interest",MAX(0,Assumptions!$B$5-I485),"")</f>
        <v/>
      </c>
      <c r="K485" s="7">
        <f t="shared" si="21"/>
        <v>6532</v>
      </c>
      <c r="L485" s="9">
        <v>46170</v>
      </c>
      <c r="M485" s="5" t="s">
        <v>69</v>
      </c>
      <c r="N485" s="5" t="s">
        <v>53</v>
      </c>
      <c r="O485" s="5" t="s">
        <v>71</v>
      </c>
      <c r="P485" s="5" t="s">
        <v>70</v>
      </c>
      <c r="Q485" s="5" t="s">
        <v>73</v>
      </c>
      <c r="R485" s="5" t="s">
        <v>74</v>
      </c>
      <c r="S485" s="5" t="s">
        <v>185</v>
      </c>
      <c r="T485" s="5" t="s">
        <v>57</v>
      </c>
      <c r="U485" s="5" t="s">
        <v>58</v>
      </c>
      <c r="V485" s="5" t="s">
        <v>186</v>
      </c>
      <c r="W485" s="5" t="s">
        <v>329</v>
      </c>
      <c r="X485" s="5" t="s">
        <v>2343</v>
      </c>
      <c r="Y485" s="5" t="s">
        <v>2344</v>
      </c>
      <c r="Z485" s="9">
        <v>46170</v>
      </c>
      <c r="AA485" s="8">
        <v>3</v>
      </c>
      <c r="AB485" s="9">
        <f t="shared" si="22"/>
        <v>46262</v>
      </c>
      <c r="AC485" s="10">
        <v>13</v>
      </c>
      <c r="AD485" s="7">
        <f t="shared" si="23"/>
        <v>1633</v>
      </c>
      <c r="AE485" s="7">
        <f>IF(F485="Bullet",H485*AD485,MIN(MAX(I485,1),Assumptions!$B$6)*AD485)</f>
        <v>3266</v>
      </c>
      <c r="AF485" s="8">
        <f>IF(F485="Bullet",MAX(0,Assumptions!$B$4-AB485),MAX(0,Assumptions!$B$4-L485))</f>
        <v>36</v>
      </c>
      <c r="AG485" s="9"/>
      <c r="AH485" s="8" t="str">
        <f>IF(AG485="","",Assumptions!$B$4-AG485)</f>
        <v/>
      </c>
      <c r="AI485" s="5" t="s">
        <v>80</v>
      </c>
      <c r="AJ485" s="8"/>
      <c r="AK485" s="8">
        <v>1</v>
      </c>
      <c r="AL485" s="8">
        <v>754</v>
      </c>
      <c r="AM485" s="8">
        <v>0</v>
      </c>
      <c r="AN485" s="5" t="s">
        <v>63</v>
      </c>
      <c r="AO485" s="10">
        <v>71.400000000000006</v>
      </c>
      <c r="AP485" s="8">
        <v>34</v>
      </c>
      <c r="AQ485" s="9"/>
      <c r="AR485" s="5"/>
      <c r="AS485" s="5" t="s">
        <v>159</v>
      </c>
    </row>
    <row r="486" spans="1:45" x14ac:dyDescent="0.35">
      <c r="A486" s="5" t="s">
        <v>2345</v>
      </c>
      <c r="B486" s="5" t="s">
        <v>2346</v>
      </c>
      <c r="C486" s="6" t="s">
        <v>2347</v>
      </c>
      <c r="D486" s="7">
        <v>27000</v>
      </c>
      <c r="E486" s="5" t="s">
        <v>48</v>
      </c>
      <c r="F486" s="5" t="s">
        <v>49</v>
      </c>
      <c r="G486" s="8"/>
      <c r="H486" s="8" t="str">
        <f>IF(F486="Bullet",MIN(G486,Assumptions!$B$6),"")</f>
        <v/>
      </c>
      <c r="I486" s="8">
        <v>1</v>
      </c>
      <c r="J486" s="8">
        <f>IF(F486="Monthly interest",MAX(0,Assumptions!$B$5-I486),"")</f>
        <v>2</v>
      </c>
      <c r="K486" s="7">
        <f t="shared" si="21"/>
        <v>338</v>
      </c>
      <c r="L486" s="9">
        <v>46289</v>
      </c>
      <c r="M486" s="5" t="s">
        <v>50</v>
      </c>
      <c r="N486" s="5" t="s">
        <v>53</v>
      </c>
      <c r="O486" s="5" t="s">
        <v>103</v>
      </c>
      <c r="P486" s="5" t="s">
        <v>153</v>
      </c>
      <c r="Q486" s="5" t="s">
        <v>154</v>
      </c>
      <c r="R486" s="5" t="s">
        <v>155</v>
      </c>
      <c r="S486" s="5" t="s">
        <v>185</v>
      </c>
      <c r="T486" s="5" t="s">
        <v>57</v>
      </c>
      <c r="U486" s="5" t="s">
        <v>58</v>
      </c>
      <c r="V486" s="5" t="s">
        <v>200</v>
      </c>
      <c r="W486" s="5" t="s">
        <v>1332</v>
      </c>
      <c r="X486" s="5" t="s">
        <v>2348</v>
      </c>
      <c r="Y486" s="5" t="s">
        <v>2349</v>
      </c>
      <c r="Z486" s="9">
        <v>46015</v>
      </c>
      <c r="AA486" s="8">
        <v>24</v>
      </c>
      <c r="AB486" s="9">
        <f t="shared" si="22"/>
        <v>46745</v>
      </c>
      <c r="AC486" s="10">
        <v>15</v>
      </c>
      <c r="AD486" s="7">
        <f t="shared" si="23"/>
        <v>338</v>
      </c>
      <c r="AE486" s="7">
        <f>IF(F486="Bullet",H486*AD486,MIN(MAX(I486,1),Assumptions!$B$6)*AD486)</f>
        <v>338</v>
      </c>
      <c r="AF486" s="8">
        <f>IF(F486="Bullet",MAX(0,Assumptions!$B$4-AB486),MAX(0,Assumptions!$B$4-L486))</f>
        <v>9</v>
      </c>
      <c r="AG486" s="9">
        <v>46261</v>
      </c>
      <c r="AH486" s="8">
        <f>IF(AG486="","",Assumptions!$B$4-AG486)</f>
        <v>37</v>
      </c>
      <c r="AI486" s="5" t="s">
        <v>63</v>
      </c>
      <c r="AJ486" s="8">
        <v>1</v>
      </c>
      <c r="AK486" s="8">
        <v>0</v>
      </c>
      <c r="AL486" s="8">
        <v>671</v>
      </c>
      <c r="AM486" s="8">
        <v>0</v>
      </c>
      <c r="AN486" s="5" t="s">
        <v>63</v>
      </c>
      <c r="AO486" s="10">
        <v>79.3</v>
      </c>
      <c r="AP486" s="8">
        <v>30</v>
      </c>
      <c r="AQ486" s="9">
        <v>46279</v>
      </c>
      <c r="AR486" s="5" t="s">
        <v>51</v>
      </c>
      <c r="AS486" s="5" t="s">
        <v>81</v>
      </c>
    </row>
    <row r="487" spans="1:45" x14ac:dyDescent="0.35">
      <c r="A487" s="5" t="s">
        <v>2350</v>
      </c>
      <c r="B487" s="5" t="s">
        <v>2351</v>
      </c>
      <c r="C487" s="6" t="s">
        <v>2352</v>
      </c>
      <c r="D487" s="7">
        <v>105800</v>
      </c>
      <c r="E487" s="5" t="s">
        <v>48</v>
      </c>
      <c r="F487" s="5" t="s">
        <v>49</v>
      </c>
      <c r="G487" s="8"/>
      <c r="H487" s="8" t="str">
        <f>IF(F487="Bullet",MIN(G487,Assumptions!$B$6),"")</f>
        <v/>
      </c>
      <c r="I487" s="8">
        <v>1</v>
      </c>
      <c r="J487" s="8">
        <f>IF(F487="Monthly interest",MAX(0,Assumptions!$B$5-I487),"")</f>
        <v>2</v>
      </c>
      <c r="K487" s="7">
        <f t="shared" si="21"/>
        <v>1763</v>
      </c>
      <c r="L487" s="9">
        <v>46276</v>
      </c>
      <c r="M487" s="5" t="s">
        <v>50</v>
      </c>
      <c r="N487" s="5" t="s">
        <v>51</v>
      </c>
      <c r="O487" s="5" t="s">
        <v>52</v>
      </c>
      <c r="P487" s="5" t="s">
        <v>53</v>
      </c>
      <c r="Q487" s="5" t="s">
        <v>54</v>
      </c>
      <c r="R487" s="5" t="s">
        <v>55</v>
      </c>
      <c r="S487" s="5" t="s">
        <v>214</v>
      </c>
      <c r="T487" s="5" t="s">
        <v>57</v>
      </c>
      <c r="U487" s="5" t="s">
        <v>104</v>
      </c>
      <c r="V487" s="5" t="s">
        <v>215</v>
      </c>
      <c r="W487" s="5" t="s">
        <v>284</v>
      </c>
      <c r="X487" s="5" t="s">
        <v>398</v>
      </c>
      <c r="Y487" s="5" t="s">
        <v>2353</v>
      </c>
      <c r="Z487" s="9">
        <v>46033</v>
      </c>
      <c r="AA487" s="8">
        <v>24</v>
      </c>
      <c r="AB487" s="9">
        <f t="shared" si="22"/>
        <v>46763</v>
      </c>
      <c r="AC487" s="10">
        <v>20</v>
      </c>
      <c r="AD487" s="7">
        <f t="shared" si="23"/>
        <v>1763</v>
      </c>
      <c r="AE487" s="7">
        <f>IF(F487="Bullet",H487*AD487,MIN(MAX(I487,1),Assumptions!$B$6)*AD487)</f>
        <v>1763</v>
      </c>
      <c r="AF487" s="8">
        <f>IF(F487="Bullet",MAX(0,Assumptions!$B$4-AB487),MAX(0,Assumptions!$B$4-L487))</f>
        <v>22</v>
      </c>
      <c r="AG487" s="9">
        <v>46245</v>
      </c>
      <c r="AH487" s="8">
        <f>IF(AG487="","",Assumptions!$B$4-AG487)</f>
        <v>53</v>
      </c>
      <c r="AI487" s="5" t="s">
        <v>63</v>
      </c>
      <c r="AJ487" s="8">
        <v>1</v>
      </c>
      <c r="AK487" s="8">
        <v>0</v>
      </c>
      <c r="AL487" s="8">
        <v>775</v>
      </c>
      <c r="AM487" s="8">
        <v>1</v>
      </c>
      <c r="AN487" s="5" t="s">
        <v>63</v>
      </c>
      <c r="AO487" s="10">
        <v>68.599999999999994</v>
      </c>
      <c r="AP487" s="8">
        <v>22</v>
      </c>
      <c r="AQ487" s="9">
        <v>46273</v>
      </c>
      <c r="AR487" s="5" t="s">
        <v>53</v>
      </c>
      <c r="AS487" s="5" t="s">
        <v>81</v>
      </c>
    </row>
    <row r="488" spans="1:45" x14ac:dyDescent="0.35">
      <c r="A488" s="5" t="s">
        <v>2354</v>
      </c>
      <c r="B488" s="5" t="s">
        <v>2355</v>
      </c>
      <c r="C488" s="6" t="s">
        <v>2356</v>
      </c>
      <c r="D488" s="7">
        <v>169800</v>
      </c>
      <c r="E488" s="5" t="s">
        <v>48</v>
      </c>
      <c r="F488" s="5" t="s">
        <v>68</v>
      </c>
      <c r="G488" s="8">
        <v>5</v>
      </c>
      <c r="H488" s="8">
        <f>IF(F488="Bullet",MIN(G488,Assumptions!$B$6),"")</f>
        <v>2</v>
      </c>
      <c r="I488" s="8"/>
      <c r="J488" s="8" t="str">
        <f>IF(F488="Monthly interest",MAX(0,Assumptions!$B$5-I488),"")</f>
        <v/>
      </c>
      <c r="K488" s="7">
        <f t="shared" si="21"/>
        <v>11320</v>
      </c>
      <c r="L488" s="9">
        <v>46140</v>
      </c>
      <c r="M488" s="5" t="s">
        <v>116</v>
      </c>
      <c r="N488" s="5" t="s">
        <v>117</v>
      </c>
      <c r="O488" s="5" t="s">
        <v>461</v>
      </c>
      <c r="P488" s="5" t="s">
        <v>72</v>
      </c>
      <c r="Q488" s="5" t="s">
        <v>169</v>
      </c>
      <c r="R488" s="5" t="s">
        <v>170</v>
      </c>
      <c r="S488" s="5" t="s">
        <v>85</v>
      </c>
      <c r="T488" s="5" t="s">
        <v>63</v>
      </c>
      <c r="U488" s="5" t="s">
        <v>104</v>
      </c>
      <c r="V488" s="5" t="s">
        <v>96</v>
      </c>
      <c r="W488" s="5" t="s">
        <v>97</v>
      </c>
      <c r="X488" s="5" t="s">
        <v>2357</v>
      </c>
      <c r="Y488" s="5" t="s">
        <v>2358</v>
      </c>
      <c r="Z488" s="9">
        <v>46140</v>
      </c>
      <c r="AA488" s="8">
        <v>3</v>
      </c>
      <c r="AB488" s="9">
        <f t="shared" si="22"/>
        <v>46231</v>
      </c>
      <c r="AC488" s="10">
        <v>16</v>
      </c>
      <c r="AD488" s="7">
        <f t="shared" si="23"/>
        <v>2264</v>
      </c>
      <c r="AE488" s="7">
        <f>IF(F488="Bullet",H488*AD488,MIN(MAX(I488,1),Assumptions!$B$6)*AD488)</f>
        <v>4528</v>
      </c>
      <c r="AF488" s="8">
        <f>IF(F488="Bullet",MAX(0,Assumptions!$B$4-AB488),MAX(0,Assumptions!$B$4-L488))</f>
        <v>67</v>
      </c>
      <c r="AG488" s="9"/>
      <c r="AH488" s="8" t="str">
        <f>IF(AG488="","",Assumptions!$B$4-AG488)</f>
        <v/>
      </c>
      <c r="AI488" s="5" t="s">
        <v>80</v>
      </c>
      <c r="AJ488" s="8"/>
      <c r="AK488" s="8">
        <v>1</v>
      </c>
      <c r="AL488" s="8">
        <v>681</v>
      </c>
      <c r="AM488" s="8">
        <v>0</v>
      </c>
      <c r="AN488" s="5" t="s">
        <v>63</v>
      </c>
      <c r="AO488" s="10">
        <v>72.099999999999994</v>
      </c>
      <c r="AP488" s="8">
        <v>53</v>
      </c>
      <c r="AQ488" s="9">
        <v>46285</v>
      </c>
      <c r="AR488" s="5" t="s">
        <v>51</v>
      </c>
      <c r="AS488" s="5" t="s">
        <v>181</v>
      </c>
    </row>
    <row r="489" spans="1:45" x14ac:dyDescent="0.35">
      <c r="A489" s="5" t="s">
        <v>2359</v>
      </c>
      <c r="B489" s="5" t="s">
        <v>2360</v>
      </c>
      <c r="C489" s="6" t="s">
        <v>2361</v>
      </c>
      <c r="D489" s="7">
        <v>83100</v>
      </c>
      <c r="E489" s="5" t="s">
        <v>48</v>
      </c>
      <c r="F489" s="5" t="s">
        <v>49</v>
      </c>
      <c r="G489" s="8"/>
      <c r="H489" s="8" t="str">
        <f>IF(F489="Bullet",MIN(G489,Assumptions!$B$6),"")</f>
        <v/>
      </c>
      <c r="I489" s="8">
        <v>2</v>
      </c>
      <c r="J489" s="8">
        <f>IF(F489="Monthly interest",MAX(0,Assumptions!$B$5-I489),"")</f>
        <v>1</v>
      </c>
      <c r="K489" s="7">
        <f t="shared" si="21"/>
        <v>3048</v>
      </c>
      <c r="L489" s="9">
        <v>46259</v>
      </c>
      <c r="M489" s="5" t="s">
        <v>69</v>
      </c>
      <c r="N489" s="5" t="s">
        <v>53</v>
      </c>
      <c r="O489" s="5" t="s">
        <v>71</v>
      </c>
      <c r="P489" s="5" t="s">
        <v>70</v>
      </c>
      <c r="Q489" s="5" t="s">
        <v>73</v>
      </c>
      <c r="R489" s="5" t="s">
        <v>74</v>
      </c>
      <c r="S489" s="5" t="s">
        <v>56</v>
      </c>
      <c r="T489" s="5" t="s">
        <v>57</v>
      </c>
      <c r="U489" s="5" t="s">
        <v>86</v>
      </c>
      <c r="V489" s="5" t="s">
        <v>59</v>
      </c>
      <c r="W489" s="5" t="s">
        <v>323</v>
      </c>
      <c r="X489" s="5" t="s">
        <v>1923</v>
      </c>
      <c r="Y489" s="5" t="s">
        <v>2362</v>
      </c>
      <c r="Z489" s="9">
        <v>45986</v>
      </c>
      <c r="AA489" s="8">
        <v>12</v>
      </c>
      <c r="AB489" s="9">
        <f t="shared" si="22"/>
        <v>46351</v>
      </c>
      <c r="AC489" s="10">
        <v>22</v>
      </c>
      <c r="AD489" s="7">
        <f t="shared" si="23"/>
        <v>1524</v>
      </c>
      <c r="AE489" s="7">
        <f>IF(F489="Bullet",H489*AD489,MIN(MAX(I489,1),Assumptions!$B$6)*AD489)</f>
        <v>3048</v>
      </c>
      <c r="AF489" s="8">
        <f>IF(F489="Bullet",MAX(0,Assumptions!$B$4-AB489),MAX(0,Assumptions!$B$4-L489))</f>
        <v>39</v>
      </c>
      <c r="AG489" s="9">
        <v>46231</v>
      </c>
      <c r="AH489" s="8">
        <f>IF(AG489="","",Assumptions!$B$4-AG489)</f>
        <v>67</v>
      </c>
      <c r="AI489" s="5" t="s">
        <v>57</v>
      </c>
      <c r="AJ489" s="8">
        <v>2</v>
      </c>
      <c r="AK489" s="8">
        <v>0</v>
      </c>
      <c r="AL489" s="8">
        <v>737</v>
      </c>
      <c r="AM489" s="8">
        <v>1</v>
      </c>
      <c r="AN489" s="5" t="s">
        <v>63</v>
      </c>
      <c r="AO489" s="10">
        <v>70.400000000000006</v>
      </c>
      <c r="AP489" s="8">
        <v>36</v>
      </c>
      <c r="AQ489" s="9">
        <v>46273</v>
      </c>
      <c r="AR489" s="5" t="s">
        <v>70</v>
      </c>
      <c r="AS489" s="5" t="s">
        <v>190</v>
      </c>
    </row>
    <row r="490" spans="1:45" x14ac:dyDescent="0.35">
      <c r="A490" s="5" t="s">
        <v>2363</v>
      </c>
      <c r="B490" s="5" t="s">
        <v>2364</v>
      </c>
      <c r="C490" s="6" t="s">
        <v>2365</v>
      </c>
      <c r="D490" s="7">
        <v>167700</v>
      </c>
      <c r="E490" s="5" t="s">
        <v>48</v>
      </c>
      <c r="F490" s="5" t="s">
        <v>49</v>
      </c>
      <c r="G490" s="8"/>
      <c r="H490" s="8" t="str">
        <f>IF(F490="Bullet",MIN(G490,Assumptions!$B$6),"")</f>
        <v/>
      </c>
      <c r="I490" s="8">
        <v>2</v>
      </c>
      <c r="J490" s="8">
        <f>IF(F490="Monthly interest",MAX(0,Assumptions!$B$5-I490),"")</f>
        <v>1</v>
      </c>
      <c r="K490" s="7">
        <f t="shared" si="21"/>
        <v>4472</v>
      </c>
      <c r="L490" s="9">
        <v>46242</v>
      </c>
      <c r="M490" s="5" t="s">
        <v>116</v>
      </c>
      <c r="N490" s="5" t="s">
        <v>117</v>
      </c>
      <c r="O490" s="5" t="s">
        <v>118</v>
      </c>
      <c r="P490" s="5" t="s">
        <v>72</v>
      </c>
      <c r="Q490" s="5" t="s">
        <v>119</v>
      </c>
      <c r="R490" s="5" t="s">
        <v>120</v>
      </c>
      <c r="S490" s="5" t="s">
        <v>75</v>
      </c>
      <c r="T490" s="5" t="s">
        <v>57</v>
      </c>
      <c r="U490" s="5" t="s">
        <v>86</v>
      </c>
      <c r="V490" s="5" t="s">
        <v>76</v>
      </c>
      <c r="W490" s="5" t="s">
        <v>105</v>
      </c>
      <c r="X490" s="5" t="s">
        <v>163</v>
      </c>
      <c r="Y490" s="5" t="s">
        <v>2366</v>
      </c>
      <c r="Z490" s="9">
        <v>46089</v>
      </c>
      <c r="AA490" s="8">
        <v>18</v>
      </c>
      <c r="AB490" s="9">
        <f t="shared" si="22"/>
        <v>46638</v>
      </c>
      <c r="AC490" s="10">
        <v>16</v>
      </c>
      <c r="AD490" s="7">
        <f t="shared" si="23"/>
        <v>2236</v>
      </c>
      <c r="AE490" s="7">
        <f>IF(F490="Bullet",H490*AD490,MIN(MAX(I490,1),Assumptions!$B$6)*AD490)</f>
        <v>4472</v>
      </c>
      <c r="AF490" s="8">
        <f>IF(F490="Bullet",MAX(0,Assumptions!$B$4-AB490),MAX(0,Assumptions!$B$4-L490))</f>
        <v>56</v>
      </c>
      <c r="AG490" s="9">
        <v>46212</v>
      </c>
      <c r="AH490" s="8">
        <f>IF(AG490="","",Assumptions!$B$4-AG490)</f>
        <v>86</v>
      </c>
      <c r="AI490" s="5" t="s">
        <v>63</v>
      </c>
      <c r="AJ490" s="8">
        <v>3</v>
      </c>
      <c r="AK490" s="8">
        <v>0</v>
      </c>
      <c r="AL490" s="8">
        <v>721</v>
      </c>
      <c r="AM490" s="8">
        <v>2</v>
      </c>
      <c r="AN490" s="5" t="s">
        <v>63</v>
      </c>
      <c r="AO490" s="10">
        <v>70.099999999999994</v>
      </c>
      <c r="AP490" s="8">
        <v>48</v>
      </c>
      <c r="AQ490" s="9">
        <v>46282</v>
      </c>
      <c r="AR490" s="5" t="s">
        <v>70</v>
      </c>
      <c r="AS490" s="5" t="s">
        <v>274</v>
      </c>
    </row>
    <row r="491" spans="1:45" x14ac:dyDescent="0.35">
      <c r="A491" s="5" t="s">
        <v>2367</v>
      </c>
      <c r="B491" s="5" t="s">
        <v>2368</v>
      </c>
      <c r="C491" s="6" t="s">
        <v>2369</v>
      </c>
      <c r="D491" s="7">
        <v>136600</v>
      </c>
      <c r="E491" s="5" t="s">
        <v>48</v>
      </c>
      <c r="F491" s="5" t="s">
        <v>49</v>
      </c>
      <c r="G491" s="8"/>
      <c r="H491" s="8" t="str">
        <f>IF(F491="Bullet",MIN(G491,Assumptions!$B$6),"")</f>
        <v/>
      </c>
      <c r="I491" s="8">
        <v>1</v>
      </c>
      <c r="J491" s="8">
        <f>IF(F491="Monthly interest",MAX(0,Assumptions!$B$5-I491),"")</f>
        <v>2</v>
      </c>
      <c r="K491" s="7">
        <f t="shared" si="21"/>
        <v>2504</v>
      </c>
      <c r="L491" s="9">
        <v>46297</v>
      </c>
      <c r="M491" s="5" t="s">
        <v>50</v>
      </c>
      <c r="N491" s="5" t="s">
        <v>51</v>
      </c>
      <c r="O491" s="5" t="s">
        <v>52</v>
      </c>
      <c r="P491" s="5" t="s">
        <v>53</v>
      </c>
      <c r="Q491" s="5" t="s">
        <v>54</v>
      </c>
      <c r="R491" s="5" t="s">
        <v>55</v>
      </c>
      <c r="S491" s="5" t="s">
        <v>85</v>
      </c>
      <c r="T491" s="5" t="s">
        <v>57</v>
      </c>
      <c r="U491" s="5" t="s">
        <v>104</v>
      </c>
      <c r="V491" s="5" t="s">
        <v>87</v>
      </c>
      <c r="W491" s="5" t="s">
        <v>361</v>
      </c>
      <c r="X491" s="5" t="s">
        <v>2370</v>
      </c>
      <c r="Y491" s="5" t="s">
        <v>2371</v>
      </c>
      <c r="Z491" s="9">
        <v>46144</v>
      </c>
      <c r="AA491" s="8">
        <v>18</v>
      </c>
      <c r="AB491" s="9">
        <f t="shared" si="22"/>
        <v>46693</v>
      </c>
      <c r="AC491" s="10">
        <v>22</v>
      </c>
      <c r="AD491" s="7">
        <f t="shared" si="23"/>
        <v>2504</v>
      </c>
      <c r="AE491" s="7">
        <f>IF(F491="Bullet",H491*AD491,MIN(MAX(I491,1),Assumptions!$B$6)*AD491)</f>
        <v>2504</v>
      </c>
      <c r="AF491" s="8">
        <f>IF(F491="Bullet",MAX(0,Assumptions!$B$4-AB491),MAX(0,Assumptions!$B$4-L491))</f>
        <v>1</v>
      </c>
      <c r="AG491" s="9">
        <v>46268</v>
      </c>
      <c r="AH491" s="8">
        <f>IF(AG491="","",Assumptions!$B$4-AG491)</f>
        <v>30</v>
      </c>
      <c r="AI491" s="5" t="s">
        <v>63</v>
      </c>
      <c r="AJ491" s="8">
        <v>1</v>
      </c>
      <c r="AK491" s="8">
        <v>0</v>
      </c>
      <c r="AL491" s="8">
        <v>752</v>
      </c>
      <c r="AM491" s="8">
        <v>0</v>
      </c>
      <c r="AN491" s="5" t="s">
        <v>63</v>
      </c>
      <c r="AO491" s="10">
        <v>69.8</v>
      </c>
      <c r="AP491" s="8">
        <v>22</v>
      </c>
      <c r="AQ491" s="9"/>
      <c r="AR491" s="5"/>
      <c r="AS491" s="5" t="s">
        <v>159</v>
      </c>
    </row>
    <row r="492" spans="1:45" x14ac:dyDescent="0.35">
      <c r="A492" s="5" t="s">
        <v>2372</v>
      </c>
      <c r="B492" s="5" t="s">
        <v>2373</v>
      </c>
      <c r="C492" s="6" t="s">
        <v>2374</v>
      </c>
      <c r="D492" s="7">
        <v>639700</v>
      </c>
      <c r="E492" s="5" t="s">
        <v>48</v>
      </c>
      <c r="F492" s="5" t="s">
        <v>68</v>
      </c>
      <c r="G492" s="8">
        <v>1</v>
      </c>
      <c r="H492" s="8">
        <f>IF(F492="Bullet",MIN(G492,Assumptions!$B$6),"")</f>
        <v>1</v>
      </c>
      <c r="I492" s="8"/>
      <c r="J492" s="8" t="str">
        <f>IF(F492="Monthly interest",MAX(0,Assumptions!$B$5-I492),"")</f>
        <v/>
      </c>
      <c r="K492" s="7">
        <f t="shared" si="21"/>
        <v>6397</v>
      </c>
      <c r="L492" s="9">
        <v>46256</v>
      </c>
      <c r="M492" s="5" t="s">
        <v>50</v>
      </c>
      <c r="N492" s="5" t="s">
        <v>51</v>
      </c>
      <c r="O492" s="5" t="s">
        <v>71</v>
      </c>
      <c r="P492" s="5" t="s">
        <v>53</v>
      </c>
      <c r="Q492" s="5" t="s">
        <v>73</v>
      </c>
      <c r="R492" s="5" t="s">
        <v>74</v>
      </c>
      <c r="S492" s="5" t="s">
        <v>85</v>
      </c>
      <c r="T492" s="5" t="s">
        <v>57</v>
      </c>
      <c r="U492" s="5" t="s">
        <v>86</v>
      </c>
      <c r="V492" s="5" t="s">
        <v>87</v>
      </c>
      <c r="W492" s="5" t="s">
        <v>361</v>
      </c>
      <c r="X492" s="5" t="s">
        <v>362</v>
      </c>
      <c r="Y492" s="5" t="s">
        <v>2375</v>
      </c>
      <c r="Z492" s="9">
        <v>46256</v>
      </c>
      <c r="AA492" s="8">
        <v>6</v>
      </c>
      <c r="AB492" s="9">
        <f t="shared" si="22"/>
        <v>46440</v>
      </c>
      <c r="AC492" s="10">
        <v>12</v>
      </c>
      <c r="AD492" s="7">
        <f t="shared" si="23"/>
        <v>6397</v>
      </c>
      <c r="AE492" s="7">
        <f>IF(F492="Bullet",H492*AD492,MIN(MAX(I492,1),Assumptions!$B$6)*AD492)</f>
        <v>6397</v>
      </c>
      <c r="AF492" s="8">
        <f>IF(F492="Bullet",MAX(0,Assumptions!$B$4-AB492),MAX(0,Assumptions!$B$4-L492))</f>
        <v>0</v>
      </c>
      <c r="AG492" s="9"/>
      <c r="AH492" s="8" t="str">
        <f>IF(AG492="","",Assumptions!$B$4-AG492)</f>
        <v/>
      </c>
      <c r="AI492" s="5" t="s">
        <v>80</v>
      </c>
      <c r="AJ492" s="8"/>
      <c r="AK492" s="8">
        <v>0</v>
      </c>
      <c r="AL492" s="8">
        <v>624</v>
      </c>
      <c r="AM492" s="8">
        <v>2</v>
      </c>
      <c r="AN492" s="5" t="s">
        <v>63</v>
      </c>
      <c r="AO492" s="10">
        <v>68.3</v>
      </c>
      <c r="AP492" s="8">
        <v>26</v>
      </c>
      <c r="AQ492" s="9">
        <v>46297</v>
      </c>
      <c r="AR492" s="5" t="s">
        <v>53</v>
      </c>
      <c r="AS492" s="5" t="s">
        <v>81</v>
      </c>
    </row>
    <row r="493" spans="1:45" x14ac:dyDescent="0.35">
      <c r="A493" s="5" t="s">
        <v>2376</v>
      </c>
      <c r="B493" s="5" t="s">
        <v>2377</v>
      </c>
      <c r="C493" s="6" t="s">
        <v>2378</v>
      </c>
      <c r="D493" s="7">
        <v>104800</v>
      </c>
      <c r="E493" s="5" t="s">
        <v>48</v>
      </c>
      <c r="F493" s="5" t="s">
        <v>49</v>
      </c>
      <c r="G493" s="8"/>
      <c r="H493" s="8" t="str">
        <f>IF(F493="Bullet",MIN(G493,Assumptions!$B$6),"")</f>
        <v/>
      </c>
      <c r="I493" s="8">
        <v>1</v>
      </c>
      <c r="J493" s="8">
        <f>IF(F493="Monthly interest",MAX(0,Assumptions!$B$5-I493),"")</f>
        <v>2</v>
      </c>
      <c r="K493" s="7">
        <f t="shared" si="21"/>
        <v>1223</v>
      </c>
      <c r="L493" s="9">
        <v>46276</v>
      </c>
      <c r="M493" s="5" t="s">
        <v>69</v>
      </c>
      <c r="N493" s="5" t="s">
        <v>53</v>
      </c>
      <c r="O493" s="5" t="s">
        <v>103</v>
      </c>
      <c r="P493" s="5" t="s">
        <v>70</v>
      </c>
      <c r="Q493" s="5" t="s">
        <v>54</v>
      </c>
      <c r="R493" s="5" t="s">
        <v>55</v>
      </c>
      <c r="S493" s="5" t="s">
        <v>75</v>
      </c>
      <c r="T493" s="5" t="s">
        <v>57</v>
      </c>
      <c r="U493" s="5" t="s">
        <v>58</v>
      </c>
      <c r="V493" s="5" t="s">
        <v>76</v>
      </c>
      <c r="W493" s="5" t="s">
        <v>146</v>
      </c>
      <c r="X493" s="5" t="s">
        <v>147</v>
      </c>
      <c r="Y493" s="5" t="s">
        <v>2379</v>
      </c>
      <c r="Z493" s="9">
        <v>46064</v>
      </c>
      <c r="AA493" s="8">
        <v>24</v>
      </c>
      <c r="AB493" s="9">
        <f t="shared" si="22"/>
        <v>46794</v>
      </c>
      <c r="AC493" s="10">
        <v>14</v>
      </c>
      <c r="AD493" s="7">
        <f t="shared" si="23"/>
        <v>1223</v>
      </c>
      <c r="AE493" s="7">
        <f>IF(F493="Bullet",H493*AD493,MIN(MAX(I493,1),Assumptions!$B$6)*AD493)</f>
        <v>1223</v>
      </c>
      <c r="AF493" s="8">
        <f>IF(F493="Bullet",MAX(0,Assumptions!$B$4-AB493),MAX(0,Assumptions!$B$4-L493))</f>
        <v>22</v>
      </c>
      <c r="AG493" s="9">
        <v>46250</v>
      </c>
      <c r="AH493" s="8">
        <f>IF(AG493="","",Assumptions!$B$4-AG493)</f>
        <v>48</v>
      </c>
      <c r="AI493" s="5" t="s">
        <v>57</v>
      </c>
      <c r="AJ493" s="8">
        <v>1</v>
      </c>
      <c r="AK493" s="8">
        <v>2</v>
      </c>
      <c r="AL493" s="8">
        <v>636</v>
      </c>
      <c r="AM493" s="8">
        <v>2</v>
      </c>
      <c r="AN493" s="5" t="s">
        <v>63</v>
      </c>
      <c r="AO493" s="10">
        <v>58.3</v>
      </c>
      <c r="AP493" s="8">
        <v>45</v>
      </c>
      <c r="AQ493" s="9">
        <v>46279</v>
      </c>
      <c r="AR493" s="5" t="s">
        <v>51</v>
      </c>
      <c r="AS493" s="5" t="s">
        <v>81</v>
      </c>
    </row>
    <row r="494" spans="1:45" x14ac:dyDescent="0.35">
      <c r="A494" s="5" t="s">
        <v>2380</v>
      </c>
      <c r="B494" s="5" t="s">
        <v>2381</v>
      </c>
      <c r="C494" s="6" t="s">
        <v>2382</v>
      </c>
      <c r="D494" s="7">
        <v>188100</v>
      </c>
      <c r="E494" s="5" t="s">
        <v>48</v>
      </c>
      <c r="F494" s="5" t="s">
        <v>49</v>
      </c>
      <c r="G494" s="8"/>
      <c r="H494" s="8" t="str">
        <f>IF(F494="Bullet",MIN(G494,Assumptions!$B$6),"")</f>
        <v/>
      </c>
      <c r="I494" s="8">
        <v>2</v>
      </c>
      <c r="J494" s="8">
        <f>IF(F494="Monthly interest",MAX(0,Assumptions!$B$5-I494),"")</f>
        <v>1</v>
      </c>
      <c r="K494" s="7">
        <f t="shared" si="21"/>
        <v>6898</v>
      </c>
      <c r="L494" s="9">
        <v>46259</v>
      </c>
      <c r="M494" s="5" t="s">
        <v>116</v>
      </c>
      <c r="N494" s="5" t="s">
        <v>117</v>
      </c>
      <c r="O494" s="5" t="s">
        <v>118</v>
      </c>
      <c r="P494" s="5" t="s">
        <v>72</v>
      </c>
      <c r="Q494" s="5" t="s">
        <v>119</v>
      </c>
      <c r="R494" s="5" t="s">
        <v>120</v>
      </c>
      <c r="S494" s="5" t="s">
        <v>56</v>
      </c>
      <c r="T494" s="5" t="s">
        <v>57</v>
      </c>
      <c r="U494" s="5" t="s">
        <v>86</v>
      </c>
      <c r="V494" s="5" t="s">
        <v>59</v>
      </c>
      <c r="W494" s="5" t="s">
        <v>126</v>
      </c>
      <c r="X494" s="5" t="s">
        <v>2383</v>
      </c>
      <c r="Y494" s="5" t="s">
        <v>2384</v>
      </c>
      <c r="Z494" s="9">
        <v>46106</v>
      </c>
      <c r="AA494" s="8">
        <v>12</v>
      </c>
      <c r="AB494" s="9">
        <f t="shared" si="22"/>
        <v>46471</v>
      </c>
      <c r="AC494" s="10">
        <v>22</v>
      </c>
      <c r="AD494" s="7">
        <f t="shared" si="23"/>
        <v>3449</v>
      </c>
      <c r="AE494" s="7">
        <f>IF(F494="Bullet",H494*AD494,MIN(MAX(I494,1),Assumptions!$B$6)*AD494)</f>
        <v>6898</v>
      </c>
      <c r="AF494" s="8">
        <f>IF(F494="Bullet",MAX(0,Assumptions!$B$4-AB494),MAX(0,Assumptions!$B$4-L494))</f>
        <v>39</v>
      </c>
      <c r="AG494" s="9">
        <v>46231</v>
      </c>
      <c r="AH494" s="8">
        <f>IF(AG494="","",Assumptions!$B$4-AG494)</f>
        <v>67</v>
      </c>
      <c r="AI494" s="5" t="s">
        <v>63</v>
      </c>
      <c r="AJ494" s="8">
        <v>2</v>
      </c>
      <c r="AK494" s="8">
        <v>1</v>
      </c>
      <c r="AL494" s="8">
        <v>721</v>
      </c>
      <c r="AM494" s="8">
        <v>2</v>
      </c>
      <c r="AN494" s="5" t="s">
        <v>63</v>
      </c>
      <c r="AO494" s="10">
        <v>60.1</v>
      </c>
      <c r="AP494" s="8">
        <v>50</v>
      </c>
      <c r="AQ494" s="9">
        <v>46274</v>
      </c>
      <c r="AR494" s="5" t="s">
        <v>70</v>
      </c>
      <c r="AS494" s="5" t="s">
        <v>81</v>
      </c>
    </row>
    <row r="495" spans="1:45" x14ac:dyDescent="0.35">
      <c r="A495" s="5" t="s">
        <v>2385</v>
      </c>
      <c r="B495" s="5" t="s">
        <v>2386</v>
      </c>
      <c r="C495" s="6" t="s">
        <v>2387</v>
      </c>
      <c r="D495" s="7">
        <v>96200</v>
      </c>
      <c r="E495" s="5" t="s">
        <v>48</v>
      </c>
      <c r="F495" s="5" t="s">
        <v>68</v>
      </c>
      <c r="G495" s="8">
        <v>2</v>
      </c>
      <c r="H495" s="8">
        <f>IF(F495="Bullet",MIN(G495,Assumptions!$B$6),"")</f>
        <v>2</v>
      </c>
      <c r="I495" s="8"/>
      <c r="J495" s="8" t="str">
        <f>IF(F495="Monthly interest",MAX(0,Assumptions!$B$5-I495),"")</f>
        <v/>
      </c>
      <c r="K495" s="7">
        <f t="shared" si="21"/>
        <v>2406</v>
      </c>
      <c r="L495" s="9">
        <v>46213</v>
      </c>
      <c r="M495" s="5" t="s">
        <v>50</v>
      </c>
      <c r="N495" s="5" t="s">
        <v>53</v>
      </c>
      <c r="O495" s="5" t="s">
        <v>95</v>
      </c>
      <c r="P495" s="5" t="s">
        <v>70</v>
      </c>
      <c r="Q495" s="5" t="s">
        <v>73</v>
      </c>
      <c r="R495" s="5" t="s">
        <v>74</v>
      </c>
      <c r="S495" s="5" t="s">
        <v>185</v>
      </c>
      <c r="T495" s="5" t="s">
        <v>63</v>
      </c>
      <c r="U495" s="5" t="s">
        <v>58</v>
      </c>
      <c r="V495" s="5" t="s">
        <v>186</v>
      </c>
      <c r="W495" s="5" t="s">
        <v>329</v>
      </c>
      <c r="X495" s="5" t="s">
        <v>626</v>
      </c>
      <c r="Y495" s="5" t="s">
        <v>2388</v>
      </c>
      <c r="Z495" s="9">
        <v>46213</v>
      </c>
      <c r="AA495" s="8">
        <v>6</v>
      </c>
      <c r="AB495" s="9">
        <f t="shared" si="22"/>
        <v>46397</v>
      </c>
      <c r="AC495" s="10">
        <v>15</v>
      </c>
      <c r="AD495" s="7">
        <f t="shared" si="23"/>
        <v>1203</v>
      </c>
      <c r="AE495" s="7">
        <f>IF(F495="Bullet",H495*AD495,MIN(MAX(I495,1),Assumptions!$B$6)*AD495)</f>
        <v>2406</v>
      </c>
      <c r="AF495" s="8">
        <f>IF(F495="Bullet",MAX(0,Assumptions!$B$4-AB495),MAX(0,Assumptions!$B$4-L495))</f>
        <v>0</v>
      </c>
      <c r="AG495" s="9"/>
      <c r="AH495" s="8" t="str">
        <f>IF(AG495="","",Assumptions!$B$4-AG495)</f>
        <v/>
      </c>
      <c r="AI495" s="5" t="s">
        <v>80</v>
      </c>
      <c r="AJ495" s="8"/>
      <c r="AK495" s="8">
        <v>2</v>
      </c>
      <c r="AL495" s="8">
        <v>783</v>
      </c>
      <c r="AM495" s="8">
        <v>1</v>
      </c>
      <c r="AN495" s="5" t="s">
        <v>63</v>
      </c>
      <c r="AO495" s="10">
        <v>67.900000000000006</v>
      </c>
      <c r="AP495" s="8">
        <v>16</v>
      </c>
      <c r="AQ495" s="9">
        <v>46292</v>
      </c>
      <c r="AR495" s="5" t="s">
        <v>51</v>
      </c>
      <c r="AS495" s="5" t="s">
        <v>64</v>
      </c>
    </row>
    <row r="496" spans="1:45" x14ac:dyDescent="0.35">
      <c r="A496" s="5" t="s">
        <v>2389</v>
      </c>
      <c r="B496" s="5" t="s">
        <v>2390</v>
      </c>
      <c r="C496" s="6" t="s">
        <v>2391</v>
      </c>
      <c r="D496" s="7">
        <v>436500</v>
      </c>
      <c r="E496" s="5" t="s">
        <v>48</v>
      </c>
      <c r="F496" s="5" t="s">
        <v>49</v>
      </c>
      <c r="G496" s="8"/>
      <c r="H496" s="8" t="str">
        <f>IF(F496="Bullet",MIN(G496,Assumptions!$B$6),"")</f>
        <v/>
      </c>
      <c r="I496" s="8">
        <v>1</v>
      </c>
      <c r="J496" s="8">
        <f>IF(F496="Monthly interest",MAX(0,Assumptions!$B$5-I496),"")</f>
        <v>2</v>
      </c>
      <c r="K496" s="7">
        <f t="shared" si="21"/>
        <v>8730</v>
      </c>
      <c r="L496" s="9">
        <v>46282</v>
      </c>
      <c r="M496" s="5" t="s">
        <v>50</v>
      </c>
      <c r="N496" s="5" t="s">
        <v>53</v>
      </c>
      <c r="O496" s="5" t="s">
        <v>132</v>
      </c>
      <c r="P496" s="5" t="s">
        <v>51</v>
      </c>
      <c r="Q496" s="5" t="s">
        <v>54</v>
      </c>
      <c r="R496" s="5" t="s">
        <v>55</v>
      </c>
      <c r="S496" s="5" t="s">
        <v>214</v>
      </c>
      <c r="T496" s="5" t="s">
        <v>57</v>
      </c>
      <c r="U496" s="5" t="s">
        <v>104</v>
      </c>
      <c r="V496" s="5" t="s">
        <v>215</v>
      </c>
      <c r="W496" s="5" t="s">
        <v>284</v>
      </c>
      <c r="X496" s="5" t="s">
        <v>689</v>
      </c>
      <c r="Y496" s="5" t="s">
        <v>2392</v>
      </c>
      <c r="Z496" s="9">
        <v>46008</v>
      </c>
      <c r="AA496" s="8">
        <v>12</v>
      </c>
      <c r="AB496" s="9">
        <f t="shared" si="22"/>
        <v>46373</v>
      </c>
      <c r="AC496" s="10">
        <v>24</v>
      </c>
      <c r="AD496" s="7">
        <f t="shared" si="23"/>
        <v>8730</v>
      </c>
      <c r="AE496" s="7">
        <f>IF(F496="Bullet",H496*AD496,MIN(MAX(I496,1),Assumptions!$B$6)*AD496)</f>
        <v>8730</v>
      </c>
      <c r="AF496" s="8">
        <f>IF(F496="Bullet",MAX(0,Assumptions!$B$4-AB496),MAX(0,Assumptions!$B$4-L496))</f>
        <v>16</v>
      </c>
      <c r="AG496" s="9">
        <v>46254</v>
      </c>
      <c r="AH496" s="8">
        <f>IF(AG496="","",Assumptions!$B$4-AG496)</f>
        <v>44</v>
      </c>
      <c r="AI496" s="5" t="s">
        <v>57</v>
      </c>
      <c r="AJ496" s="8">
        <v>1</v>
      </c>
      <c r="AK496" s="8">
        <v>0</v>
      </c>
      <c r="AL496" s="8">
        <v>899</v>
      </c>
      <c r="AM496" s="8">
        <v>1</v>
      </c>
      <c r="AN496" s="5" t="s">
        <v>63</v>
      </c>
      <c r="AO496" s="10">
        <v>72.2</v>
      </c>
      <c r="AP496" s="8">
        <v>6</v>
      </c>
      <c r="AQ496" s="9">
        <v>46276</v>
      </c>
      <c r="AR496" s="5" t="s">
        <v>51</v>
      </c>
      <c r="AS496" s="5" t="s">
        <v>91</v>
      </c>
    </row>
    <row r="497" spans="1:45" x14ac:dyDescent="0.35">
      <c r="A497" s="5" t="s">
        <v>2393</v>
      </c>
      <c r="B497" s="5" t="s">
        <v>1027</v>
      </c>
      <c r="C497" s="6" t="s">
        <v>2394</v>
      </c>
      <c r="D497" s="7">
        <v>43800</v>
      </c>
      <c r="E497" s="5" t="s">
        <v>48</v>
      </c>
      <c r="F497" s="5" t="s">
        <v>68</v>
      </c>
      <c r="G497" s="8">
        <v>6</v>
      </c>
      <c r="H497" s="8">
        <f>IF(F497="Bullet",MIN(G497,Assumptions!$B$6),"")</f>
        <v>2</v>
      </c>
      <c r="I497" s="8"/>
      <c r="J497" s="8" t="str">
        <f>IF(F497="Monthly interest",MAX(0,Assumptions!$B$5-I497),"")</f>
        <v/>
      </c>
      <c r="K497" s="7">
        <f t="shared" si="21"/>
        <v>3066</v>
      </c>
      <c r="L497" s="9">
        <v>46107</v>
      </c>
      <c r="M497" s="5" t="s">
        <v>116</v>
      </c>
      <c r="N497" s="5" t="s">
        <v>117</v>
      </c>
      <c r="O497" s="5" t="s">
        <v>461</v>
      </c>
      <c r="P497" s="5" t="s">
        <v>72</v>
      </c>
      <c r="Q497" s="5" t="s">
        <v>169</v>
      </c>
      <c r="R497" s="5" t="s">
        <v>170</v>
      </c>
      <c r="S497" s="5" t="s">
        <v>85</v>
      </c>
      <c r="T497" s="5" t="s">
        <v>63</v>
      </c>
      <c r="U497" s="5" t="s">
        <v>104</v>
      </c>
      <c r="V497" s="5" t="s">
        <v>87</v>
      </c>
      <c r="W497" s="5" t="s">
        <v>254</v>
      </c>
      <c r="X497" s="5" t="s">
        <v>2395</v>
      </c>
      <c r="Y497" s="5" t="s">
        <v>2396</v>
      </c>
      <c r="Z497" s="9">
        <v>46107</v>
      </c>
      <c r="AA497" s="8">
        <v>6</v>
      </c>
      <c r="AB497" s="9">
        <f t="shared" si="22"/>
        <v>46291</v>
      </c>
      <c r="AC497" s="10">
        <v>14</v>
      </c>
      <c r="AD497" s="7">
        <f t="shared" si="23"/>
        <v>511</v>
      </c>
      <c r="AE497" s="7">
        <f>IF(F497="Bullet",H497*AD497,MIN(MAX(I497,1),Assumptions!$B$6)*AD497)</f>
        <v>1022</v>
      </c>
      <c r="AF497" s="8">
        <f>IF(F497="Bullet",MAX(0,Assumptions!$B$4-AB497),MAX(0,Assumptions!$B$4-L497))</f>
        <v>7</v>
      </c>
      <c r="AG497" s="9"/>
      <c r="AH497" s="8" t="str">
        <f>IF(AG497="","",Assumptions!$B$4-AG497)</f>
        <v/>
      </c>
      <c r="AI497" s="5" t="s">
        <v>80</v>
      </c>
      <c r="AJ497" s="8"/>
      <c r="AK497" s="8">
        <v>0</v>
      </c>
      <c r="AL497" s="8" t="s">
        <v>80</v>
      </c>
      <c r="AM497" s="8">
        <v>3</v>
      </c>
      <c r="AN497" s="5" t="s">
        <v>63</v>
      </c>
      <c r="AO497" s="10">
        <v>88</v>
      </c>
      <c r="AP497" s="8">
        <v>73</v>
      </c>
      <c r="AQ497" s="9"/>
      <c r="AR497" s="5"/>
      <c r="AS497" s="5" t="s">
        <v>159</v>
      </c>
    </row>
    <row r="498" spans="1:45" x14ac:dyDescent="0.35">
      <c r="A498" s="5" t="s">
        <v>2397</v>
      </c>
      <c r="B498" s="5" t="s">
        <v>2398</v>
      </c>
      <c r="C498" s="6" t="s">
        <v>2399</v>
      </c>
      <c r="D498" s="7">
        <v>391100</v>
      </c>
      <c r="E498" s="5" t="s">
        <v>48</v>
      </c>
      <c r="F498" s="5" t="s">
        <v>68</v>
      </c>
      <c r="G498" s="8">
        <v>5</v>
      </c>
      <c r="H498" s="8">
        <f>IF(F498="Bullet",MIN(G498,Assumptions!$B$6),"")</f>
        <v>2</v>
      </c>
      <c r="I498" s="8"/>
      <c r="J498" s="8" t="str">
        <f>IF(F498="Monthly interest",MAX(0,Assumptions!$B$5-I498),"")</f>
        <v/>
      </c>
      <c r="K498" s="7">
        <f t="shared" si="21"/>
        <v>29335</v>
      </c>
      <c r="L498" s="9">
        <v>46124</v>
      </c>
      <c r="M498" s="5" t="s">
        <v>116</v>
      </c>
      <c r="N498" s="5" t="s">
        <v>117</v>
      </c>
      <c r="O498" s="5" t="s">
        <v>461</v>
      </c>
      <c r="P498" s="5" t="s">
        <v>72</v>
      </c>
      <c r="Q498" s="5" t="s">
        <v>169</v>
      </c>
      <c r="R498" s="5" t="s">
        <v>170</v>
      </c>
      <c r="S498" s="5" t="s">
        <v>214</v>
      </c>
      <c r="T498" s="5" t="s">
        <v>57</v>
      </c>
      <c r="U498" s="5" t="s">
        <v>104</v>
      </c>
      <c r="V498" s="5" t="s">
        <v>215</v>
      </c>
      <c r="W498" s="5" t="s">
        <v>242</v>
      </c>
      <c r="X498" s="5" t="s">
        <v>2400</v>
      </c>
      <c r="Y498" s="5" t="s">
        <v>2401</v>
      </c>
      <c r="Z498" s="9">
        <v>46124</v>
      </c>
      <c r="AA498" s="8">
        <v>6</v>
      </c>
      <c r="AB498" s="9">
        <f t="shared" si="22"/>
        <v>46307</v>
      </c>
      <c r="AC498" s="10">
        <v>18</v>
      </c>
      <c r="AD498" s="7">
        <f t="shared" si="23"/>
        <v>5867</v>
      </c>
      <c r="AE498" s="7">
        <f>IF(F498="Bullet",H498*AD498,MIN(MAX(I498,1),Assumptions!$B$6)*AD498)</f>
        <v>11734</v>
      </c>
      <c r="AF498" s="8">
        <f>IF(F498="Bullet",MAX(0,Assumptions!$B$4-AB498),MAX(0,Assumptions!$B$4-L498))</f>
        <v>0</v>
      </c>
      <c r="AG498" s="9"/>
      <c r="AH498" s="8" t="str">
        <f>IF(AG498="","",Assumptions!$B$4-AG498)</f>
        <v/>
      </c>
      <c r="AI498" s="5" t="s">
        <v>80</v>
      </c>
      <c r="AJ498" s="8"/>
      <c r="AK498" s="8">
        <v>2</v>
      </c>
      <c r="AL498" s="8">
        <v>595</v>
      </c>
      <c r="AM498" s="8">
        <v>3</v>
      </c>
      <c r="AN498" s="5" t="s">
        <v>57</v>
      </c>
      <c r="AO498" s="10">
        <v>71</v>
      </c>
      <c r="AP498" s="8">
        <v>86</v>
      </c>
      <c r="AQ498" s="9">
        <v>46278</v>
      </c>
      <c r="AR498" s="5" t="s">
        <v>70</v>
      </c>
      <c r="AS498" s="5" t="s">
        <v>274</v>
      </c>
    </row>
    <row r="499" spans="1:45" x14ac:dyDescent="0.35">
      <c r="A499" s="5" t="s">
        <v>2402</v>
      </c>
      <c r="B499" s="5" t="s">
        <v>2403</v>
      </c>
      <c r="C499" s="6" t="s">
        <v>2404</v>
      </c>
      <c r="D499" s="7">
        <v>143400</v>
      </c>
      <c r="E499" s="5" t="s">
        <v>48</v>
      </c>
      <c r="F499" s="5" t="s">
        <v>68</v>
      </c>
      <c r="G499" s="8">
        <v>5</v>
      </c>
      <c r="H499" s="8">
        <f>IF(F499="Bullet",MIN(G499,Assumptions!$B$6),"")</f>
        <v>2</v>
      </c>
      <c r="I499" s="8"/>
      <c r="J499" s="8" t="str">
        <f>IF(F499="Monthly interest",MAX(0,Assumptions!$B$5-I499),"")</f>
        <v/>
      </c>
      <c r="K499" s="7">
        <f t="shared" si="21"/>
        <v>8365</v>
      </c>
      <c r="L499" s="9">
        <v>46127</v>
      </c>
      <c r="M499" s="5" t="s">
        <v>116</v>
      </c>
      <c r="N499" s="5" t="s">
        <v>117</v>
      </c>
      <c r="O499" s="5" t="s">
        <v>461</v>
      </c>
      <c r="P499" s="5" t="s">
        <v>72</v>
      </c>
      <c r="Q499" s="5" t="s">
        <v>169</v>
      </c>
      <c r="R499" s="5" t="s">
        <v>170</v>
      </c>
      <c r="S499" s="5" t="s">
        <v>185</v>
      </c>
      <c r="T499" s="5" t="s">
        <v>57</v>
      </c>
      <c r="U499" s="5" t="s">
        <v>86</v>
      </c>
      <c r="V499" s="5" t="s">
        <v>186</v>
      </c>
      <c r="W499" s="5" t="s">
        <v>694</v>
      </c>
      <c r="X499" s="5" t="s">
        <v>773</v>
      </c>
      <c r="Y499" s="5" t="s">
        <v>2405</v>
      </c>
      <c r="Z499" s="9">
        <v>46127</v>
      </c>
      <c r="AA499" s="8">
        <v>3</v>
      </c>
      <c r="AB499" s="9">
        <f t="shared" si="22"/>
        <v>46218</v>
      </c>
      <c r="AC499" s="10">
        <v>14</v>
      </c>
      <c r="AD499" s="7">
        <f t="shared" si="23"/>
        <v>1673</v>
      </c>
      <c r="AE499" s="7">
        <f>IF(F499="Bullet",H499*AD499,MIN(MAX(I499,1),Assumptions!$B$6)*AD499)</f>
        <v>3346</v>
      </c>
      <c r="AF499" s="8">
        <f>IF(F499="Bullet",MAX(0,Assumptions!$B$4-AB499),MAX(0,Assumptions!$B$4-L499))</f>
        <v>80</v>
      </c>
      <c r="AG499" s="9"/>
      <c r="AH499" s="8" t="str">
        <f>IF(AG499="","",Assumptions!$B$4-AG499)</f>
        <v/>
      </c>
      <c r="AI499" s="5" t="s">
        <v>80</v>
      </c>
      <c r="AJ499" s="8"/>
      <c r="AK499" s="8">
        <v>2</v>
      </c>
      <c r="AL499" s="8">
        <v>689</v>
      </c>
      <c r="AM499" s="8">
        <v>3</v>
      </c>
      <c r="AN499" s="5" t="s">
        <v>63</v>
      </c>
      <c r="AO499" s="10">
        <v>62.2</v>
      </c>
      <c r="AP499" s="8">
        <v>67</v>
      </c>
      <c r="AQ499" s="9">
        <v>46283</v>
      </c>
      <c r="AR499" s="5" t="s">
        <v>51</v>
      </c>
      <c r="AS499" s="5" t="s">
        <v>81</v>
      </c>
    </row>
    <row r="500" spans="1:45" x14ac:dyDescent="0.35">
      <c r="A500" s="5" t="s">
        <v>2406</v>
      </c>
      <c r="B500" s="5" t="s">
        <v>2407</v>
      </c>
      <c r="C500" s="6" t="s">
        <v>2408</v>
      </c>
      <c r="D500" s="7">
        <v>82800</v>
      </c>
      <c r="E500" s="5" t="s">
        <v>48</v>
      </c>
      <c r="F500" s="5" t="s">
        <v>49</v>
      </c>
      <c r="G500" s="8"/>
      <c r="H500" s="8" t="str">
        <f>IF(F500="Bullet",MIN(G500,Assumptions!$B$6),"")</f>
        <v/>
      </c>
      <c r="I500" s="8">
        <v>2</v>
      </c>
      <c r="J500" s="8">
        <f>IF(F500="Monthly interest",MAX(0,Assumptions!$B$5-I500),"")</f>
        <v>1</v>
      </c>
      <c r="K500" s="7">
        <f t="shared" si="21"/>
        <v>3036</v>
      </c>
      <c r="L500" s="9">
        <v>46240</v>
      </c>
      <c r="M500" s="5" t="s">
        <v>116</v>
      </c>
      <c r="N500" s="5" t="s">
        <v>117</v>
      </c>
      <c r="O500" s="5" t="s">
        <v>118</v>
      </c>
      <c r="P500" s="5" t="s">
        <v>72</v>
      </c>
      <c r="Q500" s="5" t="s">
        <v>119</v>
      </c>
      <c r="R500" s="5" t="s">
        <v>120</v>
      </c>
      <c r="S500" s="5" t="s">
        <v>75</v>
      </c>
      <c r="T500" s="5" t="s">
        <v>57</v>
      </c>
      <c r="U500" s="5" t="s">
        <v>58</v>
      </c>
      <c r="V500" s="5" t="s">
        <v>76</v>
      </c>
      <c r="W500" s="5" t="s">
        <v>547</v>
      </c>
      <c r="X500" s="5" t="s">
        <v>2409</v>
      </c>
      <c r="Y500" s="5" t="s">
        <v>2410</v>
      </c>
      <c r="Z500" s="9">
        <v>46087</v>
      </c>
      <c r="AA500" s="8">
        <v>24</v>
      </c>
      <c r="AB500" s="9">
        <f t="shared" si="22"/>
        <v>46818</v>
      </c>
      <c r="AC500" s="10">
        <v>22</v>
      </c>
      <c r="AD500" s="7">
        <f t="shared" si="23"/>
        <v>1518</v>
      </c>
      <c r="AE500" s="7">
        <f>IF(F500="Bullet",H500*AD500,MIN(MAX(I500,1),Assumptions!$B$6)*AD500)</f>
        <v>3036</v>
      </c>
      <c r="AF500" s="8">
        <f>IF(F500="Bullet",MAX(0,Assumptions!$B$4-AB500),MAX(0,Assumptions!$B$4-L500))</f>
        <v>58</v>
      </c>
      <c r="AG500" s="9">
        <v>46209</v>
      </c>
      <c r="AH500" s="8">
        <f>IF(AG500="","",Assumptions!$B$4-AG500)</f>
        <v>89</v>
      </c>
      <c r="AI500" s="5" t="s">
        <v>63</v>
      </c>
      <c r="AJ500" s="8">
        <v>4</v>
      </c>
      <c r="AK500" s="8">
        <v>1</v>
      </c>
      <c r="AL500" s="8">
        <v>699</v>
      </c>
      <c r="AM500" s="8">
        <v>2</v>
      </c>
      <c r="AN500" s="5" t="s">
        <v>63</v>
      </c>
      <c r="AO500" s="10">
        <v>64.599999999999994</v>
      </c>
      <c r="AP500" s="8">
        <v>56</v>
      </c>
      <c r="AQ500" s="9">
        <v>46296</v>
      </c>
      <c r="AR500" s="5" t="s">
        <v>70</v>
      </c>
      <c r="AS500" s="5" t="s">
        <v>91</v>
      </c>
    </row>
    <row r="501" spans="1:45" x14ac:dyDescent="0.35">
      <c r="A501" s="5" t="s">
        <v>2411</v>
      </c>
      <c r="B501" s="5" t="s">
        <v>2412</v>
      </c>
      <c r="C501" s="6" t="s">
        <v>2413</v>
      </c>
      <c r="D501" s="7">
        <v>182800</v>
      </c>
      <c r="E501" s="5" t="s">
        <v>48</v>
      </c>
      <c r="F501" s="5" t="s">
        <v>49</v>
      </c>
      <c r="G501" s="8"/>
      <c r="H501" s="8" t="str">
        <f>IF(F501="Bullet",MIN(G501,Assumptions!$B$6),"")</f>
        <v/>
      </c>
      <c r="I501" s="8">
        <v>1</v>
      </c>
      <c r="J501" s="8">
        <f>IF(F501="Monthly interest",MAX(0,Assumptions!$B$5-I501),"")</f>
        <v>2</v>
      </c>
      <c r="K501" s="7">
        <f t="shared" si="21"/>
        <v>2133</v>
      </c>
      <c r="L501" s="9">
        <v>46281</v>
      </c>
      <c r="M501" s="5" t="s">
        <v>50</v>
      </c>
      <c r="N501" s="5" t="s">
        <v>51</v>
      </c>
      <c r="O501" s="5" t="s">
        <v>52</v>
      </c>
      <c r="P501" s="5" t="s">
        <v>53</v>
      </c>
      <c r="Q501" s="5" t="s">
        <v>54</v>
      </c>
      <c r="R501" s="5" t="s">
        <v>55</v>
      </c>
      <c r="S501" s="5" t="s">
        <v>85</v>
      </c>
      <c r="T501" s="5" t="s">
        <v>57</v>
      </c>
      <c r="U501" s="5" t="s">
        <v>104</v>
      </c>
      <c r="V501" s="5" t="s">
        <v>177</v>
      </c>
      <c r="W501" s="5" t="s">
        <v>208</v>
      </c>
      <c r="X501" s="5" t="s">
        <v>2414</v>
      </c>
      <c r="Y501" s="5" t="s">
        <v>2415</v>
      </c>
      <c r="Z501" s="9">
        <v>46189</v>
      </c>
      <c r="AA501" s="8">
        <v>12</v>
      </c>
      <c r="AB501" s="9">
        <f t="shared" si="22"/>
        <v>46554</v>
      </c>
      <c r="AC501" s="10">
        <v>14</v>
      </c>
      <c r="AD501" s="7">
        <f t="shared" si="23"/>
        <v>2133</v>
      </c>
      <c r="AE501" s="7">
        <f>IF(F501="Bullet",H501*AD501,MIN(MAX(I501,1),Assumptions!$B$6)*AD501)</f>
        <v>2133</v>
      </c>
      <c r="AF501" s="8">
        <f>IF(F501="Bullet",MAX(0,Assumptions!$B$4-AB501),MAX(0,Assumptions!$B$4-L501))</f>
        <v>17</v>
      </c>
      <c r="AG501" s="9">
        <v>46254</v>
      </c>
      <c r="AH501" s="8">
        <f>IF(AG501="","",Assumptions!$B$4-AG501)</f>
        <v>44</v>
      </c>
      <c r="AI501" s="5" t="s">
        <v>57</v>
      </c>
      <c r="AJ501" s="8">
        <v>1</v>
      </c>
      <c r="AK501" s="8">
        <v>0</v>
      </c>
      <c r="AL501" s="8">
        <v>833</v>
      </c>
      <c r="AM501" s="8">
        <v>2</v>
      </c>
      <c r="AN501" s="5" t="s">
        <v>63</v>
      </c>
      <c r="AO501" s="10">
        <v>71.400000000000006</v>
      </c>
      <c r="AP501" s="8">
        <v>9</v>
      </c>
      <c r="AQ501" s="9"/>
      <c r="AR501" s="5"/>
      <c r="AS501" s="5" t="s">
        <v>159</v>
      </c>
    </row>
    <row r="502" spans="1:45" x14ac:dyDescent="0.35">
      <c r="A502" s="5" t="s">
        <v>2416</v>
      </c>
      <c r="B502" s="5" t="s">
        <v>2417</v>
      </c>
      <c r="C502" s="6" t="s">
        <v>2418</v>
      </c>
      <c r="D502" s="7">
        <v>312000</v>
      </c>
      <c r="E502" s="5" t="s">
        <v>48</v>
      </c>
      <c r="F502" s="5" t="s">
        <v>49</v>
      </c>
      <c r="G502" s="8"/>
      <c r="H502" s="8" t="str">
        <f>IF(F502="Bullet",MIN(G502,Assumptions!$B$6),"")</f>
        <v/>
      </c>
      <c r="I502" s="8">
        <v>1</v>
      </c>
      <c r="J502" s="8">
        <f>IF(F502="Monthly interest",MAX(0,Assumptions!$B$5-I502),"")</f>
        <v>2</v>
      </c>
      <c r="K502" s="7">
        <f t="shared" si="21"/>
        <v>3640</v>
      </c>
      <c r="L502" s="9">
        <v>46289</v>
      </c>
      <c r="M502" s="5" t="s">
        <v>69</v>
      </c>
      <c r="N502" s="5" t="s">
        <v>51</v>
      </c>
      <c r="O502" s="5" t="s">
        <v>52</v>
      </c>
      <c r="P502" s="5" t="s">
        <v>53</v>
      </c>
      <c r="Q502" s="5" t="s">
        <v>54</v>
      </c>
      <c r="R502" s="5" t="s">
        <v>55</v>
      </c>
      <c r="S502" s="5" t="s">
        <v>56</v>
      </c>
      <c r="T502" s="5" t="s">
        <v>57</v>
      </c>
      <c r="U502" s="5" t="s">
        <v>86</v>
      </c>
      <c r="V502" s="5" t="s">
        <v>59</v>
      </c>
      <c r="W502" s="5" t="s">
        <v>156</v>
      </c>
      <c r="X502" s="5" t="s">
        <v>670</v>
      </c>
      <c r="Y502" s="5" t="s">
        <v>2419</v>
      </c>
      <c r="Z502" s="9">
        <v>46105</v>
      </c>
      <c r="AA502" s="8">
        <v>12</v>
      </c>
      <c r="AB502" s="9">
        <f t="shared" si="22"/>
        <v>46470</v>
      </c>
      <c r="AC502" s="10">
        <v>14</v>
      </c>
      <c r="AD502" s="7">
        <f t="shared" si="23"/>
        <v>3640</v>
      </c>
      <c r="AE502" s="7">
        <f>IF(F502="Bullet",H502*AD502,MIN(MAX(I502,1),Assumptions!$B$6)*AD502)</f>
        <v>3640</v>
      </c>
      <c r="AF502" s="8">
        <f>IF(F502="Bullet",MAX(0,Assumptions!$B$4-AB502),MAX(0,Assumptions!$B$4-L502))</f>
        <v>9</v>
      </c>
      <c r="AG502" s="9">
        <v>46262</v>
      </c>
      <c r="AH502" s="8">
        <f>IF(AG502="","",Assumptions!$B$4-AG502)</f>
        <v>36</v>
      </c>
      <c r="AI502" s="5" t="s">
        <v>63</v>
      </c>
      <c r="AJ502" s="8">
        <v>4</v>
      </c>
      <c r="AK502" s="8">
        <v>1</v>
      </c>
      <c r="AL502" s="8">
        <v>652</v>
      </c>
      <c r="AM502" s="8">
        <v>0</v>
      </c>
      <c r="AN502" s="5" t="s">
        <v>63</v>
      </c>
      <c r="AO502" s="10">
        <v>58.5</v>
      </c>
      <c r="AP502" s="8">
        <v>44</v>
      </c>
      <c r="AQ502" s="9">
        <v>46274</v>
      </c>
      <c r="AR502" s="5" t="s">
        <v>70</v>
      </c>
      <c r="AS502" s="5" t="s">
        <v>81</v>
      </c>
    </row>
    <row r="503" spans="1:45" x14ac:dyDescent="0.35">
      <c r="A503" s="5" t="s">
        <v>2420</v>
      </c>
      <c r="B503" s="5" t="s">
        <v>2421</v>
      </c>
      <c r="C503" s="6" t="s">
        <v>2422</v>
      </c>
      <c r="D503" s="7">
        <v>53400</v>
      </c>
      <c r="E503" s="5" t="s">
        <v>48</v>
      </c>
      <c r="F503" s="5" t="s">
        <v>68</v>
      </c>
      <c r="G503" s="8">
        <v>4</v>
      </c>
      <c r="H503" s="8">
        <f>IF(F503="Bullet",MIN(G503,Assumptions!$B$6),"")</f>
        <v>2</v>
      </c>
      <c r="I503" s="8"/>
      <c r="J503" s="8" t="str">
        <f>IF(F503="Monthly interest",MAX(0,Assumptions!$B$5-I503),"")</f>
        <v/>
      </c>
      <c r="K503" s="7">
        <f t="shared" si="21"/>
        <v>2672</v>
      </c>
      <c r="L503" s="9">
        <v>46176</v>
      </c>
      <c r="M503" s="5" t="s">
        <v>116</v>
      </c>
      <c r="N503" s="5" t="s">
        <v>117</v>
      </c>
      <c r="O503" s="5" t="s">
        <v>207</v>
      </c>
      <c r="P503" s="5" t="s">
        <v>72</v>
      </c>
      <c r="Q503" s="5" t="s">
        <v>73</v>
      </c>
      <c r="R503" s="5" t="s">
        <v>74</v>
      </c>
      <c r="S503" s="5" t="s">
        <v>75</v>
      </c>
      <c r="T503" s="5" t="s">
        <v>63</v>
      </c>
      <c r="U503" s="5" t="s">
        <v>104</v>
      </c>
      <c r="V503" s="5" t="s">
        <v>76</v>
      </c>
      <c r="W503" s="5" t="s">
        <v>306</v>
      </c>
      <c r="X503" s="5" t="s">
        <v>1983</v>
      </c>
      <c r="Y503" s="5" t="s">
        <v>2423</v>
      </c>
      <c r="Z503" s="9">
        <v>46176</v>
      </c>
      <c r="AA503" s="8">
        <v>6</v>
      </c>
      <c r="AB503" s="9">
        <f t="shared" si="22"/>
        <v>46359</v>
      </c>
      <c r="AC503" s="10">
        <v>15</v>
      </c>
      <c r="AD503" s="7">
        <f t="shared" si="23"/>
        <v>668</v>
      </c>
      <c r="AE503" s="7">
        <f>IF(F503="Bullet",H503*AD503,MIN(MAX(I503,1),Assumptions!$B$6)*AD503)</f>
        <v>1336</v>
      </c>
      <c r="AF503" s="8">
        <f>IF(F503="Bullet",MAX(0,Assumptions!$B$4-AB503),MAX(0,Assumptions!$B$4-L503))</f>
        <v>0</v>
      </c>
      <c r="AG503" s="9"/>
      <c r="AH503" s="8" t="str">
        <f>IF(AG503="","",Assumptions!$B$4-AG503)</f>
        <v/>
      </c>
      <c r="AI503" s="5" t="s">
        <v>80</v>
      </c>
      <c r="AJ503" s="8"/>
      <c r="AK503" s="8">
        <v>1</v>
      </c>
      <c r="AL503" s="8">
        <v>553</v>
      </c>
      <c r="AM503" s="8">
        <v>0</v>
      </c>
      <c r="AN503" s="5" t="s">
        <v>57</v>
      </c>
      <c r="AO503" s="10">
        <v>62.6</v>
      </c>
      <c r="AP503" s="8">
        <v>60</v>
      </c>
      <c r="AQ503" s="9">
        <v>46296</v>
      </c>
      <c r="AR503" s="5" t="s">
        <v>51</v>
      </c>
      <c r="AS503" s="5" t="s">
        <v>64</v>
      </c>
    </row>
    <row r="504" spans="1:45" x14ac:dyDescent="0.35">
      <c r="A504" s="5" t="s">
        <v>2424</v>
      </c>
      <c r="B504" s="5" t="s">
        <v>2425</v>
      </c>
      <c r="C504" s="6" t="s">
        <v>2426</v>
      </c>
      <c r="D504" s="7">
        <v>59900</v>
      </c>
      <c r="E504" s="5" t="s">
        <v>48</v>
      </c>
      <c r="F504" s="5" t="s">
        <v>49</v>
      </c>
      <c r="G504" s="8"/>
      <c r="H504" s="8" t="str">
        <f>IF(F504="Bullet",MIN(G504,Assumptions!$B$6),"")</f>
        <v/>
      </c>
      <c r="I504" s="8">
        <v>1</v>
      </c>
      <c r="J504" s="8">
        <f>IF(F504="Monthly interest",MAX(0,Assumptions!$B$5-I504),"")</f>
        <v>2</v>
      </c>
      <c r="K504" s="7">
        <f t="shared" si="21"/>
        <v>998</v>
      </c>
      <c r="L504" s="9">
        <v>46281</v>
      </c>
      <c r="M504" s="5" t="s">
        <v>69</v>
      </c>
      <c r="N504" s="5" t="s">
        <v>51</v>
      </c>
      <c r="O504" s="5" t="s">
        <v>52</v>
      </c>
      <c r="P504" s="5" t="s">
        <v>53</v>
      </c>
      <c r="Q504" s="5" t="s">
        <v>54</v>
      </c>
      <c r="R504" s="5" t="s">
        <v>55</v>
      </c>
      <c r="S504" s="5" t="s">
        <v>214</v>
      </c>
      <c r="T504" s="5" t="s">
        <v>57</v>
      </c>
      <c r="U504" s="5" t="s">
        <v>86</v>
      </c>
      <c r="V504" s="5" t="s">
        <v>215</v>
      </c>
      <c r="W504" s="5" t="s">
        <v>1057</v>
      </c>
      <c r="X504" s="5" t="s">
        <v>2427</v>
      </c>
      <c r="Y504" s="5" t="s">
        <v>2428</v>
      </c>
      <c r="Z504" s="9">
        <v>46219</v>
      </c>
      <c r="AA504" s="8">
        <v>24</v>
      </c>
      <c r="AB504" s="9">
        <f t="shared" si="22"/>
        <v>46950</v>
      </c>
      <c r="AC504" s="10">
        <v>20</v>
      </c>
      <c r="AD504" s="7">
        <f t="shared" si="23"/>
        <v>998</v>
      </c>
      <c r="AE504" s="7">
        <f>IF(F504="Bullet",H504*AD504,MIN(MAX(I504,1),Assumptions!$B$6)*AD504)</f>
        <v>998</v>
      </c>
      <c r="AF504" s="8">
        <f>IF(F504="Bullet",MAX(0,Assumptions!$B$4-AB504),MAX(0,Assumptions!$B$4-L504))</f>
        <v>17</v>
      </c>
      <c r="AG504" s="9">
        <v>46250</v>
      </c>
      <c r="AH504" s="8">
        <f>IF(AG504="","",Assumptions!$B$4-AG504)</f>
        <v>48</v>
      </c>
      <c r="AI504" s="5" t="s">
        <v>57</v>
      </c>
      <c r="AJ504" s="8">
        <v>1</v>
      </c>
      <c r="AK504" s="8">
        <v>0</v>
      </c>
      <c r="AL504" s="8" t="s">
        <v>80</v>
      </c>
      <c r="AM504" s="8">
        <v>4</v>
      </c>
      <c r="AN504" s="5" t="s">
        <v>63</v>
      </c>
      <c r="AO504" s="10">
        <v>88</v>
      </c>
      <c r="AP504" s="8">
        <v>45</v>
      </c>
      <c r="AQ504" s="9">
        <v>46291</v>
      </c>
      <c r="AR504" s="5" t="s">
        <v>53</v>
      </c>
      <c r="AS504" s="5" t="s">
        <v>181</v>
      </c>
    </row>
    <row r="505" spans="1:45" x14ac:dyDescent="0.35">
      <c r="A505" s="5" t="s">
        <v>2429</v>
      </c>
      <c r="B505" s="5" t="s">
        <v>2430</v>
      </c>
      <c r="C505" s="6" t="s">
        <v>2431</v>
      </c>
      <c r="D505" s="7">
        <v>70600</v>
      </c>
      <c r="E505" s="5" t="s">
        <v>48</v>
      </c>
      <c r="F505" s="5" t="s">
        <v>68</v>
      </c>
      <c r="G505" s="8">
        <v>2</v>
      </c>
      <c r="H505" s="8">
        <f>IF(F505="Bullet",MIN(G505,Assumptions!$B$6),"")</f>
        <v>2</v>
      </c>
      <c r="I505" s="8"/>
      <c r="J505" s="8" t="str">
        <f>IF(F505="Monthly interest",MAX(0,Assumptions!$B$5-I505),"")</f>
        <v/>
      </c>
      <c r="K505" s="7">
        <f t="shared" si="21"/>
        <v>1530</v>
      </c>
      <c r="L505" s="9">
        <v>46218</v>
      </c>
      <c r="M505" s="5" t="s">
        <v>50</v>
      </c>
      <c r="N505" s="5" t="s">
        <v>53</v>
      </c>
      <c r="O505" s="5" t="s">
        <v>95</v>
      </c>
      <c r="P505" s="5" t="s">
        <v>70</v>
      </c>
      <c r="Q505" s="5" t="s">
        <v>73</v>
      </c>
      <c r="R505" s="5" t="s">
        <v>74</v>
      </c>
      <c r="S505" s="5" t="s">
        <v>185</v>
      </c>
      <c r="T505" s="5" t="s">
        <v>63</v>
      </c>
      <c r="U505" s="5" t="s">
        <v>104</v>
      </c>
      <c r="V505" s="5" t="s">
        <v>186</v>
      </c>
      <c r="W505" s="5" t="s">
        <v>694</v>
      </c>
      <c r="X505" s="5" t="s">
        <v>2432</v>
      </c>
      <c r="Y505" s="5" t="s">
        <v>2433</v>
      </c>
      <c r="Z505" s="9">
        <v>46218</v>
      </c>
      <c r="AA505" s="8">
        <v>3</v>
      </c>
      <c r="AB505" s="9">
        <f t="shared" si="22"/>
        <v>46310</v>
      </c>
      <c r="AC505" s="10">
        <v>13</v>
      </c>
      <c r="AD505" s="7">
        <f t="shared" si="23"/>
        <v>765</v>
      </c>
      <c r="AE505" s="7">
        <f>IF(F505="Bullet",H505*AD505,MIN(MAX(I505,1),Assumptions!$B$6)*AD505)</f>
        <v>1530</v>
      </c>
      <c r="AF505" s="8">
        <f>IF(F505="Bullet",MAX(0,Assumptions!$B$4-AB505),MAX(0,Assumptions!$B$4-L505))</f>
        <v>0</v>
      </c>
      <c r="AG505" s="9"/>
      <c r="AH505" s="8" t="str">
        <f>IF(AG505="","",Assumptions!$B$4-AG505)</f>
        <v/>
      </c>
      <c r="AI505" s="5" t="s">
        <v>80</v>
      </c>
      <c r="AJ505" s="8"/>
      <c r="AK505" s="8">
        <v>0</v>
      </c>
      <c r="AL505" s="8">
        <v>788</v>
      </c>
      <c r="AM505" s="8">
        <v>2</v>
      </c>
      <c r="AN505" s="5" t="s">
        <v>63</v>
      </c>
      <c r="AO505" s="10">
        <v>58.3</v>
      </c>
      <c r="AP505" s="8">
        <v>21</v>
      </c>
      <c r="AQ505" s="9">
        <v>46277</v>
      </c>
      <c r="AR505" s="5" t="s">
        <v>70</v>
      </c>
      <c r="AS505" s="5" t="s">
        <v>91</v>
      </c>
    </row>
    <row r="506" spans="1:45" x14ac:dyDescent="0.35">
      <c r="A506" s="5" t="s">
        <v>2434</v>
      </c>
      <c r="B506" s="5" t="s">
        <v>2435</v>
      </c>
      <c r="C506" s="6" t="s">
        <v>2436</v>
      </c>
      <c r="D506" s="7">
        <v>50400</v>
      </c>
      <c r="E506" s="5" t="s">
        <v>48</v>
      </c>
      <c r="F506" s="5" t="s">
        <v>49</v>
      </c>
      <c r="G506" s="8"/>
      <c r="H506" s="8" t="str">
        <f>IF(F506="Bullet",MIN(G506,Assumptions!$B$6),"")</f>
        <v/>
      </c>
      <c r="I506" s="8">
        <v>1</v>
      </c>
      <c r="J506" s="8">
        <f>IF(F506="Monthly interest",MAX(0,Assumptions!$B$5-I506),"")</f>
        <v>2</v>
      </c>
      <c r="K506" s="7">
        <f t="shared" si="21"/>
        <v>630</v>
      </c>
      <c r="L506" s="9">
        <v>46279</v>
      </c>
      <c r="M506" s="5" t="s">
        <v>69</v>
      </c>
      <c r="N506" s="5" t="s">
        <v>53</v>
      </c>
      <c r="O506" s="5" t="s">
        <v>132</v>
      </c>
      <c r="P506" s="5" t="s">
        <v>70</v>
      </c>
      <c r="Q506" s="5" t="s">
        <v>54</v>
      </c>
      <c r="R506" s="5" t="s">
        <v>55</v>
      </c>
      <c r="S506" s="5" t="s">
        <v>253</v>
      </c>
      <c r="T506" s="5" t="s">
        <v>57</v>
      </c>
      <c r="U506" s="5" t="s">
        <v>86</v>
      </c>
      <c r="V506" s="5" t="s">
        <v>186</v>
      </c>
      <c r="W506" s="5" t="s">
        <v>376</v>
      </c>
      <c r="X506" s="5" t="s">
        <v>1270</v>
      </c>
      <c r="Y506" s="5" t="s">
        <v>2437</v>
      </c>
      <c r="Z506" s="9">
        <v>46187</v>
      </c>
      <c r="AA506" s="8">
        <v>12</v>
      </c>
      <c r="AB506" s="9">
        <f t="shared" si="22"/>
        <v>46552</v>
      </c>
      <c r="AC506" s="10">
        <v>15</v>
      </c>
      <c r="AD506" s="7">
        <f t="shared" si="23"/>
        <v>630</v>
      </c>
      <c r="AE506" s="7">
        <f>IF(F506="Bullet",H506*AD506,MIN(MAX(I506,1),Assumptions!$B$6)*AD506)</f>
        <v>630</v>
      </c>
      <c r="AF506" s="8">
        <f>IF(F506="Bullet",MAX(0,Assumptions!$B$4-AB506),MAX(0,Assumptions!$B$4-L506))</f>
        <v>19</v>
      </c>
      <c r="AG506" s="9">
        <v>46249</v>
      </c>
      <c r="AH506" s="8">
        <f>IF(AG506="","",Assumptions!$B$4-AG506)</f>
        <v>49</v>
      </c>
      <c r="AI506" s="5" t="s">
        <v>63</v>
      </c>
      <c r="AJ506" s="8">
        <v>1</v>
      </c>
      <c r="AK506" s="8">
        <v>0</v>
      </c>
      <c r="AL506" s="8">
        <v>697</v>
      </c>
      <c r="AM506" s="8">
        <v>4</v>
      </c>
      <c r="AN506" s="5" t="s">
        <v>63</v>
      </c>
      <c r="AO506" s="10">
        <v>76.3</v>
      </c>
      <c r="AP506" s="8">
        <v>32</v>
      </c>
      <c r="AQ506" s="9">
        <v>46275</v>
      </c>
      <c r="AR506" s="5" t="s">
        <v>51</v>
      </c>
      <c r="AS506" s="5" t="s">
        <v>91</v>
      </c>
    </row>
    <row r="507" spans="1:45" x14ac:dyDescent="0.35">
      <c r="A507" s="5" t="s">
        <v>2438</v>
      </c>
      <c r="B507" s="5" t="s">
        <v>598</v>
      </c>
      <c r="C507" s="6" t="s">
        <v>2439</v>
      </c>
      <c r="D507" s="7">
        <v>44800</v>
      </c>
      <c r="E507" s="5" t="s">
        <v>48</v>
      </c>
      <c r="F507" s="5" t="s">
        <v>68</v>
      </c>
      <c r="G507" s="8">
        <v>2</v>
      </c>
      <c r="H507" s="8">
        <f>IF(F507="Bullet",MIN(G507,Assumptions!$B$6),"")</f>
        <v>2</v>
      </c>
      <c r="I507" s="8"/>
      <c r="J507" s="8" t="str">
        <f>IF(F507="Monthly interest",MAX(0,Assumptions!$B$5-I507),"")</f>
        <v/>
      </c>
      <c r="K507" s="7">
        <f t="shared" si="21"/>
        <v>1194</v>
      </c>
      <c r="L507" s="9">
        <v>46234</v>
      </c>
      <c r="M507" s="5" t="s">
        <v>50</v>
      </c>
      <c r="N507" s="5" t="s">
        <v>53</v>
      </c>
      <c r="O507" s="5" t="s">
        <v>152</v>
      </c>
      <c r="P507" s="5" t="s">
        <v>153</v>
      </c>
      <c r="Q507" s="5" t="s">
        <v>154</v>
      </c>
      <c r="R507" s="5" t="s">
        <v>155</v>
      </c>
      <c r="S507" s="5" t="s">
        <v>214</v>
      </c>
      <c r="T507" s="5" t="s">
        <v>57</v>
      </c>
      <c r="U507" s="5" t="s">
        <v>104</v>
      </c>
      <c r="V507" s="5" t="s">
        <v>215</v>
      </c>
      <c r="W507" s="5" t="s">
        <v>232</v>
      </c>
      <c r="X507" s="5" t="s">
        <v>542</v>
      </c>
      <c r="Y507" s="5" t="s">
        <v>2440</v>
      </c>
      <c r="Z507" s="9">
        <v>46234</v>
      </c>
      <c r="AA507" s="8">
        <v>12</v>
      </c>
      <c r="AB507" s="9">
        <f t="shared" si="22"/>
        <v>46599</v>
      </c>
      <c r="AC507" s="10">
        <v>16</v>
      </c>
      <c r="AD507" s="7">
        <f t="shared" si="23"/>
        <v>597</v>
      </c>
      <c r="AE507" s="7">
        <f>IF(F507="Bullet",H507*AD507,MIN(MAX(I507,1),Assumptions!$B$6)*AD507)</f>
        <v>1194</v>
      </c>
      <c r="AF507" s="8">
        <f>IF(F507="Bullet",MAX(0,Assumptions!$B$4-AB507),MAX(0,Assumptions!$B$4-L507))</f>
        <v>0</v>
      </c>
      <c r="AG507" s="9"/>
      <c r="AH507" s="8" t="str">
        <f>IF(AG507="","",Assumptions!$B$4-AG507)</f>
        <v/>
      </c>
      <c r="AI507" s="5" t="s">
        <v>80</v>
      </c>
      <c r="AJ507" s="8"/>
      <c r="AK507" s="8">
        <v>2</v>
      </c>
      <c r="AL507" s="8">
        <v>661</v>
      </c>
      <c r="AM507" s="8">
        <v>0</v>
      </c>
      <c r="AN507" s="5" t="s">
        <v>63</v>
      </c>
      <c r="AO507" s="10">
        <v>70.2</v>
      </c>
      <c r="AP507" s="8">
        <v>28</v>
      </c>
      <c r="AQ507" s="9">
        <v>46290</v>
      </c>
      <c r="AR507" s="5" t="s">
        <v>53</v>
      </c>
      <c r="AS507" s="5" t="s">
        <v>64</v>
      </c>
    </row>
    <row r="508" spans="1:45" x14ac:dyDescent="0.35">
      <c r="A508" s="5" t="s">
        <v>2441</v>
      </c>
      <c r="B508" s="5" t="s">
        <v>2442</v>
      </c>
      <c r="C508" s="6" t="s">
        <v>2443</v>
      </c>
      <c r="D508" s="7">
        <v>588100</v>
      </c>
      <c r="E508" s="5" t="s">
        <v>48</v>
      </c>
      <c r="F508" s="5" t="s">
        <v>49</v>
      </c>
      <c r="G508" s="8"/>
      <c r="H508" s="8" t="str">
        <f>IF(F508="Bullet",MIN(G508,Assumptions!$B$6),"")</f>
        <v/>
      </c>
      <c r="I508" s="8">
        <v>2</v>
      </c>
      <c r="J508" s="8">
        <f>IF(F508="Monthly interest",MAX(0,Assumptions!$B$5-I508),"")</f>
        <v>1</v>
      </c>
      <c r="K508" s="7">
        <f t="shared" si="21"/>
        <v>23524</v>
      </c>
      <c r="L508" s="9">
        <v>46251</v>
      </c>
      <c r="M508" s="5" t="s">
        <v>116</v>
      </c>
      <c r="N508" s="5" t="s">
        <v>117</v>
      </c>
      <c r="O508" s="5" t="s">
        <v>118</v>
      </c>
      <c r="P508" s="5" t="s">
        <v>72</v>
      </c>
      <c r="Q508" s="5" t="s">
        <v>119</v>
      </c>
      <c r="R508" s="5" t="s">
        <v>120</v>
      </c>
      <c r="S508" s="5" t="s">
        <v>85</v>
      </c>
      <c r="T508" s="5" t="s">
        <v>57</v>
      </c>
      <c r="U508" s="5" t="s">
        <v>86</v>
      </c>
      <c r="V508" s="5" t="s">
        <v>553</v>
      </c>
      <c r="W508" s="5" t="s">
        <v>554</v>
      </c>
      <c r="X508" s="5" t="s">
        <v>1356</v>
      </c>
      <c r="Y508" s="5" t="s">
        <v>2444</v>
      </c>
      <c r="Z508" s="9">
        <v>46159</v>
      </c>
      <c r="AA508" s="8">
        <v>12</v>
      </c>
      <c r="AB508" s="9">
        <f t="shared" si="22"/>
        <v>46524</v>
      </c>
      <c r="AC508" s="10">
        <v>24</v>
      </c>
      <c r="AD508" s="7">
        <f t="shared" si="23"/>
        <v>11762</v>
      </c>
      <c r="AE508" s="7">
        <f>IF(F508="Bullet",H508*AD508,MIN(MAX(I508,1),Assumptions!$B$6)*AD508)</f>
        <v>23524</v>
      </c>
      <c r="AF508" s="8">
        <f>IF(F508="Bullet",MAX(0,Assumptions!$B$4-AB508),MAX(0,Assumptions!$B$4-L508))</f>
        <v>47</v>
      </c>
      <c r="AG508" s="9">
        <v>46224</v>
      </c>
      <c r="AH508" s="8">
        <f>IF(AG508="","",Assumptions!$B$4-AG508)</f>
        <v>74</v>
      </c>
      <c r="AI508" s="5" t="s">
        <v>57</v>
      </c>
      <c r="AJ508" s="8">
        <v>3</v>
      </c>
      <c r="AK508" s="8">
        <v>0</v>
      </c>
      <c r="AL508" s="8">
        <v>655</v>
      </c>
      <c r="AM508" s="8">
        <v>1</v>
      </c>
      <c r="AN508" s="5" t="s">
        <v>63</v>
      </c>
      <c r="AO508" s="10">
        <v>68.3</v>
      </c>
      <c r="AP508" s="8">
        <v>52</v>
      </c>
      <c r="AQ508" s="9">
        <v>46286</v>
      </c>
      <c r="AR508" s="5" t="s">
        <v>53</v>
      </c>
      <c r="AS508" s="5" t="s">
        <v>81</v>
      </c>
    </row>
    <row r="509" spans="1:45" x14ac:dyDescent="0.35">
      <c r="A509" s="5" t="s">
        <v>2445</v>
      </c>
      <c r="B509" s="5" t="s">
        <v>583</v>
      </c>
      <c r="C509" s="6" t="s">
        <v>2446</v>
      </c>
      <c r="D509" s="7">
        <v>72600</v>
      </c>
      <c r="E509" s="5" t="s">
        <v>48</v>
      </c>
      <c r="F509" s="5" t="s">
        <v>49</v>
      </c>
      <c r="G509" s="8"/>
      <c r="H509" s="8" t="str">
        <f>IF(F509="Bullet",MIN(G509,Assumptions!$B$6),"")</f>
        <v/>
      </c>
      <c r="I509" s="8">
        <v>1</v>
      </c>
      <c r="J509" s="8">
        <f>IF(F509="Monthly interest",MAX(0,Assumptions!$B$5-I509),"")</f>
        <v>2</v>
      </c>
      <c r="K509" s="7">
        <f t="shared" si="21"/>
        <v>1331</v>
      </c>
      <c r="L509" s="9">
        <v>46293</v>
      </c>
      <c r="M509" s="5" t="s">
        <v>50</v>
      </c>
      <c r="N509" s="5" t="s">
        <v>53</v>
      </c>
      <c r="O509" s="5" t="s">
        <v>103</v>
      </c>
      <c r="P509" s="5" t="s">
        <v>70</v>
      </c>
      <c r="Q509" s="5" t="s">
        <v>54</v>
      </c>
      <c r="R509" s="5" t="s">
        <v>55</v>
      </c>
      <c r="S509" s="5" t="s">
        <v>75</v>
      </c>
      <c r="T509" s="5" t="s">
        <v>63</v>
      </c>
      <c r="U509" s="5" t="s">
        <v>58</v>
      </c>
      <c r="V509" s="5" t="s">
        <v>76</v>
      </c>
      <c r="W509" s="5" t="s">
        <v>105</v>
      </c>
      <c r="X509" s="5" t="s">
        <v>762</v>
      </c>
      <c r="Y509" s="5" t="s">
        <v>2447</v>
      </c>
      <c r="Z509" s="9">
        <v>46019</v>
      </c>
      <c r="AA509" s="8">
        <v>24</v>
      </c>
      <c r="AB509" s="9">
        <f t="shared" si="22"/>
        <v>46749</v>
      </c>
      <c r="AC509" s="10">
        <v>22</v>
      </c>
      <c r="AD509" s="7">
        <f t="shared" si="23"/>
        <v>1331</v>
      </c>
      <c r="AE509" s="7">
        <f>IF(F509="Bullet",H509*AD509,MIN(MAX(I509,1),Assumptions!$B$6)*AD509)</f>
        <v>1331</v>
      </c>
      <c r="AF509" s="8">
        <f>IF(F509="Bullet",MAX(0,Assumptions!$B$4-AB509),MAX(0,Assumptions!$B$4-L509))</f>
        <v>5</v>
      </c>
      <c r="AG509" s="9">
        <v>46264</v>
      </c>
      <c r="AH509" s="8">
        <f>IF(AG509="","",Assumptions!$B$4-AG509)</f>
        <v>34</v>
      </c>
      <c r="AI509" s="5" t="s">
        <v>57</v>
      </c>
      <c r="AJ509" s="8">
        <v>2</v>
      </c>
      <c r="AK509" s="8">
        <v>1</v>
      </c>
      <c r="AL509" s="8">
        <v>725</v>
      </c>
      <c r="AM509" s="8">
        <v>1</v>
      </c>
      <c r="AN509" s="5" t="s">
        <v>63</v>
      </c>
      <c r="AO509" s="10">
        <v>70</v>
      </c>
      <c r="AP509" s="8">
        <v>28</v>
      </c>
      <c r="AQ509" s="9">
        <v>46289</v>
      </c>
      <c r="AR509" s="5" t="s">
        <v>51</v>
      </c>
      <c r="AS509" s="5" t="s">
        <v>81</v>
      </c>
    </row>
    <row r="510" spans="1:45" x14ac:dyDescent="0.35">
      <c r="A510" s="5" t="s">
        <v>2448</v>
      </c>
      <c r="B510" s="5" t="s">
        <v>2449</v>
      </c>
      <c r="C510" s="6" t="s">
        <v>2450</v>
      </c>
      <c r="D510" s="7">
        <v>119100</v>
      </c>
      <c r="E510" s="5" t="s">
        <v>48</v>
      </c>
      <c r="F510" s="5" t="s">
        <v>68</v>
      </c>
      <c r="G510" s="8">
        <v>6</v>
      </c>
      <c r="H510" s="8">
        <f>IF(F510="Bullet",MIN(G510,Assumptions!$B$6),"")</f>
        <v>2</v>
      </c>
      <c r="I510" s="8"/>
      <c r="J510" s="8" t="str">
        <f>IF(F510="Monthly interest",MAX(0,Assumptions!$B$5-I510),"")</f>
        <v/>
      </c>
      <c r="K510" s="7">
        <f t="shared" si="21"/>
        <v>8340</v>
      </c>
      <c r="L510" s="9">
        <v>46100</v>
      </c>
      <c r="M510" s="5" t="s">
        <v>116</v>
      </c>
      <c r="N510" s="5" t="s">
        <v>117</v>
      </c>
      <c r="O510" s="5" t="s">
        <v>461</v>
      </c>
      <c r="P510" s="5" t="s">
        <v>72</v>
      </c>
      <c r="Q510" s="5" t="s">
        <v>169</v>
      </c>
      <c r="R510" s="5" t="s">
        <v>170</v>
      </c>
      <c r="S510" s="5" t="s">
        <v>85</v>
      </c>
      <c r="T510" s="5" t="s">
        <v>57</v>
      </c>
      <c r="U510" s="5" t="s">
        <v>86</v>
      </c>
      <c r="V510" s="5" t="s">
        <v>133</v>
      </c>
      <c r="W510" s="5" t="s">
        <v>134</v>
      </c>
      <c r="X510" s="5" t="s">
        <v>782</v>
      </c>
      <c r="Y510" s="5" t="s">
        <v>2451</v>
      </c>
      <c r="Z510" s="9">
        <v>46100</v>
      </c>
      <c r="AA510" s="8">
        <v>6</v>
      </c>
      <c r="AB510" s="9">
        <f t="shared" si="22"/>
        <v>46284</v>
      </c>
      <c r="AC510" s="10">
        <v>14</v>
      </c>
      <c r="AD510" s="7">
        <f t="shared" si="23"/>
        <v>1390</v>
      </c>
      <c r="AE510" s="7">
        <f>IF(F510="Bullet",H510*AD510,MIN(MAX(I510,1),Assumptions!$B$6)*AD510)</f>
        <v>2780</v>
      </c>
      <c r="AF510" s="8">
        <f>IF(F510="Bullet",MAX(0,Assumptions!$B$4-AB510),MAX(0,Assumptions!$B$4-L510))</f>
        <v>14</v>
      </c>
      <c r="AG510" s="9"/>
      <c r="AH510" s="8" t="str">
        <f>IF(AG510="","",Assumptions!$B$4-AG510)</f>
        <v/>
      </c>
      <c r="AI510" s="5" t="s">
        <v>80</v>
      </c>
      <c r="AJ510" s="8"/>
      <c r="AK510" s="8">
        <v>3</v>
      </c>
      <c r="AL510" s="8">
        <v>688</v>
      </c>
      <c r="AM510" s="8">
        <v>5</v>
      </c>
      <c r="AN510" s="5" t="s">
        <v>63</v>
      </c>
      <c r="AO510" s="10">
        <v>80.900000000000006</v>
      </c>
      <c r="AP510" s="8">
        <v>83</v>
      </c>
      <c r="AQ510" s="9">
        <v>46286</v>
      </c>
      <c r="AR510" s="5" t="s">
        <v>53</v>
      </c>
      <c r="AS510" s="5" t="s">
        <v>81</v>
      </c>
    </row>
    <row r="511" spans="1:45" x14ac:dyDescent="0.35">
      <c r="A511" s="5" t="s">
        <v>2452</v>
      </c>
      <c r="B511" s="5" t="s">
        <v>894</v>
      </c>
      <c r="C511" s="6" t="s">
        <v>2453</v>
      </c>
      <c r="D511" s="7">
        <v>40700</v>
      </c>
      <c r="E511" s="5" t="s">
        <v>48</v>
      </c>
      <c r="F511" s="5" t="s">
        <v>49</v>
      </c>
      <c r="G511" s="8"/>
      <c r="H511" s="8" t="str">
        <f>IF(F511="Bullet",MIN(G511,Assumptions!$B$6),"")</f>
        <v/>
      </c>
      <c r="I511" s="8">
        <v>2</v>
      </c>
      <c r="J511" s="8">
        <f>IF(F511="Monthly interest",MAX(0,Assumptions!$B$5-I511),"")</f>
        <v>1</v>
      </c>
      <c r="K511" s="7">
        <f t="shared" si="21"/>
        <v>1018</v>
      </c>
      <c r="L511" s="9">
        <v>46251</v>
      </c>
      <c r="M511" s="5" t="s">
        <v>116</v>
      </c>
      <c r="N511" s="5" t="s">
        <v>117</v>
      </c>
      <c r="O511" s="5" t="s">
        <v>450</v>
      </c>
      <c r="P511" s="5" t="s">
        <v>72</v>
      </c>
      <c r="Q511" s="5" t="s">
        <v>154</v>
      </c>
      <c r="R511" s="5" t="s">
        <v>155</v>
      </c>
      <c r="S511" s="5" t="s">
        <v>75</v>
      </c>
      <c r="T511" s="5" t="s">
        <v>57</v>
      </c>
      <c r="U511" s="5" t="s">
        <v>58</v>
      </c>
      <c r="V511" s="5" t="s">
        <v>76</v>
      </c>
      <c r="W511" s="5" t="s">
        <v>382</v>
      </c>
      <c r="X511" s="5" t="s">
        <v>2454</v>
      </c>
      <c r="Y511" s="5" t="s">
        <v>2455</v>
      </c>
      <c r="Z511" s="9">
        <v>46039</v>
      </c>
      <c r="AA511" s="8">
        <v>18</v>
      </c>
      <c r="AB511" s="9">
        <f t="shared" si="22"/>
        <v>46585</v>
      </c>
      <c r="AC511" s="10">
        <v>15</v>
      </c>
      <c r="AD511" s="7">
        <f t="shared" si="23"/>
        <v>509</v>
      </c>
      <c r="AE511" s="7">
        <f>IF(F511="Bullet",H511*AD511,MIN(MAX(I511,1),Assumptions!$B$6)*AD511)</f>
        <v>1018</v>
      </c>
      <c r="AF511" s="8">
        <f>IF(F511="Bullet",MAX(0,Assumptions!$B$4-AB511),MAX(0,Assumptions!$B$4-L511))</f>
        <v>47</v>
      </c>
      <c r="AG511" s="9">
        <v>46222</v>
      </c>
      <c r="AH511" s="8">
        <f>IF(AG511="","",Assumptions!$B$4-AG511)</f>
        <v>76</v>
      </c>
      <c r="AI511" s="5" t="s">
        <v>63</v>
      </c>
      <c r="AJ511" s="8">
        <v>2</v>
      </c>
      <c r="AK511" s="8">
        <v>0</v>
      </c>
      <c r="AL511" s="8">
        <v>562</v>
      </c>
      <c r="AM511" s="8">
        <v>1</v>
      </c>
      <c r="AN511" s="5" t="s">
        <v>63</v>
      </c>
      <c r="AO511" s="10">
        <v>66.8</v>
      </c>
      <c r="AP511" s="8">
        <v>61</v>
      </c>
      <c r="AQ511" s="9">
        <v>46276</v>
      </c>
      <c r="AR511" s="5" t="s">
        <v>70</v>
      </c>
      <c r="AS511" s="5" t="s">
        <v>81</v>
      </c>
    </row>
    <row r="512" spans="1:45" x14ac:dyDescent="0.35">
      <c r="A512" s="5" t="s">
        <v>2456</v>
      </c>
      <c r="B512" s="5" t="s">
        <v>2186</v>
      </c>
      <c r="C512" s="6" t="s">
        <v>2457</v>
      </c>
      <c r="D512" s="7">
        <v>326700</v>
      </c>
      <c r="E512" s="5" t="s">
        <v>48</v>
      </c>
      <c r="F512" s="5" t="s">
        <v>68</v>
      </c>
      <c r="G512" s="8">
        <v>2</v>
      </c>
      <c r="H512" s="8">
        <f>IF(F512="Bullet",MIN(G512,Assumptions!$B$6),"")</f>
        <v>2</v>
      </c>
      <c r="I512" s="8"/>
      <c r="J512" s="8" t="str">
        <f>IF(F512="Monthly interest",MAX(0,Assumptions!$B$5-I512),"")</f>
        <v/>
      </c>
      <c r="K512" s="7">
        <f t="shared" si="21"/>
        <v>7078</v>
      </c>
      <c r="L512" s="9">
        <v>46230</v>
      </c>
      <c r="M512" s="5" t="s">
        <v>50</v>
      </c>
      <c r="N512" s="5" t="s">
        <v>51</v>
      </c>
      <c r="O512" s="5" t="s">
        <v>71</v>
      </c>
      <c r="P512" s="5" t="s">
        <v>53</v>
      </c>
      <c r="Q512" s="5" t="s">
        <v>73</v>
      </c>
      <c r="R512" s="5" t="s">
        <v>74</v>
      </c>
      <c r="S512" s="5" t="s">
        <v>75</v>
      </c>
      <c r="T512" s="5" t="s">
        <v>57</v>
      </c>
      <c r="U512" s="5" t="s">
        <v>86</v>
      </c>
      <c r="V512" s="5" t="s">
        <v>76</v>
      </c>
      <c r="W512" s="5" t="s">
        <v>140</v>
      </c>
      <c r="X512" s="5" t="s">
        <v>141</v>
      </c>
      <c r="Y512" s="5" t="s">
        <v>2458</v>
      </c>
      <c r="Z512" s="9">
        <v>46230</v>
      </c>
      <c r="AA512" s="8">
        <v>12</v>
      </c>
      <c r="AB512" s="9">
        <f t="shared" si="22"/>
        <v>46595</v>
      </c>
      <c r="AC512" s="10">
        <v>13</v>
      </c>
      <c r="AD512" s="7">
        <f t="shared" si="23"/>
        <v>3539</v>
      </c>
      <c r="AE512" s="7">
        <f>IF(F512="Bullet",H512*AD512,MIN(MAX(I512,1),Assumptions!$B$6)*AD512)</f>
        <v>7078</v>
      </c>
      <c r="AF512" s="8">
        <f>IF(F512="Bullet",MAX(0,Assumptions!$B$4-AB512),MAX(0,Assumptions!$B$4-L512))</f>
        <v>0</v>
      </c>
      <c r="AG512" s="9"/>
      <c r="AH512" s="8" t="str">
        <f>IF(AG512="","",Assumptions!$B$4-AG512)</f>
        <v/>
      </c>
      <c r="AI512" s="5" t="s">
        <v>80</v>
      </c>
      <c r="AJ512" s="8"/>
      <c r="AK512" s="8">
        <v>0</v>
      </c>
      <c r="AL512" s="8">
        <v>695</v>
      </c>
      <c r="AM512" s="8">
        <v>1</v>
      </c>
      <c r="AN512" s="5" t="s">
        <v>63</v>
      </c>
      <c r="AO512" s="10">
        <v>71.400000000000006</v>
      </c>
      <c r="AP512" s="8">
        <v>21</v>
      </c>
      <c r="AQ512" s="9">
        <v>46279</v>
      </c>
      <c r="AR512" s="5" t="s">
        <v>70</v>
      </c>
      <c r="AS512" s="5" t="s">
        <v>190</v>
      </c>
    </row>
    <row r="513" spans="1:45" x14ac:dyDescent="0.35">
      <c r="A513" s="5" t="s">
        <v>2459</v>
      </c>
      <c r="B513" s="5" t="s">
        <v>2460</v>
      </c>
      <c r="C513" s="6" t="s">
        <v>2461</v>
      </c>
      <c r="D513" s="7">
        <v>146600</v>
      </c>
      <c r="E513" s="5" t="s">
        <v>48</v>
      </c>
      <c r="F513" s="5" t="s">
        <v>49</v>
      </c>
      <c r="G513" s="8"/>
      <c r="H513" s="8" t="str">
        <f>IF(F513="Bullet",MIN(G513,Assumptions!$B$6),"")</f>
        <v/>
      </c>
      <c r="I513" s="8">
        <v>1</v>
      </c>
      <c r="J513" s="8">
        <f>IF(F513="Monthly interest",MAX(0,Assumptions!$B$5-I513),"")</f>
        <v>2</v>
      </c>
      <c r="K513" s="7">
        <f t="shared" si="21"/>
        <v>1955</v>
      </c>
      <c r="L513" s="9">
        <v>46287</v>
      </c>
      <c r="M513" s="5" t="s">
        <v>69</v>
      </c>
      <c r="N513" s="5" t="s">
        <v>53</v>
      </c>
      <c r="O513" s="5" t="s">
        <v>103</v>
      </c>
      <c r="P513" s="5" t="s">
        <v>70</v>
      </c>
      <c r="Q513" s="5" t="s">
        <v>54</v>
      </c>
      <c r="R513" s="5" t="s">
        <v>55</v>
      </c>
      <c r="S513" s="5" t="s">
        <v>75</v>
      </c>
      <c r="T513" s="5" t="s">
        <v>57</v>
      </c>
      <c r="U513" s="5" t="s">
        <v>86</v>
      </c>
      <c r="V513" s="5" t="s">
        <v>76</v>
      </c>
      <c r="W513" s="5" t="s">
        <v>105</v>
      </c>
      <c r="X513" s="5" t="s">
        <v>585</v>
      </c>
      <c r="Y513" s="5" t="s">
        <v>2462</v>
      </c>
      <c r="Z513" s="9">
        <v>46225</v>
      </c>
      <c r="AA513" s="8">
        <v>12</v>
      </c>
      <c r="AB513" s="9">
        <f t="shared" si="22"/>
        <v>46590</v>
      </c>
      <c r="AC513" s="10">
        <v>16</v>
      </c>
      <c r="AD513" s="7">
        <f t="shared" si="23"/>
        <v>1955</v>
      </c>
      <c r="AE513" s="7">
        <f>IF(F513="Bullet",H513*AD513,MIN(MAX(I513,1),Assumptions!$B$6)*AD513)</f>
        <v>1955</v>
      </c>
      <c r="AF513" s="8">
        <f>IF(F513="Bullet",MAX(0,Assumptions!$B$4-AB513),MAX(0,Assumptions!$B$4-L513))</f>
        <v>11</v>
      </c>
      <c r="AG513" s="9">
        <v>46258</v>
      </c>
      <c r="AH513" s="8">
        <f>IF(AG513="","",Assumptions!$B$4-AG513)</f>
        <v>40</v>
      </c>
      <c r="AI513" s="5" t="s">
        <v>63</v>
      </c>
      <c r="AJ513" s="8">
        <v>2</v>
      </c>
      <c r="AK513" s="8">
        <v>1</v>
      </c>
      <c r="AL513" s="8">
        <v>707</v>
      </c>
      <c r="AM513" s="8">
        <v>0</v>
      </c>
      <c r="AN513" s="5" t="s">
        <v>63</v>
      </c>
      <c r="AO513" s="10">
        <v>76.2</v>
      </c>
      <c r="AP513" s="8">
        <v>33</v>
      </c>
      <c r="AQ513" s="9">
        <v>46294</v>
      </c>
      <c r="AR513" s="5" t="s">
        <v>51</v>
      </c>
      <c r="AS513" s="5" t="s">
        <v>81</v>
      </c>
    </row>
    <row r="514" spans="1:45" x14ac:dyDescent="0.35">
      <c r="A514" s="5" t="s">
        <v>2463</v>
      </c>
      <c r="B514" s="5" t="s">
        <v>2464</v>
      </c>
      <c r="C514" s="6" t="s">
        <v>2465</v>
      </c>
      <c r="D514" s="7">
        <v>62800</v>
      </c>
      <c r="E514" s="5" t="s">
        <v>48</v>
      </c>
      <c r="F514" s="5" t="s">
        <v>49</v>
      </c>
      <c r="G514" s="8"/>
      <c r="H514" s="8" t="str">
        <f>IF(F514="Bullet",MIN(G514,Assumptions!$B$6),"")</f>
        <v/>
      </c>
      <c r="I514" s="8">
        <v>2</v>
      </c>
      <c r="J514" s="8">
        <f>IF(F514="Monthly interest",MAX(0,Assumptions!$B$5-I514),"")</f>
        <v>1</v>
      </c>
      <c r="K514" s="7">
        <f t="shared" ref="K514:K577" si="24">IF(F514="Bullet",G514*AD514,MAX(I514,1)*AD514)</f>
        <v>1884</v>
      </c>
      <c r="L514" s="9">
        <v>46239</v>
      </c>
      <c r="M514" s="5" t="s">
        <v>116</v>
      </c>
      <c r="N514" s="5" t="s">
        <v>117</v>
      </c>
      <c r="O514" s="5" t="s">
        <v>118</v>
      </c>
      <c r="P514" s="5" t="s">
        <v>72</v>
      </c>
      <c r="Q514" s="5" t="s">
        <v>119</v>
      </c>
      <c r="R514" s="5" t="s">
        <v>120</v>
      </c>
      <c r="S514" s="5" t="s">
        <v>185</v>
      </c>
      <c r="T514" s="5" t="s">
        <v>57</v>
      </c>
      <c r="U514" s="5" t="s">
        <v>104</v>
      </c>
      <c r="V514" s="5" t="s">
        <v>186</v>
      </c>
      <c r="W514" s="5" t="s">
        <v>329</v>
      </c>
      <c r="X514" s="5" t="s">
        <v>2466</v>
      </c>
      <c r="Y514" s="5" t="s">
        <v>2467</v>
      </c>
      <c r="Z514" s="9">
        <v>46117</v>
      </c>
      <c r="AA514" s="8">
        <v>24</v>
      </c>
      <c r="AB514" s="9">
        <f t="shared" ref="AB514:AB577" si="25">EDATE(Z514,AA514)</f>
        <v>46848</v>
      </c>
      <c r="AC514" s="10">
        <v>18</v>
      </c>
      <c r="AD514" s="7">
        <f t="shared" ref="AD514:AD577" si="26">ROUND(D514*AC514/100/12,0)</f>
        <v>942</v>
      </c>
      <c r="AE514" s="7">
        <f>IF(F514="Bullet",H514*AD514,MIN(MAX(I514,1),Assumptions!$B$6)*AD514)</f>
        <v>1884</v>
      </c>
      <c r="AF514" s="8">
        <f>IF(F514="Bullet",MAX(0,Assumptions!$B$4-AB514),MAX(0,Assumptions!$B$4-L514))</f>
        <v>59</v>
      </c>
      <c r="AG514" s="9">
        <v>46212</v>
      </c>
      <c r="AH514" s="8">
        <f>IF(AG514="","",Assumptions!$B$4-AG514)</f>
        <v>86</v>
      </c>
      <c r="AI514" s="5" t="s">
        <v>63</v>
      </c>
      <c r="AJ514" s="8">
        <v>2</v>
      </c>
      <c r="AK514" s="8">
        <v>0</v>
      </c>
      <c r="AL514" s="8">
        <v>560</v>
      </c>
      <c r="AM514" s="8">
        <v>0</v>
      </c>
      <c r="AN514" s="5" t="s">
        <v>57</v>
      </c>
      <c r="AO514" s="10">
        <v>77.599999999999994</v>
      </c>
      <c r="AP514" s="8">
        <v>76</v>
      </c>
      <c r="AQ514" s="9">
        <v>46282</v>
      </c>
      <c r="AR514" s="5" t="s">
        <v>51</v>
      </c>
      <c r="AS514" s="5" t="s">
        <v>81</v>
      </c>
    </row>
    <row r="515" spans="1:45" x14ac:dyDescent="0.35">
      <c r="A515" s="5" t="s">
        <v>2468</v>
      </c>
      <c r="B515" s="5" t="s">
        <v>2469</v>
      </c>
      <c r="C515" s="6" t="s">
        <v>2470</v>
      </c>
      <c r="D515" s="7">
        <v>75800</v>
      </c>
      <c r="E515" s="5" t="s">
        <v>48</v>
      </c>
      <c r="F515" s="5" t="s">
        <v>49</v>
      </c>
      <c r="G515" s="8"/>
      <c r="H515" s="8" t="str">
        <f>IF(F515="Bullet",MIN(G515,Assumptions!$B$6),"")</f>
        <v/>
      </c>
      <c r="I515" s="8">
        <v>1</v>
      </c>
      <c r="J515" s="8">
        <f>IF(F515="Monthly interest",MAX(0,Assumptions!$B$5-I515),"")</f>
        <v>2</v>
      </c>
      <c r="K515" s="7">
        <f t="shared" si="24"/>
        <v>1263</v>
      </c>
      <c r="L515" s="9">
        <v>46292</v>
      </c>
      <c r="M515" s="5" t="s">
        <v>50</v>
      </c>
      <c r="N515" s="5" t="s">
        <v>51</v>
      </c>
      <c r="O515" s="5" t="s">
        <v>52</v>
      </c>
      <c r="P515" s="5" t="s">
        <v>53</v>
      </c>
      <c r="Q515" s="5" t="s">
        <v>54</v>
      </c>
      <c r="R515" s="5" t="s">
        <v>55</v>
      </c>
      <c r="S515" s="5" t="s">
        <v>56</v>
      </c>
      <c r="T515" s="5" t="s">
        <v>57</v>
      </c>
      <c r="U515" s="5" t="s">
        <v>86</v>
      </c>
      <c r="V515" s="5" t="s">
        <v>59</v>
      </c>
      <c r="W515" s="5" t="s">
        <v>323</v>
      </c>
      <c r="X515" s="5" t="s">
        <v>2471</v>
      </c>
      <c r="Y515" s="5" t="s">
        <v>2472</v>
      </c>
      <c r="Z515" s="9">
        <v>46108</v>
      </c>
      <c r="AA515" s="8">
        <v>18</v>
      </c>
      <c r="AB515" s="9">
        <f t="shared" si="25"/>
        <v>46657</v>
      </c>
      <c r="AC515" s="10">
        <v>20</v>
      </c>
      <c r="AD515" s="7">
        <f t="shared" si="26"/>
        <v>1263</v>
      </c>
      <c r="AE515" s="7">
        <f>IF(F515="Bullet",H515*AD515,MIN(MAX(I515,1),Assumptions!$B$6)*AD515)</f>
        <v>1263</v>
      </c>
      <c r="AF515" s="8">
        <f>IF(F515="Bullet",MAX(0,Assumptions!$B$4-AB515),MAX(0,Assumptions!$B$4-L515))</f>
        <v>6</v>
      </c>
      <c r="AG515" s="9">
        <v>46261</v>
      </c>
      <c r="AH515" s="8">
        <f>IF(AG515="","",Assumptions!$B$4-AG515)</f>
        <v>37</v>
      </c>
      <c r="AI515" s="5" t="s">
        <v>63</v>
      </c>
      <c r="AJ515" s="8">
        <v>2</v>
      </c>
      <c r="AK515" s="8">
        <v>0</v>
      </c>
      <c r="AL515" s="8">
        <v>709</v>
      </c>
      <c r="AM515" s="8">
        <v>0</v>
      </c>
      <c r="AN515" s="5" t="s">
        <v>63</v>
      </c>
      <c r="AO515" s="10">
        <v>55.6</v>
      </c>
      <c r="AP515" s="8">
        <v>26</v>
      </c>
      <c r="AQ515" s="9"/>
      <c r="AR515" s="5"/>
      <c r="AS515" s="5" t="s">
        <v>159</v>
      </c>
    </row>
    <row r="516" spans="1:45" x14ac:dyDescent="0.35">
      <c r="A516" s="5" t="s">
        <v>2473</v>
      </c>
      <c r="B516" s="5" t="s">
        <v>2474</v>
      </c>
      <c r="C516" s="6" t="s">
        <v>2475</v>
      </c>
      <c r="D516" s="7">
        <v>28900</v>
      </c>
      <c r="E516" s="5" t="s">
        <v>48</v>
      </c>
      <c r="F516" s="5" t="s">
        <v>49</v>
      </c>
      <c r="G516" s="8"/>
      <c r="H516" s="8" t="str">
        <f>IF(F516="Bullet",MIN(G516,Assumptions!$B$6),"")</f>
        <v/>
      </c>
      <c r="I516" s="8">
        <v>1</v>
      </c>
      <c r="J516" s="8">
        <f>IF(F516="Monthly interest",MAX(0,Assumptions!$B$5-I516),"")</f>
        <v>2</v>
      </c>
      <c r="K516" s="7">
        <f t="shared" si="24"/>
        <v>482</v>
      </c>
      <c r="L516" s="9">
        <v>46296</v>
      </c>
      <c r="M516" s="5" t="s">
        <v>69</v>
      </c>
      <c r="N516" s="5" t="s">
        <v>51</v>
      </c>
      <c r="O516" s="5" t="s">
        <v>152</v>
      </c>
      <c r="P516" s="5" t="s">
        <v>53</v>
      </c>
      <c r="Q516" s="5" t="s">
        <v>154</v>
      </c>
      <c r="R516" s="5" t="s">
        <v>155</v>
      </c>
      <c r="S516" s="5" t="s">
        <v>56</v>
      </c>
      <c r="T516" s="5" t="s">
        <v>57</v>
      </c>
      <c r="U516" s="5" t="s">
        <v>58</v>
      </c>
      <c r="V516" s="5" t="s">
        <v>59</v>
      </c>
      <c r="W516" s="5" t="s">
        <v>126</v>
      </c>
      <c r="X516" s="5" t="s">
        <v>423</v>
      </c>
      <c r="Y516" s="5" t="s">
        <v>2476</v>
      </c>
      <c r="Z516" s="9">
        <v>46174</v>
      </c>
      <c r="AA516" s="8">
        <v>12</v>
      </c>
      <c r="AB516" s="9">
        <f t="shared" si="25"/>
        <v>46539</v>
      </c>
      <c r="AC516" s="10">
        <v>20</v>
      </c>
      <c r="AD516" s="7">
        <f t="shared" si="26"/>
        <v>482</v>
      </c>
      <c r="AE516" s="7">
        <f>IF(F516="Bullet",H516*AD516,MIN(MAX(I516,1),Assumptions!$B$6)*AD516)</f>
        <v>482</v>
      </c>
      <c r="AF516" s="8">
        <f>IF(F516="Bullet",MAX(0,Assumptions!$B$4-AB516),MAX(0,Assumptions!$B$4-L516))</f>
        <v>2</v>
      </c>
      <c r="AG516" s="9">
        <v>46266</v>
      </c>
      <c r="AH516" s="8">
        <f>IF(AG516="","",Assumptions!$B$4-AG516)</f>
        <v>32</v>
      </c>
      <c r="AI516" s="5" t="s">
        <v>63</v>
      </c>
      <c r="AJ516" s="8">
        <v>1</v>
      </c>
      <c r="AK516" s="8">
        <v>0</v>
      </c>
      <c r="AL516" s="8">
        <v>728</v>
      </c>
      <c r="AM516" s="8">
        <v>2</v>
      </c>
      <c r="AN516" s="5" t="s">
        <v>63</v>
      </c>
      <c r="AO516" s="10">
        <v>88</v>
      </c>
      <c r="AP516" s="8">
        <v>43</v>
      </c>
      <c r="AQ516" s="9"/>
      <c r="AR516" s="5"/>
      <c r="AS516" s="5" t="s">
        <v>159</v>
      </c>
    </row>
    <row r="517" spans="1:45" x14ac:dyDescent="0.35">
      <c r="A517" s="5" t="s">
        <v>2477</v>
      </c>
      <c r="B517" s="5" t="s">
        <v>2478</v>
      </c>
      <c r="C517" s="6" t="s">
        <v>2479</v>
      </c>
      <c r="D517" s="7">
        <v>513800</v>
      </c>
      <c r="E517" s="5" t="s">
        <v>48</v>
      </c>
      <c r="F517" s="5" t="s">
        <v>68</v>
      </c>
      <c r="G517" s="8">
        <v>3</v>
      </c>
      <c r="H517" s="8">
        <f>IF(F517="Bullet",MIN(G517,Assumptions!$B$6),"")</f>
        <v>2</v>
      </c>
      <c r="I517" s="8"/>
      <c r="J517" s="8" t="str">
        <f>IF(F517="Monthly interest",MAX(0,Assumptions!$B$5-I517),"")</f>
        <v/>
      </c>
      <c r="K517" s="7">
        <f t="shared" si="24"/>
        <v>19269</v>
      </c>
      <c r="L517" s="9">
        <v>46186</v>
      </c>
      <c r="M517" s="5" t="s">
        <v>116</v>
      </c>
      <c r="N517" s="5" t="s">
        <v>117</v>
      </c>
      <c r="O517" s="5" t="s">
        <v>207</v>
      </c>
      <c r="P517" s="5" t="s">
        <v>72</v>
      </c>
      <c r="Q517" s="5" t="s">
        <v>73</v>
      </c>
      <c r="R517" s="5" t="s">
        <v>74</v>
      </c>
      <c r="S517" s="5" t="s">
        <v>56</v>
      </c>
      <c r="T517" s="5" t="s">
        <v>57</v>
      </c>
      <c r="U517" s="5" t="s">
        <v>58</v>
      </c>
      <c r="V517" s="5" t="s">
        <v>59</v>
      </c>
      <c r="W517" s="5" t="s">
        <v>60</v>
      </c>
      <c r="X517" s="5" t="s">
        <v>408</v>
      </c>
      <c r="Y517" s="5" t="s">
        <v>2480</v>
      </c>
      <c r="Z517" s="9">
        <v>46186</v>
      </c>
      <c r="AA517" s="8">
        <v>3</v>
      </c>
      <c r="AB517" s="9">
        <f t="shared" si="25"/>
        <v>46278</v>
      </c>
      <c r="AC517" s="10">
        <v>15</v>
      </c>
      <c r="AD517" s="7">
        <f t="shared" si="26"/>
        <v>6423</v>
      </c>
      <c r="AE517" s="7">
        <f>IF(F517="Bullet",H517*AD517,MIN(MAX(I517,1),Assumptions!$B$6)*AD517)</f>
        <v>12846</v>
      </c>
      <c r="AF517" s="8">
        <f>IF(F517="Bullet",MAX(0,Assumptions!$B$4-AB517),MAX(0,Assumptions!$B$4-L517))</f>
        <v>20</v>
      </c>
      <c r="AG517" s="9"/>
      <c r="AH517" s="8" t="str">
        <f>IF(AG517="","",Assumptions!$B$4-AG517)</f>
        <v/>
      </c>
      <c r="AI517" s="5" t="s">
        <v>80</v>
      </c>
      <c r="AJ517" s="8"/>
      <c r="AK517" s="8">
        <v>2</v>
      </c>
      <c r="AL517" s="8">
        <v>756</v>
      </c>
      <c r="AM517" s="8">
        <v>2</v>
      </c>
      <c r="AN517" s="5" t="s">
        <v>63</v>
      </c>
      <c r="AO517" s="10">
        <v>80.099999999999994</v>
      </c>
      <c r="AP517" s="8">
        <v>52</v>
      </c>
      <c r="AQ517" s="9">
        <v>46282</v>
      </c>
      <c r="AR517" s="5" t="s">
        <v>51</v>
      </c>
      <c r="AS517" s="5" t="s">
        <v>190</v>
      </c>
    </row>
    <row r="518" spans="1:45" x14ac:dyDescent="0.35">
      <c r="A518" s="5" t="s">
        <v>2481</v>
      </c>
      <c r="B518" s="5" t="s">
        <v>805</v>
      </c>
      <c r="C518" s="6" t="s">
        <v>2482</v>
      </c>
      <c r="D518" s="7">
        <v>215100</v>
      </c>
      <c r="E518" s="5" t="s">
        <v>48</v>
      </c>
      <c r="F518" s="5" t="s">
        <v>49</v>
      </c>
      <c r="G518" s="8"/>
      <c r="H518" s="8" t="str">
        <f>IF(F518="Bullet",MIN(G518,Assumptions!$B$6),"")</f>
        <v/>
      </c>
      <c r="I518" s="8">
        <v>1</v>
      </c>
      <c r="J518" s="8">
        <f>IF(F518="Monthly interest",MAX(0,Assumptions!$B$5-I518),"")</f>
        <v>2</v>
      </c>
      <c r="K518" s="7">
        <f t="shared" si="24"/>
        <v>2689</v>
      </c>
      <c r="L518" s="9">
        <v>46279</v>
      </c>
      <c r="M518" s="5" t="s">
        <v>50</v>
      </c>
      <c r="N518" s="5" t="s">
        <v>51</v>
      </c>
      <c r="O518" s="5" t="s">
        <v>52</v>
      </c>
      <c r="P518" s="5" t="s">
        <v>53</v>
      </c>
      <c r="Q518" s="5" t="s">
        <v>54</v>
      </c>
      <c r="R518" s="5" t="s">
        <v>55</v>
      </c>
      <c r="S518" s="5" t="s">
        <v>56</v>
      </c>
      <c r="T518" s="5" t="s">
        <v>57</v>
      </c>
      <c r="U518" s="5" t="s">
        <v>86</v>
      </c>
      <c r="V518" s="5" t="s">
        <v>59</v>
      </c>
      <c r="W518" s="5" t="s">
        <v>418</v>
      </c>
      <c r="X518" s="5" t="s">
        <v>2483</v>
      </c>
      <c r="Y518" s="5" t="s">
        <v>2484</v>
      </c>
      <c r="Z518" s="9">
        <v>46187</v>
      </c>
      <c r="AA518" s="8">
        <v>12</v>
      </c>
      <c r="AB518" s="9">
        <f t="shared" si="25"/>
        <v>46552</v>
      </c>
      <c r="AC518" s="10">
        <v>15</v>
      </c>
      <c r="AD518" s="7">
        <f t="shared" si="26"/>
        <v>2689</v>
      </c>
      <c r="AE518" s="7">
        <f>IF(F518="Bullet",H518*AD518,MIN(MAX(I518,1),Assumptions!$B$6)*AD518)</f>
        <v>2689</v>
      </c>
      <c r="AF518" s="8">
        <f>IF(F518="Bullet",MAX(0,Assumptions!$B$4-AB518),MAX(0,Assumptions!$B$4-L518))</f>
        <v>19</v>
      </c>
      <c r="AG518" s="9">
        <v>46253</v>
      </c>
      <c r="AH518" s="8">
        <f>IF(AG518="","",Assumptions!$B$4-AG518)</f>
        <v>45</v>
      </c>
      <c r="AI518" s="5" t="s">
        <v>63</v>
      </c>
      <c r="AJ518" s="8">
        <v>1</v>
      </c>
      <c r="AK518" s="8">
        <v>1</v>
      </c>
      <c r="AL518" s="8">
        <v>806</v>
      </c>
      <c r="AM518" s="8">
        <v>1</v>
      </c>
      <c r="AN518" s="5" t="s">
        <v>63</v>
      </c>
      <c r="AO518" s="10">
        <v>54.4</v>
      </c>
      <c r="AP518" s="8">
        <v>16</v>
      </c>
      <c r="AQ518" s="9">
        <v>46289</v>
      </c>
      <c r="AR518" s="5" t="s">
        <v>51</v>
      </c>
      <c r="AS518" s="5" t="s">
        <v>190</v>
      </c>
    </row>
    <row r="519" spans="1:45" x14ac:dyDescent="0.35">
      <c r="A519" s="5" t="s">
        <v>2485</v>
      </c>
      <c r="B519" s="5" t="s">
        <v>2486</v>
      </c>
      <c r="C519" s="6" t="s">
        <v>2487</v>
      </c>
      <c r="D519" s="7">
        <v>198500</v>
      </c>
      <c r="E519" s="5" t="s">
        <v>48</v>
      </c>
      <c r="F519" s="5" t="s">
        <v>49</v>
      </c>
      <c r="G519" s="8"/>
      <c r="H519" s="8" t="str">
        <f>IF(F519="Bullet",MIN(G519,Assumptions!$B$6),"")</f>
        <v/>
      </c>
      <c r="I519" s="8">
        <v>2</v>
      </c>
      <c r="J519" s="8">
        <f>IF(F519="Monthly interest",MAX(0,Assumptions!$B$5-I519),"")</f>
        <v>1</v>
      </c>
      <c r="K519" s="7">
        <f t="shared" si="24"/>
        <v>7940</v>
      </c>
      <c r="L519" s="9">
        <v>46245</v>
      </c>
      <c r="M519" s="5" t="s">
        <v>69</v>
      </c>
      <c r="N519" s="5" t="s">
        <v>53</v>
      </c>
      <c r="O519" s="5" t="s">
        <v>71</v>
      </c>
      <c r="P519" s="5" t="s">
        <v>70</v>
      </c>
      <c r="Q519" s="5" t="s">
        <v>73</v>
      </c>
      <c r="R519" s="5" t="s">
        <v>74</v>
      </c>
      <c r="S519" s="5" t="s">
        <v>75</v>
      </c>
      <c r="T519" s="5" t="s">
        <v>63</v>
      </c>
      <c r="U519" s="5" t="s">
        <v>58</v>
      </c>
      <c r="V519" s="5" t="s">
        <v>76</v>
      </c>
      <c r="W519" s="5" t="s">
        <v>105</v>
      </c>
      <c r="X519" s="5" t="s">
        <v>111</v>
      </c>
      <c r="Y519" s="5" t="s">
        <v>2488</v>
      </c>
      <c r="Z519" s="9">
        <v>45972</v>
      </c>
      <c r="AA519" s="8">
        <v>18</v>
      </c>
      <c r="AB519" s="9">
        <f t="shared" si="25"/>
        <v>46518</v>
      </c>
      <c r="AC519" s="10">
        <v>24</v>
      </c>
      <c r="AD519" s="7">
        <f t="shared" si="26"/>
        <v>3970</v>
      </c>
      <c r="AE519" s="7">
        <f>IF(F519="Bullet",H519*AD519,MIN(MAX(I519,1),Assumptions!$B$6)*AD519)</f>
        <v>7940</v>
      </c>
      <c r="AF519" s="8">
        <f>IF(F519="Bullet",MAX(0,Assumptions!$B$4-AB519),MAX(0,Assumptions!$B$4-L519))</f>
        <v>53</v>
      </c>
      <c r="AG519" s="9">
        <v>46216</v>
      </c>
      <c r="AH519" s="8">
        <f>IF(AG519="","",Assumptions!$B$4-AG519)</f>
        <v>82</v>
      </c>
      <c r="AI519" s="5" t="s">
        <v>57</v>
      </c>
      <c r="AJ519" s="8">
        <v>2</v>
      </c>
      <c r="AK519" s="8">
        <v>0</v>
      </c>
      <c r="AL519" s="8">
        <v>775</v>
      </c>
      <c r="AM519" s="8">
        <v>1</v>
      </c>
      <c r="AN519" s="5" t="s">
        <v>63</v>
      </c>
      <c r="AO519" s="10">
        <v>76</v>
      </c>
      <c r="AP519" s="8">
        <v>36</v>
      </c>
      <c r="AQ519" s="9">
        <v>46288</v>
      </c>
      <c r="AR519" s="5" t="s">
        <v>70</v>
      </c>
      <c r="AS519" s="5" t="s">
        <v>181</v>
      </c>
    </row>
    <row r="520" spans="1:45" x14ac:dyDescent="0.35">
      <c r="A520" s="5" t="s">
        <v>2489</v>
      </c>
      <c r="B520" s="5" t="s">
        <v>2490</v>
      </c>
      <c r="C520" s="6" t="s">
        <v>2491</v>
      </c>
      <c r="D520" s="7">
        <v>77600</v>
      </c>
      <c r="E520" s="5" t="s">
        <v>48</v>
      </c>
      <c r="F520" s="5" t="s">
        <v>49</v>
      </c>
      <c r="G520" s="8"/>
      <c r="H520" s="8" t="str">
        <f>IF(F520="Bullet",MIN(G520,Assumptions!$B$6),"")</f>
        <v/>
      </c>
      <c r="I520" s="8">
        <v>2</v>
      </c>
      <c r="J520" s="8">
        <f>IF(F520="Monthly interest",MAX(0,Assumptions!$B$5-I520),"")</f>
        <v>1</v>
      </c>
      <c r="K520" s="7">
        <f t="shared" si="24"/>
        <v>2586</v>
      </c>
      <c r="L520" s="9">
        <v>46267</v>
      </c>
      <c r="M520" s="5" t="s">
        <v>116</v>
      </c>
      <c r="N520" s="5" t="s">
        <v>117</v>
      </c>
      <c r="O520" s="5" t="s">
        <v>118</v>
      </c>
      <c r="P520" s="5" t="s">
        <v>72</v>
      </c>
      <c r="Q520" s="5" t="s">
        <v>119</v>
      </c>
      <c r="R520" s="5" t="s">
        <v>120</v>
      </c>
      <c r="S520" s="5" t="s">
        <v>85</v>
      </c>
      <c r="T520" s="5" t="s">
        <v>57</v>
      </c>
      <c r="U520" s="5" t="s">
        <v>86</v>
      </c>
      <c r="V520" s="5" t="s">
        <v>133</v>
      </c>
      <c r="W520" s="5" t="s">
        <v>134</v>
      </c>
      <c r="X520" s="5" t="s">
        <v>2492</v>
      </c>
      <c r="Y520" s="5" t="s">
        <v>2493</v>
      </c>
      <c r="Z520" s="9">
        <v>46175</v>
      </c>
      <c r="AA520" s="8">
        <v>24</v>
      </c>
      <c r="AB520" s="9">
        <f t="shared" si="25"/>
        <v>46906</v>
      </c>
      <c r="AC520" s="10">
        <v>20</v>
      </c>
      <c r="AD520" s="7">
        <f t="shared" si="26"/>
        <v>1293</v>
      </c>
      <c r="AE520" s="7">
        <f>IF(F520="Bullet",H520*AD520,MIN(MAX(I520,1),Assumptions!$B$6)*AD520)</f>
        <v>2586</v>
      </c>
      <c r="AF520" s="8">
        <f>IF(F520="Bullet",MAX(0,Assumptions!$B$4-AB520),MAX(0,Assumptions!$B$4-L520))</f>
        <v>31</v>
      </c>
      <c r="AG520" s="9">
        <v>46240</v>
      </c>
      <c r="AH520" s="8">
        <f>IF(AG520="","",Assumptions!$B$4-AG520)</f>
        <v>58</v>
      </c>
      <c r="AI520" s="5" t="s">
        <v>57</v>
      </c>
      <c r="AJ520" s="8">
        <v>2</v>
      </c>
      <c r="AK520" s="8">
        <v>3</v>
      </c>
      <c r="AL520" s="8">
        <v>723</v>
      </c>
      <c r="AM520" s="8">
        <v>1</v>
      </c>
      <c r="AN520" s="5" t="s">
        <v>63</v>
      </c>
      <c r="AO520" s="10">
        <v>72.900000000000006</v>
      </c>
      <c r="AP520" s="8">
        <v>56</v>
      </c>
      <c r="AQ520" s="9">
        <v>46280</v>
      </c>
      <c r="AR520" s="5" t="s">
        <v>70</v>
      </c>
      <c r="AS520" s="5" t="s">
        <v>64</v>
      </c>
    </row>
    <row r="521" spans="1:45" x14ac:dyDescent="0.35">
      <c r="A521" s="5" t="s">
        <v>2494</v>
      </c>
      <c r="B521" s="5" t="s">
        <v>2495</v>
      </c>
      <c r="C521" s="6" t="s">
        <v>2496</v>
      </c>
      <c r="D521" s="7">
        <v>219800</v>
      </c>
      <c r="E521" s="5" t="s">
        <v>48</v>
      </c>
      <c r="F521" s="5" t="s">
        <v>49</v>
      </c>
      <c r="G521" s="8"/>
      <c r="H521" s="8" t="str">
        <f>IF(F521="Bullet",MIN(G521,Assumptions!$B$6),"")</f>
        <v/>
      </c>
      <c r="I521" s="8">
        <v>1</v>
      </c>
      <c r="J521" s="8">
        <f>IF(F521="Monthly interest",MAX(0,Assumptions!$B$5-I521),"")</f>
        <v>2</v>
      </c>
      <c r="K521" s="7">
        <f t="shared" si="24"/>
        <v>3297</v>
      </c>
      <c r="L521" s="9">
        <v>46292</v>
      </c>
      <c r="M521" s="5" t="s">
        <v>69</v>
      </c>
      <c r="N521" s="5" t="s">
        <v>51</v>
      </c>
      <c r="O521" s="5" t="s">
        <v>52</v>
      </c>
      <c r="P521" s="5" t="s">
        <v>53</v>
      </c>
      <c r="Q521" s="5" t="s">
        <v>54</v>
      </c>
      <c r="R521" s="5" t="s">
        <v>55</v>
      </c>
      <c r="S521" s="5" t="s">
        <v>56</v>
      </c>
      <c r="T521" s="5" t="s">
        <v>57</v>
      </c>
      <c r="U521" s="5" t="s">
        <v>58</v>
      </c>
      <c r="V521" s="5" t="s">
        <v>59</v>
      </c>
      <c r="W521" s="5" t="s">
        <v>194</v>
      </c>
      <c r="X521" s="5" t="s">
        <v>526</v>
      </c>
      <c r="Y521" s="5" t="s">
        <v>2497</v>
      </c>
      <c r="Z521" s="9">
        <v>46169</v>
      </c>
      <c r="AA521" s="8">
        <v>12</v>
      </c>
      <c r="AB521" s="9">
        <f t="shared" si="25"/>
        <v>46534</v>
      </c>
      <c r="AC521" s="10">
        <v>18</v>
      </c>
      <c r="AD521" s="7">
        <f t="shared" si="26"/>
        <v>3297</v>
      </c>
      <c r="AE521" s="7">
        <f>IF(F521="Bullet",H521*AD521,MIN(MAX(I521,1),Assumptions!$B$6)*AD521)</f>
        <v>3297</v>
      </c>
      <c r="AF521" s="8">
        <f>IF(F521="Bullet",MAX(0,Assumptions!$B$4-AB521),MAX(0,Assumptions!$B$4-L521))</f>
        <v>6</v>
      </c>
      <c r="AG521" s="9">
        <v>46266</v>
      </c>
      <c r="AH521" s="8">
        <f>IF(AG521="","",Assumptions!$B$4-AG521)</f>
        <v>32</v>
      </c>
      <c r="AI521" s="5" t="s">
        <v>57</v>
      </c>
      <c r="AJ521" s="8">
        <v>1</v>
      </c>
      <c r="AK521" s="8">
        <v>0</v>
      </c>
      <c r="AL521" s="8">
        <v>656</v>
      </c>
      <c r="AM521" s="8">
        <v>2</v>
      </c>
      <c r="AN521" s="5" t="s">
        <v>63</v>
      </c>
      <c r="AO521" s="10">
        <v>71.7</v>
      </c>
      <c r="AP521" s="8">
        <v>33</v>
      </c>
      <c r="AQ521" s="9">
        <v>46282</v>
      </c>
      <c r="AR521" s="5" t="s">
        <v>51</v>
      </c>
      <c r="AS521" s="5" t="s">
        <v>64</v>
      </c>
    </row>
    <row r="522" spans="1:45" x14ac:dyDescent="0.35">
      <c r="A522" s="5" t="s">
        <v>2498</v>
      </c>
      <c r="B522" s="5" t="s">
        <v>2499</v>
      </c>
      <c r="C522" s="6" t="s">
        <v>2500</v>
      </c>
      <c r="D522" s="7">
        <v>77500</v>
      </c>
      <c r="E522" s="5" t="s">
        <v>48</v>
      </c>
      <c r="F522" s="5" t="s">
        <v>49</v>
      </c>
      <c r="G522" s="8"/>
      <c r="H522" s="8" t="str">
        <f>IF(F522="Bullet",MIN(G522,Assumptions!$B$6),"")</f>
        <v/>
      </c>
      <c r="I522" s="8">
        <v>1</v>
      </c>
      <c r="J522" s="8">
        <f>IF(F522="Monthly interest",MAX(0,Assumptions!$B$5-I522),"")</f>
        <v>2</v>
      </c>
      <c r="K522" s="7">
        <f t="shared" si="24"/>
        <v>1033</v>
      </c>
      <c r="L522" s="9">
        <v>46269</v>
      </c>
      <c r="M522" s="5" t="s">
        <v>50</v>
      </c>
      <c r="N522" s="5" t="s">
        <v>51</v>
      </c>
      <c r="O522" s="5" t="s">
        <v>52</v>
      </c>
      <c r="P522" s="5" t="s">
        <v>53</v>
      </c>
      <c r="Q522" s="5" t="s">
        <v>54</v>
      </c>
      <c r="R522" s="5" t="s">
        <v>55</v>
      </c>
      <c r="S522" s="5" t="s">
        <v>75</v>
      </c>
      <c r="T522" s="5" t="s">
        <v>57</v>
      </c>
      <c r="U522" s="5" t="s">
        <v>58</v>
      </c>
      <c r="V522" s="5" t="s">
        <v>76</v>
      </c>
      <c r="W522" s="5" t="s">
        <v>146</v>
      </c>
      <c r="X522" s="5" t="s">
        <v>2501</v>
      </c>
      <c r="Y522" s="5" t="s">
        <v>2502</v>
      </c>
      <c r="Z522" s="9">
        <v>45995</v>
      </c>
      <c r="AA522" s="8">
        <v>12</v>
      </c>
      <c r="AB522" s="9">
        <f t="shared" si="25"/>
        <v>46360</v>
      </c>
      <c r="AC522" s="10">
        <v>16</v>
      </c>
      <c r="AD522" s="7">
        <f t="shared" si="26"/>
        <v>1033</v>
      </c>
      <c r="AE522" s="7">
        <f>IF(F522="Bullet",H522*AD522,MIN(MAX(I522,1),Assumptions!$B$6)*AD522)</f>
        <v>1033</v>
      </c>
      <c r="AF522" s="8">
        <f>IF(F522="Bullet",MAX(0,Assumptions!$B$4-AB522),MAX(0,Assumptions!$B$4-L522))</f>
        <v>29</v>
      </c>
      <c r="AG522" s="9">
        <v>46242</v>
      </c>
      <c r="AH522" s="8">
        <f>IF(AG522="","",Assumptions!$B$4-AG522)</f>
        <v>56</v>
      </c>
      <c r="AI522" s="5" t="s">
        <v>63</v>
      </c>
      <c r="AJ522" s="8">
        <v>2</v>
      </c>
      <c r="AK522" s="8">
        <v>0</v>
      </c>
      <c r="AL522" s="8">
        <v>672</v>
      </c>
      <c r="AM522" s="8">
        <v>0</v>
      </c>
      <c r="AN522" s="5" t="s">
        <v>63</v>
      </c>
      <c r="AO522" s="10">
        <v>57.5</v>
      </c>
      <c r="AP522" s="8">
        <v>21</v>
      </c>
      <c r="AQ522" s="9">
        <v>46278</v>
      </c>
      <c r="AR522" s="5" t="s">
        <v>51</v>
      </c>
      <c r="AS522" s="5" t="s">
        <v>64</v>
      </c>
    </row>
    <row r="523" spans="1:45" x14ac:dyDescent="0.35">
      <c r="A523" s="5" t="s">
        <v>2503</v>
      </c>
      <c r="B523" s="5" t="s">
        <v>2504</v>
      </c>
      <c r="C523" s="6" t="s">
        <v>2505</v>
      </c>
      <c r="D523" s="7">
        <v>321500</v>
      </c>
      <c r="E523" s="5" t="s">
        <v>48</v>
      </c>
      <c r="F523" s="5" t="s">
        <v>68</v>
      </c>
      <c r="G523" s="8">
        <v>4</v>
      </c>
      <c r="H523" s="8">
        <f>IF(F523="Bullet",MIN(G523,Assumptions!$B$6),"")</f>
        <v>2</v>
      </c>
      <c r="I523" s="8"/>
      <c r="J523" s="8" t="str">
        <f>IF(F523="Monthly interest",MAX(0,Assumptions!$B$5-I523),"")</f>
        <v/>
      </c>
      <c r="K523" s="7">
        <f t="shared" si="24"/>
        <v>19292</v>
      </c>
      <c r="L523" s="9">
        <v>46157</v>
      </c>
      <c r="M523" s="5" t="s">
        <v>69</v>
      </c>
      <c r="N523" s="5" t="s">
        <v>70</v>
      </c>
      <c r="O523" s="5" t="s">
        <v>71</v>
      </c>
      <c r="P523" s="5" t="s">
        <v>72</v>
      </c>
      <c r="Q523" s="5" t="s">
        <v>73</v>
      </c>
      <c r="R523" s="5" t="s">
        <v>74</v>
      </c>
      <c r="S523" s="5" t="s">
        <v>185</v>
      </c>
      <c r="T523" s="5" t="s">
        <v>57</v>
      </c>
      <c r="U523" s="5" t="s">
        <v>86</v>
      </c>
      <c r="V523" s="5" t="s">
        <v>200</v>
      </c>
      <c r="W523" s="5" t="s">
        <v>201</v>
      </c>
      <c r="X523" s="5" t="s">
        <v>1541</v>
      </c>
      <c r="Y523" s="5" t="s">
        <v>2506</v>
      </c>
      <c r="Z523" s="9">
        <v>46157</v>
      </c>
      <c r="AA523" s="8">
        <v>6</v>
      </c>
      <c r="AB523" s="9">
        <f t="shared" si="25"/>
        <v>46341</v>
      </c>
      <c r="AC523" s="10">
        <v>18</v>
      </c>
      <c r="AD523" s="7">
        <f t="shared" si="26"/>
        <v>4823</v>
      </c>
      <c r="AE523" s="7">
        <f>IF(F523="Bullet",H523*AD523,MIN(MAX(I523,1),Assumptions!$B$6)*AD523)</f>
        <v>9646</v>
      </c>
      <c r="AF523" s="8">
        <f>IF(F523="Bullet",MAX(0,Assumptions!$B$4-AB523),MAX(0,Assumptions!$B$4-L523))</f>
        <v>0</v>
      </c>
      <c r="AG523" s="9"/>
      <c r="AH523" s="8" t="str">
        <f>IF(AG523="","",Assumptions!$B$4-AG523)</f>
        <v/>
      </c>
      <c r="AI523" s="5" t="s">
        <v>80</v>
      </c>
      <c r="AJ523" s="8"/>
      <c r="AK523" s="8">
        <v>3</v>
      </c>
      <c r="AL523" s="8">
        <v>743</v>
      </c>
      <c r="AM523" s="8">
        <v>3</v>
      </c>
      <c r="AN523" s="5" t="s">
        <v>63</v>
      </c>
      <c r="AO523" s="10">
        <v>73.7</v>
      </c>
      <c r="AP523" s="8">
        <v>38</v>
      </c>
      <c r="AQ523" s="9">
        <v>46293</v>
      </c>
      <c r="AR523" s="5" t="s">
        <v>70</v>
      </c>
      <c r="AS523" s="5" t="s">
        <v>64</v>
      </c>
    </row>
    <row r="524" spans="1:45" x14ac:dyDescent="0.35">
      <c r="A524" s="5" t="s">
        <v>2507</v>
      </c>
      <c r="B524" s="5" t="s">
        <v>2508</v>
      </c>
      <c r="C524" s="6" t="s">
        <v>2509</v>
      </c>
      <c r="D524" s="7">
        <v>146700</v>
      </c>
      <c r="E524" s="5" t="s">
        <v>48</v>
      </c>
      <c r="F524" s="5" t="s">
        <v>49</v>
      </c>
      <c r="G524" s="8"/>
      <c r="H524" s="8" t="str">
        <f>IF(F524="Bullet",MIN(G524,Assumptions!$B$6),"")</f>
        <v/>
      </c>
      <c r="I524" s="8">
        <v>2</v>
      </c>
      <c r="J524" s="8">
        <f>IF(F524="Monthly interest",MAX(0,Assumptions!$B$5-I524),"")</f>
        <v>1</v>
      </c>
      <c r="K524" s="7">
        <f t="shared" si="24"/>
        <v>3668</v>
      </c>
      <c r="L524" s="9">
        <v>46243</v>
      </c>
      <c r="M524" s="5" t="s">
        <v>116</v>
      </c>
      <c r="N524" s="5" t="s">
        <v>117</v>
      </c>
      <c r="O524" s="5" t="s">
        <v>118</v>
      </c>
      <c r="P524" s="5" t="s">
        <v>72</v>
      </c>
      <c r="Q524" s="5" t="s">
        <v>119</v>
      </c>
      <c r="R524" s="5" t="s">
        <v>120</v>
      </c>
      <c r="S524" s="5" t="s">
        <v>185</v>
      </c>
      <c r="T524" s="5" t="s">
        <v>57</v>
      </c>
      <c r="U524" s="5" t="s">
        <v>104</v>
      </c>
      <c r="V524" s="5" t="s">
        <v>186</v>
      </c>
      <c r="W524" s="5" t="s">
        <v>376</v>
      </c>
      <c r="X524" s="5" t="s">
        <v>2510</v>
      </c>
      <c r="Y524" s="5" t="s">
        <v>2511</v>
      </c>
      <c r="Z524" s="9">
        <v>46090</v>
      </c>
      <c r="AA524" s="8">
        <v>18</v>
      </c>
      <c r="AB524" s="9">
        <f t="shared" si="25"/>
        <v>46639</v>
      </c>
      <c r="AC524" s="10">
        <v>15</v>
      </c>
      <c r="AD524" s="7">
        <f t="shared" si="26"/>
        <v>1834</v>
      </c>
      <c r="AE524" s="7">
        <f>IF(F524="Bullet",H524*AD524,MIN(MAX(I524,1),Assumptions!$B$6)*AD524)</f>
        <v>3668</v>
      </c>
      <c r="AF524" s="8">
        <f>IF(F524="Bullet",MAX(0,Assumptions!$B$4-AB524),MAX(0,Assumptions!$B$4-L524))</f>
        <v>55</v>
      </c>
      <c r="AG524" s="9">
        <v>46215</v>
      </c>
      <c r="AH524" s="8">
        <f>IF(AG524="","",Assumptions!$B$4-AG524)</f>
        <v>83</v>
      </c>
      <c r="AI524" s="5" t="s">
        <v>57</v>
      </c>
      <c r="AJ524" s="8">
        <v>2</v>
      </c>
      <c r="AK524" s="8">
        <v>1</v>
      </c>
      <c r="AL524" s="8">
        <v>720</v>
      </c>
      <c r="AM524" s="8">
        <v>0</v>
      </c>
      <c r="AN524" s="5" t="s">
        <v>63</v>
      </c>
      <c r="AO524" s="10">
        <v>81.8</v>
      </c>
      <c r="AP524" s="8">
        <v>52</v>
      </c>
      <c r="AQ524" s="9">
        <v>46294</v>
      </c>
      <c r="AR524" s="5" t="s">
        <v>53</v>
      </c>
      <c r="AS524" s="5" t="s">
        <v>274</v>
      </c>
    </row>
    <row r="525" spans="1:45" x14ac:dyDescent="0.35">
      <c r="A525" s="5" t="s">
        <v>2512</v>
      </c>
      <c r="B525" s="5" t="s">
        <v>2513</v>
      </c>
      <c r="C525" s="6" t="s">
        <v>2514</v>
      </c>
      <c r="D525" s="7">
        <v>187100</v>
      </c>
      <c r="E525" s="5" t="s">
        <v>48</v>
      </c>
      <c r="F525" s="5" t="s">
        <v>68</v>
      </c>
      <c r="G525" s="8">
        <v>5</v>
      </c>
      <c r="H525" s="8">
        <f>IF(F525="Bullet",MIN(G525,Assumptions!$B$6),"")</f>
        <v>2</v>
      </c>
      <c r="I525" s="8"/>
      <c r="J525" s="8" t="str">
        <f>IF(F525="Monthly interest",MAX(0,Assumptions!$B$5-I525),"")</f>
        <v/>
      </c>
      <c r="K525" s="7">
        <f t="shared" si="24"/>
        <v>11695</v>
      </c>
      <c r="L525" s="9">
        <v>46138</v>
      </c>
      <c r="M525" s="5" t="s">
        <v>116</v>
      </c>
      <c r="N525" s="5" t="s">
        <v>117</v>
      </c>
      <c r="O525" s="5" t="s">
        <v>461</v>
      </c>
      <c r="P525" s="5" t="s">
        <v>72</v>
      </c>
      <c r="Q525" s="5" t="s">
        <v>169</v>
      </c>
      <c r="R525" s="5" t="s">
        <v>170</v>
      </c>
      <c r="S525" s="5" t="s">
        <v>56</v>
      </c>
      <c r="T525" s="5" t="s">
        <v>63</v>
      </c>
      <c r="U525" s="5" t="s">
        <v>86</v>
      </c>
      <c r="V525" s="5" t="s">
        <v>59</v>
      </c>
      <c r="W525" s="5" t="s">
        <v>300</v>
      </c>
      <c r="X525" s="5" t="s">
        <v>301</v>
      </c>
      <c r="Y525" s="5" t="s">
        <v>2515</v>
      </c>
      <c r="Z525" s="9">
        <v>46138</v>
      </c>
      <c r="AA525" s="8">
        <v>3</v>
      </c>
      <c r="AB525" s="9">
        <f t="shared" si="25"/>
        <v>46229</v>
      </c>
      <c r="AC525" s="10">
        <v>15</v>
      </c>
      <c r="AD525" s="7">
        <f t="shared" si="26"/>
        <v>2339</v>
      </c>
      <c r="AE525" s="7">
        <f>IF(F525="Bullet",H525*AD525,MIN(MAX(I525,1),Assumptions!$B$6)*AD525)</f>
        <v>4678</v>
      </c>
      <c r="AF525" s="8">
        <f>IF(F525="Bullet",MAX(0,Assumptions!$B$4-AB525),MAX(0,Assumptions!$B$4-L525))</f>
        <v>69</v>
      </c>
      <c r="AG525" s="9"/>
      <c r="AH525" s="8" t="str">
        <f>IF(AG525="","",Assumptions!$B$4-AG525)</f>
        <v/>
      </c>
      <c r="AI525" s="5" t="s">
        <v>80</v>
      </c>
      <c r="AJ525" s="8"/>
      <c r="AK525" s="8">
        <v>3</v>
      </c>
      <c r="AL525" s="8">
        <v>698</v>
      </c>
      <c r="AM525" s="8">
        <v>1</v>
      </c>
      <c r="AN525" s="5" t="s">
        <v>63</v>
      </c>
      <c r="AO525" s="10">
        <v>65.400000000000006</v>
      </c>
      <c r="AP525" s="8">
        <v>63</v>
      </c>
      <c r="AQ525" s="9">
        <v>46279</v>
      </c>
      <c r="AR525" s="5" t="s">
        <v>70</v>
      </c>
      <c r="AS525" s="5" t="s">
        <v>81</v>
      </c>
    </row>
    <row r="526" spans="1:45" x14ac:dyDescent="0.35">
      <c r="A526" s="5" t="s">
        <v>2516</v>
      </c>
      <c r="B526" s="5" t="s">
        <v>498</v>
      </c>
      <c r="C526" s="6" t="s">
        <v>2517</v>
      </c>
      <c r="D526" s="7">
        <v>391400</v>
      </c>
      <c r="E526" s="5" t="s">
        <v>48</v>
      </c>
      <c r="F526" s="5" t="s">
        <v>49</v>
      </c>
      <c r="G526" s="8"/>
      <c r="H526" s="8" t="str">
        <f>IF(F526="Bullet",MIN(G526,Assumptions!$B$6),"")</f>
        <v/>
      </c>
      <c r="I526" s="8">
        <v>2</v>
      </c>
      <c r="J526" s="8">
        <f>IF(F526="Monthly interest",MAX(0,Assumptions!$B$5-I526),"")</f>
        <v>1</v>
      </c>
      <c r="K526" s="7">
        <f t="shared" si="24"/>
        <v>11742</v>
      </c>
      <c r="L526" s="9">
        <v>46258</v>
      </c>
      <c r="M526" s="5" t="s">
        <v>69</v>
      </c>
      <c r="N526" s="5" t="s">
        <v>70</v>
      </c>
      <c r="O526" s="5" t="s">
        <v>71</v>
      </c>
      <c r="P526" s="5" t="s">
        <v>72</v>
      </c>
      <c r="Q526" s="5" t="s">
        <v>73</v>
      </c>
      <c r="R526" s="5" t="s">
        <v>74</v>
      </c>
      <c r="S526" s="5" t="s">
        <v>185</v>
      </c>
      <c r="T526" s="5" t="s">
        <v>57</v>
      </c>
      <c r="U526" s="5" t="s">
        <v>104</v>
      </c>
      <c r="V526" s="5" t="s">
        <v>186</v>
      </c>
      <c r="W526" s="5" t="s">
        <v>187</v>
      </c>
      <c r="X526" s="5" t="s">
        <v>2518</v>
      </c>
      <c r="Y526" s="5" t="s">
        <v>2519</v>
      </c>
      <c r="Z526" s="9">
        <v>46197</v>
      </c>
      <c r="AA526" s="8">
        <v>12</v>
      </c>
      <c r="AB526" s="9">
        <f t="shared" si="25"/>
        <v>46562</v>
      </c>
      <c r="AC526" s="10">
        <v>18</v>
      </c>
      <c r="AD526" s="7">
        <f t="shared" si="26"/>
        <v>5871</v>
      </c>
      <c r="AE526" s="7">
        <f>IF(F526="Bullet",H526*AD526,MIN(MAX(I526,1),Assumptions!$B$6)*AD526)</f>
        <v>11742</v>
      </c>
      <c r="AF526" s="8">
        <f>IF(F526="Bullet",MAX(0,Assumptions!$B$4-AB526),MAX(0,Assumptions!$B$4-L526))</f>
        <v>40</v>
      </c>
      <c r="AG526" s="9">
        <v>46228</v>
      </c>
      <c r="AH526" s="8">
        <f>IF(AG526="","",Assumptions!$B$4-AG526)</f>
        <v>70</v>
      </c>
      <c r="AI526" s="5" t="s">
        <v>63</v>
      </c>
      <c r="AJ526" s="8">
        <v>2</v>
      </c>
      <c r="AK526" s="8">
        <v>0</v>
      </c>
      <c r="AL526" s="8">
        <v>770</v>
      </c>
      <c r="AM526" s="8">
        <v>1</v>
      </c>
      <c r="AN526" s="5" t="s">
        <v>63</v>
      </c>
      <c r="AO526" s="10">
        <v>78.599999999999994</v>
      </c>
      <c r="AP526" s="8">
        <v>37</v>
      </c>
      <c r="AQ526" s="9">
        <v>46277</v>
      </c>
      <c r="AR526" s="5" t="s">
        <v>70</v>
      </c>
      <c r="AS526" s="5" t="s">
        <v>81</v>
      </c>
    </row>
    <row r="527" spans="1:45" x14ac:dyDescent="0.35">
      <c r="A527" s="5" t="s">
        <v>2520</v>
      </c>
      <c r="B527" s="5" t="s">
        <v>2521</v>
      </c>
      <c r="C527" s="6" t="s">
        <v>2522</v>
      </c>
      <c r="D527" s="7">
        <v>54700</v>
      </c>
      <c r="E527" s="5" t="s">
        <v>48</v>
      </c>
      <c r="F527" s="5" t="s">
        <v>68</v>
      </c>
      <c r="G527" s="8">
        <v>2</v>
      </c>
      <c r="H527" s="8">
        <f>IF(F527="Bullet",MIN(G527,Assumptions!$B$6),"")</f>
        <v>2</v>
      </c>
      <c r="I527" s="8"/>
      <c r="J527" s="8" t="str">
        <f>IF(F527="Monthly interest",MAX(0,Assumptions!$B$5-I527),"")</f>
        <v/>
      </c>
      <c r="K527" s="7">
        <f t="shared" si="24"/>
        <v>1094</v>
      </c>
      <c r="L527" s="9">
        <v>46221</v>
      </c>
      <c r="M527" s="5" t="s">
        <v>50</v>
      </c>
      <c r="N527" s="5" t="s">
        <v>51</v>
      </c>
      <c r="O527" s="5" t="s">
        <v>71</v>
      </c>
      <c r="P527" s="5" t="s">
        <v>53</v>
      </c>
      <c r="Q527" s="5" t="s">
        <v>73</v>
      </c>
      <c r="R527" s="5" t="s">
        <v>74</v>
      </c>
      <c r="S527" s="5" t="s">
        <v>75</v>
      </c>
      <c r="T527" s="5" t="s">
        <v>57</v>
      </c>
      <c r="U527" s="5" t="s">
        <v>58</v>
      </c>
      <c r="V527" s="5" t="s">
        <v>76</v>
      </c>
      <c r="W527" s="5" t="s">
        <v>146</v>
      </c>
      <c r="X527" s="5" t="s">
        <v>1723</v>
      </c>
      <c r="Y527" s="5" t="s">
        <v>2523</v>
      </c>
      <c r="Z527" s="9">
        <v>46221</v>
      </c>
      <c r="AA527" s="8">
        <v>6</v>
      </c>
      <c r="AB527" s="9">
        <f t="shared" si="25"/>
        <v>46405</v>
      </c>
      <c r="AC527" s="10">
        <v>12</v>
      </c>
      <c r="AD527" s="7">
        <f t="shared" si="26"/>
        <v>547</v>
      </c>
      <c r="AE527" s="7">
        <f>IF(F527="Bullet",H527*AD527,MIN(MAX(I527,1),Assumptions!$B$6)*AD527)</f>
        <v>1094</v>
      </c>
      <c r="AF527" s="8">
        <f>IF(F527="Bullet",MAX(0,Assumptions!$B$4-AB527),MAX(0,Assumptions!$B$4-L527))</f>
        <v>0</v>
      </c>
      <c r="AG527" s="9"/>
      <c r="AH527" s="8" t="str">
        <f>IF(AG527="","",Assumptions!$B$4-AG527)</f>
        <v/>
      </c>
      <c r="AI527" s="5" t="s">
        <v>80</v>
      </c>
      <c r="AJ527" s="8"/>
      <c r="AK527" s="8">
        <v>0</v>
      </c>
      <c r="AL527" s="8">
        <v>885</v>
      </c>
      <c r="AM527" s="8">
        <v>0</v>
      </c>
      <c r="AN527" s="5" t="s">
        <v>63</v>
      </c>
      <c r="AO527" s="10">
        <v>62.8</v>
      </c>
      <c r="AP527" s="8">
        <v>0</v>
      </c>
      <c r="AQ527" s="9">
        <v>46284</v>
      </c>
      <c r="AR527" s="5" t="s">
        <v>70</v>
      </c>
      <c r="AS527" s="5" t="s">
        <v>81</v>
      </c>
    </row>
    <row r="528" spans="1:45" x14ac:dyDescent="0.35">
      <c r="A528" s="5" t="s">
        <v>2524</v>
      </c>
      <c r="B528" s="5" t="s">
        <v>338</v>
      </c>
      <c r="C528" s="6" t="s">
        <v>2525</v>
      </c>
      <c r="D528" s="7">
        <v>99900</v>
      </c>
      <c r="E528" s="5" t="s">
        <v>48</v>
      </c>
      <c r="F528" s="5" t="s">
        <v>49</v>
      </c>
      <c r="G528" s="8"/>
      <c r="H528" s="8" t="str">
        <f>IF(F528="Bullet",MIN(G528,Assumptions!$B$6),"")</f>
        <v/>
      </c>
      <c r="I528" s="8">
        <v>2</v>
      </c>
      <c r="J528" s="8">
        <f>IF(F528="Monthly interest",MAX(0,Assumptions!$B$5-I528),"")</f>
        <v>1</v>
      </c>
      <c r="K528" s="7">
        <f t="shared" si="24"/>
        <v>2664</v>
      </c>
      <c r="L528" s="9">
        <v>46246</v>
      </c>
      <c r="M528" s="5" t="s">
        <v>116</v>
      </c>
      <c r="N528" s="5" t="s">
        <v>117</v>
      </c>
      <c r="O528" s="5" t="s">
        <v>118</v>
      </c>
      <c r="P528" s="5" t="s">
        <v>72</v>
      </c>
      <c r="Q528" s="5" t="s">
        <v>119</v>
      </c>
      <c r="R528" s="5" t="s">
        <v>120</v>
      </c>
      <c r="S528" s="5" t="s">
        <v>56</v>
      </c>
      <c r="T528" s="5" t="s">
        <v>57</v>
      </c>
      <c r="U528" s="5" t="s">
        <v>104</v>
      </c>
      <c r="V528" s="5" t="s">
        <v>59</v>
      </c>
      <c r="W528" s="5" t="s">
        <v>126</v>
      </c>
      <c r="X528" s="5" t="s">
        <v>2526</v>
      </c>
      <c r="Y528" s="5" t="s">
        <v>2527</v>
      </c>
      <c r="Z528" s="9">
        <v>46185</v>
      </c>
      <c r="AA528" s="8">
        <v>24</v>
      </c>
      <c r="AB528" s="9">
        <f t="shared" si="25"/>
        <v>46916</v>
      </c>
      <c r="AC528" s="10">
        <v>16</v>
      </c>
      <c r="AD528" s="7">
        <f t="shared" si="26"/>
        <v>1332</v>
      </c>
      <c r="AE528" s="7">
        <f>IF(F528="Bullet",H528*AD528,MIN(MAX(I528,1),Assumptions!$B$6)*AD528)</f>
        <v>2664</v>
      </c>
      <c r="AF528" s="8">
        <f>IF(F528="Bullet",MAX(0,Assumptions!$B$4-AB528),MAX(0,Assumptions!$B$4-L528))</f>
        <v>52</v>
      </c>
      <c r="AG528" s="9">
        <v>46220</v>
      </c>
      <c r="AH528" s="8">
        <f>IF(AG528="","",Assumptions!$B$4-AG528)</f>
        <v>78</v>
      </c>
      <c r="AI528" s="5" t="s">
        <v>63</v>
      </c>
      <c r="AJ528" s="8">
        <v>4</v>
      </c>
      <c r="AK528" s="8">
        <v>0</v>
      </c>
      <c r="AL528" s="8">
        <v>717</v>
      </c>
      <c r="AM528" s="8">
        <v>1</v>
      </c>
      <c r="AN528" s="5" t="s">
        <v>63</v>
      </c>
      <c r="AO528" s="10">
        <v>80.2</v>
      </c>
      <c r="AP528" s="8">
        <v>51</v>
      </c>
      <c r="AQ528" s="9">
        <v>46277</v>
      </c>
      <c r="AR528" s="5" t="s">
        <v>51</v>
      </c>
      <c r="AS528" s="5" t="s">
        <v>64</v>
      </c>
    </row>
    <row r="529" spans="1:45" x14ac:dyDescent="0.35">
      <c r="A529" s="5" t="s">
        <v>2528</v>
      </c>
      <c r="B529" s="5" t="s">
        <v>1639</v>
      </c>
      <c r="C529" s="6" t="s">
        <v>2529</v>
      </c>
      <c r="D529" s="7">
        <v>196600</v>
      </c>
      <c r="E529" s="5" t="s">
        <v>48</v>
      </c>
      <c r="F529" s="5" t="s">
        <v>68</v>
      </c>
      <c r="G529" s="8">
        <v>2</v>
      </c>
      <c r="H529" s="8">
        <f>IF(F529="Bullet",MIN(G529,Assumptions!$B$6),"")</f>
        <v>2</v>
      </c>
      <c r="I529" s="8"/>
      <c r="J529" s="8" t="str">
        <f>IF(F529="Monthly interest",MAX(0,Assumptions!$B$5-I529),"")</f>
        <v/>
      </c>
      <c r="K529" s="7">
        <f t="shared" si="24"/>
        <v>4588</v>
      </c>
      <c r="L529" s="9">
        <v>46223</v>
      </c>
      <c r="M529" s="5" t="s">
        <v>50</v>
      </c>
      <c r="N529" s="5" t="s">
        <v>51</v>
      </c>
      <c r="O529" s="5" t="s">
        <v>71</v>
      </c>
      <c r="P529" s="5" t="s">
        <v>53</v>
      </c>
      <c r="Q529" s="5" t="s">
        <v>73</v>
      </c>
      <c r="R529" s="5" t="s">
        <v>74</v>
      </c>
      <c r="S529" s="5" t="s">
        <v>85</v>
      </c>
      <c r="T529" s="5" t="s">
        <v>57</v>
      </c>
      <c r="U529" s="5" t="s">
        <v>86</v>
      </c>
      <c r="V529" s="5" t="s">
        <v>133</v>
      </c>
      <c r="W529" s="5" t="s">
        <v>134</v>
      </c>
      <c r="X529" s="5" t="s">
        <v>2530</v>
      </c>
      <c r="Y529" s="5" t="s">
        <v>2531</v>
      </c>
      <c r="Z529" s="9">
        <v>46223</v>
      </c>
      <c r="AA529" s="8">
        <v>12</v>
      </c>
      <c r="AB529" s="9">
        <f t="shared" si="25"/>
        <v>46588</v>
      </c>
      <c r="AC529" s="10">
        <v>14</v>
      </c>
      <c r="AD529" s="7">
        <f t="shared" si="26"/>
        <v>2294</v>
      </c>
      <c r="AE529" s="7">
        <f>IF(F529="Bullet",H529*AD529,MIN(MAX(I529,1),Assumptions!$B$6)*AD529)</f>
        <v>4588</v>
      </c>
      <c r="AF529" s="8">
        <f>IF(F529="Bullet",MAX(0,Assumptions!$B$4-AB529),MAX(0,Assumptions!$B$4-L529))</f>
        <v>0</v>
      </c>
      <c r="AG529" s="9"/>
      <c r="AH529" s="8" t="str">
        <f>IF(AG529="","",Assumptions!$B$4-AG529)</f>
        <v/>
      </c>
      <c r="AI529" s="5" t="s">
        <v>80</v>
      </c>
      <c r="AJ529" s="8"/>
      <c r="AK529" s="8">
        <v>0</v>
      </c>
      <c r="AL529" s="8">
        <v>660</v>
      </c>
      <c r="AM529" s="8">
        <v>1</v>
      </c>
      <c r="AN529" s="5" t="s">
        <v>63</v>
      </c>
      <c r="AO529" s="10">
        <v>88</v>
      </c>
      <c r="AP529" s="8">
        <v>28</v>
      </c>
      <c r="AQ529" s="9">
        <v>46295</v>
      </c>
      <c r="AR529" s="5" t="s">
        <v>53</v>
      </c>
      <c r="AS529" s="5" t="s">
        <v>190</v>
      </c>
    </row>
    <row r="530" spans="1:45" x14ac:dyDescent="0.35">
      <c r="A530" s="5" t="s">
        <v>2532</v>
      </c>
      <c r="B530" s="5" t="s">
        <v>2533</v>
      </c>
      <c r="C530" s="6" t="s">
        <v>2534</v>
      </c>
      <c r="D530" s="7">
        <v>218600</v>
      </c>
      <c r="E530" s="5" t="s">
        <v>48</v>
      </c>
      <c r="F530" s="5" t="s">
        <v>68</v>
      </c>
      <c r="G530" s="8">
        <v>2</v>
      </c>
      <c r="H530" s="8">
        <f>IF(F530="Bullet",MIN(G530,Assumptions!$B$6),"")</f>
        <v>2</v>
      </c>
      <c r="I530" s="8"/>
      <c r="J530" s="8" t="str">
        <f>IF(F530="Monthly interest",MAX(0,Assumptions!$B$5-I530),"")</f>
        <v/>
      </c>
      <c r="K530" s="7">
        <f t="shared" si="24"/>
        <v>6558</v>
      </c>
      <c r="L530" s="9">
        <v>46217</v>
      </c>
      <c r="M530" s="5" t="s">
        <v>69</v>
      </c>
      <c r="N530" s="5" t="s">
        <v>53</v>
      </c>
      <c r="O530" s="5" t="s">
        <v>71</v>
      </c>
      <c r="P530" s="5" t="s">
        <v>70</v>
      </c>
      <c r="Q530" s="5" t="s">
        <v>73</v>
      </c>
      <c r="R530" s="5" t="s">
        <v>74</v>
      </c>
      <c r="S530" s="5" t="s">
        <v>253</v>
      </c>
      <c r="T530" s="5" t="s">
        <v>63</v>
      </c>
      <c r="U530" s="5" t="s">
        <v>58</v>
      </c>
      <c r="V530" s="5" t="s">
        <v>177</v>
      </c>
      <c r="W530" s="5" t="s">
        <v>345</v>
      </c>
      <c r="X530" s="5" t="s">
        <v>2535</v>
      </c>
      <c r="Y530" s="5" t="s">
        <v>2536</v>
      </c>
      <c r="Z530" s="9">
        <v>46217</v>
      </c>
      <c r="AA530" s="8">
        <v>12</v>
      </c>
      <c r="AB530" s="9">
        <f t="shared" si="25"/>
        <v>46582</v>
      </c>
      <c r="AC530" s="10">
        <v>18</v>
      </c>
      <c r="AD530" s="7">
        <f t="shared" si="26"/>
        <v>3279</v>
      </c>
      <c r="AE530" s="7">
        <f>IF(F530="Bullet",H530*AD530,MIN(MAX(I530,1),Assumptions!$B$6)*AD530)</f>
        <v>6558</v>
      </c>
      <c r="AF530" s="8">
        <f>IF(F530="Bullet",MAX(0,Assumptions!$B$4-AB530),MAX(0,Assumptions!$B$4-L530))</f>
        <v>0</v>
      </c>
      <c r="AG530" s="9"/>
      <c r="AH530" s="8" t="str">
        <f>IF(AG530="","",Assumptions!$B$4-AG530)</f>
        <v/>
      </c>
      <c r="AI530" s="5" t="s">
        <v>80</v>
      </c>
      <c r="AJ530" s="8"/>
      <c r="AK530" s="8">
        <v>0</v>
      </c>
      <c r="AL530" s="8">
        <v>605</v>
      </c>
      <c r="AM530" s="8">
        <v>3</v>
      </c>
      <c r="AN530" s="5" t="s">
        <v>63</v>
      </c>
      <c r="AO530" s="10">
        <v>70.3</v>
      </c>
      <c r="AP530" s="8">
        <v>36</v>
      </c>
      <c r="AQ530" s="9">
        <v>46276</v>
      </c>
      <c r="AR530" s="5" t="s">
        <v>72</v>
      </c>
      <c r="AS530" s="5" t="s">
        <v>91</v>
      </c>
    </row>
    <row r="531" spans="1:45" x14ac:dyDescent="0.35">
      <c r="A531" s="5" t="s">
        <v>2537</v>
      </c>
      <c r="B531" s="5" t="s">
        <v>2538</v>
      </c>
      <c r="C531" s="6" t="s">
        <v>2539</v>
      </c>
      <c r="D531" s="7">
        <v>175400</v>
      </c>
      <c r="E531" s="5" t="s">
        <v>48</v>
      </c>
      <c r="F531" s="5" t="s">
        <v>49</v>
      </c>
      <c r="G531" s="8"/>
      <c r="H531" s="8" t="str">
        <f>IF(F531="Bullet",MIN(G531,Assumptions!$B$6),"")</f>
        <v/>
      </c>
      <c r="I531" s="8">
        <v>1</v>
      </c>
      <c r="J531" s="8">
        <f>IF(F531="Monthly interest",MAX(0,Assumptions!$B$5-I531),"")</f>
        <v>2</v>
      </c>
      <c r="K531" s="7">
        <f t="shared" si="24"/>
        <v>2923</v>
      </c>
      <c r="L531" s="9">
        <v>46285</v>
      </c>
      <c r="M531" s="5" t="s">
        <v>50</v>
      </c>
      <c r="N531" s="5" t="s">
        <v>53</v>
      </c>
      <c r="O531" s="5" t="s">
        <v>95</v>
      </c>
      <c r="P531" s="5" t="s">
        <v>70</v>
      </c>
      <c r="Q531" s="5" t="s">
        <v>54</v>
      </c>
      <c r="R531" s="5" t="s">
        <v>55</v>
      </c>
      <c r="S531" s="5" t="s">
        <v>214</v>
      </c>
      <c r="T531" s="5" t="s">
        <v>63</v>
      </c>
      <c r="U531" s="5" t="s">
        <v>86</v>
      </c>
      <c r="V531" s="5" t="s">
        <v>215</v>
      </c>
      <c r="W531" s="5" t="s">
        <v>216</v>
      </c>
      <c r="X531" s="5" t="s">
        <v>2540</v>
      </c>
      <c r="Y531" s="5" t="s">
        <v>2541</v>
      </c>
      <c r="Z531" s="9">
        <v>46162</v>
      </c>
      <c r="AA531" s="8">
        <v>12</v>
      </c>
      <c r="AB531" s="9">
        <f t="shared" si="25"/>
        <v>46527</v>
      </c>
      <c r="AC531" s="10">
        <v>20</v>
      </c>
      <c r="AD531" s="7">
        <f t="shared" si="26"/>
        <v>2923</v>
      </c>
      <c r="AE531" s="7">
        <f>IF(F531="Bullet",H531*AD531,MIN(MAX(I531,1),Assumptions!$B$6)*AD531)</f>
        <v>2923</v>
      </c>
      <c r="AF531" s="8">
        <f>IF(F531="Bullet",MAX(0,Assumptions!$B$4-AB531),MAX(0,Assumptions!$B$4-L531))</f>
        <v>13</v>
      </c>
      <c r="AG531" s="9">
        <v>46254</v>
      </c>
      <c r="AH531" s="8">
        <f>IF(AG531="","",Assumptions!$B$4-AG531)</f>
        <v>44</v>
      </c>
      <c r="AI531" s="5" t="s">
        <v>63</v>
      </c>
      <c r="AJ531" s="8">
        <v>2</v>
      </c>
      <c r="AK531" s="8">
        <v>0</v>
      </c>
      <c r="AL531" s="8">
        <v>729</v>
      </c>
      <c r="AM531" s="8">
        <v>1</v>
      </c>
      <c r="AN531" s="5" t="s">
        <v>63</v>
      </c>
      <c r="AO531" s="10">
        <v>60.6</v>
      </c>
      <c r="AP531" s="8">
        <v>26</v>
      </c>
      <c r="AQ531" s="9"/>
      <c r="AR531" s="5"/>
      <c r="AS531" s="5" t="s">
        <v>159</v>
      </c>
    </row>
    <row r="532" spans="1:45" x14ac:dyDescent="0.35">
      <c r="A532" s="5" t="s">
        <v>2542</v>
      </c>
      <c r="B532" s="5" t="s">
        <v>2543</v>
      </c>
      <c r="C532" s="6" t="s">
        <v>2544</v>
      </c>
      <c r="D532" s="7">
        <v>216300</v>
      </c>
      <c r="E532" s="5" t="s">
        <v>48</v>
      </c>
      <c r="F532" s="5" t="s">
        <v>68</v>
      </c>
      <c r="G532" s="8">
        <v>2</v>
      </c>
      <c r="H532" s="8">
        <f>IF(F532="Bullet",MIN(G532,Assumptions!$B$6),"")</f>
        <v>2</v>
      </c>
      <c r="I532" s="8"/>
      <c r="J532" s="8" t="str">
        <f>IF(F532="Monthly interest",MAX(0,Assumptions!$B$5-I532),"")</f>
        <v/>
      </c>
      <c r="K532" s="7">
        <f t="shared" si="24"/>
        <v>4686</v>
      </c>
      <c r="L532" s="9">
        <v>46223</v>
      </c>
      <c r="M532" s="5" t="s">
        <v>50</v>
      </c>
      <c r="N532" s="5" t="s">
        <v>51</v>
      </c>
      <c r="O532" s="5" t="s">
        <v>71</v>
      </c>
      <c r="P532" s="5" t="s">
        <v>53</v>
      </c>
      <c r="Q532" s="5" t="s">
        <v>73</v>
      </c>
      <c r="R532" s="5" t="s">
        <v>74</v>
      </c>
      <c r="S532" s="5" t="s">
        <v>214</v>
      </c>
      <c r="T532" s="5" t="s">
        <v>57</v>
      </c>
      <c r="U532" s="5" t="s">
        <v>58</v>
      </c>
      <c r="V532" s="5" t="s">
        <v>215</v>
      </c>
      <c r="W532" s="5" t="s">
        <v>1057</v>
      </c>
      <c r="X532" s="5" t="s">
        <v>2545</v>
      </c>
      <c r="Y532" s="5" t="s">
        <v>2546</v>
      </c>
      <c r="Z532" s="9">
        <v>46223</v>
      </c>
      <c r="AA532" s="8">
        <v>3</v>
      </c>
      <c r="AB532" s="9">
        <f t="shared" si="25"/>
        <v>46315</v>
      </c>
      <c r="AC532" s="10">
        <v>13</v>
      </c>
      <c r="AD532" s="7">
        <f t="shared" si="26"/>
        <v>2343</v>
      </c>
      <c r="AE532" s="7">
        <f>IF(F532="Bullet",H532*AD532,MIN(MAX(I532,1),Assumptions!$B$6)*AD532)</f>
        <v>4686</v>
      </c>
      <c r="AF532" s="8">
        <f>IF(F532="Bullet",MAX(0,Assumptions!$B$4-AB532),MAX(0,Assumptions!$B$4-L532))</f>
        <v>0</v>
      </c>
      <c r="AG532" s="9"/>
      <c r="AH532" s="8" t="str">
        <f>IF(AG532="","",Assumptions!$B$4-AG532)</f>
        <v/>
      </c>
      <c r="AI532" s="5" t="s">
        <v>80</v>
      </c>
      <c r="AJ532" s="8"/>
      <c r="AK532" s="8">
        <v>0</v>
      </c>
      <c r="AL532" s="8">
        <v>663</v>
      </c>
      <c r="AM532" s="8">
        <v>2</v>
      </c>
      <c r="AN532" s="5" t="s">
        <v>63</v>
      </c>
      <c r="AO532" s="10">
        <v>63.6</v>
      </c>
      <c r="AP532" s="8">
        <v>29</v>
      </c>
      <c r="AQ532" s="9">
        <v>46296</v>
      </c>
      <c r="AR532" s="5" t="s">
        <v>72</v>
      </c>
      <c r="AS532" s="5" t="s">
        <v>181</v>
      </c>
    </row>
    <row r="533" spans="1:45" x14ac:dyDescent="0.35">
      <c r="A533" s="5" t="s">
        <v>2547</v>
      </c>
      <c r="B533" s="5" t="s">
        <v>2548</v>
      </c>
      <c r="C533" s="6" t="s">
        <v>2549</v>
      </c>
      <c r="D533" s="7">
        <v>37200</v>
      </c>
      <c r="E533" s="5" t="s">
        <v>48</v>
      </c>
      <c r="F533" s="5" t="s">
        <v>68</v>
      </c>
      <c r="G533" s="8">
        <v>4</v>
      </c>
      <c r="H533" s="8">
        <f>IF(F533="Bullet",MIN(G533,Assumptions!$B$6),"")</f>
        <v>2</v>
      </c>
      <c r="I533" s="8"/>
      <c r="J533" s="8" t="str">
        <f>IF(F533="Monthly interest",MAX(0,Assumptions!$B$5-I533),"")</f>
        <v/>
      </c>
      <c r="K533" s="7">
        <f t="shared" si="24"/>
        <v>2232</v>
      </c>
      <c r="L533" s="9">
        <v>46170</v>
      </c>
      <c r="M533" s="5" t="s">
        <v>50</v>
      </c>
      <c r="N533" s="5" t="s">
        <v>53</v>
      </c>
      <c r="O533" s="5" t="s">
        <v>152</v>
      </c>
      <c r="P533" s="5" t="s">
        <v>153</v>
      </c>
      <c r="Q533" s="5" t="s">
        <v>154</v>
      </c>
      <c r="R533" s="5" t="s">
        <v>155</v>
      </c>
      <c r="S533" s="5" t="s">
        <v>56</v>
      </c>
      <c r="T533" s="5" t="s">
        <v>57</v>
      </c>
      <c r="U533" s="5" t="s">
        <v>86</v>
      </c>
      <c r="V533" s="5" t="s">
        <v>59</v>
      </c>
      <c r="W533" s="5" t="s">
        <v>418</v>
      </c>
      <c r="X533" s="5" t="s">
        <v>1089</v>
      </c>
      <c r="Y533" s="5" t="s">
        <v>2550</v>
      </c>
      <c r="Z533" s="9">
        <v>46170</v>
      </c>
      <c r="AA533" s="8">
        <v>6</v>
      </c>
      <c r="AB533" s="9">
        <f t="shared" si="25"/>
        <v>46354</v>
      </c>
      <c r="AC533" s="10">
        <v>18</v>
      </c>
      <c r="AD533" s="7">
        <f t="shared" si="26"/>
        <v>558</v>
      </c>
      <c r="AE533" s="7">
        <f>IF(F533="Bullet",H533*AD533,MIN(MAX(I533,1),Assumptions!$B$6)*AD533)</f>
        <v>1116</v>
      </c>
      <c r="AF533" s="8">
        <f>IF(F533="Bullet",MAX(0,Assumptions!$B$4-AB533),MAX(0,Assumptions!$B$4-L533))</f>
        <v>0</v>
      </c>
      <c r="AG533" s="9"/>
      <c r="AH533" s="8" t="str">
        <f>IF(AG533="","",Assumptions!$B$4-AG533)</f>
        <v/>
      </c>
      <c r="AI533" s="5" t="s">
        <v>80</v>
      </c>
      <c r="AJ533" s="8"/>
      <c r="AK533" s="8">
        <v>1</v>
      </c>
      <c r="AL533" s="8">
        <v>720</v>
      </c>
      <c r="AM533" s="8">
        <v>1</v>
      </c>
      <c r="AN533" s="5" t="s">
        <v>63</v>
      </c>
      <c r="AO533" s="10">
        <v>65</v>
      </c>
      <c r="AP533" s="8">
        <v>26</v>
      </c>
      <c r="AQ533" s="9">
        <v>46273</v>
      </c>
      <c r="AR533" s="5" t="s">
        <v>72</v>
      </c>
      <c r="AS533" s="5" t="s">
        <v>181</v>
      </c>
    </row>
    <row r="534" spans="1:45" x14ac:dyDescent="0.35">
      <c r="A534" s="5" t="s">
        <v>2551</v>
      </c>
      <c r="B534" s="5" t="s">
        <v>406</v>
      </c>
      <c r="C534" s="6" t="s">
        <v>2552</v>
      </c>
      <c r="D534" s="7">
        <v>295200</v>
      </c>
      <c r="E534" s="5" t="s">
        <v>48</v>
      </c>
      <c r="F534" s="5" t="s">
        <v>49</v>
      </c>
      <c r="G534" s="8"/>
      <c r="H534" s="8" t="str">
        <f>IF(F534="Bullet",MIN(G534,Assumptions!$B$6),"")</f>
        <v/>
      </c>
      <c r="I534" s="8">
        <v>2</v>
      </c>
      <c r="J534" s="8">
        <f>IF(F534="Monthly interest",MAX(0,Assumptions!$B$5-I534),"")</f>
        <v>1</v>
      </c>
      <c r="K534" s="7">
        <f t="shared" si="24"/>
        <v>11808</v>
      </c>
      <c r="L534" s="9">
        <v>46242</v>
      </c>
      <c r="M534" s="5" t="s">
        <v>69</v>
      </c>
      <c r="N534" s="5" t="s">
        <v>70</v>
      </c>
      <c r="O534" s="5" t="s">
        <v>71</v>
      </c>
      <c r="P534" s="5" t="s">
        <v>72</v>
      </c>
      <c r="Q534" s="5" t="s">
        <v>73</v>
      </c>
      <c r="R534" s="5" t="s">
        <v>74</v>
      </c>
      <c r="S534" s="5" t="s">
        <v>56</v>
      </c>
      <c r="T534" s="5" t="s">
        <v>63</v>
      </c>
      <c r="U534" s="5" t="s">
        <v>86</v>
      </c>
      <c r="V534" s="5" t="s">
        <v>59</v>
      </c>
      <c r="W534" s="5" t="s">
        <v>418</v>
      </c>
      <c r="X534" s="5" t="s">
        <v>2323</v>
      </c>
      <c r="Y534" s="5" t="s">
        <v>2553</v>
      </c>
      <c r="Z534" s="9">
        <v>46061</v>
      </c>
      <c r="AA534" s="8">
        <v>24</v>
      </c>
      <c r="AB534" s="9">
        <f t="shared" si="25"/>
        <v>46791</v>
      </c>
      <c r="AC534" s="10">
        <v>24</v>
      </c>
      <c r="AD534" s="7">
        <f t="shared" si="26"/>
        <v>5904</v>
      </c>
      <c r="AE534" s="7">
        <f>IF(F534="Bullet",H534*AD534,MIN(MAX(I534,1),Assumptions!$B$6)*AD534)</f>
        <v>11808</v>
      </c>
      <c r="AF534" s="8">
        <f>IF(F534="Bullet",MAX(0,Assumptions!$B$4-AB534),MAX(0,Assumptions!$B$4-L534))</f>
        <v>56</v>
      </c>
      <c r="AG534" s="9">
        <v>46216</v>
      </c>
      <c r="AH534" s="8">
        <f>IF(AG534="","",Assumptions!$B$4-AG534)</f>
        <v>82</v>
      </c>
      <c r="AI534" s="5" t="s">
        <v>63</v>
      </c>
      <c r="AJ534" s="8">
        <v>2</v>
      </c>
      <c r="AK534" s="8">
        <v>1</v>
      </c>
      <c r="AL534" s="8">
        <v>769</v>
      </c>
      <c r="AM534" s="8">
        <v>1</v>
      </c>
      <c r="AN534" s="5" t="s">
        <v>63</v>
      </c>
      <c r="AO534" s="10">
        <v>78.3</v>
      </c>
      <c r="AP534" s="8">
        <v>47</v>
      </c>
      <c r="AQ534" s="9">
        <v>46294</v>
      </c>
      <c r="AR534" s="5" t="s">
        <v>51</v>
      </c>
      <c r="AS534" s="5" t="s">
        <v>64</v>
      </c>
    </row>
    <row r="535" spans="1:45" x14ac:dyDescent="0.35">
      <c r="A535" s="5" t="s">
        <v>2554</v>
      </c>
      <c r="B535" s="5" t="s">
        <v>1658</v>
      </c>
      <c r="C535" s="6" t="s">
        <v>2555</v>
      </c>
      <c r="D535" s="7">
        <v>431500</v>
      </c>
      <c r="E535" s="5" t="s">
        <v>48</v>
      </c>
      <c r="F535" s="5" t="s">
        <v>49</v>
      </c>
      <c r="G535" s="8"/>
      <c r="H535" s="8" t="str">
        <f>IF(F535="Bullet",MIN(G535,Assumptions!$B$6),"")</f>
        <v/>
      </c>
      <c r="I535" s="8">
        <v>2</v>
      </c>
      <c r="J535" s="8">
        <f>IF(F535="Monthly interest",MAX(0,Assumptions!$B$5-I535),"")</f>
        <v>1</v>
      </c>
      <c r="K535" s="7">
        <f t="shared" si="24"/>
        <v>15822</v>
      </c>
      <c r="L535" s="9">
        <v>46243</v>
      </c>
      <c r="M535" s="5" t="s">
        <v>69</v>
      </c>
      <c r="N535" s="5" t="s">
        <v>70</v>
      </c>
      <c r="O535" s="5" t="s">
        <v>71</v>
      </c>
      <c r="P535" s="5" t="s">
        <v>72</v>
      </c>
      <c r="Q535" s="5" t="s">
        <v>73</v>
      </c>
      <c r="R535" s="5" t="s">
        <v>74</v>
      </c>
      <c r="S535" s="5" t="s">
        <v>56</v>
      </c>
      <c r="T535" s="5" t="s">
        <v>57</v>
      </c>
      <c r="U535" s="5" t="s">
        <v>104</v>
      </c>
      <c r="V535" s="5" t="s">
        <v>59</v>
      </c>
      <c r="W535" s="5" t="s">
        <v>467</v>
      </c>
      <c r="X535" s="5" t="s">
        <v>2556</v>
      </c>
      <c r="Y535" s="5" t="s">
        <v>2557</v>
      </c>
      <c r="Z535" s="9">
        <v>46182</v>
      </c>
      <c r="AA535" s="8">
        <v>12</v>
      </c>
      <c r="AB535" s="9">
        <f t="shared" si="25"/>
        <v>46547</v>
      </c>
      <c r="AC535" s="10">
        <v>22</v>
      </c>
      <c r="AD535" s="7">
        <f t="shared" si="26"/>
        <v>7911</v>
      </c>
      <c r="AE535" s="7">
        <f>IF(F535="Bullet",H535*AD535,MIN(MAX(I535,1),Assumptions!$B$6)*AD535)</f>
        <v>15822</v>
      </c>
      <c r="AF535" s="8">
        <f>IF(F535="Bullet",MAX(0,Assumptions!$B$4-AB535),MAX(0,Assumptions!$B$4-L535))</f>
        <v>55</v>
      </c>
      <c r="AG535" s="9">
        <v>46216</v>
      </c>
      <c r="AH535" s="8">
        <f>IF(AG535="","",Assumptions!$B$4-AG535)</f>
        <v>82</v>
      </c>
      <c r="AI535" s="5" t="s">
        <v>63</v>
      </c>
      <c r="AJ535" s="8">
        <v>2</v>
      </c>
      <c r="AK535" s="8">
        <v>1</v>
      </c>
      <c r="AL535" s="8">
        <v>690</v>
      </c>
      <c r="AM535" s="8">
        <v>2</v>
      </c>
      <c r="AN535" s="5" t="s">
        <v>63</v>
      </c>
      <c r="AO535" s="10">
        <v>54.4</v>
      </c>
      <c r="AP535" s="8">
        <v>46</v>
      </c>
      <c r="AQ535" s="9">
        <v>46279</v>
      </c>
      <c r="AR535" s="5" t="s">
        <v>70</v>
      </c>
      <c r="AS535" s="5" t="s">
        <v>81</v>
      </c>
    </row>
    <row r="536" spans="1:45" x14ac:dyDescent="0.35">
      <c r="A536" s="5" t="s">
        <v>2558</v>
      </c>
      <c r="B536" s="5" t="s">
        <v>2559</v>
      </c>
      <c r="C536" s="6" t="s">
        <v>2560</v>
      </c>
      <c r="D536" s="7">
        <v>116900</v>
      </c>
      <c r="E536" s="5" t="s">
        <v>48</v>
      </c>
      <c r="F536" s="5" t="s">
        <v>49</v>
      </c>
      <c r="G536" s="8"/>
      <c r="H536" s="8" t="str">
        <f>IF(F536="Bullet",MIN(G536,Assumptions!$B$6),"")</f>
        <v/>
      </c>
      <c r="I536" s="8">
        <v>1</v>
      </c>
      <c r="J536" s="8">
        <f>IF(F536="Monthly interest",MAX(0,Assumptions!$B$5-I536),"")</f>
        <v>2</v>
      </c>
      <c r="K536" s="7">
        <f t="shared" si="24"/>
        <v>1559</v>
      </c>
      <c r="L536" s="9">
        <v>46273</v>
      </c>
      <c r="M536" s="5" t="s">
        <v>50</v>
      </c>
      <c r="N536" s="5" t="s">
        <v>51</v>
      </c>
      <c r="O536" s="5" t="s">
        <v>52</v>
      </c>
      <c r="P536" s="5" t="s">
        <v>53</v>
      </c>
      <c r="Q536" s="5" t="s">
        <v>54</v>
      </c>
      <c r="R536" s="5" t="s">
        <v>55</v>
      </c>
      <c r="S536" s="5" t="s">
        <v>185</v>
      </c>
      <c r="T536" s="5" t="s">
        <v>57</v>
      </c>
      <c r="U536" s="5" t="s">
        <v>104</v>
      </c>
      <c r="V536" s="5" t="s">
        <v>200</v>
      </c>
      <c r="W536" s="5" t="s">
        <v>500</v>
      </c>
      <c r="X536" s="5" t="s">
        <v>1495</v>
      </c>
      <c r="Y536" s="5" t="s">
        <v>2561</v>
      </c>
      <c r="Z536" s="9">
        <v>46061</v>
      </c>
      <c r="AA536" s="8">
        <v>12</v>
      </c>
      <c r="AB536" s="9">
        <f t="shared" si="25"/>
        <v>46426</v>
      </c>
      <c r="AC536" s="10">
        <v>16</v>
      </c>
      <c r="AD536" s="7">
        <f t="shared" si="26"/>
        <v>1559</v>
      </c>
      <c r="AE536" s="7">
        <f>IF(F536="Bullet",H536*AD536,MIN(MAX(I536,1),Assumptions!$B$6)*AD536)</f>
        <v>1559</v>
      </c>
      <c r="AF536" s="8">
        <f>IF(F536="Bullet",MAX(0,Assumptions!$B$4-AB536),MAX(0,Assumptions!$B$4-L536))</f>
        <v>25</v>
      </c>
      <c r="AG536" s="9">
        <v>46244</v>
      </c>
      <c r="AH536" s="8">
        <f>IF(AG536="","",Assumptions!$B$4-AG536)</f>
        <v>54</v>
      </c>
      <c r="AI536" s="5" t="s">
        <v>57</v>
      </c>
      <c r="AJ536" s="8">
        <v>1</v>
      </c>
      <c r="AK536" s="8">
        <v>0</v>
      </c>
      <c r="AL536" s="8">
        <v>714</v>
      </c>
      <c r="AM536" s="8">
        <v>0</v>
      </c>
      <c r="AN536" s="5" t="s">
        <v>63</v>
      </c>
      <c r="AO536" s="10">
        <v>64.400000000000006</v>
      </c>
      <c r="AP536" s="8">
        <v>26</v>
      </c>
      <c r="AQ536" s="9">
        <v>46282</v>
      </c>
      <c r="AR536" s="5" t="s">
        <v>53</v>
      </c>
      <c r="AS536" s="5" t="s">
        <v>64</v>
      </c>
    </row>
    <row r="537" spans="1:45" x14ac:dyDescent="0.35">
      <c r="A537" s="5" t="s">
        <v>2562</v>
      </c>
      <c r="B537" s="5" t="s">
        <v>2563</v>
      </c>
      <c r="C537" s="6" t="s">
        <v>2564</v>
      </c>
      <c r="D537" s="7">
        <v>150100</v>
      </c>
      <c r="E537" s="5" t="s">
        <v>48</v>
      </c>
      <c r="F537" s="5" t="s">
        <v>68</v>
      </c>
      <c r="G537" s="8">
        <v>4</v>
      </c>
      <c r="H537" s="8">
        <f>IF(F537="Bullet",MIN(G537,Assumptions!$B$6),"")</f>
        <v>2</v>
      </c>
      <c r="I537" s="8"/>
      <c r="J537" s="8" t="str">
        <f>IF(F537="Monthly interest",MAX(0,Assumptions!$B$5-I537),"")</f>
        <v/>
      </c>
      <c r="K537" s="7">
        <f t="shared" si="24"/>
        <v>9008</v>
      </c>
      <c r="L537" s="9">
        <v>46156</v>
      </c>
      <c r="M537" s="5" t="s">
        <v>69</v>
      </c>
      <c r="N537" s="5" t="s">
        <v>70</v>
      </c>
      <c r="O537" s="5" t="s">
        <v>295</v>
      </c>
      <c r="P537" s="5" t="s">
        <v>72</v>
      </c>
      <c r="Q537" s="5" t="s">
        <v>73</v>
      </c>
      <c r="R537" s="5" t="s">
        <v>74</v>
      </c>
      <c r="S537" s="5" t="s">
        <v>56</v>
      </c>
      <c r="T537" s="5" t="s">
        <v>57</v>
      </c>
      <c r="U537" s="5" t="s">
        <v>86</v>
      </c>
      <c r="V537" s="5" t="s">
        <v>59</v>
      </c>
      <c r="W537" s="5" t="s">
        <v>418</v>
      </c>
      <c r="X537" s="5" t="s">
        <v>2170</v>
      </c>
      <c r="Y537" s="5" t="s">
        <v>2565</v>
      </c>
      <c r="Z537" s="9">
        <v>46156</v>
      </c>
      <c r="AA537" s="8">
        <v>6</v>
      </c>
      <c r="AB537" s="9">
        <f t="shared" si="25"/>
        <v>46340</v>
      </c>
      <c r="AC537" s="10">
        <v>18</v>
      </c>
      <c r="AD537" s="7">
        <f t="shared" si="26"/>
        <v>2252</v>
      </c>
      <c r="AE537" s="7">
        <f>IF(F537="Bullet",H537*AD537,MIN(MAX(I537,1),Assumptions!$B$6)*AD537)</f>
        <v>4504</v>
      </c>
      <c r="AF537" s="8">
        <f>IF(F537="Bullet",MAX(0,Assumptions!$B$4-AB537),MAX(0,Assumptions!$B$4-L537))</f>
        <v>0</v>
      </c>
      <c r="AG537" s="9"/>
      <c r="AH537" s="8" t="str">
        <f>IF(AG537="","",Assumptions!$B$4-AG537)</f>
        <v/>
      </c>
      <c r="AI537" s="5" t="s">
        <v>80</v>
      </c>
      <c r="AJ537" s="8"/>
      <c r="AK537" s="8">
        <v>1</v>
      </c>
      <c r="AL537" s="8">
        <v>651</v>
      </c>
      <c r="AM537" s="8">
        <v>1</v>
      </c>
      <c r="AN537" s="5" t="s">
        <v>63</v>
      </c>
      <c r="AO537" s="10">
        <v>69.2</v>
      </c>
      <c r="AP537" s="8">
        <v>42</v>
      </c>
      <c r="AQ537" s="9">
        <v>46279</v>
      </c>
      <c r="AR537" s="5" t="s">
        <v>53</v>
      </c>
      <c r="AS537" s="5" t="s">
        <v>91</v>
      </c>
    </row>
    <row r="538" spans="1:45" x14ac:dyDescent="0.35">
      <c r="A538" s="5" t="s">
        <v>2566</v>
      </c>
      <c r="B538" s="5" t="s">
        <v>2567</v>
      </c>
      <c r="C538" s="6" t="s">
        <v>2568</v>
      </c>
      <c r="D538" s="7">
        <v>161600</v>
      </c>
      <c r="E538" s="5" t="s">
        <v>48</v>
      </c>
      <c r="F538" s="5" t="s">
        <v>68</v>
      </c>
      <c r="G538" s="8">
        <v>5</v>
      </c>
      <c r="H538" s="8">
        <f>IF(F538="Bullet",MIN(G538,Assumptions!$B$6),"")</f>
        <v>2</v>
      </c>
      <c r="I538" s="8"/>
      <c r="J538" s="8" t="str">
        <f>IF(F538="Monthly interest",MAX(0,Assumptions!$B$5-I538),"")</f>
        <v/>
      </c>
      <c r="K538" s="7">
        <f t="shared" si="24"/>
        <v>10100</v>
      </c>
      <c r="L538" s="9">
        <v>46127</v>
      </c>
      <c r="M538" s="5" t="s">
        <v>116</v>
      </c>
      <c r="N538" s="5" t="s">
        <v>117</v>
      </c>
      <c r="O538" s="5" t="s">
        <v>461</v>
      </c>
      <c r="P538" s="5" t="s">
        <v>72</v>
      </c>
      <c r="Q538" s="5" t="s">
        <v>169</v>
      </c>
      <c r="R538" s="5" t="s">
        <v>170</v>
      </c>
      <c r="S538" s="5" t="s">
        <v>185</v>
      </c>
      <c r="T538" s="5" t="s">
        <v>57</v>
      </c>
      <c r="U538" s="5" t="s">
        <v>58</v>
      </c>
      <c r="V538" s="5" t="s">
        <v>200</v>
      </c>
      <c r="W538" s="5" t="s">
        <v>433</v>
      </c>
      <c r="X538" s="5" t="s">
        <v>1347</v>
      </c>
      <c r="Y538" s="5" t="s">
        <v>2569</v>
      </c>
      <c r="Z538" s="9">
        <v>46127</v>
      </c>
      <c r="AA538" s="8">
        <v>6</v>
      </c>
      <c r="AB538" s="9">
        <f t="shared" si="25"/>
        <v>46310</v>
      </c>
      <c r="AC538" s="10">
        <v>15</v>
      </c>
      <c r="AD538" s="7">
        <f t="shared" si="26"/>
        <v>2020</v>
      </c>
      <c r="AE538" s="7">
        <f>IF(F538="Bullet",H538*AD538,MIN(MAX(I538,1),Assumptions!$B$6)*AD538)</f>
        <v>4040</v>
      </c>
      <c r="AF538" s="8">
        <f>IF(F538="Bullet",MAX(0,Assumptions!$B$4-AB538),MAX(0,Assumptions!$B$4-L538))</f>
        <v>0</v>
      </c>
      <c r="AG538" s="9"/>
      <c r="AH538" s="8" t="str">
        <f>IF(AG538="","",Assumptions!$B$4-AG538)</f>
        <v/>
      </c>
      <c r="AI538" s="5" t="s">
        <v>80</v>
      </c>
      <c r="AJ538" s="8"/>
      <c r="AK538" s="8">
        <v>1</v>
      </c>
      <c r="AL538" s="8">
        <v>705</v>
      </c>
      <c r="AM538" s="8">
        <v>0</v>
      </c>
      <c r="AN538" s="5" t="s">
        <v>57</v>
      </c>
      <c r="AO538" s="10">
        <v>68.099999999999994</v>
      </c>
      <c r="AP538" s="8">
        <v>57</v>
      </c>
      <c r="AQ538" s="9">
        <v>46277</v>
      </c>
      <c r="AR538" s="5" t="s">
        <v>70</v>
      </c>
      <c r="AS538" s="5" t="s">
        <v>81</v>
      </c>
    </row>
    <row r="539" spans="1:45" x14ac:dyDescent="0.35">
      <c r="A539" s="5" t="s">
        <v>2570</v>
      </c>
      <c r="B539" s="5" t="s">
        <v>1522</v>
      </c>
      <c r="C539" s="6" t="s">
        <v>2571</v>
      </c>
      <c r="D539" s="7">
        <v>369600</v>
      </c>
      <c r="E539" s="5" t="s">
        <v>48</v>
      </c>
      <c r="F539" s="5" t="s">
        <v>49</v>
      </c>
      <c r="G539" s="8"/>
      <c r="H539" s="8" t="str">
        <f>IF(F539="Bullet",MIN(G539,Assumptions!$B$6),"")</f>
        <v/>
      </c>
      <c r="I539" s="8">
        <v>1</v>
      </c>
      <c r="J539" s="8">
        <f>IF(F539="Monthly interest",MAX(0,Assumptions!$B$5-I539),"")</f>
        <v>2</v>
      </c>
      <c r="K539" s="7">
        <f t="shared" si="24"/>
        <v>4928</v>
      </c>
      <c r="L539" s="9">
        <v>46280</v>
      </c>
      <c r="M539" s="5" t="s">
        <v>50</v>
      </c>
      <c r="N539" s="5" t="s">
        <v>51</v>
      </c>
      <c r="O539" s="5" t="s">
        <v>52</v>
      </c>
      <c r="P539" s="5" t="s">
        <v>53</v>
      </c>
      <c r="Q539" s="5" t="s">
        <v>54</v>
      </c>
      <c r="R539" s="5" t="s">
        <v>55</v>
      </c>
      <c r="S539" s="5" t="s">
        <v>56</v>
      </c>
      <c r="T539" s="5" t="s">
        <v>57</v>
      </c>
      <c r="U539" s="5" t="s">
        <v>104</v>
      </c>
      <c r="V539" s="5" t="s">
        <v>59</v>
      </c>
      <c r="W539" s="5" t="s">
        <v>418</v>
      </c>
      <c r="X539" s="5" t="s">
        <v>1988</v>
      </c>
      <c r="Y539" s="5" t="s">
        <v>2572</v>
      </c>
      <c r="Z539" s="9">
        <v>46037</v>
      </c>
      <c r="AA539" s="8">
        <v>24</v>
      </c>
      <c r="AB539" s="9">
        <f t="shared" si="25"/>
        <v>46767</v>
      </c>
      <c r="AC539" s="10">
        <v>16</v>
      </c>
      <c r="AD539" s="7">
        <f t="shared" si="26"/>
        <v>4928</v>
      </c>
      <c r="AE539" s="7">
        <f>IF(F539="Bullet",H539*AD539,MIN(MAX(I539,1),Assumptions!$B$6)*AD539)</f>
        <v>4928</v>
      </c>
      <c r="AF539" s="8">
        <f>IF(F539="Bullet",MAX(0,Assumptions!$B$4-AB539),MAX(0,Assumptions!$B$4-L539))</f>
        <v>18</v>
      </c>
      <c r="AG539" s="9">
        <v>46250</v>
      </c>
      <c r="AH539" s="8">
        <f>IF(AG539="","",Assumptions!$B$4-AG539)</f>
        <v>48</v>
      </c>
      <c r="AI539" s="5" t="s">
        <v>57</v>
      </c>
      <c r="AJ539" s="8">
        <v>1</v>
      </c>
      <c r="AK539" s="8">
        <v>0</v>
      </c>
      <c r="AL539" s="8">
        <v>803</v>
      </c>
      <c r="AM539" s="8">
        <v>1</v>
      </c>
      <c r="AN539" s="5" t="s">
        <v>63</v>
      </c>
      <c r="AO539" s="10">
        <v>80.8</v>
      </c>
      <c r="AP539" s="8">
        <v>18</v>
      </c>
      <c r="AQ539" s="9">
        <v>46290</v>
      </c>
      <c r="AR539" s="5" t="s">
        <v>53</v>
      </c>
      <c r="AS539" s="5" t="s">
        <v>64</v>
      </c>
    </row>
    <row r="540" spans="1:45" x14ac:dyDescent="0.35">
      <c r="A540" s="5" t="s">
        <v>2573</v>
      </c>
      <c r="B540" s="5" t="s">
        <v>2574</v>
      </c>
      <c r="C540" s="6" t="s">
        <v>2575</v>
      </c>
      <c r="D540" s="7">
        <v>412400</v>
      </c>
      <c r="E540" s="5" t="s">
        <v>48</v>
      </c>
      <c r="F540" s="5" t="s">
        <v>68</v>
      </c>
      <c r="G540" s="8">
        <v>6</v>
      </c>
      <c r="H540" s="8">
        <f>IF(F540="Bullet",MIN(G540,Assumptions!$B$6),"")</f>
        <v>2</v>
      </c>
      <c r="I540" s="8"/>
      <c r="J540" s="8" t="str">
        <f>IF(F540="Monthly interest",MAX(0,Assumptions!$B$5-I540),"")</f>
        <v/>
      </c>
      <c r="K540" s="7">
        <f t="shared" si="24"/>
        <v>24744</v>
      </c>
      <c r="L540" s="9">
        <v>46115</v>
      </c>
      <c r="M540" s="5" t="s">
        <v>69</v>
      </c>
      <c r="N540" s="5" t="s">
        <v>70</v>
      </c>
      <c r="O540" s="5" t="s">
        <v>531</v>
      </c>
      <c r="P540" s="5" t="s">
        <v>72</v>
      </c>
      <c r="Q540" s="5" t="s">
        <v>169</v>
      </c>
      <c r="R540" s="5" t="s">
        <v>170</v>
      </c>
      <c r="S540" s="5" t="s">
        <v>56</v>
      </c>
      <c r="T540" s="5" t="s">
        <v>57</v>
      </c>
      <c r="U540" s="5" t="s">
        <v>86</v>
      </c>
      <c r="V540" s="5" t="s">
        <v>59</v>
      </c>
      <c r="W540" s="5" t="s">
        <v>323</v>
      </c>
      <c r="X540" s="5" t="s">
        <v>651</v>
      </c>
      <c r="Y540" s="5" t="s">
        <v>2576</v>
      </c>
      <c r="Z540" s="9">
        <v>46115</v>
      </c>
      <c r="AA540" s="8">
        <v>12</v>
      </c>
      <c r="AB540" s="9">
        <f t="shared" si="25"/>
        <v>46480</v>
      </c>
      <c r="AC540" s="10">
        <v>12</v>
      </c>
      <c r="AD540" s="7">
        <f t="shared" si="26"/>
        <v>4124</v>
      </c>
      <c r="AE540" s="7">
        <f>IF(F540="Bullet",H540*AD540,MIN(MAX(I540,1),Assumptions!$B$6)*AD540)</f>
        <v>8248</v>
      </c>
      <c r="AF540" s="8">
        <f>IF(F540="Bullet",MAX(0,Assumptions!$B$4-AB540),MAX(0,Assumptions!$B$4-L540))</f>
        <v>0</v>
      </c>
      <c r="AG540" s="9"/>
      <c r="AH540" s="8" t="str">
        <f>IF(AG540="","",Assumptions!$B$4-AG540)</f>
        <v/>
      </c>
      <c r="AI540" s="5" t="s">
        <v>80</v>
      </c>
      <c r="AJ540" s="8"/>
      <c r="AK540" s="8">
        <v>0</v>
      </c>
      <c r="AL540" s="8">
        <v>696</v>
      </c>
      <c r="AM540" s="8">
        <v>1</v>
      </c>
      <c r="AN540" s="5" t="s">
        <v>63</v>
      </c>
      <c r="AO540" s="10">
        <v>63.2</v>
      </c>
      <c r="AP540" s="8">
        <v>31</v>
      </c>
      <c r="AQ540" s="9">
        <v>46294</v>
      </c>
      <c r="AR540" s="5" t="s">
        <v>53</v>
      </c>
      <c r="AS540" s="5" t="s">
        <v>81</v>
      </c>
    </row>
    <row r="541" spans="1:45" x14ac:dyDescent="0.35">
      <c r="A541" s="5" t="s">
        <v>2577</v>
      </c>
      <c r="B541" s="5" t="s">
        <v>2087</v>
      </c>
      <c r="C541" s="6" t="s">
        <v>2578</v>
      </c>
      <c r="D541" s="7">
        <v>119500</v>
      </c>
      <c r="E541" s="5" t="s">
        <v>48</v>
      </c>
      <c r="F541" s="5" t="s">
        <v>49</v>
      </c>
      <c r="G541" s="8"/>
      <c r="H541" s="8" t="str">
        <f>IF(F541="Bullet",MIN(G541,Assumptions!$B$6),"")</f>
        <v/>
      </c>
      <c r="I541" s="8">
        <v>1</v>
      </c>
      <c r="J541" s="8">
        <f>IF(F541="Monthly interest",MAX(0,Assumptions!$B$5-I541),"")</f>
        <v>2</v>
      </c>
      <c r="K541" s="7">
        <f t="shared" si="24"/>
        <v>1992</v>
      </c>
      <c r="L541" s="9">
        <v>46286</v>
      </c>
      <c r="M541" s="5" t="s">
        <v>69</v>
      </c>
      <c r="N541" s="5" t="s">
        <v>51</v>
      </c>
      <c r="O541" s="5" t="s">
        <v>52</v>
      </c>
      <c r="P541" s="5" t="s">
        <v>53</v>
      </c>
      <c r="Q541" s="5" t="s">
        <v>54</v>
      </c>
      <c r="R541" s="5" t="s">
        <v>55</v>
      </c>
      <c r="S541" s="5" t="s">
        <v>185</v>
      </c>
      <c r="T541" s="5" t="s">
        <v>57</v>
      </c>
      <c r="U541" s="5" t="s">
        <v>86</v>
      </c>
      <c r="V541" s="5" t="s">
        <v>200</v>
      </c>
      <c r="W541" s="5" t="s">
        <v>1332</v>
      </c>
      <c r="X541" s="5" t="s">
        <v>2348</v>
      </c>
      <c r="Y541" s="5" t="s">
        <v>2579</v>
      </c>
      <c r="Z541" s="9">
        <v>46163</v>
      </c>
      <c r="AA541" s="8">
        <v>12</v>
      </c>
      <c r="AB541" s="9">
        <f t="shared" si="25"/>
        <v>46528</v>
      </c>
      <c r="AC541" s="10">
        <v>20</v>
      </c>
      <c r="AD541" s="7">
        <f t="shared" si="26"/>
        <v>1992</v>
      </c>
      <c r="AE541" s="7">
        <f>IF(F541="Bullet",H541*AD541,MIN(MAX(I541,1),Assumptions!$B$6)*AD541)</f>
        <v>1992</v>
      </c>
      <c r="AF541" s="8">
        <f>IF(F541="Bullet",MAX(0,Assumptions!$B$4-AB541),MAX(0,Assumptions!$B$4-L541))</f>
        <v>12</v>
      </c>
      <c r="AG541" s="9">
        <v>46258</v>
      </c>
      <c r="AH541" s="8">
        <f>IF(AG541="","",Assumptions!$B$4-AG541)</f>
        <v>40</v>
      </c>
      <c r="AI541" s="5" t="s">
        <v>63</v>
      </c>
      <c r="AJ541" s="8">
        <v>1</v>
      </c>
      <c r="AK541" s="8">
        <v>0</v>
      </c>
      <c r="AL541" s="8" t="s">
        <v>80</v>
      </c>
      <c r="AM541" s="8">
        <v>4</v>
      </c>
      <c r="AN541" s="5" t="s">
        <v>57</v>
      </c>
      <c r="AO541" s="10">
        <v>71.7</v>
      </c>
      <c r="AP541" s="8">
        <v>38</v>
      </c>
      <c r="AQ541" s="9">
        <v>46295</v>
      </c>
      <c r="AR541" s="5" t="s">
        <v>51</v>
      </c>
      <c r="AS541" s="5" t="s">
        <v>274</v>
      </c>
    </row>
    <row r="542" spans="1:45" x14ac:dyDescent="0.35">
      <c r="A542" s="5" t="s">
        <v>2580</v>
      </c>
      <c r="B542" s="5" t="s">
        <v>509</v>
      </c>
      <c r="C542" s="6" t="s">
        <v>2581</v>
      </c>
      <c r="D542" s="7">
        <v>207100</v>
      </c>
      <c r="E542" s="5" t="s">
        <v>48</v>
      </c>
      <c r="F542" s="5" t="s">
        <v>49</v>
      </c>
      <c r="G542" s="8"/>
      <c r="H542" s="8" t="str">
        <f>IF(F542="Bullet",MIN(G542,Assumptions!$B$6),"")</f>
        <v/>
      </c>
      <c r="I542" s="8">
        <v>1</v>
      </c>
      <c r="J542" s="8">
        <f>IF(F542="Monthly interest",MAX(0,Assumptions!$B$5-I542),"")</f>
        <v>2</v>
      </c>
      <c r="K542" s="7">
        <f t="shared" si="24"/>
        <v>2589</v>
      </c>
      <c r="L542" s="9">
        <v>46290</v>
      </c>
      <c r="M542" s="5" t="s">
        <v>50</v>
      </c>
      <c r="N542" s="5" t="s">
        <v>51</v>
      </c>
      <c r="O542" s="5" t="s">
        <v>52</v>
      </c>
      <c r="P542" s="5" t="s">
        <v>53</v>
      </c>
      <c r="Q542" s="5" t="s">
        <v>54</v>
      </c>
      <c r="R542" s="5" t="s">
        <v>55</v>
      </c>
      <c r="S542" s="5" t="s">
        <v>56</v>
      </c>
      <c r="T542" s="5" t="s">
        <v>57</v>
      </c>
      <c r="U542" s="5" t="s">
        <v>58</v>
      </c>
      <c r="V542" s="5" t="s">
        <v>59</v>
      </c>
      <c r="W542" s="5" t="s">
        <v>194</v>
      </c>
      <c r="X542" s="5" t="s">
        <v>195</v>
      </c>
      <c r="Y542" s="5" t="s">
        <v>2582</v>
      </c>
      <c r="Z542" s="9">
        <v>46106</v>
      </c>
      <c r="AA542" s="8">
        <v>24</v>
      </c>
      <c r="AB542" s="9">
        <f t="shared" si="25"/>
        <v>46837</v>
      </c>
      <c r="AC542" s="10">
        <v>15</v>
      </c>
      <c r="AD542" s="7">
        <f t="shared" si="26"/>
        <v>2589</v>
      </c>
      <c r="AE542" s="7">
        <f>IF(F542="Bullet",H542*AD542,MIN(MAX(I542,1),Assumptions!$B$6)*AD542)</f>
        <v>2589</v>
      </c>
      <c r="AF542" s="8">
        <f>IF(F542="Bullet",MAX(0,Assumptions!$B$4-AB542),MAX(0,Assumptions!$B$4-L542))</f>
        <v>8</v>
      </c>
      <c r="AG542" s="9">
        <v>46264</v>
      </c>
      <c r="AH542" s="8">
        <f>IF(AG542="","",Assumptions!$B$4-AG542)</f>
        <v>34</v>
      </c>
      <c r="AI542" s="5" t="s">
        <v>63</v>
      </c>
      <c r="AJ542" s="8">
        <v>2</v>
      </c>
      <c r="AK542" s="8">
        <v>1</v>
      </c>
      <c r="AL542" s="8">
        <v>900</v>
      </c>
      <c r="AM542" s="8">
        <v>1</v>
      </c>
      <c r="AN542" s="5" t="s">
        <v>63</v>
      </c>
      <c r="AO542" s="10">
        <v>68.900000000000006</v>
      </c>
      <c r="AP542" s="8">
        <v>22</v>
      </c>
      <c r="AQ542" s="9">
        <v>46293</v>
      </c>
      <c r="AR542" s="5" t="s">
        <v>53</v>
      </c>
      <c r="AS542" s="5" t="s">
        <v>64</v>
      </c>
    </row>
    <row r="543" spans="1:45" x14ac:dyDescent="0.35">
      <c r="A543" s="5" t="s">
        <v>2583</v>
      </c>
      <c r="B543" s="5" t="s">
        <v>2584</v>
      </c>
      <c r="C543" s="6" t="s">
        <v>2585</v>
      </c>
      <c r="D543" s="7">
        <v>120600</v>
      </c>
      <c r="E543" s="5" t="s">
        <v>48</v>
      </c>
      <c r="F543" s="5" t="s">
        <v>49</v>
      </c>
      <c r="G543" s="8"/>
      <c r="H543" s="8" t="str">
        <f>IF(F543="Bullet",MIN(G543,Assumptions!$B$6),"")</f>
        <v/>
      </c>
      <c r="I543" s="8">
        <v>1</v>
      </c>
      <c r="J543" s="8">
        <f>IF(F543="Monthly interest",MAX(0,Assumptions!$B$5-I543),"")</f>
        <v>2</v>
      </c>
      <c r="K543" s="7">
        <f t="shared" si="24"/>
        <v>1608</v>
      </c>
      <c r="L543" s="9">
        <v>46276</v>
      </c>
      <c r="M543" s="5" t="s">
        <v>69</v>
      </c>
      <c r="N543" s="5" t="s">
        <v>51</v>
      </c>
      <c r="O543" s="5" t="s">
        <v>52</v>
      </c>
      <c r="P543" s="5" t="s">
        <v>53</v>
      </c>
      <c r="Q543" s="5" t="s">
        <v>54</v>
      </c>
      <c r="R543" s="5" t="s">
        <v>55</v>
      </c>
      <c r="S543" s="5" t="s">
        <v>185</v>
      </c>
      <c r="T543" s="5" t="s">
        <v>57</v>
      </c>
      <c r="U543" s="5" t="s">
        <v>58</v>
      </c>
      <c r="V543" s="5" t="s">
        <v>200</v>
      </c>
      <c r="W543" s="5" t="s">
        <v>500</v>
      </c>
      <c r="X543" s="5" t="s">
        <v>2586</v>
      </c>
      <c r="Y543" s="5" t="s">
        <v>2587</v>
      </c>
      <c r="Z543" s="9">
        <v>46184</v>
      </c>
      <c r="AA543" s="8">
        <v>24</v>
      </c>
      <c r="AB543" s="9">
        <f t="shared" si="25"/>
        <v>46915</v>
      </c>
      <c r="AC543" s="10">
        <v>16</v>
      </c>
      <c r="AD543" s="7">
        <f t="shared" si="26"/>
        <v>1608</v>
      </c>
      <c r="AE543" s="7">
        <f>IF(F543="Bullet",H543*AD543,MIN(MAX(I543,1),Assumptions!$B$6)*AD543)</f>
        <v>1608</v>
      </c>
      <c r="AF543" s="8">
        <f>IF(F543="Bullet",MAX(0,Assumptions!$B$4-AB543),MAX(0,Assumptions!$B$4-L543))</f>
        <v>22</v>
      </c>
      <c r="AG543" s="9">
        <v>46246</v>
      </c>
      <c r="AH543" s="8">
        <f>IF(AG543="","",Assumptions!$B$4-AG543)</f>
        <v>52</v>
      </c>
      <c r="AI543" s="5" t="s">
        <v>57</v>
      </c>
      <c r="AJ543" s="8">
        <v>1</v>
      </c>
      <c r="AK543" s="8">
        <v>1</v>
      </c>
      <c r="AL543" s="8">
        <v>656</v>
      </c>
      <c r="AM543" s="8">
        <v>1</v>
      </c>
      <c r="AN543" s="5" t="s">
        <v>63</v>
      </c>
      <c r="AO543" s="10">
        <v>71.3</v>
      </c>
      <c r="AP543" s="8">
        <v>38</v>
      </c>
      <c r="AQ543" s="9">
        <v>46283</v>
      </c>
      <c r="AR543" s="5" t="s">
        <v>51</v>
      </c>
      <c r="AS543" s="5" t="s">
        <v>190</v>
      </c>
    </row>
    <row r="544" spans="1:45" x14ac:dyDescent="0.35">
      <c r="A544" s="5" t="s">
        <v>2588</v>
      </c>
      <c r="B544" s="5" t="s">
        <v>310</v>
      </c>
      <c r="C544" s="6" t="s">
        <v>2589</v>
      </c>
      <c r="D544" s="7">
        <v>108400</v>
      </c>
      <c r="E544" s="5" t="s">
        <v>48</v>
      </c>
      <c r="F544" s="5" t="s">
        <v>68</v>
      </c>
      <c r="G544" s="8">
        <v>2</v>
      </c>
      <c r="H544" s="8">
        <f>IF(F544="Bullet",MIN(G544,Assumptions!$B$6),"")</f>
        <v>2</v>
      </c>
      <c r="I544" s="8"/>
      <c r="J544" s="8" t="str">
        <f>IF(F544="Monthly interest",MAX(0,Assumptions!$B$5-I544),"")</f>
        <v/>
      </c>
      <c r="K544" s="7">
        <f t="shared" si="24"/>
        <v>3252</v>
      </c>
      <c r="L544" s="9">
        <v>46232</v>
      </c>
      <c r="M544" s="5" t="s">
        <v>69</v>
      </c>
      <c r="N544" s="5" t="s">
        <v>53</v>
      </c>
      <c r="O544" s="5" t="s">
        <v>71</v>
      </c>
      <c r="P544" s="5" t="s">
        <v>70</v>
      </c>
      <c r="Q544" s="5" t="s">
        <v>73</v>
      </c>
      <c r="R544" s="5" t="s">
        <v>74</v>
      </c>
      <c r="S544" s="5" t="s">
        <v>85</v>
      </c>
      <c r="T544" s="5" t="s">
        <v>63</v>
      </c>
      <c r="U544" s="5" t="s">
        <v>86</v>
      </c>
      <c r="V544" s="5" t="s">
        <v>96</v>
      </c>
      <c r="W544" s="5" t="s">
        <v>819</v>
      </c>
      <c r="X544" s="5" t="s">
        <v>2590</v>
      </c>
      <c r="Y544" s="5" t="s">
        <v>2591</v>
      </c>
      <c r="Z544" s="9">
        <v>46232</v>
      </c>
      <c r="AA544" s="8">
        <v>12</v>
      </c>
      <c r="AB544" s="9">
        <f t="shared" si="25"/>
        <v>46597</v>
      </c>
      <c r="AC544" s="10">
        <v>18</v>
      </c>
      <c r="AD544" s="7">
        <f t="shared" si="26"/>
        <v>1626</v>
      </c>
      <c r="AE544" s="7">
        <f>IF(F544="Bullet",H544*AD544,MIN(MAX(I544,1),Assumptions!$B$6)*AD544)</f>
        <v>3252</v>
      </c>
      <c r="AF544" s="8">
        <f>IF(F544="Bullet",MAX(0,Assumptions!$B$4-AB544),MAX(0,Assumptions!$B$4-L544))</f>
        <v>0</v>
      </c>
      <c r="AG544" s="9"/>
      <c r="AH544" s="8" t="str">
        <f>IF(AG544="","",Assumptions!$B$4-AG544)</f>
        <v/>
      </c>
      <c r="AI544" s="5" t="s">
        <v>80</v>
      </c>
      <c r="AJ544" s="8"/>
      <c r="AK544" s="8">
        <v>1</v>
      </c>
      <c r="AL544" s="8">
        <v>657</v>
      </c>
      <c r="AM544" s="8">
        <v>0</v>
      </c>
      <c r="AN544" s="5" t="s">
        <v>63</v>
      </c>
      <c r="AO544" s="10">
        <v>84.7</v>
      </c>
      <c r="AP544" s="8">
        <v>35</v>
      </c>
      <c r="AQ544" s="9">
        <v>46277</v>
      </c>
      <c r="AR544" s="5" t="s">
        <v>70</v>
      </c>
      <c r="AS544" s="5" t="s">
        <v>64</v>
      </c>
    </row>
    <row r="545" spans="1:45" x14ac:dyDescent="0.35">
      <c r="A545" s="5" t="s">
        <v>2592</v>
      </c>
      <c r="B545" s="5" t="s">
        <v>2593</v>
      </c>
      <c r="C545" s="6" t="s">
        <v>2594</v>
      </c>
      <c r="D545" s="7">
        <v>36900</v>
      </c>
      <c r="E545" s="5" t="s">
        <v>48</v>
      </c>
      <c r="F545" s="5" t="s">
        <v>68</v>
      </c>
      <c r="G545" s="8">
        <v>5</v>
      </c>
      <c r="H545" s="8">
        <f>IF(F545="Bullet",MIN(G545,Assumptions!$B$6),"")</f>
        <v>2</v>
      </c>
      <c r="I545" s="8"/>
      <c r="J545" s="8" t="str">
        <f>IF(F545="Monthly interest",MAX(0,Assumptions!$B$5-I545),"")</f>
        <v/>
      </c>
      <c r="K545" s="7">
        <f t="shared" si="24"/>
        <v>2000</v>
      </c>
      <c r="L545" s="9">
        <v>46144</v>
      </c>
      <c r="M545" s="5" t="s">
        <v>116</v>
      </c>
      <c r="N545" s="5" t="s">
        <v>117</v>
      </c>
      <c r="O545" s="5" t="s">
        <v>461</v>
      </c>
      <c r="P545" s="5" t="s">
        <v>72</v>
      </c>
      <c r="Q545" s="5" t="s">
        <v>169</v>
      </c>
      <c r="R545" s="5" t="s">
        <v>170</v>
      </c>
      <c r="S545" s="5" t="s">
        <v>56</v>
      </c>
      <c r="T545" s="5" t="s">
        <v>63</v>
      </c>
      <c r="U545" s="5" t="s">
        <v>86</v>
      </c>
      <c r="V545" s="5" t="s">
        <v>59</v>
      </c>
      <c r="W545" s="5" t="s">
        <v>323</v>
      </c>
      <c r="X545" s="5" t="s">
        <v>1309</v>
      </c>
      <c r="Y545" s="5" t="s">
        <v>2595</v>
      </c>
      <c r="Z545" s="9">
        <v>46144</v>
      </c>
      <c r="AA545" s="8">
        <v>6</v>
      </c>
      <c r="AB545" s="9">
        <f t="shared" si="25"/>
        <v>46328</v>
      </c>
      <c r="AC545" s="10">
        <v>13</v>
      </c>
      <c r="AD545" s="7">
        <f t="shared" si="26"/>
        <v>400</v>
      </c>
      <c r="AE545" s="7">
        <f>IF(F545="Bullet",H545*AD545,MIN(MAX(I545,1),Assumptions!$B$6)*AD545)</f>
        <v>800</v>
      </c>
      <c r="AF545" s="8">
        <f>IF(F545="Bullet",MAX(0,Assumptions!$B$4-AB545),MAX(0,Assumptions!$B$4-L545))</f>
        <v>0</v>
      </c>
      <c r="AG545" s="9"/>
      <c r="AH545" s="8" t="str">
        <f>IF(AG545="","",Assumptions!$B$4-AG545)</f>
        <v/>
      </c>
      <c r="AI545" s="5" t="s">
        <v>80</v>
      </c>
      <c r="AJ545" s="8"/>
      <c r="AK545" s="8">
        <v>2</v>
      </c>
      <c r="AL545" s="8">
        <v>692</v>
      </c>
      <c r="AM545" s="8">
        <v>3</v>
      </c>
      <c r="AN545" s="5" t="s">
        <v>63</v>
      </c>
      <c r="AO545" s="10">
        <v>73.2</v>
      </c>
      <c r="AP545" s="8">
        <v>63</v>
      </c>
      <c r="AQ545" s="9">
        <v>46277</v>
      </c>
      <c r="AR545" s="5" t="s">
        <v>70</v>
      </c>
      <c r="AS545" s="5" t="s">
        <v>64</v>
      </c>
    </row>
    <row r="546" spans="1:45" x14ac:dyDescent="0.35">
      <c r="A546" s="5" t="s">
        <v>2596</v>
      </c>
      <c r="B546" s="5" t="s">
        <v>2597</v>
      </c>
      <c r="C546" s="6" t="s">
        <v>2598</v>
      </c>
      <c r="D546" s="7">
        <v>105700</v>
      </c>
      <c r="E546" s="5" t="s">
        <v>48</v>
      </c>
      <c r="F546" s="5" t="s">
        <v>68</v>
      </c>
      <c r="G546" s="8">
        <v>6</v>
      </c>
      <c r="H546" s="8">
        <f>IF(F546="Bullet",MIN(G546,Assumptions!$B$6),"")</f>
        <v>2</v>
      </c>
      <c r="I546" s="8"/>
      <c r="J546" s="8" t="str">
        <f>IF(F546="Monthly interest",MAX(0,Assumptions!$B$5-I546),"")</f>
        <v/>
      </c>
      <c r="K546" s="7">
        <f t="shared" si="24"/>
        <v>7926</v>
      </c>
      <c r="L546" s="9">
        <v>46104</v>
      </c>
      <c r="M546" s="5" t="s">
        <v>69</v>
      </c>
      <c r="N546" s="5" t="s">
        <v>53</v>
      </c>
      <c r="O546" s="5" t="s">
        <v>168</v>
      </c>
      <c r="P546" s="5" t="s">
        <v>70</v>
      </c>
      <c r="Q546" s="5" t="s">
        <v>169</v>
      </c>
      <c r="R546" s="5" t="s">
        <v>170</v>
      </c>
      <c r="S546" s="5" t="s">
        <v>85</v>
      </c>
      <c r="T546" s="5" t="s">
        <v>57</v>
      </c>
      <c r="U546" s="5" t="s">
        <v>86</v>
      </c>
      <c r="V546" s="5" t="s">
        <v>553</v>
      </c>
      <c r="W546" s="5" t="s">
        <v>1029</v>
      </c>
      <c r="X546" s="5" t="s">
        <v>2599</v>
      </c>
      <c r="Y546" s="5" t="s">
        <v>2600</v>
      </c>
      <c r="Z546" s="9">
        <v>46104</v>
      </c>
      <c r="AA546" s="8">
        <v>12</v>
      </c>
      <c r="AB546" s="9">
        <f t="shared" si="25"/>
        <v>46469</v>
      </c>
      <c r="AC546" s="10">
        <v>15</v>
      </c>
      <c r="AD546" s="7">
        <f t="shared" si="26"/>
        <v>1321</v>
      </c>
      <c r="AE546" s="7">
        <f>IF(F546="Bullet",H546*AD546,MIN(MAX(I546,1),Assumptions!$B$6)*AD546)</f>
        <v>2642</v>
      </c>
      <c r="AF546" s="8">
        <f>IF(F546="Bullet",MAX(0,Assumptions!$B$4-AB546),MAX(0,Assumptions!$B$4-L546))</f>
        <v>0</v>
      </c>
      <c r="AG546" s="9"/>
      <c r="AH546" s="8" t="str">
        <f>IF(AG546="","",Assumptions!$B$4-AG546)</f>
        <v/>
      </c>
      <c r="AI546" s="5" t="s">
        <v>80</v>
      </c>
      <c r="AJ546" s="8"/>
      <c r="AK546" s="8">
        <v>1</v>
      </c>
      <c r="AL546" s="8">
        <v>678</v>
      </c>
      <c r="AM546" s="8">
        <v>1</v>
      </c>
      <c r="AN546" s="5" t="s">
        <v>63</v>
      </c>
      <c r="AO546" s="10">
        <v>63.9</v>
      </c>
      <c r="AP546" s="8">
        <v>39</v>
      </c>
      <c r="AQ546" s="9">
        <v>46296</v>
      </c>
      <c r="AR546" s="5" t="s">
        <v>70</v>
      </c>
      <c r="AS546" s="5" t="s">
        <v>64</v>
      </c>
    </row>
    <row r="547" spans="1:45" x14ac:dyDescent="0.35">
      <c r="A547" s="5" t="s">
        <v>2601</v>
      </c>
      <c r="B547" s="5" t="s">
        <v>2602</v>
      </c>
      <c r="C547" s="6" t="s">
        <v>2603</v>
      </c>
      <c r="D547" s="7">
        <v>65900</v>
      </c>
      <c r="E547" s="5" t="s">
        <v>48</v>
      </c>
      <c r="F547" s="5" t="s">
        <v>49</v>
      </c>
      <c r="G547" s="8"/>
      <c r="H547" s="8" t="str">
        <f>IF(F547="Bullet",MIN(G547,Assumptions!$B$6),"")</f>
        <v/>
      </c>
      <c r="I547" s="8">
        <v>2</v>
      </c>
      <c r="J547" s="8">
        <f>IF(F547="Monthly interest",MAX(0,Assumptions!$B$5-I547),"")</f>
        <v>1</v>
      </c>
      <c r="K547" s="7">
        <f t="shared" si="24"/>
        <v>1648</v>
      </c>
      <c r="L547" s="9">
        <v>46246</v>
      </c>
      <c r="M547" s="5" t="s">
        <v>116</v>
      </c>
      <c r="N547" s="5" t="s">
        <v>117</v>
      </c>
      <c r="O547" s="5" t="s">
        <v>118</v>
      </c>
      <c r="P547" s="5" t="s">
        <v>72</v>
      </c>
      <c r="Q547" s="5" t="s">
        <v>119</v>
      </c>
      <c r="R547" s="5" t="s">
        <v>120</v>
      </c>
      <c r="S547" s="5" t="s">
        <v>85</v>
      </c>
      <c r="T547" s="5" t="s">
        <v>57</v>
      </c>
      <c r="U547" s="5" t="s">
        <v>86</v>
      </c>
      <c r="V547" s="5" t="s">
        <v>96</v>
      </c>
      <c r="W547" s="5" t="s">
        <v>171</v>
      </c>
      <c r="X547" s="5" t="s">
        <v>2604</v>
      </c>
      <c r="Y547" s="5" t="s">
        <v>2605</v>
      </c>
      <c r="Z547" s="9">
        <v>46154</v>
      </c>
      <c r="AA547" s="8">
        <v>24</v>
      </c>
      <c r="AB547" s="9">
        <f t="shared" si="25"/>
        <v>46885</v>
      </c>
      <c r="AC547" s="10">
        <v>15</v>
      </c>
      <c r="AD547" s="7">
        <f t="shared" si="26"/>
        <v>824</v>
      </c>
      <c r="AE547" s="7">
        <f>IF(F547="Bullet",H547*AD547,MIN(MAX(I547,1),Assumptions!$B$6)*AD547)</f>
        <v>1648</v>
      </c>
      <c r="AF547" s="8">
        <f>IF(F547="Bullet",MAX(0,Assumptions!$B$4-AB547),MAX(0,Assumptions!$B$4-L547))</f>
        <v>52</v>
      </c>
      <c r="AG547" s="9">
        <v>46219</v>
      </c>
      <c r="AH547" s="8">
        <f>IF(AG547="","",Assumptions!$B$4-AG547)</f>
        <v>79</v>
      </c>
      <c r="AI547" s="5" t="s">
        <v>63</v>
      </c>
      <c r="AJ547" s="8">
        <v>3</v>
      </c>
      <c r="AK547" s="8">
        <v>2</v>
      </c>
      <c r="AL547" s="8">
        <v>783</v>
      </c>
      <c r="AM547" s="8">
        <v>3</v>
      </c>
      <c r="AN547" s="5" t="s">
        <v>63</v>
      </c>
      <c r="AO547" s="10">
        <v>76</v>
      </c>
      <c r="AP547" s="8">
        <v>50</v>
      </c>
      <c r="AQ547" s="9">
        <v>46285</v>
      </c>
      <c r="AR547" s="5" t="s">
        <v>70</v>
      </c>
      <c r="AS547" s="5" t="s">
        <v>181</v>
      </c>
    </row>
    <row r="548" spans="1:45" x14ac:dyDescent="0.35">
      <c r="A548" s="5" t="s">
        <v>2606</v>
      </c>
      <c r="B548" s="5" t="s">
        <v>2607</v>
      </c>
      <c r="C548" s="6" t="s">
        <v>2608</v>
      </c>
      <c r="D548" s="7">
        <v>39800</v>
      </c>
      <c r="E548" s="5" t="s">
        <v>48</v>
      </c>
      <c r="F548" s="5" t="s">
        <v>49</v>
      </c>
      <c r="G548" s="8"/>
      <c r="H548" s="8" t="str">
        <f>IF(F548="Bullet",MIN(G548,Assumptions!$B$6),"")</f>
        <v/>
      </c>
      <c r="I548" s="8">
        <v>1</v>
      </c>
      <c r="J548" s="8">
        <f>IF(F548="Monthly interest",MAX(0,Assumptions!$B$5-I548),"")</f>
        <v>2</v>
      </c>
      <c r="K548" s="7">
        <f t="shared" si="24"/>
        <v>531</v>
      </c>
      <c r="L548" s="9">
        <v>46270</v>
      </c>
      <c r="M548" s="5" t="s">
        <v>50</v>
      </c>
      <c r="N548" s="5" t="s">
        <v>51</v>
      </c>
      <c r="O548" s="5" t="s">
        <v>152</v>
      </c>
      <c r="P548" s="5" t="s">
        <v>53</v>
      </c>
      <c r="Q548" s="5" t="s">
        <v>154</v>
      </c>
      <c r="R548" s="5" t="s">
        <v>155</v>
      </c>
      <c r="S548" s="5" t="s">
        <v>185</v>
      </c>
      <c r="T548" s="5" t="s">
        <v>57</v>
      </c>
      <c r="U548" s="5" t="s">
        <v>104</v>
      </c>
      <c r="V548" s="5" t="s">
        <v>186</v>
      </c>
      <c r="W548" s="5" t="s">
        <v>694</v>
      </c>
      <c r="X548" s="5" t="s">
        <v>695</v>
      </c>
      <c r="Y548" s="5" t="s">
        <v>2609</v>
      </c>
      <c r="Z548" s="9">
        <v>46147</v>
      </c>
      <c r="AA548" s="8">
        <v>12</v>
      </c>
      <c r="AB548" s="9">
        <f t="shared" si="25"/>
        <v>46512</v>
      </c>
      <c r="AC548" s="10">
        <v>16</v>
      </c>
      <c r="AD548" s="7">
        <f t="shared" si="26"/>
        <v>531</v>
      </c>
      <c r="AE548" s="7">
        <f>IF(F548="Bullet",H548*AD548,MIN(MAX(I548,1),Assumptions!$B$6)*AD548)</f>
        <v>531</v>
      </c>
      <c r="AF548" s="8">
        <f>IF(F548="Bullet",MAX(0,Assumptions!$B$4-AB548),MAX(0,Assumptions!$B$4-L548))</f>
        <v>28</v>
      </c>
      <c r="AG548" s="9">
        <v>46240</v>
      </c>
      <c r="AH548" s="8">
        <f>IF(AG548="","",Assumptions!$B$4-AG548)</f>
        <v>58</v>
      </c>
      <c r="AI548" s="5" t="s">
        <v>63</v>
      </c>
      <c r="AJ548" s="8">
        <v>1</v>
      </c>
      <c r="AK548" s="8">
        <v>0</v>
      </c>
      <c r="AL548" s="8">
        <v>726</v>
      </c>
      <c r="AM548" s="8">
        <v>2</v>
      </c>
      <c r="AN548" s="5" t="s">
        <v>63</v>
      </c>
      <c r="AO548" s="10">
        <v>75.900000000000006</v>
      </c>
      <c r="AP548" s="8">
        <v>24</v>
      </c>
      <c r="AQ548" s="9">
        <v>46289</v>
      </c>
      <c r="AR548" s="5" t="s">
        <v>51</v>
      </c>
      <c r="AS548" s="5" t="s">
        <v>64</v>
      </c>
    </row>
    <row r="549" spans="1:45" x14ac:dyDescent="0.35">
      <c r="A549" s="5" t="s">
        <v>2610</v>
      </c>
      <c r="B549" s="5" t="s">
        <v>2611</v>
      </c>
      <c r="C549" s="6" t="s">
        <v>2612</v>
      </c>
      <c r="D549" s="7">
        <v>32500</v>
      </c>
      <c r="E549" s="5" t="s">
        <v>48</v>
      </c>
      <c r="F549" s="5" t="s">
        <v>68</v>
      </c>
      <c r="G549" s="8">
        <v>3</v>
      </c>
      <c r="H549" s="8">
        <f>IF(F549="Bullet",MIN(G549,Assumptions!$B$6),"")</f>
        <v>2</v>
      </c>
      <c r="I549" s="8"/>
      <c r="J549" s="8" t="str">
        <f>IF(F549="Monthly interest",MAX(0,Assumptions!$B$5-I549),"")</f>
        <v/>
      </c>
      <c r="K549" s="7">
        <f t="shared" si="24"/>
        <v>1218</v>
      </c>
      <c r="L549" s="9">
        <v>46187</v>
      </c>
      <c r="M549" s="5" t="s">
        <v>69</v>
      </c>
      <c r="N549" s="5" t="s">
        <v>53</v>
      </c>
      <c r="O549" s="5" t="s">
        <v>152</v>
      </c>
      <c r="P549" s="5" t="s">
        <v>153</v>
      </c>
      <c r="Q549" s="5" t="s">
        <v>154</v>
      </c>
      <c r="R549" s="5" t="s">
        <v>155</v>
      </c>
      <c r="S549" s="5" t="s">
        <v>185</v>
      </c>
      <c r="T549" s="5" t="s">
        <v>57</v>
      </c>
      <c r="U549" s="5" t="s">
        <v>86</v>
      </c>
      <c r="V549" s="5" t="s">
        <v>186</v>
      </c>
      <c r="W549" s="5" t="s">
        <v>187</v>
      </c>
      <c r="X549" s="5" t="s">
        <v>2613</v>
      </c>
      <c r="Y549" s="5" t="s">
        <v>2614</v>
      </c>
      <c r="Z549" s="9">
        <v>46187</v>
      </c>
      <c r="AA549" s="8">
        <v>6</v>
      </c>
      <c r="AB549" s="9">
        <f t="shared" si="25"/>
        <v>46370</v>
      </c>
      <c r="AC549" s="10">
        <v>15</v>
      </c>
      <c r="AD549" s="7">
        <f t="shared" si="26"/>
        <v>406</v>
      </c>
      <c r="AE549" s="7">
        <f>IF(F549="Bullet",H549*AD549,MIN(MAX(I549,1),Assumptions!$B$6)*AD549)</f>
        <v>812</v>
      </c>
      <c r="AF549" s="8">
        <f>IF(F549="Bullet",MAX(0,Assumptions!$B$4-AB549),MAX(0,Assumptions!$B$4-L549))</f>
        <v>0</v>
      </c>
      <c r="AG549" s="9"/>
      <c r="AH549" s="8" t="str">
        <f>IF(AG549="","",Assumptions!$B$4-AG549)</f>
        <v/>
      </c>
      <c r="AI549" s="5" t="s">
        <v>80</v>
      </c>
      <c r="AJ549" s="8"/>
      <c r="AK549" s="8">
        <v>0</v>
      </c>
      <c r="AL549" s="8" t="s">
        <v>80</v>
      </c>
      <c r="AM549" s="8">
        <v>1</v>
      </c>
      <c r="AN549" s="5" t="s">
        <v>57</v>
      </c>
      <c r="AO549" s="10">
        <v>76.8</v>
      </c>
      <c r="AP549" s="8">
        <v>32</v>
      </c>
      <c r="AQ549" s="9">
        <v>46281</v>
      </c>
      <c r="AR549" s="5" t="s">
        <v>70</v>
      </c>
      <c r="AS549" s="5" t="s">
        <v>81</v>
      </c>
    </row>
    <row r="550" spans="1:45" x14ac:dyDescent="0.35">
      <c r="A550" s="5" t="s">
        <v>2615</v>
      </c>
      <c r="B550" s="5" t="s">
        <v>2616</v>
      </c>
      <c r="C550" s="6" t="s">
        <v>2617</v>
      </c>
      <c r="D550" s="7">
        <v>61700</v>
      </c>
      <c r="E550" s="5" t="s">
        <v>48</v>
      </c>
      <c r="F550" s="5" t="s">
        <v>68</v>
      </c>
      <c r="G550" s="8">
        <v>4</v>
      </c>
      <c r="H550" s="8">
        <f>IF(F550="Bullet",MIN(G550,Assumptions!$B$6),"")</f>
        <v>2</v>
      </c>
      <c r="I550" s="8"/>
      <c r="J550" s="8" t="str">
        <f>IF(F550="Monthly interest",MAX(0,Assumptions!$B$5-I550),"")</f>
        <v/>
      </c>
      <c r="K550" s="7">
        <f t="shared" si="24"/>
        <v>2468</v>
      </c>
      <c r="L550" s="9">
        <v>46170</v>
      </c>
      <c r="M550" s="5" t="s">
        <v>116</v>
      </c>
      <c r="N550" s="5" t="s">
        <v>117</v>
      </c>
      <c r="O550" s="5" t="s">
        <v>207</v>
      </c>
      <c r="P550" s="5" t="s">
        <v>72</v>
      </c>
      <c r="Q550" s="5" t="s">
        <v>73</v>
      </c>
      <c r="R550" s="5" t="s">
        <v>74</v>
      </c>
      <c r="S550" s="5" t="s">
        <v>85</v>
      </c>
      <c r="T550" s="5" t="s">
        <v>63</v>
      </c>
      <c r="U550" s="5" t="s">
        <v>86</v>
      </c>
      <c r="V550" s="5" t="s">
        <v>177</v>
      </c>
      <c r="W550" s="5" t="s">
        <v>345</v>
      </c>
      <c r="X550" s="5" t="s">
        <v>665</v>
      </c>
      <c r="Y550" s="5" t="s">
        <v>2618</v>
      </c>
      <c r="Z550" s="9">
        <v>46170</v>
      </c>
      <c r="AA550" s="8">
        <v>6</v>
      </c>
      <c r="AB550" s="9">
        <f t="shared" si="25"/>
        <v>46354</v>
      </c>
      <c r="AC550" s="10">
        <v>12</v>
      </c>
      <c r="AD550" s="7">
        <f t="shared" si="26"/>
        <v>617</v>
      </c>
      <c r="AE550" s="7">
        <f>IF(F550="Bullet",H550*AD550,MIN(MAX(I550,1),Assumptions!$B$6)*AD550)</f>
        <v>1234</v>
      </c>
      <c r="AF550" s="8">
        <f>IF(F550="Bullet",MAX(0,Assumptions!$B$4-AB550),MAX(0,Assumptions!$B$4-L550))</f>
        <v>0</v>
      </c>
      <c r="AG550" s="9"/>
      <c r="AH550" s="8" t="str">
        <f>IF(AG550="","",Assumptions!$B$4-AG550)</f>
        <v/>
      </c>
      <c r="AI550" s="5" t="s">
        <v>80</v>
      </c>
      <c r="AJ550" s="8"/>
      <c r="AK550" s="8">
        <v>2</v>
      </c>
      <c r="AL550" s="8">
        <v>585</v>
      </c>
      <c r="AM550" s="8">
        <v>1</v>
      </c>
      <c r="AN550" s="5" t="s">
        <v>57</v>
      </c>
      <c r="AO550" s="10">
        <v>71.2</v>
      </c>
      <c r="AP550" s="8">
        <v>61</v>
      </c>
      <c r="AQ550" s="9">
        <v>46295</v>
      </c>
      <c r="AR550" s="5" t="s">
        <v>53</v>
      </c>
      <c r="AS550" s="5" t="s">
        <v>81</v>
      </c>
    </row>
    <row r="551" spans="1:45" x14ac:dyDescent="0.35">
      <c r="A551" s="5" t="s">
        <v>2619</v>
      </c>
      <c r="B551" s="5" t="s">
        <v>2620</v>
      </c>
      <c r="C551" s="6" t="s">
        <v>2621</v>
      </c>
      <c r="D551" s="7">
        <v>15400</v>
      </c>
      <c r="E551" s="5" t="s">
        <v>48</v>
      </c>
      <c r="F551" s="5" t="s">
        <v>49</v>
      </c>
      <c r="G551" s="8"/>
      <c r="H551" s="8" t="str">
        <f>IF(F551="Bullet",MIN(G551,Assumptions!$B$6),"")</f>
        <v/>
      </c>
      <c r="I551" s="8">
        <v>1</v>
      </c>
      <c r="J551" s="8">
        <f>IF(F551="Monthly interest",MAX(0,Assumptions!$B$5-I551),"")</f>
        <v>2</v>
      </c>
      <c r="K551" s="7">
        <f t="shared" si="24"/>
        <v>308</v>
      </c>
      <c r="L551" s="9">
        <v>46272</v>
      </c>
      <c r="M551" s="5" t="s">
        <v>50</v>
      </c>
      <c r="N551" s="5" t="s">
        <v>53</v>
      </c>
      <c r="O551" s="5" t="s">
        <v>95</v>
      </c>
      <c r="P551" s="5" t="s">
        <v>153</v>
      </c>
      <c r="Q551" s="5" t="s">
        <v>154</v>
      </c>
      <c r="R551" s="5" t="s">
        <v>155</v>
      </c>
      <c r="S551" s="5" t="s">
        <v>75</v>
      </c>
      <c r="T551" s="5" t="s">
        <v>63</v>
      </c>
      <c r="U551" s="5" t="s">
        <v>86</v>
      </c>
      <c r="V551" s="5" t="s">
        <v>76</v>
      </c>
      <c r="W551" s="5" t="s">
        <v>306</v>
      </c>
      <c r="X551" s="5" t="s">
        <v>1094</v>
      </c>
      <c r="Y551" s="5" t="s">
        <v>2622</v>
      </c>
      <c r="Z551" s="9">
        <v>46149</v>
      </c>
      <c r="AA551" s="8">
        <v>12</v>
      </c>
      <c r="AB551" s="9">
        <f t="shared" si="25"/>
        <v>46514</v>
      </c>
      <c r="AC551" s="10">
        <v>24</v>
      </c>
      <c r="AD551" s="7">
        <f t="shared" si="26"/>
        <v>308</v>
      </c>
      <c r="AE551" s="7">
        <f>IF(F551="Bullet",H551*AD551,MIN(MAX(I551,1),Assumptions!$B$6)*AD551)</f>
        <v>308</v>
      </c>
      <c r="AF551" s="8">
        <f>IF(F551="Bullet",MAX(0,Assumptions!$B$4-AB551),MAX(0,Assumptions!$B$4-L551))</f>
        <v>26</v>
      </c>
      <c r="AG551" s="9">
        <v>46243</v>
      </c>
      <c r="AH551" s="8">
        <f>IF(AG551="","",Assumptions!$B$4-AG551)</f>
        <v>55</v>
      </c>
      <c r="AI551" s="5" t="s">
        <v>57</v>
      </c>
      <c r="AJ551" s="8">
        <v>1</v>
      </c>
      <c r="AK551" s="8">
        <v>0</v>
      </c>
      <c r="AL551" s="8">
        <v>746</v>
      </c>
      <c r="AM551" s="8">
        <v>1</v>
      </c>
      <c r="AN551" s="5" t="s">
        <v>63</v>
      </c>
      <c r="AO551" s="10">
        <v>73.5</v>
      </c>
      <c r="AP551" s="8">
        <v>15</v>
      </c>
      <c r="AQ551" s="9">
        <v>46292</v>
      </c>
      <c r="AR551" s="5" t="s">
        <v>70</v>
      </c>
      <c r="AS551" s="5" t="s">
        <v>190</v>
      </c>
    </row>
    <row r="552" spans="1:45" x14ac:dyDescent="0.35">
      <c r="A552" s="5" t="s">
        <v>2623</v>
      </c>
      <c r="B552" s="5" t="s">
        <v>2624</v>
      </c>
      <c r="C552" s="6" t="s">
        <v>2625</v>
      </c>
      <c r="D552" s="7">
        <v>373600</v>
      </c>
      <c r="E552" s="5" t="s">
        <v>48</v>
      </c>
      <c r="F552" s="5" t="s">
        <v>49</v>
      </c>
      <c r="G552" s="8"/>
      <c r="H552" s="8" t="str">
        <f>IF(F552="Bullet",MIN(G552,Assumptions!$B$6),"")</f>
        <v/>
      </c>
      <c r="I552" s="8">
        <v>1</v>
      </c>
      <c r="J552" s="8">
        <f>IF(F552="Monthly interest",MAX(0,Assumptions!$B$5-I552),"")</f>
        <v>2</v>
      </c>
      <c r="K552" s="7">
        <f t="shared" si="24"/>
        <v>4981</v>
      </c>
      <c r="L552" s="9">
        <v>46291</v>
      </c>
      <c r="M552" s="5" t="s">
        <v>69</v>
      </c>
      <c r="N552" s="5" t="s">
        <v>51</v>
      </c>
      <c r="O552" s="5" t="s">
        <v>52</v>
      </c>
      <c r="P552" s="5" t="s">
        <v>53</v>
      </c>
      <c r="Q552" s="5" t="s">
        <v>54</v>
      </c>
      <c r="R552" s="5" t="s">
        <v>55</v>
      </c>
      <c r="S552" s="5" t="s">
        <v>56</v>
      </c>
      <c r="T552" s="5" t="s">
        <v>57</v>
      </c>
      <c r="U552" s="5" t="s">
        <v>104</v>
      </c>
      <c r="V552" s="5" t="s">
        <v>59</v>
      </c>
      <c r="W552" s="5" t="s">
        <v>418</v>
      </c>
      <c r="X552" s="5" t="s">
        <v>743</v>
      </c>
      <c r="Y552" s="5" t="s">
        <v>2626</v>
      </c>
      <c r="Z552" s="9">
        <v>46229</v>
      </c>
      <c r="AA552" s="8">
        <v>12</v>
      </c>
      <c r="AB552" s="9">
        <f t="shared" si="25"/>
        <v>46594</v>
      </c>
      <c r="AC552" s="10">
        <v>16</v>
      </c>
      <c r="AD552" s="7">
        <f t="shared" si="26"/>
        <v>4981</v>
      </c>
      <c r="AE552" s="7">
        <f>IF(F552="Bullet",H552*AD552,MIN(MAX(I552,1),Assumptions!$B$6)*AD552)</f>
        <v>4981</v>
      </c>
      <c r="AF552" s="8">
        <f>IF(F552="Bullet",MAX(0,Assumptions!$B$4-AB552),MAX(0,Assumptions!$B$4-L552))</f>
        <v>7</v>
      </c>
      <c r="AG552" s="9">
        <v>46262</v>
      </c>
      <c r="AH552" s="8">
        <f>IF(AG552="","",Assumptions!$B$4-AG552)</f>
        <v>36</v>
      </c>
      <c r="AI552" s="5" t="s">
        <v>63</v>
      </c>
      <c r="AJ552" s="8">
        <v>3</v>
      </c>
      <c r="AK552" s="8">
        <v>0</v>
      </c>
      <c r="AL552" s="8" t="s">
        <v>80</v>
      </c>
      <c r="AM552" s="8">
        <v>0</v>
      </c>
      <c r="AN552" s="5" t="s">
        <v>63</v>
      </c>
      <c r="AO552" s="10">
        <v>71.7</v>
      </c>
      <c r="AP552" s="8">
        <v>35</v>
      </c>
      <c r="AQ552" s="9">
        <v>46293</v>
      </c>
      <c r="AR552" s="5" t="s">
        <v>53</v>
      </c>
      <c r="AS552" s="5" t="s">
        <v>91</v>
      </c>
    </row>
    <row r="553" spans="1:45" x14ac:dyDescent="0.35">
      <c r="A553" s="5" t="s">
        <v>2627</v>
      </c>
      <c r="B553" s="5" t="s">
        <v>2628</v>
      </c>
      <c r="C553" s="6" t="s">
        <v>2629</v>
      </c>
      <c r="D553" s="7">
        <v>39500</v>
      </c>
      <c r="E553" s="5" t="s">
        <v>48</v>
      </c>
      <c r="F553" s="5" t="s">
        <v>68</v>
      </c>
      <c r="G553" s="8">
        <v>2</v>
      </c>
      <c r="H553" s="8">
        <f>IF(F553="Bullet",MIN(G553,Assumptions!$B$6),"")</f>
        <v>2</v>
      </c>
      <c r="I553" s="8"/>
      <c r="J553" s="8" t="str">
        <f>IF(F553="Monthly interest",MAX(0,Assumptions!$B$5-I553),"")</f>
        <v/>
      </c>
      <c r="K553" s="7">
        <f t="shared" si="24"/>
        <v>1054</v>
      </c>
      <c r="L553" s="9">
        <v>46228</v>
      </c>
      <c r="M553" s="5" t="s">
        <v>69</v>
      </c>
      <c r="N553" s="5" t="s">
        <v>53</v>
      </c>
      <c r="O553" s="5" t="s">
        <v>152</v>
      </c>
      <c r="P553" s="5" t="s">
        <v>153</v>
      </c>
      <c r="Q553" s="5" t="s">
        <v>154</v>
      </c>
      <c r="R553" s="5" t="s">
        <v>155</v>
      </c>
      <c r="S553" s="5" t="s">
        <v>214</v>
      </c>
      <c r="T553" s="5" t="s">
        <v>57</v>
      </c>
      <c r="U553" s="5" t="s">
        <v>58</v>
      </c>
      <c r="V553" s="5" t="s">
        <v>215</v>
      </c>
      <c r="W553" s="5" t="s">
        <v>278</v>
      </c>
      <c r="X553" s="5" t="s">
        <v>516</v>
      </c>
      <c r="Y553" s="5" t="s">
        <v>2630</v>
      </c>
      <c r="Z553" s="9">
        <v>46228</v>
      </c>
      <c r="AA553" s="8">
        <v>3</v>
      </c>
      <c r="AB553" s="9">
        <f t="shared" si="25"/>
        <v>46320</v>
      </c>
      <c r="AC553" s="10">
        <v>16</v>
      </c>
      <c r="AD553" s="7">
        <f t="shared" si="26"/>
        <v>527</v>
      </c>
      <c r="AE553" s="7">
        <f>IF(F553="Bullet",H553*AD553,MIN(MAX(I553,1),Assumptions!$B$6)*AD553)</f>
        <v>1054</v>
      </c>
      <c r="AF553" s="8">
        <f>IF(F553="Bullet",MAX(0,Assumptions!$B$4-AB553),MAX(0,Assumptions!$B$4-L553))</f>
        <v>0</v>
      </c>
      <c r="AG553" s="9"/>
      <c r="AH553" s="8" t="str">
        <f>IF(AG553="","",Assumptions!$B$4-AG553)</f>
        <v/>
      </c>
      <c r="AI553" s="5" t="s">
        <v>80</v>
      </c>
      <c r="AJ553" s="8"/>
      <c r="AK553" s="8">
        <v>0</v>
      </c>
      <c r="AL553" s="8">
        <v>579</v>
      </c>
      <c r="AM553" s="8">
        <v>3</v>
      </c>
      <c r="AN553" s="5" t="s">
        <v>63</v>
      </c>
      <c r="AO553" s="10">
        <v>70.900000000000006</v>
      </c>
      <c r="AP553" s="8">
        <v>44</v>
      </c>
      <c r="AQ553" s="9">
        <v>46279</v>
      </c>
      <c r="AR553" s="5" t="s">
        <v>72</v>
      </c>
      <c r="AS553" s="5" t="s">
        <v>91</v>
      </c>
    </row>
    <row r="554" spans="1:45" x14ac:dyDescent="0.35">
      <c r="A554" s="5" t="s">
        <v>2631</v>
      </c>
      <c r="B554" s="5" t="s">
        <v>2632</v>
      </c>
      <c r="C554" s="6" t="s">
        <v>2633</v>
      </c>
      <c r="D554" s="7">
        <v>112700</v>
      </c>
      <c r="E554" s="5" t="s">
        <v>48</v>
      </c>
      <c r="F554" s="5" t="s">
        <v>68</v>
      </c>
      <c r="G554" s="8">
        <v>3</v>
      </c>
      <c r="H554" s="8">
        <f>IF(F554="Bullet",MIN(G554,Assumptions!$B$6),"")</f>
        <v>2</v>
      </c>
      <c r="I554" s="8"/>
      <c r="J554" s="8" t="str">
        <f>IF(F554="Monthly interest",MAX(0,Assumptions!$B$5-I554),"")</f>
        <v/>
      </c>
      <c r="K554" s="7">
        <f t="shared" si="24"/>
        <v>5073</v>
      </c>
      <c r="L554" s="9">
        <v>46204</v>
      </c>
      <c r="M554" s="5" t="s">
        <v>50</v>
      </c>
      <c r="N554" s="5" t="s">
        <v>53</v>
      </c>
      <c r="O554" s="5" t="s">
        <v>71</v>
      </c>
      <c r="P554" s="5" t="s">
        <v>51</v>
      </c>
      <c r="Q554" s="5" t="s">
        <v>73</v>
      </c>
      <c r="R554" s="5" t="s">
        <v>74</v>
      </c>
      <c r="S554" s="5" t="s">
        <v>75</v>
      </c>
      <c r="T554" s="5" t="s">
        <v>57</v>
      </c>
      <c r="U554" s="5" t="s">
        <v>86</v>
      </c>
      <c r="V554" s="5" t="s">
        <v>76</v>
      </c>
      <c r="W554" s="5" t="s">
        <v>547</v>
      </c>
      <c r="X554" s="5" t="s">
        <v>1428</v>
      </c>
      <c r="Y554" s="5" t="s">
        <v>2634</v>
      </c>
      <c r="Z554" s="9">
        <v>46204</v>
      </c>
      <c r="AA554" s="8">
        <v>6</v>
      </c>
      <c r="AB554" s="9">
        <f t="shared" si="25"/>
        <v>46388</v>
      </c>
      <c r="AC554" s="10">
        <v>18</v>
      </c>
      <c r="AD554" s="7">
        <f t="shared" si="26"/>
        <v>1691</v>
      </c>
      <c r="AE554" s="7">
        <f>IF(F554="Bullet",H554*AD554,MIN(MAX(I554,1),Assumptions!$B$6)*AD554)</f>
        <v>3382</v>
      </c>
      <c r="AF554" s="8">
        <f>IF(F554="Bullet",MAX(0,Assumptions!$B$4-AB554),MAX(0,Assumptions!$B$4-L554))</f>
        <v>0</v>
      </c>
      <c r="AG554" s="9"/>
      <c r="AH554" s="8" t="str">
        <f>IF(AG554="","",Assumptions!$B$4-AG554)</f>
        <v/>
      </c>
      <c r="AI554" s="5" t="s">
        <v>80</v>
      </c>
      <c r="AJ554" s="8"/>
      <c r="AK554" s="8">
        <v>1</v>
      </c>
      <c r="AL554" s="8">
        <v>814</v>
      </c>
      <c r="AM554" s="8">
        <v>1</v>
      </c>
      <c r="AN554" s="5" t="s">
        <v>63</v>
      </c>
      <c r="AO554" s="10">
        <v>68.099999999999994</v>
      </c>
      <c r="AP554" s="8">
        <v>10</v>
      </c>
      <c r="AQ554" s="9"/>
      <c r="AR554" s="5"/>
      <c r="AS554" s="5" t="s">
        <v>159</v>
      </c>
    </row>
    <row r="555" spans="1:45" x14ac:dyDescent="0.35">
      <c r="A555" s="5" t="s">
        <v>2635</v>
      </c>
      <c r="B555" s="5" t="s">
        <v>941</v>
      </c>
      <c r="C555" s="6" t="s">
        <v>2636</v>
      </c>
      <c r="D555" s="7">
        <v>100400</v>
      </c>
      <c r="E555" s="5" t="s">
        <v>48</v>
      </c>
      <c r="F555" s="5" t="s">
        <v>68</v>
      </c>
      <c r="G555" s="8">
        <v>2</v>
      </c>
      <c r="H555" s="8">
        <f>IF(F555="Bullet",MIN(G555,Assumptions!$B$6),"")</f>
        <v>2</v>
      </c>
      <c r="I555" s="8"/>
      <c r="J555" s="8" t="str">
        <f>IF(F555="Monthly interest",MAX(0,Assumptions!$B$5-I555),"")</f>
        <v/>
      </c>
      <c r="K555" s="7">
        <f t="shared" si="24"/>
        <v>2678</v>
      </c>
      <c r="L555" s="9">
        <v>46231</v>
      </c>
      <c r="M555" s="5" t="s">
        <v>50</v>
      </c>
      <c r="N555" s="5" t="s">
        <v>53</v>
      </c>
      <c r="O555" s="5" t="s">
        <v>103</v>
      </c>
      <c r="P555" s="5" t="s">
        <v>70</v>
      </c>
      <c r="Q555" s="5" t="s">
        <v>73</v>
      </c>
      <c r="R555" s="5" t="s">
        <v>74</v>
      </c>
      <c r="S555" s="5" t="s">
        <v>75</v>
      </c>
      <c r="T555" s="5" t="s">
        <v>63</v>
      </c>
      <c r="U555" s="5" t="s">
        <v>104</v>
      </c>
      <c r="V555" s="5" t="s">
        <v>76</v>
      </c>
      <c r="W555" s="5" t="s">
        <v>382</v>
      </c>
      <c r="X555" s="5" t="s">
        <v>2276</v>
      </c>
      <c r="Y555" s="5" t="s">
        <v>2637</v>
      </c>
      <c r="Z555" s="9">
        <v>46231</v>
      </c>
      <c r="AA555" s="8">
        <v>6</v>
      </c>
      <c r="AB555" s="9">
        <f t="shared" si="25"/>
        <v>46415</v>
      </c>
      <c r="AC555" s="10">
        <v>16</v>
      </c>
      <c r="AD555" s="7">
        <f t="shared" si="26"/>
        <v>1339</v>
      </c>
      <c r="AE555" s="7">
        <f>IF(F555="Bullet",H555*AD555,MIN(MAX(I555,1),Assumptions!$B$6)*AD555)</f>
        <v>2678</v>
      </c>
      <c r="AF555" s="8">
        <f>IF(F555="Bullet",MAX(0,Assumptions!$B$4-AB555),MAX(0,Assumptions!$B$4-L555))</f>
        <v>0</v>
      </c>
      <c r="AG555" s="9"/>
      <c r="AH555" s="8" t="str">
        <f>IF(AG555="","",Assumptions!$B$4-AG555)</f>
        <v/>
      </c>
      <c r="AI555" s="5" t="s">
        <v>80</v>
      </c>
      <c r="AJ555" s="8"/>
      <c r="AK555" s="8">
        <v>1</v>
      </c>
      <c r="AL555" s="8">
        <v>661</v>
      </c>
      <c r="AM555" s="8">
        <v>1</v>
      </c>
      <c r="AN555" s="5" t="s">
        <v>63</v>
      </c>
      <c r="AO555" s="10">
        <v>76.8</v>
      </c>
      <c r="AP555" s="8">
        <v>28</v>
      </c>
      <c r="AQ555" s="9">
        <v>46293</v>
      </c>
      <c r="AR555" s="5" t="s">
        <v>51</v>
      </c>
      <c r="AS555" s="5" t="s">
        <v>81</v>
      </c>
    </row>
    <row r="556" spans="1:45" x14ac:dyDescent="0.35">
      <c r="A556" s="5" t="s">
        <v>2638</v>
      </c>
      <c r="B556" s="5" t="s">
        <v>2102</v>
      </c>
      <c r="C556" s="6" t="s">
        <v>2639</v>
      </c>
      <c r="D556" s="7">
        <v>156100</v>
      </c>
      <c r="E556" s="5" t="s">
        <v>48</v>
      </c>
      <c r="F556" s="5" t="s">
        <v>49</v>
      </c>
      <c r="G556" s="8"/>
      <c r="H556" s="8" t="str">
        <f>IF(F556="Bullet",MIN(G556,Assumptions!$B$6),"")</f>
        <v/>
      </c>
      <c r="I556" s="8">
        <v>2</v>
      </c>
      <c r="J556" s="8">
        <f>IF(F556="Monthly interest",MAX(0,Assumptions!$B$5-I556),"")</f>
        <v>1</v>
      </c>
      <c r="K556" s="7">
        <f t="shared" si="24"/>
        <v>4684</v>
      </c>
      <c r="L556" s="9">
        <v>46245</v>
      </c>
      <c r="M556" s="5" t="s">
        <v>116</v>
      </c>
      <c r="N556" s="5" t="s">
        <v>117</v>
      </c>
      <c r="O556" s="5" t="s">
        <v>118</v>
      </c>
      <c r="P556" s="5" t="s">
        <v>72</v>
      </c>
      <c r="Q556" s="5" t="s">
        <v>119</v>
      </c>
      <c r="R556" s="5" t="s">
        <v>120</v>
      </c>
      <c r="S556" s="5" t="s">
        <v>56</v>
      </c>
      <c r="T556" s="5" t="s">
        <v>57</v>
      </c>
      <c r="U556" s="5" t="s">
        <v>86</v>
      </c>
      <c r="V556" s="5" t="s">
        <v>59</v>
      </c>
      <c r="W556" s="5" t="s">
        <v>323</v>
      </c>
      <c r="X556" s="5" t="s">
        <v>340</v>
      </c>
      <c r="Y556" s="5" t="s">
        <v>2640</v>
      </c>
      <c r="Z556" s="9">
        <v>46123</v>
      </c>
      <c r="AA556" s="8">
        <v>12</v>
      </c>
      <c r="AB556" s="9">
        <f t="shared" si="25"/>
        <v>46488</v>
      </c>
      <c r="AC556" s="10">
        <v>18</v>
      </c>
      <c r="AD556" s="7">
        <f t="shared" si="26"/>
        <v>2342</v>
      </c>
      <c r="AE556" s="7">
        <f>IF(F556="Bullet",H556*AD556,MIN(MAX(I556,1),Assumptions!$B$6)*AD556)</f>
        <v>4684</v>
      </c>
      <c r="AF556" s="8">
        <f>IF(F556="Bullet",MAX(0,Assumptions!$B$4-AB556),MAX(0,Assumptions!$B$4-L556))</f>
        <v>53</v>
      </c>
      <c r="AG556" s="9">
        <v>46214</v>
      </c>
      <c r="AH556" s="8">
        <f>IF(AG556="","",Assumptions!$B$4-AG556)</f>
        <v>84</v>
      </c>
      <c r="AI556" s="5" t="s">
        <v>63</v>
      </c>
      <c r="AJ556" s="8">
        <v>4</v>
      </c>
      <c r="AK556" s="8">
        <v>1</v>
      </c>
      <c r="AL556" s="8" t="s">
        <v>80</v>
      </c>
      <c r="AM556" s="8">
        <v>1</v>
      </c>
      <c r="AN556" s="5" t="s">
        <v>57</v>
      </c>
      <c r="AO556" s="10">
        <v>67.400000000000006</v>
      </c>
      <c r="AP556" s="8">
        <v>70</v>
      </c>
      <c r="AQ556" s="9">
        <v>46275</v>
      </c>
      <c r="AR556" s="5" t="s">
        <v>53</v>
      </c>
      <c r="AS556" s="5" t="s">
        <v>190</v>
      </c>
    </row>
    <row r="557" spans="1:45" x14ac:dyDescent="0.35">
      <c r="A557" s="5" t="s">
        <v>2641</v>
      </c>
      <c r="B557" s="5" t="s">
        <v>668</v>
      </c>
      <c r="C557" s="6" t="s">
        <v>2642</v>
      </c>
      <c r="D557" s="7">
        <v>70200</v>
      </c>
      <c r="E557" s="5" t="s">
        <v>48</v>
      </c>
      <c r="F557" s="5" t="s">
        <v>49</v>
      </c>
      <c r="G557" s="8"/>
      <c r="H557" s="8" t="str">
        <f>IF(F557="Bullet",MIN(G557,Assumptions!$B$6),"")</f>
        <v/>
      </c>
      <c r="I557" s="8">
        <v>2</v>
      </c>
      <c r="J557" s="8">
        <f>IF(F557="Monthly interest",MAX(0,Assumptions!$B$5-I557),"")</f>
        <v>1</v>
      </c>
      <c r="K557" s="7">
        <f t="shared" si="24"/>
        <v>1638</v>
      </c>
      <c r="L557" s="9">
        <v>46258</v>
      </c>
      <c r="M557" s="5" t="s">
        <v>69</v>
      </c>
      <c r="N557" s="5" t="s">
        <v>53</v>
      </c>
      <c r="O557" s="5" t="s">
        <v>71</v>
      </c>
      <c r="P557" s="5" t="s">
        <v>70</v>
      </c>
      <c r="Q557" s="5" t="s">
        <v>73</v>
      </c>
      <c r="R557" s="5" t="s">
        <v>74</v>
      </c>
      <c r="S557" s="5" t="s">
        <v>56</v>
      </c>
      <c r="T557" s="5" t="s">
        <v>57</v>
      </c>
      <c r="U557" s="5" t="s">
        <v>86</v>
      </c>
      <c r="V557" s="5" t="s">
        <v>59</v>
      </c>
      <c r="W557" s="5" t="s">
        <v>467</v>
      </c>
      <c r="X557" s="5" t="s">
        <v>1047</v>
      </c>
      <c r="Y557" s="5" t="s">
        <v>2643</v>
      </c>
      <c r="Z557" s="9">
        <v>45985</v>
      </c>
      <c r="AA557" s="8">
        <v>18</v>
      </c>
      <c r="AB557" s="9">
        <f t="shared" si="25"/>
        <v>46531</v>
      </c>
      <c r="AC557" s="10">
        <v>14</v>
      </c>
      <c r="AD557" s="7">
        <f t="shared" si="26"/>
        <v>819</v>
      </c>
      <c r="AE557" s="7">
        <f>IF(F557="Bullet",H557*AD557,MIN(MAX(I557,1),Assumptions!$B$6)*AD557)</f>
        <v>1638</v>
      </c>
      <c r="AF557" s="8">
        <f>IF(F557="Bullet",MAX(0,Assumptions!$B$4-AB557),MAX(0,Assumptions!$B$4-L557))</f>
        <v>40</v>
      </c>
      <c r="AG557" s="9">
        <v>46228</v>
      </c>
      <c r="AH557" s="8">
        <f>IF(AG557="","",Assumptions!$B$4-AG557)</f>
        <v>70</v>
      </c>
      <c r="AI557" s="5" t="s">
        <v>57</v>
      </c>
      <c r="AJ557" s="8">
        <v>2</v>
      </c>
      <c r="AK557" s="8">
        <v>1</v>
      </c>
      <c r="AL557" s="8">
        <v>711</v>
      </c>
      <c r="AM557" s="8">
        <v>0</v>
      </c>
      <c r="AN557" s="5" t="s">
        <v>63</v>
      </c>
      <c r="AO557" s="10">
        <v>70.5</v>
      </c>
      <c r="AP557" s="8">
        <v>46</v>
      </c>
      <c r="AQ557" s="9">
        <v>46273</v>
      </c>
      <c r="AR557" s="5" t="s">
        <v>70</v>
      </c>
      <c r="AS557" s="5" t="s">
        <v>190</v>
      </c>
    </row>
    <row r="558" spans="1:45" x14ac:dyDescent="0.35">
      <c r="A558" s="5" t="s">
        <v>2644</v>
      </c>
      <c r="B558" s="5" t="s">
        <v>1374</v>
      </c>
      <c r="C558" s="6" t="s">
        <v>2645</v>
      </c>
      <c r="D558" s="7">
        <v>149500</v>
      </c>
      <c r="E558" s="5" t="s">
        <v>48</v>
      </c>
      <c r="F558" s="5" t="s">
        <v>68</v>
      </c>
      <c r="G558" s="8">
        <v>2</v>
      </c>
      <c r="H558" s="8">
        <f>IF(F558="Bullet",MIN(G558,Assumptions!$B$6),"")</f>
        <v>2</v>
      </c>
      <c r="I558" s="8"/>
      <c r="J558" s="8" t="str">
        <f>IF(F558="Monthly interest",MAX(0,Assumptions!$B$5-I558),"")</f>
        <v/>
      </c>
      <c r="K558" s="7">
        <f t="shared" si="24"/>
        <v>3986</v>
      </c>
      <c r="L558" s="9">
        <v>46235</v>
      </c>
      <c r="M558" s="5" t="s">
        <v>69</v>
      </c>
      <c r="N558" s="5" t="s">
        <v>53</v>
      </c>
      <c r="O558" s="5" t="s">
        <v>71</v>
      </c>
      <c r="P558" s="5" t="s">
        <v>70</v>
      </c>
      <c r="Q558" s="5" t="s">
        <v>73</v>
      </c>
      <c r="R558" s="5" t="s">
        <v>74</v>
      </c>
      <c r="S558" s="5" t="s">
        <v>85</v>
      </c>
      <c r="T558" s="5" t="s">
        <v>57</v>
      </c>
      <c r="U558" s="5" t="s">
        <v>86</v>
      </c>
      <c r="V558" s="5" t="s">
        <v>96</v>
      </c>
      <c r="W558" s="5" t="s">
        <v>819</v>
      </c>
      <c r="X558" s="5" t="s">
        <v>2280</v>
      </c>
      <c r="Y558" s="5" t="s">
        <v>2646</v>
      </c>
      <c r="Z558" s="9">
        <v>46235</v>
      </c>
      <c r="AA558" s="8">
        <v>3</v>
      </c>
      <c r="AB558" s="9">
        <f t="shared" si="25"/>
        <v>46327</v>
      </c>
      <c r="AC558" s="10">
        <v>16</v>
      </c>
      <c r="AD558" s="7">
        <f t="shared" si="26"/>
        <v>1993</v>
      </c>
      <c r="AE558" s="7">
        <f>IF(F558="Bullet",H558*AD558,MIN(MAX(I558,1),Assumptions!$B$6)*AD558)</f>
        <v>3986</v>
      </c>
      <c r="AF558" s="8">
        <f>IF(F558="Bullet",MAX(0,Assumptions!$B$4-AB558),MAX(0,Assumptions!$B$4-L558))</f>
        <v>0</v>
      </c>
      <c r="AG558" s="9"/>
      <c r="AH558" s="8" t="str">
        <f>IF(AG558="","",Assumptions!$B$4-AG558)</f>
        <v/>
      </c>
      <c r="AI558" s="5" t="s">
        <v>80</v>
      </c>
      <c r="AJ558" s="8"/>
      <c r="AK558" s="8">
        <v>0</v>
      </c>
      <c r="AL558" s="8" t="s">
        <v>80</v>
      </c>
      <c r="AM558" s="8">
        <v>2</v>
      </c>
      <c r="AN558" s="5" t="s">
        <v>57</v>
      </c>
      <c r="AO558" s="10">
        <v>66.7</v>
      </c>
      <c r="AP558" s="8">
        <v>32</v>
      </c>
      <c r="AQ558" s="9"/>
      <c r="AR558" s="5"/>
      <c r="AS558" s="5" t="s">
        <v>159</v>
      </c>
    </row>
    <row r="559" spans="1:45" x14ac:dyDescent="0.35">
      <c r="A559" s="5" t="s">
        <v>2647</v>
      </c>
      <c r="B559" s="5" t="s">
        <v>2648</v>
      </c>
      <c r="C559" s="6" t="s">
        <v>2649</v>
      </c>
      <c r="D559" s="7">
        <v>414100</v>
      </c>
      <c r="E559" s="5" t="s">
        <v>48</v>
      </c>
      <c r="F559" s="5" t="s">
        <v>49</v>
      </c>
      <c r="G559" s="8"/>
      <c r="H559" s="8" t="str">
        <f>IF(F559="Bullet",MIN(G559,Assumptions!$B$6),"")</f>
        <v/>
      </c>
      <c r="I559" s="8">
        <v>1</v>
      </c>
      <c r="J559" s="8">
        <f>IF(F559="Monthly interest",MAX(0,Assumptions!$B$5-I559),"")</f>
        <v>2</v>
      </c>
      <c r="K559" s="7">
        <f t="shared" si="24"/>
        <v>5521</v>
      </c>
      <c r="L559" s="9">
        <v>46285</v>
      </c>
      <c r="M559" s="5" t="s">
        <v>50</v>
      </c>
      <c r="N559" s="5" t="s">
        <v>51</v>
      </c>
      <c r="O559" s="5" t="s">
        <v>52</v>
      </c>
      <c r="P559" s="5" t="s">
        <v>53</v>
      </c>
      <c r="Q559" s="5" t="s">
        <v>54</v>
      </c>
      <c r="R559" s="5" t="s">
        <v>55</v>
      </c>
      <c r="S559" s="5" t="s">
        <v>75</v>
      </c>
      <c r="T559" s="5" t="s">
        <v>57</v>
      </c>
      <c r="U559" s="5" t="s">
        <v>104</v>
      </c>
      <c r="V559" s="5" t="s">
        <v>76</v>
      </c>
      <c r="W559" s="5" t="s">
        <v>146</v>
      </c>
      <c r="X559" s="5" t="s">
        <v>1546</v>
      </c>
      <c r="Y559" s="5" t="s">
        <v>2650</v>
      </c>
      <c r="Z559" s="9">
        <v>46162</v>
      </c>
      <c r="AA559" s="8">
        <v>12</v>
      </c>
      <c r="AB559" s="9">
        <f t="shared" si="25"/>
        <v>46527</v>
      </c>
      <c r="AC559" s="10">
        <v>16</v>
      </c>
      <c r="AD559" s="7">
        <f t="shared" si="26"/>
        <v>5521</v>
      </c>
      <c r="AE559" s="7">
        <f>IF(F559="Bullet",H559*AD559,MIN(MAX(I559,1),Assumptions!$B$6)*AD559)</f>
        <v>5521</v>
      </c>
      <c r="AF559" s="8">
        <f>IF(F559="Bullet",MAX(0,Assumptions!$B$4-AB559),MAX(0,Assumptions!$B$4-L559))</f>
        <v>13</v>
      </c>
      <c r="AG559" s="9">
        <v>46256</v>
      </c>
      <c r="AH559" s="8">
        <f>IF(AG559="","",Assumptions!$B$4-AG559)</f>
        <v>42</v>
      </c>
      <c r="AI559" s="5" t="s">
        <v>57</v>
      </c>
      <c r="AJ559" s="8">
        <v>1</v>
      </c>
      <c r="AK559" s="8">
        <v>1</v>
      </c>
      <c r="AL559" s="8" t="s">
        <v>80</v>
      </c>
      <c r="AM559" s="8">
        <v>0</v>
      </c>
      <c r="AN559" s="5" t="s">
        <v>63</v>
      </c>
      <c r="AO559" s="10">
        <v>57.8</v>
      </c>
      <c r="AP559" s="8">
        <v>30</v>
      </c>
      <c r="AQ559" s="9">
        <v>46289</v>
      </c>
      <c r="AR559" s="5" t="s">
        <v>70</v>
      </c>
      <c r="AS559" s="5" t="s">
        <v>91</v>
      </c>
    </row>
    <row r="560" spans="1:45" x14ac:dyDescent="0.35">
      <c r="A560" s="5" t="s">
        <v>2651</v>
      </c>
      <c r="B560" s="5" t="s">
        <v>1483</v>
      </c>
      <c r="C560" s="6" t="s">
        <v>2652</v>
      </c>
      <c r="D560" s="7">
        <v>48000</v>
      </c>
      <c r="E560" s="5" t="s">
        <v>48</v>
      </c>
      <c r="F560" s="5" t="s">
        <v>49</v>
      </c>
      <c r="G560" s="8"/>
      <c r="H560" s="8" t="str">
        <f>IF(F560="Bullet",MIN(G560,Assumptions!$B$6),"")</f>
        <v/>
      </c>
      <c r="I560" s="8">
        <v>2</v>
      </c>
      <c r="J560" s="8">
        <f>IF(F560="Monthly interest",MAX(0,Assumptions!$B$5-I560),"")</f>
        <v>1</v>
      </c>
      <c r="K560" s="7">
        <f t="shared" si="24"/>
        <v>1200</v>
      </c>
      <c r="L560" s="9">
        <v>46240</v>
      </c>
      <c r="M560" s="5" t="s">
        <v>116</v>
      </c>
      <c r="N560" s="5" t="s">
        <v>117</v>
      </c>
      <c r="O560" s="5" t="s">
        <v>450</v>
      </c>
      <c r="P560" s="5" t="s">
        <v>72</v>
      </c>
      <c r="Q560" s="5" t="s">
        <v>154</v>
      </c>
      <c r="R560" s="5" t="s">
        <v>155</v>
      </c>
      <c r="S560" s="5" t="s">
        <v>56</v>
      </c>
      <c r="T560" s="5" t="s">
        <v>57</v>
      </c>
      <c r="U560" s="5" t="s">
        <v>104</v>
      </c>
      <c r="V560" s="5" t="s">
        <v>59</v>
      </c>
      <c r="W560" s="5" t="s">
        <v>300</v>
      </c>
      <c r="X560" s="5" t="s">
        <v>2653</v>
      </c>
      <c r="Y560" s="5" t="s">
        <v>2654</v>
      </c>
      <c r="Z560" s="9">
        <v>46179</v>
      </c>
      <c r="AA560" s="8">
        <v>12</v>
      </c>
      <c r="AB560" s="9">
        <f t="shared" si="25"/>
        <v>46544</v>
      </c>
      <c r="AC560" s="10">
        <v>15</v>
      </c>
      <c r="AD560" s="7">
        <f t="shared" si="26"/>
        <v>600</v>
      </c>
      <c r="AE560" s="7">
        <f>IF(F560="Bullet",H560*AD560,MIN(MAX(I560,1),Assumptions!$B$6)*AD560)</f>
        <v>1200</v>
      </c>
      <c r="AF560" s="8">
        <f>IF(F560="Bullet",MAX(0,Assumptions!$B$4-AB560),MAX(0,Assumptions!$B$4-L560))</f>
        <v>58</v>
      </c>
      <c r="AG560" s="9">
        <v>46212</v>
      </c>
      <c r="AH560" s="8">
        <f>IF(AG560="","",Assumptions!$B$4-AG560)</f>
        <v>86</v>
      </c>
      <c r="AI560" s="5" t="s">
        <v>63</v>
      </c>
      <c r="AJ560" s="8">
        <v>4</v>
      </c>
      <c r="AK560" s="8">
        <v>0</v>
      </c>
      <c r="AL560" s="8">
        <v>680</v>
      </c>
      <c r="AM560" s="8">
        <v>0</v>
      </c>
      <c r="AN560" s="5" t="s">
        <v>63</v>
      </c>
      <c r="AO560" s="10">
        <v>48.9</v>
      </c>
      <c r="AP560" s="8">
        <v>52</v>
      </c>
      <c r="AQ560" s="9">
        <v>46285</v>
      </c>
      <c r="AR560" s="5" t="s">
        <v>51</v>
      </c>
      <c r="AS560" s="5" t="s">
        <v>91</v>
      </c>
    </row>
    <row r="561" spans="1:45" x14ac:dyDescent="0.35">
      <c r="A561" s="5" t="s">
        <v>2655</v>
      </c>
      <c r="B561" s="5" t="s">
        <v>2656</v>
      </c>
      <c r="C561" s="6" t="s">
        <v>2657</v>
      </c>
      <c r="D561" s="7">
        <v>49500</v>
      </c>
      <c r="E561" s="5" t="s">
        <v>48</v>
      </c>
      <c r="F561" s="5" t="s">
        <v>68</v>
      </c>
      <c r="G561" s="8">
        <v>5</v>
      </c>
      <c r="H561" s="8">
        <f>IF(F561="Bullet",MIN(G561,Assumptions!$B$6),"")</f>
        <v>2</v>
      </c>
      <c r="I561" s="8"/>
      <c r="J561" s="8" t="str">
        <f>IF(F561="Monthly interest",MAX(0,Assumptions!$B$5-I561),"")</f>
        <v/>
      </c>
      <c r="K561" s="7">
        <f t="shared" si="24"/>
        <v>3095</v>
      </c>
      <c r="L561" s="9">
        <v>46127</v>
      </c>
      <c r="M561" s="5" t="s">
        <v>116</v>
      </c>
      <c r="N561" s="5" t="s">
        <v>117</v>
      </c>
      <c r="O561" s="5" t="s">
        <v>461</v>
      </c>
      <c r="P561" s="5" t="s">
        <v>72</v>
      </c>
      <c r="Q561" s="5" t="s">
        <v>169</v>
      </c>
      <c r="R561" s="5" t="s">
        <v>170</v>
      </c>
      <c r="S561" s="5" t="s">
        <v>85</v>
      </c>
      <c r="T561" s="5" t="s">
        <v>57</v>
      </c>
      <c r="U561" s="5" t="s">
        <v>86</v>
      </c>
      <c r="V561" s="5" t="s">
        <v>177</v>
      </c>
      <c r="W561" s="5" t="s">
        <v>178</v>
      </c>
      <c r="X561" s="5" t="s">
        <v>1261</v>
      </c>
      <c r="Y561" s="5" t="s">
        <v>2658</v>
      </c>
      <c r="Z561" s="9">
        <v>46127</v>
      </c>
      <c r="AA561" s="8">
        <v>6</v>
      </c>
      <c r="AB561" s="9">
        <f t="shared" si="25"/>
        <v>46310</v>
      </c>
      <c r="AC561" s="10">
        <v>15</v>
      </c>
      <c r="AD561" s="7">
        <f t="shared" si="26"/>
        <v>619</v>
      </c>
      <c r="AE561" s="7">
        <f>IF(F561="Bullet",H561*AD561,MIN(MAX(I561,1),Assumptions!$B$6)*AD561)</f>
        <v>1238</v>
      </c>
      <c r="AF561" s="8">
        <f>IF(F561="Bullet",MAX(0,Assumptions!$B$4-AB561),MAX(0,Assumptions!$B$4-L561))</f>
        <v>0</v>
      </c>
      <c r="AG561" s="9"/>
      <c r="AH561" s="8" t="str">
        <f>IF(AG561="","",Assumptions!$B$4-AG561)</f>
        <v/>
      </c>
      <c r="AI561" s="5" t="s">
        <v>80</v>
      </c>
      <c r="AJ561" s="8"/>
      <c r="AK561" s="8">
        <v>2</v>
      </c>
      <c r="AL561" s="8">
        <v>714</v>
      </c>
      <c r="AM561" s="8">
        <v>1</v>
      </c>
      <c r="AN561" s="5" t="s">
        <v>63</v>
      </c>
      <c r="AO561" s="10">
        <v>72.2</v>
      </c>
      <c r="AP561" s="8">
        <v>49</v>
      </c>
      <c r="AQ561" s="9">
        <v>46296</v>
      </c>
      <c r="AR561" s="5" t="s">
        <v>53</v>
      </c>
      <c r="AS561" s="5" t="s">
        <v>81</v>
      </c>
    </row>
    <row r="562" spans="1:45" x14ac:dyDescent="0.35">
      <c r="A562" s="5" t="s">
        <v>2659</v>
      </c>
      <c r="B562" s="5" t="s">
        <v>1134</v>
      </c>
      <c r="C562" s="6" t="s">
        <v>2660</v>
      </c>
      <c r="D562" s="7">
        <v>168300</v>
      </c>
      <c r="E562" s="5" t="s">
        <v>48</v>
      </c>
      <c r="F562" s="5" t="s">
        <v>49</v>
      </c>
      <c r="G562" s="8"/>
      <c r="H562" s="8" t="str">
        <f>IF(F562="Bullet",MIN(G562,Assumptions!$B$6),"")</f>
        <v/>
      </c>
      <c r="I562" s="8">
        <v>2</v>
      </c>
      <c r="J562" s="8">
        <f>IF(F562="Monthly interest",MAX(0,Assumptions!$B$5-I562),"")</f>
        <v>1</v>
      </c>
      <c r="K562" s="7">
        <f t="shared" si="24"/>
        <v>6732</v>
      </c>
      <c r="L562" s="9">
        <v>46244</v>
      </c>
      <c r="M562" s="5" t="s">
        <v>116</v>
      </c>
      <c r="N562" s="5" t="s">
        <v>117</v>
      </c>
      <c r="O562" s="5" t="s">
        <v>118</v>
      </c>
      <c r="P562" s="5" t="s">
        <v>72</v>
      </c>
      <c r="Q562" s="5" t="s">
        <v>119</v>
      </c>
      <c r="R562" s="5" t="s">
        <v>120</v>
      </c>
      <c r="S562" s="5" t="s">
        <v>56</v>
      </c>
      <c r="T562" s="5" t="s">
        <v>63</v>
      </c>
      <c r="U562" s="5" t="s">
        <v>58</v>
      </c>
      <c r="V562" s="5" t="s">
        <v>59</v>
      </c>
      <c r="W562" s="5" t="s">
        <v>418</v>
      </c>
      <c r="X562" s="5" t="s">
        <v>2170</v>
      </c>
      <c r="Y562" s="5" t="s">
        <v>2661</v>
      </c>
      <c r="Z562" s="9">
        <v>46183</v>
      </c>
      <c r="AA562" s="8">
        <v>24</v>
      </c>
      <c r="AB562" s="9">
        <f t="shared" si="25"/>
        <v>46914</v>
      </c>
      <c r="AC562" s="10">
        <v>24</v>
      </c>
      <c r="AD562" s="7">
        <f t="shared" si="26"/>
        <v>3366</v>
      </c>
      <c r="AE562" s="7">
        <f>IF(F562="Bullet",H562*AD562,MIN(MAX(I562,1),Assumptions!$B$6)*AD562)</f>
        <v>6732</v>
      </c>
      <c r="AF562" s="8">
        <f>IF(F562="Bullet",MAX(0,Assumptions!$B$4-AB562),MAX(0,Assumptions!$B$4-L562))</f>
        <v>54</v>
      </c>
      <c r="AG562" s="9">
        <v>46215</v>
      </c>
      <c r="AH562" s="8">
        <f>IF(AG562="","",Assumptions!$B$4-AG562)</f>
        <v>83</v>
      </c>
      <c r="AI562" s="5" t="s">
        <v>63</v>
      </c>
      <c r="AJ562" s="8">
        <v>4</v>
      </c>
      <c r="AK562" s="8">
        <v>1</v>
      </c>
      <c r="AL562" s="8">
        <v>646</v>
      </c>
      <c r="AM562" s="8">
        <v>1</v>
      </c>
      <c r="AN562" s="5" t="s">
        <v>63</v>
      </c>
      <c r="AO562" s="10">
        <v>69</v>
      </c>
      <c r="AP562" s="8">
        <v>62</v>
      </c>
      <c r="AQ562" s="9">
        <v>46279</v>
      </c>
      <c r="AR562" s="5" t="s">
        <v>70</v>
      </c>
      <c r="AS562" s="5" t="s">
        <v>81</v>
      </c>
    </row>
    <row r="563" spans="1:45" x14ac:dyDescent="0.35">
      <c r="A563" s="5" t="s">
        <v>2662</v>
      </c>
      <c r="B563" s="5" t="s">
        <v>2663</v>
      </c>
      <c r="C563" s="6" t="s">
        <v>2664</v>
      </c>
      <c r="D563" s="7">
        <v>26800</v>
      </c>
      <c r="E563" s="5" t="s">
        <v>48</v>
      </c>
      <c r="F563" s="5" t="s">
        <v>49</v>
      </c>
      <c r="G563" s="8"/>
      <c r="H563" s="8" t="str">
        <f>IF(F563="Bullet",MIN(G563,Assumptions!$B$6),"")</f>
        <v/>
      </c>
      <c r="I563" s="8">
        <v>1</v>
      </c>
      <c r="J563" s="8">
        <f>IF(F563="Monthly interest",MAX(0,Assumptions!$B$5-I563),"")</f>
        <v>2</v>
      </c>
      <c r="K563" s="7">
        <f t="shared" si="24"/>
        <v>313</v>
      </c>
      <c r="L563" s="9">
        <v>46298</v>
      </c>
      <c r="M563" s="5" t="s">
        <v>50</v>
      </c>
      <c r="N563" s="5" t="s">
        <v>53</v>
      </c>
      <c r="O563" s="5" t="s">
        <v>95</v>
      </c>
      <c r="P563" s="5" t="s">
        <v>153</v>
      </c>
      <c r="Q563" s="5" t="s">
        <v>154</v>
      </c>
      <c r="R563" s="5" t="s">
        <v>155</v>
      </c>
      <c r="S563" s="5" t="s">
        <v>185</v>
      </c>
      <c r="T563" s="5" t="s">
        <v>63</v>
      </c>
      <c r="U563" s="5" t="s">
        <v>104</v>
      </c>
      <c r="V563" s="5" t="s">
        <v>200</v>
      </c>
      <c r="W563" s="5" t="s">
        <v>500</v>
      </c>
      <c r="X563" s="5" t="s">
        <v>2586</v>
      </c>
      <c r="Y563" s="5" t="s">
        <v>2665</v>
      </c>
      <c r="Z563" s="9">
        <v>46145</v>
      </c>
      <c r="AA563" s="8">
        <v>12</v>
      </c>
      <c r="AB563" s="9">
        <f t="shared" si="25"/>
        <v>46510</v>
      </c>
      <c r="AC563" s="10">
        <v>14</v>
      </c>
      <c r="AD563" s="7">
        <f t="shared" si="26"/>
        <v>313</v>
      </c>
      <c r="AE563" s="7">
        <f>IF(F563="Bullet",H563*AD563,MIN(MAX(I563,1),Assumptions!$B$6)*AD563)</f>
        <v>313</v>
      </c>
      <c r="AF563" s="8">
        <f>IF(F563="Bullet",MAX(0,Assumptions!$B$4-AB563),MAX(0,Assumptions!$B$4-L563))</f>
        <v>0</v>
      </c>
      <c r="AG563" s="9">
        <v>46268</v>
      </c>
      <c r="AH563" s="8">
        <f>IF(AG563="","",Assumptions!$B$4-AG563)</f>
        <v>30</v>
      </c>
      <c r="AI563" s="5" t="s">
        <v>63</v>
      </c>
      <c r="AJ563" s="8">
        <v>1</v>
      </c>
      <c r="AK563" s="8">
        <v>0</v>
      </c>
      <c r="AL563" s="8">
        <v>788</v>
      </c>
      <c r="AM563" s="8">
        <v>2</v>
      </c>
      <c r="AN563" s="5" t="s">
        <v>63</v>
      </c>
      <c r="AO563" s="10">
        <v>55.9</v>
      </c>
      <c r="AP563" s="8">
        <v>17</v>
      </c>
      <c r="AQ563" s="9">
        <v>46289</v>
      </c>
      <c r="AR563" s="5" t="s">
        <v>51</v>
      </c>
      <c r="AS563" s="5" t="s">
        <v>190</v>
      </c>
    </row>
    <row r="564" spans="1:45" x14ac:dyDescent="0.35">
      <c r="A564" s="5" t="s">
        <v>2666</v>
      </c>
      <c r="B564" s="5" t="s">
        <v>765</v>
      </c>
      <c r="C564" s="6" t="s">
        <v>2667</v>
      </c>
      <c r="D564" s="7">
        <v>1151400</v>
      </c>
      <c r="E564" s="5" t="s">
        <v>48</v>
      </c>
      <c r="F564" s="5" t="s">
        <v>49</v>
      </c>
      <c r="G564" s="8"/>
      <c r="H564" s="8" t="str">
        <f>IF(F564="Bullet",MIN(G564,Assumptions!$B$6),"")</f>
        <v/>
      </c>
      <c r="I564" s="8">
        <v>1</v>
      </c>
      <c r="J564" s="8">
        <f>IF(F564="Monthly interest",MAX(0,Assumptions!$B$5-I564),"")</f>
        <v>2</v>
      </c>
      <c r="K564" s="7">
        <f t="shared" si="24"/>
        <v>15352</v>
      </c>
      <c r="L564" s="9">
        <v>46282</v>
      </c>
      <c r="M564" s="5" t="s">
        <v>69</v>
      </c>
      <c r="N564" s="5" t="s">
        <v>53</v>
      </c>
      <c r="O564" s="5" t="s">
        <v>95</v>
      </c>
      <c r="P564" s="5" t="s">
        <v>70</v>
      </c>
      <c r="Q564" s="5" t="s">
        <v>54</v>
      </c>
      <c r="R564" s="5" t="s">
        <v>55</v>
      </c>
      <c r="S564" s="5" t="s">
        <v>185</v>
      </c>
      <c r="T564" s="5" t="s">
        <v>63</v>
      </c>
      <c r="U564" s="5" t="s">
        <v>104</v>
      </c>
      <c r="V564" s="5" t="s">
        <v>200</v>
      </c>
      <c r="W564" s="5" t="s">
        <v>433</v>
      </c>
      <c r="X564" s="5" t="s">
        <v>2668</v>
      </c>
      <c r="Y564" s="5" t="s">
        <v>2669</v>
      </c>
      <c r="Z564" s="9">
        <v>46159</v>
      </c>
      <c r="AA564" s="8">
        <v>12</v>
      </c>
      <c r="AB564" s="9">
        <f t="shared" si="25"/>
        <v>46524</v>
      </c>
      <c r="AC564" s="10">
        <v>16</v>
      </c>
      <c r="AD564" s="7">
        <f t="shared" si="26"/>
        <v>15352</v>
      </c>
      <c r="AE564" s="7">
        <f>IF(F564="Bullet",H564*AD564,MIN(MAX(I564,1),Assumptions!$B$6)*AD564)</f>
        <v>15352</v>
      </c>
      <c r="AF564" s="8">
        <f>IF(F564="Bullet",MAX(0,Assumptions!$B$4-AB564),MAX(0,Assumptions!$B$4-L564))</f>
        <v>16</v>
      </c>
      <c r="AG564" s="9">
        <v>46253</v>
      </c>
      <c r="AH564" s="8">
        <f>IF(AG564="","",Assumptions!$B$4-AG564)</f>
        <v>45</v>
      </c>
      <c r="AI564" s="5" t="s">
        <v>63</v>
      </c>
      <c r="AJ564" s="8">
        <v>2</v>
      </c>
      <c r="AK564" s="8">
        <v>0</v>
      </c>
      <c r="AL564" s="8">
        <v>628</v>
      </c>
      <c r="AM564" s="8">
        <v>1</v>
      </c>
      <c r="AN564" s="5" t="s">
        <v>63</v>
      </c>
      <c r="AO564" s="10">
        <v>49.8</v>
      </c>
      <c r="AP564" s="8">
        <v>33</v>
      </c>
      <c r="AQ564" s="9">
        <v>46276</v>
      </c>
      <c r="AR564" s="5" t="s">
        <v>51</v>
      </c>
      <c r="AS564" s="5" t="s">
        <v>190</v>
      </c>
    </row>
    <row r="565" spans="1:45" x14ac:dyDescent="0.35">
      <c r="A565" s="5" t="s">
        <v>2670</v>
      </c>
      <c r="B565" s="5" t="s">
        <v>2671</v>
      </c>
      <c r="C565" s="6" t="s">
        <v>2672</v>
      </c>
      <c r="D565" s="7">
        <v>317000</v>
      </c>
      <c r="E565" s="5" t="s">
        <v>48</v>
      </c>
      <c r="F565" s="5" t="s">
        <v>68</v>
      </c>
      <c r="G565" s="8">
        <v>4</v>
      </c>
      <c r="H565" s="8">
        <f>IF(F565="Bullet",MIN(G565,Assumptions!$B$6),"")</f>
        <v>2</v>
      </c>
      <c r="I565" s="8"/>
      <c r="J565" s="8" t="str">
        <f>IF(F565="Monthly interest",MAX(0,Assumptions!$B$5-I565),"")</f>
        <v/>
      </c>
      <c r="K565" s="7">
        <f t="shared" si="24"/>
        <v>13736</v>
      </c>
      <c r="L565" s="9">
        <v>46157</v>
      </c>
      <c r="M565" s="5" t="s">
        <v>116</v>
      </c>
      <c r="N565" s="5" t="s">
        <v>117</v>
      </c>
      <c r="O565" s="5" t="s">
        <v>207</v>
      </c>
      <c r="P565" s="5" t="s">
        <v>72</v>
      </c>
      <c r="Q565" s="5" t="s">
        <v>73</v>
      </c>
      <c r="R565" s="5" t="s">
        <v>74</v>
      </c>
      <c r="S565" s="5" t="s">
        <v>185</v>
      </c>
      <c r="T565" s="5" t="s">
        <v>57</v>
      </c>
      <c r="U565" s="5" t="s">
        <v>86</v>
      </c>
      <c r="V565" s="5" t="s">
        <v>186</v>
      </c>
      <c r="W565" s="5" t="s">
        <v>376</v>
      </c>
      <c r="X565" s="5" t="s">
        <v>2673</v>
      </c>
      <c r="Y565" s="5" t="s">
        <v>2674</v>
      </c>
      <c r="Z565" s="9">
        <v>46157</v>
      </c>
      <c r="AA565" s="8">
        <v>6</v>
      </c>
      <c r="AB565" s="9">
        <f t="shared" si="25"/>
        <v>46341</v>
      </c>
      <c r="AC565" s="10">
        <v>13</v>
      </c>
      <c r="AD565" s="7">
        <f t="shared" si="26"/>
        <v>3434</v>
      </c>
      <c r="AE565" s="7">
        <f>IF(F565="Bullet",H565*AD565,MIN(MAX(I565,1),Assumptions!$B$6)*AD565)</f>
        <v>6868</v>
      </c>
      <c r="AF565" s="8">
        <f>IF(F565="Bullet",MAX(0,Assumptions!$B$4-AB565),MAX(0,Assumptions!$B$4-L565))</f>
        <v>0</v>
      </c>
      <c r="AG565" s="9"/>
      <c r="AH565" s="8" t="str">
        <f>IF(AG565="","",Assumptions!$B$4-AG565)</f>
        <v/>
      </c>
      <c r="AI565" s="5" t="s">
        <v>80</v>
      </c>
      <c r="AJ565" s="8"/>
      <c r="AK565" s="8">
        <v>1</v>
      </c>
      <c r="AL565" s="8">
        <v>731</v>
      </c>
      <c r="AM565" s="8">
        <v>0</v>
      </c>
      <c r="AN565" s="5" t="s">
        <v>57</v>
      </c>
      <c r="AO565" s="10">
        <v>88</v>
      </c>
      <c r="AP565" s="8">
        <v>55</v>
      </c>
      <c r="AQ565" s="9">
        <v>46280</v>
      </c>
      <c r="AR565" s="5" t="s">
        <v>70</v>
      </c>
      <c r="AS565" s="5" t="s">
        <v>181</v>
      </c>
    </row>
    <row r="566" spans="1:45" x14ac:dyDescent="0.35">
      <c r="A566" s="5" t="s">
        <v>2675</v>
      </c>
      <c r="B566" s="5" t="s">
        <v>2676</v>
      </c>
      <c r="C566" s="6" t="s">
        <v>2677</v>
      </c>
      <c r="D566" s="7">
        <v>150400</v>
      </c>
      <c r="E566" s="5" t="s">
        <v>48</v>
      </c>
      <c r="F566" s="5" t="s">
        <v>68</v>
      </c>
      <c r="G566" s="8">
        <v>6</v>
      </c>
      <c r="H566" s="8">
        <f>IF(F566="Bullet",MIN(G566,Assumptions!$B$6),"")</f>
        <v>2</v>
      </c>
      <c r="I566" s="8"/>
      <c r="J566" s="8" t="str">
        <f>IF(F566="Monthly interest",MAX(0,Assumptions!$B$5-I566),"")</f>
        <v/>
      </c>
      <c r="K566" s="7">
        <f t="shared" si="24"/>
        <v>9024</v>
      </c>
      <c r="L566" s="9">
        <v>46095</v>
      </c>
      <c r="M566" s="5" t="s">
        <v>116</v>
      </c>
      <c r="N566" s="5" t="s">
        <v>117</v>
      </c>
      <c r="O566" s="5" t="s">
        <v>461</v>
      </c>
      <c r="P566" s="5" t="s">
        <v>72</v>
      </c>
      <c r="Q566" s="5" t="s">
        <v>169</v>
      </c>
      <c r="R566" s="5" t="s">
        <v>170</v>
      </c>
      <c r="S566" s="5" t="s">
        <v>85</v>
      </c>
      <c r="T566" s="5" t="s">
        <v>57</v>
      </c>
      <c r="U566" s="5" t="s">
        <v>86</v>
      </c>
      <c r="V566" s="5" t="s">
        <v>133</v>
      </c>
      <c r="W566" s="5" t="s">
        <v>134</v>
      </c>
      <c r="X566" s="5" t="s">
        <v>2678</v>
      </c>
      <c r="Y566" s="5" t="s">
        <v>2679</v>
      </c>
      <c r="Z566" s="9">
        <v>46095</v>
      </c>
      <c r="AA566" s="8">
        <v>12</v>
      </c>
      <c r="AB566" s="9">
        <f t="shared" si="25"/>
        <v>46460</v>
      </c>
      <c r="AC566" s="10">
        <v>12</v>
      </c>
      <c r="AD566" s="7">
        <f t="shared" si="26"/>
        <v>1504</v>
      </c>
      <c r="AE566" s="7">
        <f>IF(F566="Bullet",H566*AD566,MIN(MAX(I566,1),Assumptions!$B$6)*AD566)</f>
        <v>3008</v>
      </c>
      <c r="AF566" s="8">
        <f>IF(F566="Bullet",MAX(0,Assumptions!$B$4-AB566),MAX(0,Assumptions!$B$4-L566))</f>
        <v>0</v>
      </c>
      <c r="AG566" s="9"/>
      <c r="AH566" s="8" t="str">
        <f>IF(AG566="","",Assumptions!$B$4-AG566)</f>
        <v/>
      </c>
      <c r="AI566" s="5" t="s">
        <v>80</v>
      </c>
      <c r="AJ566" s="8"/>
      <c r="AK566" s="8">
        <v>1</v>
      </c>
      <c r="AL566" s="8">
        <v>713</v>
      </c>
      <c r="AM566" s="8">
        <v>0</v>
      </c>
      <c r="AN566" s="5" t="s">
        <v>63</v>
      </c>
      <c r="AO566" s="10">
        <v>85.5</v>
      </c>
      <c r="AP566" s="8">
        <v>50</v>
      </c>
      <c r="AQ566" s="9">
        <v>46282</v>
      </c>
      <c r="AR566" s="5" t="s">
        <v>53</v>
      </c>
      <c r="AS566" s="5" t="s">
        <v>64</v>
      </c>
    </row>
    <row r="567" spans="1:45" x14ac:dyDescent="0.35">
      <c r="A567" s="5" t="s">
        <v>2680</v>
      </c>
      <c r="B567" s="5" t="s">
        <v>2681</v>
      </c>
      <c r="C567" s="6" t="s">
        <v>2682</v>
      </c>
      <c r="D567" s="7">
        <v>87000</v>
      </c>
      <c r="E567" s="5" t="s">
        <v>48</v>
      </c>
      <c r="F567" s="5" t="s">
        <v>49</v>
      </c>
      <c r="G567" s="8"/>
      <c r="H567" s="8" t="str">
        <f>IF(F567="Bullet",MIN(G567,Assumptions!$B$6),"")</f>
        <v/>
      </c>
      <c r="I567" s="8">
        <v>2</v>
      </c>
      <c r="J567" s="8">
        <f>IF(F567="Monthly interest",MAX(0,Assumptions!$B$5-I567),"")</f>
        <v>1</v>
      </c>
      <c r="K567" s="7">
        <f t="shared" si="24"/>
        <v>2030</v>
      </c>
      <c r="L567" s="9">
        <v>46253</v>
      </c>
      <c r="M567" s="5" t="s">
        <v>116</v>
      </c>
      <c r="N567" s="5" t="s">
        <v>117</v>
      </c>
      <c r="O567" s="5" t="s">
        <v>118</v>
      </c>
      <c r="P567" s="5" t="s">
        <v>72</v>
      </c>
      <c r="Q567" s="5" t="s">
        <v>119</v>
      </c>
      <c r="R567" s="5" t="s">
        <v>120</v>
      </c>
      <c r="S567" s="5" t="s">
        <v>214</v>
      </c>
      <c r="T567" s="5" t="s">
        <v>63</v>
      </c>
      <c r="U567" s="5" t="s">
        <v>86</v>
      </c>
      <c r="V567" s="5" t="s">
        <v>215</v>
      </c>
      <c r="W567" s="5" t="s">
        <v>1057</v>
      </c>
      <c r="X567" s="5" t="s">
        <v>1292</v>
      </c>
      <c r="Y567" s="5" t="s">
        <v>2683</v>
      </c>
      <c r="Z567" s="9">
        <v>46041</v>
      </c>
      <c r="AA567" s="8">
        <v>12</v>
      </c>
      <c r="AB567" s="9">
        <f t="shared" si="25"/>
        <v>46406</v>
      </c>
      <c r="AC567" s="10">
        <v>14</v>
      </c>
      <c r="AD567" s="7">
        <f t="shared" si="26"/>
        <v>1015</v>
      </c>
      <c r="AE567" s="7">
        <f>IF(F567="Bullet",H567*AD567,MIN(MAX(I567,1),Assumptions!$B$6)*AD567)</f>
        <v>2030</v>
      </c>
      <c r="AF567" s="8">
        <f>IF(F567="Bullet",MAX(0,Assumptions!$B$4-AB567),MAX(0,Assumptions!$B$4-L567))</f>
        <v>45</v>
      </c>
      <c r="AG567" s="9">
        <v>46223</v>
      </c>
      <c r="AH567" s="8">
        <f>IF(AG567="","",Assumptions!$B$4-AG567)</f>
        <v>75</v>
      </c>
      <c r="AI567" s="5" t="s">
        <v>57</v>
      </c>
      <c r="AJ567" s="8">
        <v>2</v>
      </c>
      <c r="AK567" s="8">
        <v>0</v>
      </c>
      <c r="AL567" s="8">
        <v>645</v>
      </c>
      <c r="AM567" s="8">
        <v>1</v>
      </c>
      <c r="AN567" s="5" t="s">
        <v>63</v>
      </c>
      <c r="AO567" s="10">
        <v>81.2</v>
      </c>
      <c r="AP567" s="8">
        <v>59</v>
      </c>
      <c r="AQ567" s="9">
        <v>46277</v>
      </c>
      <c r="AR567" s="5" t="s">
        <v>70</v>
      </c>
      <c r="AS567" s="5" t="s">
        <v>81</v>
      </c>
    </row>
    <row r="568" spans="1:45" x14ac:dyDescent="0.35">
      <c r="A568" s="5" t="s">
        <v>2684</v>
      </c>
      <c r="B568" s="5" t="s">
        <v>2685</v>
      </c>
      <c r="C568" s="6" t="s">
        <v>2686</v>
      </c>
      <c r="D568" s="7">
        <v>197600</v>
      </c>
      <c r="E568" s="5" t="s">
        <v>48</v>
      </c>
      <c r="F568" s="5" t="s">
        <v>49</v>
      </c>
      <c r="G568" s="8"/>
      <c r="H568" s="8" t="str">
        <f>IF(F568="Bullet",MIN(G568,Assumptions!$B$6),"")</f>
        <v/>
      </c>
      <c r="I568" s="8">
        <v>1</v>
      </c>
      <c r="J568" s="8">
        <f>IF(F568="Monthly interest",MAX(0,Assumptions!$B$5-I568),"")</f>
        <v>2</v>
      </c>
      <c r="K568" s="7">
        <f t="shared" si="24"/>
        <v>3623</v>
      </c>
      <c r="L568" s="9">
        <v>46275</v>
      </c>
      <c r="M568" s="5" t="s">
        <v>50</v>
      </c>
      <c r="N568" s="5" t="s">
        <v>51</v>
      </c>
      <c r="O568" s="5" t="s">
        <v>52</v>
      </c>
      <c r="P568" s="5" t="s">
        <v>53</v>
      </c>
      <c r="Q568" s="5" t="s">
        <v>54</v>
      </c>
      <c r="R568" s="5" t="s">
        <v>55</v>
      </c>
      <c r="S568" s="5" t="s">
        <v>56</v>
      </c>
      <c r="T568" s="5" t="s">
        <v>57</v>
      </c>
      <c r="U568" s="5" t="s">
        <v>86</v>
      </c>
      <c r="V568" s="5" t="s">
        <v>59</v>
      </c>
      <c r="W568" s="5" t="s">
        <v>300</v>
      </c>
      <c r="X568" s="5" t="s">
        <v>2653</v>
      </c>
      <c r="Y568" s="5" t="s">
        <v>2687</v>
      </c>
      <c r="Z568" s="9">
        <v>46213</v>
      </c>
      <c r="AA568" s="8">
        <v>12</v>
      </c>
      <c r="AB568" s="9">
        <f t="shared" si="25"/>
        <v>46578</v>
      </c>
      <c r="AC568" s="10">
        <v>22</v>
      </c>
      <c r="AD568" s="7">
        <f t="shared" si="26"/>
        <v>3623</v>
      </c>
      <c r="AE568" s="7">
        <f>IF(F568="Bullet",H568*AD568,MIN(MAX(I568,1),Assumptions!$B$6)*AD568)</f>
        <v>3623</v>
      </c>
      <c r="AF568" s="8">
        <f>IF(F568="Bullet",MAX(0,Assumptions!$B$4-AB568),MAX(0,Assumptions!$B$4-L568))</f>
        <v>23</v>
      </c>
      <c r="AG568" s="9">
        <v>46246</v>
      </c>
      <c r="AH568" s="8">
        <f>IF(AG568="","",Assumptions!$B$4-AG568)</f>
        <v>52</v>
      </c>
      <c r="AI568" s="5" t="s">
        <v>57</v>
      </c>
      <c r="AJ568" s="8">
        <v>1</v>
      </c>
      <c r="AK568" s="8">
        <v>0</v>
      </c>
      <c r="AL568" s="8">
        <v>755</v>
      </c>
      <c r="AM568" s="8">
        <v>2</v>
      </c>
      <c r="AN568" s="5" t="s">
        <v>63</v>
      </c>
      <c r="AO568" s="10">
        <v>82.3</v>
      </c>
      <c r="AP568" s="8">
        <v>21</v>
      </c>
      <c r="AQ568" s="9">
        <v>46281</v>
      </c>
      <c r="AR568" s="5" t="s">
        <v>51</v>
      </c>
      <c r="AS568" s="5" t="s">
        <v>181</v>
      </c>
    </row>
    <row r="569" spans="1:45" x14ac:dyDescent="0.35">
      <c r="A569" s="5" t="s">
        <v>2688</v>
      </c>
      <c r="B569" s="5" t="s">
        <v>2689</v>
      </c>
      <c r="C569" s="6" t="s">
        <v>2690</v>
      </c>
      <c r="D569" s="7">
        <v>41500</v>
      </c>
      <c r="E569" s="5" t="s">
        <v>48</v>
      </c>
      <c r="F569" s="5" t="s">
        <v>49</v>
      </c>
      <c r="G569" s="8"/>
      <c r="H569" s="8" t="str">
        <f>IF(F569="Bullet",MIN(G569,Assumptions!$B$6),"")</f>
        <v/>
      </c>
      <c r="I569" s="8">
        <v>1</v>
      </c>
      <c r="J569" s="8">
        <f>IF(F569="Monthly interest",MAX(0,Assumptions!$B$5-I569),"")</f>
        <v>2</v>
      </c>
      <c r="K569" s="7">
        <f t="shared" si="24"/>
        <v>692</v>
      </c>
      <c r="L569" s="9">
        <v>46275</v>
      </c>
      <c r="M569" s="5" t="s">
        <v>50</v>
      </c>
      <c r="N569" s="5" t="s">
        <v>51</v>
      </c>
      <c r="O569" s="5" t="s">
        <v>152</v>
      </c>
      <c r="P569" s="5" t="s">
        <v>53</v>
      </c>
      <c r="Q569" s="5" t="s">
        <v>154</v>
      </c>
      <c r="R569" s="5" t="s">
        <v>155</v>
      </c>
      <c r="S569" s="5" t="s">
        <v>75</v>
      </c>
      <c r="T569" s="5" t="s">
        <v>57</v>
      </c>
      <c r="U569" s="5" t="s">
        <v>58</v>
      </c>
      <c r="V569" s="5" t="s">
        <v>76</v>
      </c>
      <c r="W569" s="5" t="s">
        <v>382</v>
      </c>
      <c r="X569" s="5" t="s">
        <v>2691</v>
      </c>
      <c r="Y569" s="5" t="s">
        <v>2692</v>
      </c>
      <c r="Z569" s="9">
        <v>46213</v>
      </c>
      <c r="AA569" s="8">
        <v>18</v>
      </c>
      <c r="AB569" s="9">
        <f t="shared" si="25"/>
        <v>46762</v>
      </c>
      <c r="AC569" s="10">
        <v>20</v>
      </c>
      <c r="AD569" s="7">
        <f t="shared" si="26"/>
        <v>692</v>
      </c>
      <c r="AE569" s="7">
        <f>IF(F569="Bullet",H569*AD569,MIN(MAX(I569,1),Assumptions!$B$6)*AD569)</f>
        <v>692</v>
      </c>
      <c r="AF569" s="8">
        <f>IF(F569="Bullet",MAX(0,Assumptions!$B$4-AB569),MAX(0,Assumptions!$B$4-L569))</f>
        <v>23</v>
      </c>
      <c r="AG569" s="9">
        <v>46244</v>
      </c>
      <c r="AH569" s="8">
        <f>IF(AG569="","",Assumptions!$B$4-AG569)</f>
        <v>54</v>
      </c>
      <c r="AI569" s="5" t="s">
        <v>57</v>
      </c>
      <c r="AJ569" s="8">
        <v>1</v>
      </c>
      <c r="AK569" s="8">
        <v>0</v>
      </c>
      <c r="AL569" s="8">
        <v>706</v>
      </c>
      <c r="AM569" s="8">
        <v>0</v>
      </c>
      <c r="AN569" s="5" t="s">
        <v>63</v>
      </c>
      <c r="AO569" s="10">
        <v>69.3</v>
      </c>
      <c r="AP569" s="8">
        <v>23</v>
      </c>
      <c r="AQ569" s="9">
        <v>46276</v>
      </c>
      <c r="AR569" s="5" t="s">
        <v>70</v>
      </c>
      <c r="AS569" s="5" t="s">
        <v>64</v>
      </c>
    </row>
    <row r="570" spans="1:45" x14ac:dyDescent="0.35">
      <c r="A570" s="5" t="s">
        <v>2693</v>
      </c>
      <c r="B570" s="5" t="s">
        <v>293</v>
      </c>
      <c r="C570" s="6" t="s">
        <v>2694</v>
      </c>
      <c r="D570" s="7">
        <v>125500</v>
      </c>
      <c r="E570" s="5" t="s">
        <v>48</v>
      </c>
      <c r="F570" s="5" t="s">
        <v>68</v>
      </c>
      <c r="G570" s="8">
        <v>5</v>
      </c>
      <c r="H570" s="8">
        <f>IF(F570="Bullet",MIN(G570,Assumptions!$B$6),"")</f>
        <v>2</v>
      </c>
      <c r="I570" s="8"/>
      <c r="J570" s="8" t="str">
        <f>IF(F570="Monthly interest",MAX(0,Assumptions!$B$5-I570),"")</f>
        <v/>
      </c>
      <c r="K570" s="7">
        <f t="shared" si="24"/>
        <v>7845</v>
      </c>
      <c r="L570" s="9">
        <v>46133</v>
      </c>
      <c r="M570" s="5" t="s">
        <v>116</v>
      </c>
      <c r="N570" s="5" t="s">
        <v>117</v>
      </c>
      <c r="O570" s="5" t="s">
        <v>461</v>
      </c>
      <c r="P570" s="5" t="s">
        <v>72</v>
      </c>
      <c r="Q570" s="5" t="s">
        <v>169</v>
      </c>
      <c r="R570" s="5" t="s">
        <v>170</v>
      </c>
      <c r="S570" s="5" t="s">
        <v>56</v>
      </c>
      <c r="T570" s="5" t="s">
        <v>57</v>
      </c>
      <c r="U570" s="5" t="s">
        <v>86</v>
      </c>
      <c r="V570" s="5" t="s">
        <v>59</v>
      </c>
      <c r="W570" s="5" t="s">
        <v>194</v>
      </c>
      <c r="X570" s="5" t="s">
        <v>526</v>
      </c>
      <c r="Y570" s="5" t="s">
        <v>2695</v>
      </c>
      <c r="Z570" s="9">
        <v>46133</v>
      </c>
      <c r="AA570" s="8">
        <v>6</v>
      </c>
      <c r="AB570" s="9">
        <f t="shared" si="25"/>
        <v>46316</v>
      </c>
      <c r="AC570" s="10">
        <v>15</v>
      </c>
      <c r="AD570" s="7">
        <f t="shared" si="26"/>
        <v>1569</v>
      </c>
      <c r="AE570" s="7">
        <f>IF(F570="Bullet",H570*AD570,MIN(MAX(I570,1),Assumptions!$B$6)*AD570)</f>
        <v>3138</v>
      </c>
      <c r="AF570" s="8">
        <f>IF(F570="Bullet",MAX(0,Assumptions!$B$4-AB570),MAX(0,Assumptions!$B$4-L570))</f>
        <v>0</v>
      </c>
      <c r="AG570" s="9"/>
      <c r="AH570" s="8" t="str">
        <f>IF(AG570="","",Assumptions!$B$4-AG570)</f>
        <v/>
      </c>
      <c r="AI570" s="5" t="s">
        <v>80</v>
      </c>
      <c r="AJ570" s="8"/>
      <c r="AK570" s="8">
        <v>0</v>
      </c>
      <c r="AL570" s="8" t="s">
        <v>80</v>
      </c>
      <c r="AM570" s="8">
        <v>2</v>
      </c>
      <c r="AN570" s="5" t="s">
        <v>63</v>
      </c>
      <c r="AO570" s="10">
        <v>82.3</v>
      </c>
      <c r="AP570" s="8">
        <v>51</v>
      </c>
      <c r="AQ570" s="9">
        <v>46280</v>
      </c>
      <c r="AR570" s="5" t="s">
        <v>53</v>
      </c>
      <c r="AS570" s="5" t="s">
        <v>81</v>
      </c>
    </row>
    <row r="571" spans="1:45" x14ac:dyDescent="0.35">
      <c r="A571" s="5" t="s">
        <v>2696</v>
      </c>
      <c r="B571" s="5" t="s">
        <v>2697</v>
      </c>
      <c r="C571" s="6" t="s">
        <v>2698</v>
      </c>
      <c r="D571" s="7">
        <v>127000</v>
      </c>
      <c r="E571" s="5" t="s">
        <v>48</v>
      </c>
      <c r="F571" s="5" t="s">
        <v>68</v>
      </c>
      <c r="G571" s="8">
        <v>5</v>
      </c>
      <c r="H571" s="8">
        <f>IF(F571="Bullet",MIN(G571,Assumptions!$B$6),"")</f>
        <v>2</v>
      </c>
      <c r="I571" s="8"/>
      <c r="J571" s="8" t="str">
        <f>IF(F571="Monthly interest",MAX(0,Assumptions!$B$5-I571),"")</f>
        <v/>
      </c>
      <c r="K571" s="7">
        <f t="shared" si="24"/>
        <v>7410</v>
      </c>
      <c r="L571" s="9">
        <v>46138</v>
      </c>
      <c r="M571" s="5" t="s">
        <v>116</v>
      </c>
      <c r="N571" s="5" t="s">
        <v>117</v>
      </c>
      <c r="O571" s="5" t="s">
        <v>461</v>
      </c>
      <c r="P571" s="5" t="s">
        <v>72</v>
      </c>
      <c r="Q571" s="5" t="s">
        <v>169</v>
      </c>
      <c r="R571" s="5" t="s">
        <v>170</v>
      </c>
      <c r="S571" s="5" t="s">
        <v>214</v>
      </c>
      <c r="T571" s="5" t="s">
        <v>57</v>
      </c>
      <c r="U571" s="5" t="s">
        <v>58</v>
      </c>
      <c r="V571" s="5" t="s">
        <v>215</v>
      </c>
      <c r="W571" s="5" t="s">
        <v>242</v>
      </c>
      <c r="X571" s="5" t="s">
        <v>2699</v>
      </c>
      <c r="Y571" s="5" t="s">
        <v>2700</v>
      </c>
      <c r="Z571" s="9">
        <v>46138</v>
      </c>
      <c r="AA571" s="8">
        <v>3</v>
      </c>
      <c r="AB571" s="9">
        <f t="shared" si="25"/>
        <v>46229</v>
      </c>
      <c r="AC571" s="10">
        <v>14</v>
      </c>
      <c r="AD571" s="7">
        <f t="shared" si="26"/>
        <v>1482</v>
      </c>
      <c r="AE571" s="7">
        <f>IF(F571="Bullet",H571*AD571,MIN(MAX(I571,1),Assumptions!$B$6)*AD571)</f>
        <v>2964</v>
      </c>
      <c r="AF571" s="8">
        <f>IF(F571="Bullet",MAX(0,Assumptions!$B$4-AB571),MAX(0,Assumptions!$B$4-L571))</f>
        <v>69</v>
      </c>
      <c r="AG571" s="9"/>
      <c r="AH571" s="8" t="str">
        <f>IF(AG571="","",Assumptions!$B$4-AG571)</f>
        <v/>
      </c>
      <c r="AI571" s="5" t="s">
        <v>80</v>
      </c>
      <c r="AJ571" s="8"/>
      <c r="AK571" s="8">
        <v>2</v>
      </c>
      <c r="AL571" s="8">
        <v>587</v>
      </c>
      <c r="AM571" s="8">
        <v>1</v>
      </c>
      <c r="AN571" s="5" t="s">
        <v>57</v>
      </c>
      <c r="AO571" s="10">
        <v>88</v>
      </c>
      <c r="AP571" s="8">
        <v>100</v>
      </c>
      <c r="AQ571" s="9">
        <v>46273</v>
      </c>
      <c r="AR571" s="5" t="s">
        <v>72</v>
      </c>
      <c r="AS571" s="5" t="s">
        <v>81</v>
      </c>
    </row>
    <row r="572" spans="1:45" x14ac:dyDescent="0.35">
      <c r="A572" s="5" t="s">
        <v>2701</v>
      </c>
      <c r="B572" s="5" t="s">
        <v>2702</v>
      </c>
      <c r="C572" s="6" t="s">
        <v>2703</v>
      </c>
      <c r="D572" s="7">
        <v>117500</v>
      </c>
      <c r="E572" s="5" t="s">
        <v>48</v>
      </c>
      <c r="F572" s="5" t="s">
        <v>49</v>
      </c>
      <c r="G572" s="8"/>
      <c r="H572" s="8" t="str">
        <f>IF(F572="Bullet",MIN(G572,Assumptions!$B$6),"")</f>
        <v/>
      </c>
      <c r="I572" s="8">
        <v>1</v>
      </c>
      <c r="J572" s="8">
        <f>IF(F572="Monthly interest",MAX(0,Assumptions!$B$5-I572),"")</f>
        <v>2</v>
      </c>
      <c r="K572" s="7">
        <f t="shared" si="24"/>
        <v>2350</v>
      </c>
      <c r="L572" s="9">
        <v>46269</v>
      </c>
      <c r="M572" s="5" t="s">
        <v>50</v>
      </c>
      <c r="N572" s="5" t="s">
        <v>51</v>
      </c>
      <c r="O572" s="5" t="s">
        <v>52</v>
      </c>
      <c r="P572" s="5" t="s">
        <v>53</v>
      </c>
      <c r="Q572" s="5" t="s">
        <v>54</v>
      </c>
      <c r="R572" s="5" t="s">
        <v>55</v>
      </c>
      <c r="S572" s="5" t="s">
        <v>56</v>
      </c>
      <c r="T572" s="5" t="s">
        <v>57</v>
      </c>
      <c r="U572" s="5" t="s">
        <v>58</v>
      </c>
      <c r="V572" s="5" t="s">
        <v>59</v>
      </c>
      <c r="W572" s="5" t="s">
        <v>418</v>
      </c>
      <c r="X572" s="5" t="s">
        <v>1015</v>
      </c>
      <c r="Y572" s="5" t="s">
        <v>2704</v>
      </c>
      <c r="Z572" s="9">
        <v>45995</v>
      </c>
      <c r="AA572" s="8">
        <v>12</v>
      </c>
      <c r="AB572" s="9">
        <f t="shared" si="25"/>
        <v>46360</v>
      </c>
      <c r="AC572" s="10">
        <v>24</v>
      </c>
      <c r="AD572" s="7">
        <f t="shared" si="26"/>
        <v>2350</v>
      </c>
      <c r="AE572" s="7">
        <f>IF(F572="Bullet",H572*AD572,MIN(MAX(I572,1),Assumptions!$B$6)*AD572)</f>
        <v>2350</v>
      </c>
      <c r="AF572" s="8">
        <f>IF(F572="Bullet",MAX(0,Assumptions!$B$4-AB572),MAX(0,Assumptions!$B$4-L572))</f>
        <v>29</v>
      </c>
      <c r="AG572" s="9">
        <v>46241</v>
      </c>
      <c r="AH572" s="8">
        <f>IF(AG572="","",Assumptions!$B$4-AG572)</f>
        <v>57</v>
      </c>
      <c r="AI572" s="5" t="s">
        <v>63</v>
      </c>
      <c r="AJ572" s="8">
        <v>1</v>
      </c>
      <c r="AK572" s="8">
        <v>0</v>
      </c>
      <c r="AL572" s="8">
        <v>678</v>
      </c>
      <c r="AM572" s="8">
        <v>2</v>
      </c>
      <c r="AN572" s="5" t="s">
        <v>63</v>
      </c>
      <c r="AO572" s="10">
        <v>64.3</v>
      </c>
      <c r="AP572" s="8">
        <v>30</v>
      </c>
      <c r="AQ572" s="9">
        <v>46296</v>
      </c>
      <c r="AR572" s="5" t="s">
        <v>53</v>
      </c>
      <c r="AS572" s="5" t="s">
        <v>274</v>
      </c>
    </row>
    <row r="573" spans="1:45" x14ac:dyDescent="0.35">
      <c r="A573" s="5" t="s">
        <v>2705</v>
      </c>
      <c r="B573" s="5" t="s">
        <v>2706</v>
      </c>
      <c r="C573" s="6" t="s">
        <v>2707</v>
      </c>
      <c r="D573" s="7">
        <v>72100</v>
      </c>
      <c r="E573" s="5" t="s">
        <v>48</v>
      </c>
      <c r="F573" s="5" t="s">
        <v>49</v>
      </c>
      <c r="G573" s="8"/>
      <c r="H573" s="8" t="str">
        <f>IF(F573="Bullet",MIN(G573,Assumptions!$B$6),"")</f>
        <v/>
      </c>
      <c r="I573" s="8">
        <v>2</v>
      </c>
      <c r="J573" s="8">
        <f>IF(F573="Monthly interest",MAX(0,Assumptions!$B$5-I573),"")</f>
        <v>1</v>
      </c>
      <c r="K573" s="7">
        <f t="shared" si="24"/>
        <v>1682</v>
      </c>
      <c r="L573" s="9">
        <v>46254</v>
      </c>
      <c r="M573" s="5" t="s">
        <v>116</v>
      </c>
      <c r="N573" s="5" t="s">
        <v>117</v>
      </c>
      <c r="O573" s="5" t="s">
        <v>118</v>
      </c>
      <c r="P573" s="5" t="s">
        <v>72</v>
      </c>
      <c r="Q573" s="5" t="s">
        <v>119</v>
      </c>
      <c r="R573" s="5" t="s">
        <v>120</v>
      </c>
      <c r="S573" s="5" t="s">
        <v>185</v>
      </c>
      <c r="T573" s="5" t="s">
        <v>57</v>
      </c>
      <c r="U573" s="5" t="s">
        <v>86</v>
      </c>
      <c r="V573" s="5" t="s">
        <v>186</v>
      </c>
      <c r="W573" s="5" t="s">
        <v>694</v>
      </c>
      <c r="X573" s="5" t="s">
        <v>2432</v>
      </c>
      <c r="Y573" s="5" t="s">
        <v>2708</v>
      </c>
      <c r="Z573" s="9">
        <v>46193</v>
      </c>
      <c r="AA573" s="8">
        <v>24</v>
      </c>
      <c r="AB573" s="9">
        <f t="shared" si="25"/>
        <v>46924</v>
      </c>
      <c r="AC573" s="10">
        <v>14</v>
      </c>
      <c r="AD573" s="7">
        <f t="shared" si="26"/>
        <v>841</v>
      </c>
      <c r="AE573" s="7">
        <f>IF(F573="Bullet",H573*AD573,MIN(MAX(I573,1),Assumptions!$B$6)*AD573)</f>
        <v>1682</v>
      </c>
      <c r="AF573" s="8">
        <f>IF(F573="Bullet",MAX(0,Assumptions!$B$4-AB573),MAX(0,Assumptions!$B$4-L573))</f>
        <v>44</v>
      </c>
      <c r="AG573" s="9">
        <v>46228</v>
      </c>
      <c r="AH573" s="8">
        <f>IF(AG573="","",Assumptions!$B$4-AG573)</f>
        <v>70</v>
      </c>
      <c r="AI573" s="5" t="s">
        <v>63</v>
      </c>
      <c r="AJ573" s="8">
        <v>2</v>
      </c>
      <c r="AK573" s="8">
        <v>1</v>
      </c>
      <c r="AL573" s="8">
        <v>729</v>
      </c>
      <c r="AM573" s="8">
        <v>3</v>
      </c>
      <c r="AN573" s="5" t="s">
        <v>63</v>
      </c>
      <c r="AO573" s="10">
        <v>77.2</v>
      </c>
      <c r="AP573" s="8">
        <v>50</v>
      </c>
      <c r="AQ573" s="9">
        <v>46292</v>
      </c>
      <c r="AR573" s="5" t="s">
        <v>70</v>
      </c>
      <c r="AS573" s="5" t="s">
        <v>81</v>
      </c>
    </row>
    <row r="574" spans="1:45" x14ac:dyDescent="0.35">
      <c r="A574" s="5" t="s">
        <v>2709</v>
      </c>
      <c r="B574" s="5" t="s">
        <v>2710</v>
      </c>
      <c r="C574" s="6" t="s">
        <v>2711</v>
      </c>
      <c r="D574" s="7">
        <v>333500</v>
      </c>
      <c r="E574" s="5" t="s">
        <v>48</v>
      </c>
      <c r="F574" s="5" t="s">
        <v>68</v>
      </c>
      <c r="G574" s="8">
        <v>1</v>
      </c>
      <c r="H574" s="8">
        <f>IF(F574="Bullet",MIN(G574,Assumptions!$B$6),"")</f>
        <v>1</v>
      </c>
      <c r="I574" s="8"/>
      <c r="J574" s="8" t="str">
        <f>IF(F574="Monthly interest",MAX(0,Assumptions!$B$5-I574),"")</f>
        <v/>
      </c>
      <c r="K574" s="7">
        <f t="shared" si="24"/>
        <v>3335</v>
      </c>
      <c r="L574" s="9">
        <v>46247</v>
      </c>
      <c r="M574" s="5" t="s">
        <v>50</v>
      </c>
      <c r="N574" s="5" t="s">
        <v>51</v>
      </c>
      <c r="O574" s="5" t="s">
        <v>71</v>
      </c>
      <c r="P574" s="5" t="s">
        <v>53</v>
      </c>
      <c r="Q574" s="5" t="s">
        <v>73</v>
      </c>
      <c r="R574" s="5" t="s">
        <v>74</v>
      </c>
      <c r="S574" s="5" t="s">
        <v>75</v>
      </c>
      <c r="T574" s="5" t="s">
        <v>57</v>
      </c>
      <c r="U574" s="5" t="s">
        <v>86</v>
      </c>
      <c r="V574" s="5" t="s">
        <v>76</v>
      </c>
      <c r="W574" s="5" t="s">
        <v>444</v>
      </c>
      <c r="X574" s="5" t="s">
        <v>631</v>
      </c>
      <c r="Y574" s="5" t="s">
        <v>2712</v>
      </c>
      <c r="Z574" s="9">
        <v>46247</v>
      </c>
      <c r="AA574" s="8">
        <v>12</v>
      </c>
      <c r="AB574" s="9">
        <f t="shared" si="25"/>
        <v>46612</v>
      </c>
      <c r="AC574" s="10">
        <v>12</v>
      </c>
      <c r="AD574" s="7">
        <f t="shared" si="26"/>
        <v>3335</v>
      </c>
      <c r="AE574" s="7">
        <f>IF(F574="Bullet",H574*AD574,MIN(MAX(I574,1),Assumptions!$B$6)*AD574)</f>
        <v>3335</v>
      </c>
      <c r="AF574" s="8">
        <f>IF(F574="Bullet",MAX(0,Assumptions!$B$4-AB574),MAX(0,Assumptions!$B$4-L574))</f>
        <v>0</v>
      </c>
      <c r="AG574" s="9"/>
      <c r="AH574" s="8" t="str">
        <f>IF(AG574="","",Assumptions!$B$4-AG574)</f>
        <v/>
      </c>
      <c r="AI574" s="5" t="s">
        <v>80</v>
      </c>
      <c r="AJ574" s="8"/>
      <c r="AK574" s="8">
        <v>0</v>
      </c>
      <c r="AL574" s="8">
        <v>641</v>
      </c>
      <c r="AM574" s="8">
        <v>0</v>
      </c>
      <c r="AN574" s="5" t="s">
        <v>63</v>
      </c>
      <c r="AO574" s="10">
        <v>69.2</v>
      </c>
      <c r="AP574" s="8">
        <v>16</v>
      </c>
      <c r="AQ574" s="9">
        <v>46281</v>
      </c>
      <c r="AR574" s="5" t="s">
        <v>51</v>
      </c>
      <c r="AS574" s="5" t="s">
        <v>181</v>
      </c>
    </row>
    <row r="575" spans="1:45" x14ac:dyDescent="0.35">
      <c r="A575" s="5" t="s">
        <v>2713</v>
      </c>
      <c r="B575" s="5" t="s">
        <v>2714</v>
      </c>
      <c r="C575" s="6" t="s">
        <v>2715</v>
      </c>
      <c r="D575" s="7">
        <v>148900</v>
      </c>
      <c r="E575" s="5" t="s">
        <v>48</v>
      </c>
      <c r="F575" s="5" t="s">
        <v>49</v>
      </c>
      <c r="G575" s="8"/>
      <c r="H575" s="8" t="str">
        <f>IF(F575="Bullet",MIN(G575,Assumptions!$B$6),"")</f>
        <v/>
      </c>
      <c r="I575" s="8">
        <v>1</v>
      </c>
      <c r="J575" s="8">
        <f>IF(F575="Monthly interest",MAX(0,Assumptions!$B$5-I575),"")</f>
        <v>2</v>
      </c>
      <c r="K575" s="7">
        <f t="shared" si="24"/>
        <v>1861</v>
      </c>
      <c r="L575" s="9">
        <v>46273</v>
      </c>
      <c r="M575" s="5" t="s">
        <v>50</v>
      </c>
      <c r="N575" s="5" t="s">
        <v>51</v>
      </c>
      <c r="O575" s="5" t="s">
        <v>52</v>
      </c>
      <c r="P575" s="5" t="s">
        <v>53</v>
      </c>
      <c r="Q575" s="5" t="s">
        <v>54</v>
      </c>
      <c r="R575" s="5" t="s">
        <v>55</v>
      </c>
      <c r="S575" s="5" t="s">
        <v>253</v>
      </c>
      <c r="T575" s="5" t="s">
        <v>57</v>
      </c>
      <c r="U575" s="5" t="s">
        <v>86</v>
      </c>
      <c r="V575" s="5" t="s">
        <v>177</v>
      </c>
      <c r="W575" s="5" t="s">
        <v>345</v>
      </c>
      <c r="X575" s="5" t="s">
        <v>684</v>
      </c>
      <c r="Y575" s="5" t="s">
        <v>2716</v>
      </c>
      <c r="Z575" s="9">
        <v>46120</v>
      </c>
      <c r="AA575" s="8">
        <v>24</v>
      </c>
      <c r="AB575" s="9">
        <f t="shared" si="25"/>
        <v>46851</v>
      </c>
      <c r="AC575" s="10">
        <v>15</v>
      </c>
      <c r="AD575" s="7">
        <f t="shared" si="26"/>
        <v>1861</v>
      </c>
      <c r="AE575" s="7">
        <f>IF(F575="Bullet",H575*AD575,MIN(MAX(I575,1),Assumptions!$B$6)*AD575)</f>
        <v>1861</v>
      </c>
      <c r="AF575" s="8">
        <f>IF(F575="Bullet",MAX(0,Assumptions!$B$4-AB575),MAX(0,Assumptions!$B$4-L575))</f>
        <v>25</v>
      </c>
      <c r="AG575" s="9">
        <v>46246</v>
      </c>
      <c r="AH575" s="8">
        <f>IF(AG575="","",Assumptions!$B$4-AG575)</f>
        <v>52</v>
      </c>
      <c r="AI575" s="5" t="s">
        <v>63</v>
      </c>
      <c r="AJ575" s="8">
        <v>1</v>
      </c>
      <c r="AK575" s="8">
        <v>1</v>
      </c>
      <c r="AL575" s="8">
        <v>720</v>
      </c>
      <c r="AM575" s="8">
        <v>1</v>
      </c>
      <c r="AN575" s="5" t="s">
        <v>63</v>
      </c>
      <c r="AO575" s="10">
        <v>68.900000000000006</v>
      </c>
      <c r="AP575" s="8">
        <v>26</v>
      </c>
      <c r="AQ575" s="9"/>
      <c r="AR575" s="5"/>
      <c r="AS575" s="5" t="s">
        <v>159</v>
      </c>
    </row>
    <row r="576" spans="1:45" x14ac:dyDescent="0.35">
      <c r="A576" s="5" t="s">
        <v>2717</v>
      </c>
      <c r="B576" s="5" t="s">
        <v>2718</v>
      </c>
      <c r="C576" s="6" t="s">
        <v>2719</v>
      </c>
      <c r="D576" s="7">
        <v>59000</v>
      </c>
      <c r="E576" s="5" t="s">
        <v>48</v>
      </c>
      <c r="F576" s="5" t="s">
        <v>68</v>
      </c>
      <c r="G576" s="8">
        <v>5</v>
      </c>
      <c r="H576" s="8">
        <f>IF(F576="Bullet",MIN(G576,Assumptions!$B$6),"")</f>
        <v>2</v>
      </c>
      <c r="I576" s="8"/>
      <c r="J576" s="8" t="str">
        <f>IF(F576="Monthly interest",MAX(0,Assumptions!$B$5-I576),"")</f>
        <v/>
      </c>
      <c r="K576" s="7">
        <f t="shared" si="24"/>
        <v>3935</v>
      </c>
      <c r="L576" s="9">
        <v>46126</v>
      </c>
      <c r="M576" s="5" t="s">
        <v>116</v>
      </c>
      <c r="N576" s="5" t="s">
        <v>117</v>
      </c>
      <c r="O576" s="5" t="s">
        <v>461</v>
      </c>
      <c r="P576" s="5" t="s">
        <v>72</v>
      </c>
      <c r="Q576" s="5" t="s">
        <v>169</v>
      </c>
      <c r="R576" s="5" t="s">
        <v>170</v>
      </c>
      <c r="S576" s="5" t="s">
        <v>185</v>
      </c>
      <c r="T576" s="5" t="s">
        <v>63</v>
      </c>
      <c r="U576" s="5" t="s">
        <v>86</v>
      </c>
      <c r="V576" s="5" t="s">
        <v>186</v>
      </c>
      <c r="W576" s="5" t="s">
        <v>329</v>
      </c>
      <c r="X576" s="5" t="s">
        <v>626</v>
      </c>
      <c r="Y576" s="5" t="s">
        <v>2720</v>
      </c>
      <c r="Z576" s="9">
        <v>46126</v>
      </c>
      <c r="AA576" s="8">
        <v>12</v>
      </c>
      <c r="AB576" s="9">
        <f t="shared" si="25"/>
        <v>46491</v>
      </c>
      <c r="AC576" s="10">
        <v>16</v>
      </c>
      <c r="AD576" s="7">
        <f t="shared" si="26"/>
        <v>787</v>
      </c>
      <c r="AE576" s="7">
        <f>IF(F576="Bullet",H576*AD576,MIN(MAX(I576,1),Assumptions!$B$6)*AD576)</f>
        <v>1574</v>
      </c>
      <c r="AF576" s="8">
        <f>IF(F576="Bullet",MAX(0,Assumptions!$B$4-AB576),MAX(0,Assumptions!$B$4-L576))</f>
        <v>0</v>
      </c>
      <c r="AG576" s="9"/>
      <c r="AH576" s="8" t="str">
        <f>IF(AG576="","",Assumptions!$B$4-AG576)</f>
        <v/>
      </c>
      <c r="AI576" s="5" t="s">
        <v>80</v>
      </c>
      <c r="AJ576" s="8"/>
      <c r="AK576" s="8">
        <v>1</v>
      </c>
      <c r="AL576" s="8">
        <v>640</v>
      </c>
      <c r="AM576" s="8">
        <v>0</v>
      </c>
      <c r="AN576" s="5" t="s">
        <v>63</v>
      </c>
      <c r="AO576" s="10">
        <v>86.1</v>
      </c>
      <c r="AP576" s="8">
        <v>56</v>
      </c>
      <c r="AQ576" s="9">
        <v>46273</v>
      </c>
      <c r="AR576" s="5" t="s">
        <v>70</v>
      </c>
      <c r="AS576" s="5" t="s">
        <v>81</v>
      </c>
    </row>
    <row r="577" spans="1:45" x14ac:dyDescent="0.35">
      <c r="A577" s="5" t="s">
        <v>2721</v>
      </c>
      <c r="B577" s="5" t="s">
        <v>2722</v>
      </c>
      <c r="C577" s="6" t="s">
        <v>2723</v>
      </c>
      <c r="D577" s="7">
        <v>35300</v>
      </c>
      <c r="E577" s="5" t="s">
        <v>48</v>
      </c>
      <c r="F577" s="5" t="s">
        <v>49</v>
      </c>
      <c r="G577" s="8"/>
      <c r="H577" s="8" t="str">
        <f>IF(F577="Bullet",MIN(G577,Assumptions!$B$6),"")</f>
        <v/>
      </c>
      <c r="I577" s="8">
        <v>1</v>
      </c>
      <c r="J577" s="8">
        <f>IF(F577="Monthly interest",MAX(0,Assumptions!$B$5-I577),"")</f>
        <v>2</v>
      </c>
      <c r="K577" s="7">
        <f t="shared" si="24"/>
        <v>706</v>
      </c>
      <c r="L577" s="9">
        <v>46279</v>
      </c>
      <c r="M577" s="5" t="s">
        <v>50</v>
      </c>
      <c r="N577" s="5" t="s">
        <v>51</v>
      </c>
      <c r="O577" s="5" t="s">
        <v>152</v>
      </c>
      <c r="P577" s="5" t="s">
        <v>53</v>
      </c>
      <c r="Q577" s="5" t="s">
        <v>154</v>
      </c>
      <c r="R577" s="5" t="s">
        <v>155</v>
      </c>
      <c r="S577" s="5" t="s">
        <v>185</v>
      </c>
      <c r="T577" s="5" t="s">
        <v>57</v>
      </c>
      <c r="U577" s="5" t="s">
        <v>86</v>
      </c>
      <c r="V577" s="5" t="s">
        <v>186</v>
      </c>
      <c r="W577" s="5" t="s">
        <v>376</v>
      </c>
      <c r="X577" s="5" t="s">
        <v>2724</v>
      </c>
      <c r="Y577" s="5" t="s">
        <v>2725</v>
      </c>
      <c r="Z577" s="9">
        <v>46095</v>
      </c>
      <c r="AA577" s="8">
        <v>12</v>
      </c>
      <c r="AB577" s="9">
        <f t="shared" si="25"/>
        <v>46460</v>
      </c>
      <c r="AC577" s="10">
        <v>24</v>
      </c>
      <c r="AD577" s="7">
        <f t="shared" si="26"/>
        <v>706</v>
      </c>
      <c r="AE577" s="7">
        <f>IF(F577="Bullet",H577*AD577,MIN(MAX(I577,1),Assumptions!$B$6)*AD577)</f>
        <v>706</v>
      </c>
      <c r="AF577" s="8">
        <f>IF(F577="Bullet",MAX(0,Assumptions!$B$4-AB577),MAX(0,Assumptions!$B$4-L577))</f>
        <v>19</v>
      </c>
      <c r="AG577" s="9">
        <v>46250</v>
      </c>
      <c r="AH577" s="8">
        <f>IF(AG577="","",Assumptions!$B$4-AG577)</f>
        <v>48</v>
      </c>
      <c r="AI577" s="5" t="s">
        <v>57</v>
      </c>
      <c r="AJ577" s="8">
        <v>1</v>
      </c>
      <c r="AK577" s="8">
        <v>0</v>
      </c>
      <c r="AL577" s="8">
        <v>795</v>
      </c>
      <c r="AM577" s="8">
        <v>0</v>
      </c>
      <c r="AN577" s="5" t="s">
        <v>63</v>
      </c>
      <c r="AO577" s="10">
        <v>69.900000000000006</v>
      </c>
      <c r="AP577" s="8">
        <v>12</v>
      </c>
      <c r="AQ577" s="9"/>
      <c r="AR577" s="5"/>
      <c r="AS577" s="5" t="s">
        <v>159</v>
      </c>
    </row>
    <row r="578" spans="1:45" x14ac:dyDescent="0.35">
      <c r="A578" s="5" t="s">
        <v>2726</v>
      </c>
      <c r="B578" s="5" t="s">
        <v>885</v>
      </c>
      <c r="C578" s="6" t="s">
        <v>2727</v>
      </c>
      <c r="D578" s="7">
        <v>175700</v>
      </c>
      <c r="E578" s="5" t="s">
        <v>48</v>
      </c>
      <c r="F578" s="5" t="s">
        <v>68</v>
      </c>
      <c r="G578" s="8">
        <v>2</v>
      </c>
      <c r="H578" s="8">
        <f>IF(F578="Bullet",MIN(G578,Assumptions!$B$6),"")</f>
        <v>2</v>
      </c>
      <c r="I578" s="8"/>
      <c r="J578" s="8" t="str">
        <f>IF(F578="Monthly interest",MAX(0,Assumptions!$B$5-I578),"")</f>
        <v/>
      </c>
      <c r="K578" s="7">
        <f t="shared" ref="K578:K641" si="27">IF(F578="Bullet",G578*AD578,MAX(I578,1)*AD578)</f>
        <v>3514</v>
      </c>
      <c r="L578" s="9">
        <v>46228</v>
      </c>
      <c r="M578" s="5" t="s">
        <v>50</v>
      </c>
      <c r="N578" s="5" t="s">
        <v>51</v>
      </c>
      <c r="O578" s="5" t="s">
        <v>71</v>
      </c>
      <c r="P578" s="5" t="s">
        <v>53</v>
      </c>
      <c r="Q578" s="5" t="s">
        <v>73</v>
      </c>
      <c r="R578" s="5" t="s">
        <v>74</v>
      </c>
      <c r="S578" s="5" t="s">
        <v>185</v>
      </c>
      <c r="T578" s="5" t="s">
        <v>57</v>
      </c>
      <c r="U578" s="5" t="s">
        <v>86</v>
      </c>
      <c r="V578" s="5" t="s">
        <v>200</v>
      </c>
      <c r="W578" s="5" t="s">
        <v>201</v>
      </c>
      <c r="X578" s="5" t="s">
        <v>2728</v>
      </c>
      <c r="Y578" s="5" t="s">
        <v>2729</v>
      </c>
      <c r="Z578" s="9">
        <v>46228</v>
      </c>
      <c r="AA578" s="8">
        <v>12</v>
      </c>
      <c r="AB578" s="9">
        <f t="shared" ref="AB578:AB641" si="28">EDATE(Z578,AA578)</f>
        <v>46593</v>
      </c>
      <c r="AC578" s="10">
        <v>12</v>
      </c>
      <c r="AD578" s="7">
        <f t="shared" ref="AD578:AD641" si="29">ROUND(D578*AC578/100/12,0)</f>
        <v>1757</v>
      </c>
      <c r="AE578" s="7">
        <f>IF(F578="Bullet",H578*AD578,MIN(MAX(I578,1),Assumptions!$B$6)*AD578)</f>
        <v>3514</v>
      </c>
      <c r="AF578" s="8">
        <f>IF(F578="Bullet",MAX(0,Assumptions!$B$4-AB578),MAX(0,Assumptions!$B$4-L578))</f>
        <v>0</v>
      </c>
      <c r="AG578" s="9"/>
      <c r="AH578" s="8" t="str">
        <f>IF(AG578="","",Assumptions!$B$4-AG578)</f>
        <v/>
      </c>
      <c r="AI578" s="5" t="s">
        <v>80</v>
      </c>
      <c r="AJ578" s="8"/>
      <c r="AK578" s="8">
        <v>0</v>
      </c>
      <c r="AL578" s="8">
        <v>727</v>
      </c>
      <c r="AM578" s="8">
        <v>0</v>
      </c>
      <c r="AN578" s="5" t="s">
        <v>63</v>
      </c>
      <c r="AO578" s="10">
        <v>81.599999999999994</v>
      </c>
      <c r="AP578" s="8">
        <v>18</v>
      </c>
      <c r="AQ578" s="9">
        <v>46283</v>
      </c>
      <c r="AR578" s="5" t="s">
        <v>70</v>
      </c>
      <c r="AS578" s="5" t="s">
        <v>91</v>
      </c>
    </row>
    <row r="579" spans="1:45" x14ac:dyDescent="0.35">
      <c r="A579" s="5" t="s">
        <v>2730</v>
      </c>
      <c r="B579" s="5" t="s">
        <v>2164</v>
      </c>
      <c r="C579" s="6" t="s">
        <v>2731</v>
      </c>
      <c r="D579" s="7">
        <v>98700</v>
      </c>
      <c r="E579" s="5" t="s">
        <v>48</v>
      </c>
      <c r="F579" s="5" t="s">
        <v>68</v>
      </c>
      <c r="G579" s="8">
        <v>1</v>
      </c>
      <c r="H579" s="8">
        <f>IF(F579="Bullet",MIN(G579,Assumptions!$B$6),"")</f>
        <v>1</v>
      </c>
      <c r="I579" s="8"/>
      <c r="J579" s="8" t="str">
        <f>IF(F579="Monthly interest",MAX(0,Assumptions!$B$5-I579),"")</f>
        <v/>
      </c>
      <c r="K579" s="7">
        <f t="shared" si="27"/>
        <v>1152</v>
      </c>
      <c r="L579" s="9">
        <v>46257</v>
      </c>
      <c r="M579" s="5" t="s">
        <v>50</v>
      </c>
      <c r="N579" s="5" t="s">
        <v>51</v>
      </c>
      <c r="O579" s="5" t="s">
        <v>71</v>
      </c>
      <c r="P579" s="5" t="s">
        <v>53</v>
      </c>
      <c r="Q579" s="5" t="s">
        <v>73</v>
      </c>
      <c r="R579" s="5" t="s">
        <v>74</v>
      </c>
      <c r="S579" s="5" t="s">
        <v>75</v>
      </c>
      <c r="T579" s="5" t="s">
        <v>57</v>
      </c>
      <c r="U579" s="5" t="s">
        <v>86</v>
      </c>
      <c r="V579" s="5" t="s">
        <v>76</v>
      </c>
      <c r="W579" s="5" t="s">
        <v>77</v>
      </c>
      <c r="X579" s="5" t="s">
        <v>2732</v>
      </c>
      <c r="Y579" s="5" t="s">
        <v>2733</v>
      </c>
      <c r="Z579" s="9">
        <v>46257</v>
      </c>
      <c r="AA579" s="8">
        <v>6</v>
      </c>
      <c r="AB579" s="9">
        <f t="shared" si="28"/>
        <v>46441</v>
      </c>
      <c r="AC579" s="10">
        <v>14</v>
      </c>
      <c r="AD579" s="7">
        <f t="shared" si="29"/>
        <v>1152</v>
      </c>
      <c r="AE579" s="7">
        <f>IF(F579="Bullet",H579*AD579,MIN(MAX(I579,1),Assumptions!$B$6)*AD579)</f>
        <v>1152</v>
      </c>
      <c r="AF579" s="8">
        <f>IF(F579="Bullet",MAX(0,Assumptions!$B$4-AB579),MAX(0,Assumptions!$B$4-L579))</f>
        <v>0</v>
      </c>
      <c r="AG579" s="9"/>
      <c r="AH579" s="8" t="str">
        <f>IF(AG579="","",Assumptions!$B$4-AG579)</f>
        <v/>
      </c>
      <c r="AI579" s="5" t="s">
        <v>80</v>
      </c>
      <c r="AJ579" s="8"/>
      <c r="AK579" s="8">
        <v>0</v>
      </c>
      <c r="AL579" s="8">
        <v>646</v>
      </c>
      <c r="AM579" s="8">
        <v>1</v>
      </c>
      <c r="AN579" s="5" t="s">
        <v>63</v>
      </c>
      <c r="AO579" s="10">
        <v>75.8</v>
      </c>
      <c r="AP579" s="8">
        <v>17</v>
      </c>
      <c r="AQ579" s="9"/>
      <c r="AR579" s="5"/>
      <c r="AS579" s="5" t="s">
        <v>159</v>
      </c>
    </row>
    <row r="580" spans="1:45" x14ac:dyDescent="0.35">
      <c r="A580" s="5" t="s">
        <v>2734</v>
      </c>
      <c r="B580" s="5" t="s">
        <v>475</v>
      </c>
      <c r="C580" s="6" t="s">
        <v>2735</v>
      </c>
      <c r="D580" s="7">
        <v>49300</v>
      </c>
      <c r="E580" s="5" t="s">
        <v>48</v>
      </c>
      <c r="F580" s="5" t="s">
        <v>49</v>
      </c>
      <c r="G580" s="8"/>
      <c r="H580" s="8" t="str">
        <f>IF(F580="Bullet",MIN(G580,Assumptions!$B$6),"")</f>
        <v/>
      </c>
      <c r="I580" s="8">
        <v>1</v>
      </c>
      <c r="J580" s="8">
        <f>IF(F580="Monthly interest",MAX(0,Assumptions!$B$5-I580),"")</f>
        <v>2</v>
      </c>
      <c r="K580" s="7">
        <f t="shared" si="27"/>
        <v>657</v>
      </c>
      <c r="L580" s="9">
        <v>46282</v>
      </c>
      <c r="M580" s="5" t="s">
        <v>50</v>
      </c>
      <c r="N580" s="5" t="s">
        <v>53</v>
      </c>
      <c r="O580" s="5" t="s">
        <v>95</v>
      </c>
      <c r="P580" s="5" t="s">
        <v>153</v>
      </c>
      <c r="Q580" s="5" t="s">
        <v>154</v>
      </c>
      <c r="R580" s="5" t="s">
        <v>155</v>
      </c>
      <c r="S580" s="5" t="s">
        <v>214</v>
      </c>
      <c r="T580" s="5" t="s">
        <v>63</v>
      </c>
      <c r="U580" s="5" t="s">
        <v>58</v>
      </c>
      <c r="V580" s="5" t="s">
        <v>215</v>
      </c>
      <c r="W580" s="5" t="s">
        <v>284</v>
      </c>
      <c r="X580" s="5" t="s">
        <v>398</v>
      </c>
      <c r="Y580" s="5" t="s">
        <v>2736</v>
      </c>
      <c r="Z580" s="9">
        <v>46070</v>
      </c>
      <c r="AA580" s="8">
        <v>12</v>
      </c>
      <c r="AB580" s="9">
        <f t="shared" si="28"/>
        <v>46435</v>
      </c>
      <c r="AC580" s="10">
        <v>16</v>
      </c>
      <c r="AD580" s="7">
        <f t="shared" si="29"/>
        <v>657</v>
      </c>
      <c r="AE580" s="7">
        <f>IF(F580="Bullet",H580*AD580,MIN(MAX(I580,1),Assumptions!$B$6)*AD580)</f>
        <v>657</v>
      </c>
      <c r="AF580" s="8">
        <f>IF(F580="Bullet",MAX(0,Assumptions!$B$4-AB580),MAX(0,Assumptions!$B$4-L580))</f>
        <v>16</v>
      </c>
      <c r="AG580" s="9">
        <v>46255</v>
      </c>
      <c r="AH580" s="8">
        <f>IF(AG580="","",Assumptions!$B$4-AG580)</f>
        <v>43</v>
      </c>
      <c r="AI580" s="5" t="s">
        <v>63</v>
      </c>
      <c r="AJ580" s="8">
        <v>3</v>
      </c>
      <c r="AK580" s="8">
        <v>1</v>
      </c>
      <c r="AL580" s="8">
        <v>752</v>
      </c>
      <c r="AM580" s="8">
        <v>0</v>
      </c>
      <c r="AN580" s="5" t="s">
        <v>63</v>
      </c>
      <c r="AO580" s="10">
        <v>70.400000000000006</v>
      </c>
      <c r="AP580" s="8">
        <v>26</v>
      </c>
      <c r="AQ580" s="9">
        <v>46283</v>
      </c>
      <c r="AR580" s="5" t="s">
        <v>70</v>
      </c>
      <c r="AS580" s="5" t="s">
        <v>181</v>
      </c>
    </row>
    <row r="581" spans="1:45" x14ac:dyDescent="0.35">
      <c r="A581" s="5" t="s">
        <v>2737</v>
      </c>
      <c r="B581" s="5" t="s">
        <v>2377</v>
      </c>
      <c r="C581" s="6" t="s">
        <v>2738</v>
      </c>
      <c r="D581" s="7">
        <v>139000</v>
      </c>
      <c r="E581" s="5" t="s">
        <v>48</v>
      </c>
      <c r="F581" s="5" t="s">
        <v>49</v>
      </c>
      <c r="G581" s="8"/>
      <c r="H581" s="8" t="str">
        <f>IF(F581="Bullet",MIN(G581,Assumptions!$B$6),"")</f>
        <v/>
      </c>
      <c r="I581" s="8">
        <v>1</v>
      </c>
      <c r="J581" s="8">
        <f>IF(F581="Monthly interest",MAX(0,Assumptions!$B$5-I581),"")</f>
        <v>2</v>
      </c>
      <c r="K581" s="7">
        <f t="shared" si="27"/>
        <v>1738</v>
      </c>
      <c r="L581" s="9">
        <v>46270</v>
      </c>
      <c r="M581" s="5" t="s">
        <v>69</v>
      </c>
      <c r="N581" s="5" t="s">
        <v>53</v>
      </c>
      <c r="O581" s="5" t="s">
        <v>103</v>
      </c>
      <c r="P581" s="5" t="s">
        <v>70</v>
      </c>
      <c r="Q581" s="5" t="s">
        <v>54</v>
      </c>
      <c r="R581" s="5" t="s">
        <v>55</v>
      </c>
      <c r="S581" s="5" t="s">
        <v>75</v>
      </c>
      <c r="T581" s="5" t="s">
        <v>57</v>
      </c>
      <c r="U581" s="5" t="s">
        <v>86</v>
      </c>
      <c r="V581" s="5" t="s">
        <v>76</v>
      </c>
      <c r="W581" s="5" t="s">
        <v>146</v>
      </c>
      <c r="X581" s="5" t="s">
        <v>2191</v>
      </c>
      <c r="Y581" s="5" t="s">
        <v>2739</v>
      </c>
      <c r="Z581" s="9">
        <v>46086</v>
      </c>
      <c r="AA581" s="8">
        <v>12</v>
      </c>
      <c r="AB581" s="9">
        <f t="shared" si="28"/>
        <v>46451</v>
      </c>
      <c r="AC581" s="10">
        <v>15</v>
      </c>
      <c r="AD581" s="7">
        <f t="shared" si="29"/>
        <v>1738</v>
      </c>
      <c r="AE581" s="7">
        <f>IF(F581="Bullet",H581*AD581,MIN(MAX(I581,1),Assumptions!$B$6)*AD581)</f>
        <v>1738</v>
      </c>
      <c r="AF581" s="8">
        <f>IF(F581="Bullet",MAX(0,Assumptions!$B$4-AB581),MAX(0,Assumptions!$B$4-L581))</f>
        <v>28</v>
      </c>
      <c r="AG581" s="9">
        <v>46241</v>
      </c>
      <c r="AH581" s="8">
        <f>IF(AG581="","",Assumptions!$B$4-AG581)</f>
        <v>57</v>
      </c>
      <c r="AI581" s="5" t="s">
        <v>63</v>
      </c>
      <c r="AJ581" s="8">
        <v>1</v>
      </c>
      <c r="AK581" s="8">
        <v>1</v>
      </c>
      <c r="AL581" s="8">
        <v>680</v>
      </c>
      <c r="AM581" s="8">
        <v>0</v>
      </c>
      <c r="AN581" s="5" t="s">
        <v>57</v>
      </c>
      <c r="AO581" s="10">
        <v>63.7</v>
      </c>
      <c r="AP581" s="8">
        <v>40</v>
      </c>
      <c r="AQ581" s="9">
        <v>46277</v>
      </c>
      <c r="AR581" s="5" t="s">
        <v>51</v>
      </c>
      <c r="AS581" s="5" t="s">
        <v>81</v>
      </c>
    </row>
    <row r="582" spans="1:45" x14ac:dyDescent="0.35">
      <c r="A582" s="5" t="s">
        <v>2740</v>
      </c>
      <c r="B582" s="5" t="s">
        <v>2741</v>
      </c>
      <c r="C582" s="6" t="s">
        <v>2742</v>
      </c>
      <c r="D582" s="7">
        <v>242400</v>
      </c>
      <c r="E582" s="5" t="s">
        <v>48</v>
      </c>
      <c r="F582" s="5" t="s">
        <v>49</v>
      </c>
      <c r="G582" s="8"/>
      <c r="H582" s="8" t="str">
        <f>IF(F582="Bullet",MIN(G582,Assumptions!$B$6),"")</f>
        <v/>
      </c>
      <c r="I582" s="8">
        <v>1</v>
      </c>
      <c r="J582" s="8">
        <f>IF(F582="Monthly interest",MAX(0,Assumptions!$B$5-I582),"")</f>
        <v>2</v>
      </c>
      <c r="K582" s="7">
        <f t="shared" si="27"/>
        <v>3636</v>
      </c>
      <c r="L582" s="9">
        <v>46292</v>
      </c>
      <c r="M582" s="5" t="s">
        <v>69</v>
      </c>
      <c r="N582" s="5" t="s">
        <v>53</v>
      </c>
      <c r="O582" s="5" t="s">
        <v>103</v>
      </c>
      <c r="P582" s="5" t="s">
        <v>70</v>
      </c>
      <c r="Q582" s="5" t="s">
        <v>54</v>
      </c>
      <c r="R582" s="5" t="s">
        <v>55</v>
      </c>
      <c r="S582" s="5" t="s">
        <v>85</v>
      </c>
      <c r="T582" s="5" t="s">
        <v>57</v>
      </c>
      <c r="U582" s="5" t="s">
        <v>86</v>
      </c>
      <c r="V582" s="5" t="s">
        <v>133</v>
      </c>
      <c r="W582" s="5" t="s">
        <v>317</v>
      </c>
      <c r="X582" s="5" t="s">
        <v>1024</v>
      </c>
      <c r="Y582" s="5" t="s">
        <v>2743</v>
      </c>
      <c r="Z582" s="9">
        <v>46080</v>
      </c>
      <c r="AA582" s="8">
        <v>12</v>
      </c>
      <c r="AB582" s="9">
        <f t="shared" si="28"/>
        <v>46445</v>
      </c>
      <c r="AC582" s="10">
        <v>18</v>
      </c>
      <c r="AD582" s="7">
        <f t="shared" si="29"/>
        <v>3636</v>
      </c>
      <c r="AE582" s="7">
        <f>IF(F582="Bullet",H582*AD582,MIN(MAX(I582,1),Assumptions!$B$6)*AD582)</f>
        <v>3636</v>
      </c>
      <c r="AF582" s="8">
        <f>IF(F582="Bullet",MAX(0,Assumptions!$B$4-AB582),MAX(0,Assumptions!$B$4-L582))</f>
        <v>6</v>
      </c>
      <c r="AG582" s="9">
        <v>46263</v>
      </c>
      <c r="AH582" s="8">
        <f>IF(AG582="","",Assumptions!$B$4-AG582)</f>
        <v>35</v>
      </c>
      <c r="AI582" s="5" t="s">
        <v>63</v>
      </c>
      <c r="AJ582" s="8">
        <v>1</v>
      </c>
      <c r="AK582" s="8">
        <v>0</v>
      </c>
      <c r="AL582" s="8">
        <v>678</v>
      </c>
      <c r="AM582" s="8">
        <v>1</v>
      </c>
      <c r="AN582" s="5" t="s">
        <v>63</v>
      </c>
      <c r="AO582" s="10">
        <v>67.099999999999994</v>
      </c>
      <c r="AP582" s="8">
        <v>33</v>
      </c>
      <c r="AQ582" s="9">
        <v>46283</v>
      </c>
      <c r="AR582" s="5" t="s">
        <v>51</v>
      </c>
      <c r="AS582" s="5" t="s">
        <v>81</v>
      </c>
    </row>
    <row r="583" spans="1:45" x14ac:dyDescent="0.35">
      <c r="A583" s="5" t="s">
        <v>2744</v>
      </c>
      <c r="B583" s="5" t="s">
        <v>2745</v>
      </c>
      <c r="C583" s="6" t="s">
        <v>2746</v>
      </c>
      <c r="D583" s="7">
        <v>366000</v>
      </c>
      <c r="E583" s="5" t="s">
        <v>48</v>
      </c>
      <c r="F583" s="5" t="s">
        <v>49</v>
      </c>
      <c r="G583" s="8"/>
      <c r="H583" s="8" t="str">
        <f>IF(F583="Bullet",MIN(G583,Assumptions!$B$6),"")</f>
        <v/>
      </c>
      <c r="I583" s="8">
        <v>2</v>
      </c>
      <c r="J583" s="8">
        <f>IF(F583="Monthly interest",MAX(0,Assumptions!$B$5-I583),"")</f>
        <v>1</v>
      </c>
      <c r="K583" s="7">
        <f t="shared" si="27"/>
        <v>13420</v>
      </c>
      <c r="L583" s="9">
        <v>46252</v>
      </c>
      <c r="M583" s="5" t="s">
        <v>116</v>
      </c>
      <c r="N583" s="5" t="s">
        <v>117</v>
      </c>
      <c r="O583" s="5" t="s">
        <v>118</v>
      </c>
      <c r="P583" s="5" t="s">
        <v>72</v>
      </c>
      <c r="Q583" s="5" t="s">
        <v>119</v>
      </c>
      <c r="R583" s="5" t="s">
        <v>120</v>
      </c>
      <c r="S583" s="5" t="s">
        <v>185</v>
      </c>
      <c r="T583" s="5" t="s">
        <v>57</v>
      </c>
      <c r="U583" s="5" t="s">
        <v>86</v>
      </c>
      <c r="V583" s="5" t="s">
        <v>186</v>
      </c>
      <c r="W583" s="5" t="s">
        <v>376</v>
      </c>
      <c r="X583" s="5" t="s">
        <v>2747</v>
      </c>
      <c r="Y583" s="5" t="s">
        <v>2748</v>
      </c>
      <c r="Z583" s="9">
        <v>46009</v>
      </c>
      <c r="AA583" s="8">
        <v>12</v>
      </c>
      <c r="AB583" s="9">
        <f t="shared" si="28"/>
        <v>46374</v>
      </c>
      <c r="AC583" s="10">
        <v>22</v>
      </c>
      <c r="AD583" s="7">
        <f t="shared" si="29"/>
        <v>6710</v>
      </c>
      <c r="AE583" s="7">
        <f>IF(F583="Bullet",H583*AD583,MIN(MAX(I583,1),Assumptions!$B$6)*AD583)</f>
        <v>13420</v>
      </c>
      <c r="AF583" s="8">
        <f>IF(F583="Bullet",MAX(0,Assumptions!$B$4-AB583),MAX(0,Assumptions!$B$4-L583))</f>
        <v>46</v>
      </c>
      <c r="AG583" s="9">
        <v>46224</v>
      </c>
      <c r="AH583" s="8">
        <f>IF(AG583="","",Assumptions!$B$4-AG583)</f>
        <v>74</v>
      </c>
      <c r="AI583" s="5" t="s">
        <v>63</v>
      </c>
      <c r="AJ583" s="8">
        <v>4</v>
      </c>
      <c r="AK583" s="8">
        <v>1</v>
      </c>
      <c r="AL583" s="8">
        <v>768</v>
      </c>
      <c r="AM583" s="8">
        <v>2</v>
      </c>
      <c r="AN583" s="5" t="s">
        <v>63</v>
      </c>
      <c r="AO583" s="10">
        <v>83.6</v>
      </c>
      <c r="AP583" s="8">
        <v>52</v>
      </c>
      <c r="AQ583" s="9">
        <v>46278</v>
      </c>
      <c r="AR583" s="5" t="s">
        <v>51</v>
      </c>
      <c r="AS583" s="5" t="s">
        <v>91</v>
      </c>
    </row>
    <row r="584" spans="1:45" x14ac:dyDescent="0.35">
      <c r="A584" s="5" t="s">
        <v>2749</v>
      </c>
      <c r="B584" s="5" t="s">
        <v>448</v>
      </c>
      <c r="C584" s="6" t="s">
        <v>2750</v>
      </c>
      <c r="D584" s="7">
        <v>234500</v>
      </c>
      <c r="E584" s="5" t="s">
        <v>48</v>
      </c>
      <c r="F584" s="5" t="s">
        <v>49</v>
      </c>
      <c r="G584" s="8"/>
      <c r="H584" s="8" t="str">
        <f>IF(F584="Bullet",MIN(G584,Assumptions!$B$6),"")</f>
        <v/>
      </c>
      <c r="I584" s="8">
        <v>1</v>
      </c>
      <c r="J584" s="8">
        <f>IF(F584="Monthly interest",MAX(0,Assumptions!$B$5-I584),"")</f>
        <v>2</v>
      </c>
      <c r="K584" s="7">
        <f t="shared" si="27"/>
        <v>3127</v>
      </c>
      <c r="L584" s="9">
        <v>46273</v>
      </c>
      <c r="M584" s="5" t="s">
        <v>50</v>
      </c>
      <c r="N584" s="5" t="s">
        <v>53</v>
      </c>
      <c r="O584" s="5" t="s">
        <v>103</v>
      </c>
      <c r="P584" s="5" t="s">
        <v>51</v>
      </c>
      <c r="Q584" s="5" t="s">
        <v>54</v>
      </c>
      <c r="R584" s="5" t="s">
        <v>55</v>
      </c>
      <c r="S584" s="5" t="s">
        <v>56</v>
      </c>
      <c r="T584" s="5" t="s">
        <v>57</v>
      </c>
      <c r="U584" s="5" t="s">
        <v>86</v>
      </c>
      <c r="V584" s="5" t="s">
        <v>59</v>
      </c>
      <c r="W584" s="5" t="s">
        <v>418</v>
      </c>
      <c r="X584" s="5" t="s">
        <v>2052</v>
      </c>
      <c r="Y584" s="5" t="s">
        <v>2751</v>
      </c>
      <c r="Z584" s="9">
        <v>45999</v>
      </c>
      <c r="AA584" s="8">
        <v>12</v>
      </c>
      <c r="AB584" s="9">
        <f t="shared" si="28"/>
        <v>46364</v>
      </c>
      <c r="AC584" s="10">
        <v>16</v>
      </c>
      <c r="AD584" s="7">
        <f t="shared" si="29"/>
        <v>3127</v>
      </c>
      <c r="AE584" s="7">
        <f>IF(F584="Bullet",H584*AD584,MIN(MAX(I584,1),Assumptions!$B$6)*AD584)</f>
        <v>3127</v>
      </c>
      <c r="AF584" s="8">
        <f>IF(F584="Bullet",MAX(0,Assumptions!$B$4-AB584),MAX(0,Assumptions!$B$4-L584))</f>
        <v>25</v>
      </c>
      <c r="AG584" s="9">
        <v>46244</v>
      </c>
      <c r="AH584" s="8">
        <f>IF(AG584="","",Assumptions!$B$4-AG584)</f>
        <v>54</v>
      </c>
      <c r="AI584" s="5" t="s">
        <v>57</v>
      </c>
      <c r="AJ584" s="8">
        <v>1</v>
      </c>
      <c r="AK584" s="8">
        <v>0</v>
      </c>
      <c r="AL584" s="8">
        <v>742</v>
      </c>
      <c r="AM584" s="8">
        <v>1</v>
      </c>
      <c r="AN584" s="5" t="s">
        <v>63</v>
      </c>
      <c r="AO584" s="10">
        <v>60.5</v>
      </c>
      <c r="AP584" s="8">
        <v>17</v>
      </c>
      <c r="AQ584" s="9">
        <v>46273</v>
      </c>
      <c r="AR584" s="5" t="s">
        <v>51</v>
      </c>
      <c r="AS584" s="5" t="s">
        <v>81</v>
      </c>
    </row>
    <row r="585" spans="1:45" x14ac:dyDescent="0.35">
      <c r="A585" s="5" t="s">
        <v>2752</v>
      </c>
      <c r="B585" s="5" t="s">
        <v>514</v>
      </c>
      <c r="C585" s="6" t="s">
        <v>2753</v>
      </c>
      <c r="D585" s="7">
        <v>145100</v>
      </c>
      <c r="E585" s="5" t="s">
        <v>48</v>
      </c>
      <c r="F585" s="5" t="s">
        <v>49</v>
      </c>
      <c r="G585" s="8"/>
      <c r="H585" s="8" t="str">
        <f>IF(F585="Bullet",MIN(G585,Assumptions!$B$6),"")</f>
        <v/>
      </c>
      <c r="I585" s="8">
        <v>1</v>
      </c>
      <c r="J585" s="8">
        <f>IF(F585="Monthly interest",MAX(0,Assumptions!$B$5-I585),"")</f>
        <v>2</v>
      </c>
      <c r="K585" s="7">
        <f t="shared" si="27"/>
        <v>2177</v>
      </c>
      <c r="L585" s="9">
        <v>46273</v>
      </c>
      <c r="M585" s="5" t="s">
        <v>50</v>
      </c>
      <c r="N585" s="5" t="s">
        <v>53</v>
      </c>
      <c r="O585" s="5" t="s">
        <v>103</v>
      </c>
      <c r="P585" s="5" t="s">
        <v>51</v>
      </c>
      <c r="Q585" s="5" t="s">
        <v>54</v>
      </c>
      <c r="R585" s="5" t="s">
        <v>55</v>
      </c>
      <c r="S585" s="5" t="s">
        <v>214</v>
      </c>
      <c r="T585" s="5" t="s">
        <v>57</v>
      </c>
      <c r="U585" s="5" t="s">
        <v>58</v>
      </c>
      <c r="V585" s="5" t="s">
        <v>215</v>
      </c>
      <c r="W585" s="5" t="s">
        <v>284</v>
      </c>
      <c r="X585" s="5" t="s">
        <v>398</v>
      </c>
      <c r="Y585" s="5" t="s">
        <v>2754</v>
      </c>
      <c r="Z585" s="9">
        <v>46030</v>
      </c>
      <c r="AA585" s="8">
        <v>18</v>
      </c>
      <c r="AB585" s="9">
        <f t="shared" si="28"/>
        <v>46576</v>
      </c>
      <c r="AC585" s="10">
        <v>18</v>
      </c>
      <c r="AD585" s="7">
        <f t="shared" si="29"/>
        <v>2177</v>
      </c>
      <c r="AE585" s="7">
        <f>IF(F585="Bullet",H585*AD585,MIN(MAX(I585,1),Assumptions!$B$6)*AD585)</f>
        <v>2177</v>
      </c>
      <c r="AF585" s="8">
        <f>IF(F585="Bullet",MAX(0,Assumptions!$B$4-AB585),MAX(0,Assumptions!$B$4-L585))</f>
        <v>25</v>
      </c>
      <c r="AG585" s="9">
        <v>46246</v>
      </c>
      <c r="AH585" s="8">
        <f>IF(AG585="","",Assumptions!$B$4-AG585)</f>
        <v>52</v>
      </c>
      <c r="AI585" s="5" t="s">
        <v>63</v>
      </c>
      <c r="AJ585" s="8">
        <v>1</v>
      </c>
      <c r="AK585" s="8">
        <v>0</v>
      </c>
      <c r="AL585" s="8">
        <v>683</v>
      </c>
      <c r="AM585" s="8">
        <v>0</v>
      </c>
      <c r="AN585" s="5" t="s">
        <v>63</v>
      </c>
      <c r="AO585" s="10">
        <v>75.7</v>
      </c>
      <c r="AP585" s="8">
        <v>25</v>
      </c>
      <c r="AQ585" s="9">
        <v>46295</v>
      </c>
      <c r="AR585" s="5" t="s">
        <v>51</v>
      </c>
      <c r="AS585" s="5" t="s">
        <v>81</v>
      </c>
    </row>
    <row r="586" spans="1:45" x14ac:dyDescent="0.35">
      <c r="A586" s="5" t="s">
        <v>2755</v>
      </c>
      <c r="B586" s="5" t="s">
        <v>1776</v>
      </c>
      <c r="C586" s="6" t="s">
        <v>2756</v>
      </c>
      <c r="D586" s="7">
        <v>164700</v>
      </c>
      <c r="E586" s="5" t="s">
        <v>48</v>
      </c>
      <c r="F586" s="5" t="s">
        <v>49</v>
      </c>
      <c r="G586" s="8"/>
      <c r="H586" s="8" t="str">
        <f>IF(F586="Bullet",MIN(G586,Assumptions!$B$6),"")</f>
        <v/>
      </c>
      <c r="I586" s="8">
        <v>2</v>
      </c>
      <c r="J586" s="8">
        <f>IF(F586="Monthly interest",MAX(0,Assumptions!$B$5-I586),"")</f>
        <v>1</v>
      </c>
      <c r="K586" s="7">
        <f t="shared" si="27"/>
        <v>5490</v>
      </c>
      <c r="L586" s="9">
        <v>46253</v>
      </c>
      <c r="M586" s="5" t="s">
        <v>116</v>
      </c>
      <c r="N586" s="5" t="s">
        <v>117</v>
      </c>
      <c r="O586" s="5" t="s">
        <v>118</v>
      </c>
      <c r="P586" s="5" t="s">
        <v>72</v>
      </c>
      <c r="Q586" s="5" t="s">
        <v>119</v>
      </c>
      <c r="R586" s="5" t="s">
        <v>120</v>
      </c>
      <c r="S586" s="5" t="s">
        <v>214</v>
      </c>
      <c r="T586" s="5" t="s">
        <v>57</v>
      </c>
      <c r="U586" s="5" t="s">
        <v>86</v>
      </c>
      <c r="V586" s="5" t="s">
        <v>215</v>
      </c>
      <c r="W586" s="5" t="s">
        <v>600</v>
      </c>
      <c r="X586" s="5" t="s">
        <v>2327</v>
      </c>
      <c r="Y586" s="5" t="s">
        <v>2757</v>
      </c>
      <c r="Z586" s="9">
        <v>46072</v>
      </c>
      <c r="AA586" s="8">
        <v>12</v>
      </c>
      <c r="AB586" s="9">
        <f t="shared" si="28"/>
        <v>46437</v>
      </c>
      <c r="AC586" s="10">
        <v>20</v>
      </c>
      <c r="AD586" s="7">
        <f t="shared" si="29"/>
        <v>2745</v>
      </c>
      <c r="AE586" s="7">
        <f>IF(F586="Bullet",H586*AD586,MIN(MAX(I586,1),Assumptions!$B$6)*AD586)</f>
        <v>5490</v>
      </c>
      <c r="AF586" s="8">
        <f>IF(F586="Bullet",MAX(0,Assumptions!$B$4-AB586),MAX(0,Assumptions!$B$4-L586))</f>
        <v>45</v>
      </c>
      <c r="AG586" s="9">
        <v>46226</v>
      </c>
      <c r="AH586" s="8">
        <f>IF(AG586="","",Assumptions!$B$4-AG586)</f>
        <v>72</v>
      </c>
      <c r="AI586" s="5" t="s">
        <v>63</v>
      </c>
      <c r="AJ586" s="8">
        <v>3</v>
      </c>
      <c r="AK586" s="8">
        <v>0</v>
      </c>
      <c r="AL586" s="8">
        <v>702</v>
      </c>
      <c r="AM586" s="8">
        <v>0</v>
      </c>
      <c r="AN586" s="5" t="s">
        <v>63</v>
      </c>
      <c r="AO586" s="10">
        <v>67.2</v>
      </c>
      <c r="AP586" s="8">
        <v>49</v>
      </c>
      <c r="AQ586" s="9">
        <v>46292</v>
      </c>
      <c r="AR586" s="5" t="s">
        <v>51</v>
      </c>
      <c r="AS586" s="5" t="s">
        <v>81</v>
      </c>
    </row>
    <row r="587" spans="1:45" x14ac:dyDescent="0.35">
      <c r="A587" s="5" t="s">
        <v>2758</v>
      </c>
      <c r="B587" s="5" t="s">
        <v>2759</v>
      </c>
      <c r="C587" s="6" t="s">
        <v>2760</v>
      </c>
      <c r="D587" s="7">
        <v>145100</v>
      </c>
      <c r="E587" s="5" t="s">
        <v>48</v>
      </c>
      <c r="F587" s="5" t="s">
        <v>68</v>
      </c>
      <c r="G587" s="8">
        <v>5</v>
      </c>
      <c r="H587" s="8">
        <f>IF(F587="Bullet",MIN(G587,Assumptions!$B$6),"")</f>
        <v>2</v>
      </c>
      <c r="I587" s="8"/>
      <c r="J587" s="8" t="str">
        <f>IF(F587="Monthly interest",MAX(0,Assumptions!$B$5-I587),"")</f>
        <v/>
      </c>
      <c r="K587" s="7">
        <f t="shared" si="27"/>
        <v>8465</v>
      </c>
      <c r="L587" s="9">
        <v>46139</v>
      </c>
      <c r="M587" s="5" t="s">
        <v>116</v>
      </c>
      <c r="N587" s="5" t="s">
        <v>117</v>
      </c>
      <c r="O587" s="5" t="s">
        <v>461</v>
      </c>
      <c r="P587" s="5" t="s">
        <v>72</v>
      </c>
      <c r="Q587" s="5" t="s">
        <v>169</v>
      </c>
      <c r="R587" s="5" t="s">
        <v>170</v>
      </c>
      <c r="S587" s="5" t="s">
        <v>56</v>
      </c>
      <c r="T587" s="5" t="s">
        <v>57</v>
      </c>
      <c r="U587" s="5" t="s">
        <v>58</v>
      </c>
      <c r="V587" s="5" t="s">
        <v>59</v>
      </c>
      <c r="W587" s="5" t="s">
        <v>156</v>
      </c>
      <c r="X587" s="5" t="s">
        <v>2761</v>
      </c>
      <c r="Y587" s="5" t="s">
        <v>2762</v>
      </c>
      <c r="Z587" s="9">
        <v>46139</v>
      </c>
      <c r="AA587" s="8">
        <v>6</v>
      </c>
      <c r="AB587" s="9">
        <f t="shared" si="28"/>
        <v>46322</v>
      </c>
      <c r="AC587" s="10">
        <v>14</v>
      </c>
      <c r="AD587" s="7">
        <f t="shared" si="29"/>
        <v>1693</v>
      </c>
      <c r="AE587" s="7">
        <f>IF(F587="Bullet",H587*AD587,MIN(MAX(I587,1),Assumptions!$B$6)*AD587)</f>
        <v>3386</v>
      </c>
      <c r="AF587" s="8">
        <f>IF(F587="Bullet",MAX(0,Assumptions!$B$4-AB587),MAX(0,Assumptions!$B$4-L587))</f>
        <v>0</v>
      </c>
      <c r="AG587" s="9"/>
      <c r="AH587" s="8" t="str">
        <f>IF(AG587="","",Assumptions!$B$4-AG587)</f>
        <v/>
      </c>
      <c r="AI587" s="5" t="s">
        <v>80</v>
      </c>
      <c r="AJ587" s="8"/>
      <c r="AK587" s="8">
        <v>0</v>
      </c>
      <c r="AL587" s="8">
        <v>603</v>
      </c>
      <c r="AM587" s="8">
        <v>2</v>
      </c>
      <c r="AN587" s="5" t="s">
        <v>63</v>
      </c>
      <c r="AO587" s="10">
        <v>73.5</v>
      </c>
      <c r="AP587" s="8">
        <v>51</v>
      </c>
      <c r="AQ587" s="9"/>
      <c r="AR587" s="5"/>
      <c r="AS587" s="5" t="s">
        <v>159</v>
      </c>
    </row>
    <row r="588" spans="1:45" x14ac:dyDescent="0.35">
      <c r="A588" s="5" t="s">
        <v>2763</v>
      </c>
      <c r="B588" s="5" t="s">
        <v>83</v>
      </c>
      <c r="C588" s="6" t="s">
        <v>2764</v>
      </c>
      <c r="D588" s="7">
        <v>32200</v>
      </c>
      <c r="E588" s="5" t="s">
        <v>48</v>
      </c>
      <c r="F588" s="5" t="s">
        <v>68</v>
      </c>
      <c r="G588" s="8">
        <v>3</v>
      </c>
      <c r="H588" s="8">
        <f>IF(F588="Bullet",MIN(G588,Assumptions!$B$6),"")</f>
        <v>2</v>
      </c>
      <c r="I588" s="8"/>
      <c r="J588" s="8" t="str">
        <f>IF(F588="Monthly interest",MAX(0,Assumptions!$B$5-I588),"")</f>
        <v/>
      </c>
      <c r="K588" s="7">
        <f t="shared" si="27"/>
        <v>1128</v>
      </c>
      <c r="L588" s="9">
        <v>46195</v>
      </c>
      <c r="M588" s="5" t="s">
        <v>50</v>
      </c>
      <c r="N588" s="5" t="s">
        <v>53</v>
      </c>
      <c r="O588" s="5" t="s">
        <v>152</v>
      </c>
      <c r="P588" s="5" t="s">
        <v>153</v>
      </c>
      <c r="Q588" s="5" t="s">
        <v>154</v>
      </c>
      <c r="R588" s="5" t="s">
        <v>155</v>
      </c>
      <c r="S588" s="5" t="s">
        <v>85</v>
      </c>
      <c r="T588" s="5" t="s">
        <v>57</v>
      </c>
      <c r="U588" s="5" t="s">
        <v>104</v>
      </c>
      <c r="V588" s="5" t="s">
        <v>133</v>
      </c>
      <c r="W588" s="5" t="s">
        <v>134</v>
      </c>
      <c r="X588" s="5" t="s">
        <v>2765</v>
      </c>
      <c r="Y588" s="5" t="s">
        <v>2766</v>
      </c>
      <c r="Z588" s="9">
        <v>46195</v>
      </c>
      <c r="AA588" s="8">
        <v>6</v>
      </c>
      <c r="AB588" s="9">
        <f t="shared" si="28"/>
        <v>46378</v>
      </c>
      <c r="AC588" s="10">
        <v>14</v>
      </c>
      <c r="AD588" s="7">
        <f t="shared" si="29"/>
        <v>376</v>
      </c>
      <c r="AE588" s="7">
        <f>IF(F588="Bullet",H588*AD588,MIN(MAX(I588,1),Assumptions!$B$6)*AD588)</f>
        <v>752</v>
      </c>
      <c r="AF588" s="8">
        <f>IF(F588="Bullet",MAX(0,Assumptions!$B$4-AB588),MAX(0,Assumptions!$B$4-L588))</f>
        <v>0</v>
      </c>
      <c r="AG588" s="9"/>
      <c r="AH588" s="8" t="str">
        <f>IF(AG588="","",Assumptions!$B$4-AG588)</f>
        <v/>
      </c>
      <c r="AI588" s="5" t="s">
        <v>80</v>
      </c>
      <c r="AJ588" s="8"/>
      <c r="AK588" s="8">
        <v>1</v>
      </c>
      <c r="AL588" s="8">
        <v>752</v>
      </c>
      <c r="AM588" s="8">
        <v>1</v>
      </c>
      <c r="AN588" s="5" t="s">
        <v>63</v>
      </c>
      <c r="AO588" s="10">
        <v>77.2</v>
      </c>
      <c r="AP588" s="8">
        <v>20</v>
      </c>
      <c r="AQ588" s="9">
        <v>46289</v>
      </c>
      <c r="AR588" s="5" t="s">
        <v>51</v>
      </c>
      <c r="AS588" s="5" t="s">
        <v>81</v>
      </c>
    </row>
    <row r="589" spans="1:45" x14ac:dyDescent="0.35">
      <c r="A589" s="5" t="s">
        <v>2767</v>
      </c>
      <c r="B589" s="5" t="s">
        <v>1755</v>
      </c>
      <c r="C589" s="6" t="s">
        <v>2768</v>
      </c>
      <c r="D589" s="7">
        <v>340300</v>
      </c>
      <c r="E589" s="5" t="s">
        <v>48</v>
      </c>
      <c r="F589" s="5" t="s">
        <v>49</v>
      </c>
      <c r="G589" s="8"/>
      <c r="H589" s="8" t="str">
        <f>IF(F589="Bullet",MIN(G589,Assumptions!$B$6),"")</f>
        <v/>
      </c>
      <c r="I589" s="8">
        <v>2</v>
      </c>
      <c r="J589" s="8">
        <f>IF(F589="Monthly interest",MAX(0,Assumptions!$B$5-I589),"")</f>
        <v>1</v>
      </c>
      <c r="K589" s="7">
        <f t="shared" si="27"/>
        <v>11344</v>
      </c>
      <c r="L589" s="9">
        <v>46268</v>
      </c>
      <c r="M589" s="5" t="s">
        <v>116</v>
      </c>
      <c r="N589" s="5" t="s">
        <v>117</v>
      </c>
      <c r="O589" s="5" t="s">
        <v>118</v>
      </c>
      <c r="P589" s="5" t="s">
        <v>72</v>
      </c>
      <c r="Q589" s="5" t="s">
        <v>119</v>
      </c>
      <c r="R589" s="5" t="s">
        <v>120</v>
      </c>
      <c r="S589" s="5" t="s">
        <v>185</v>
      </c>
      <c r="T589" s="5" t="s">
        <v>57</v>
      </c>
      <c r="U589" s="5" t="s">
        <v>104</v>
      </c>
      <c r="V589" s="5" t="s">
        <v>200</v>
      </c>
      <c r="W589" s="5" t="s">
        <v>433</v>
      </c>
      <c r="X589" s="5" t="s">
        <v>2769</v>
      </c>
      <c r="Y589" s="5" t="s">
        <v>2770</v>
      </c>
      <c r="Z589" s="9">
        <v>46025</v>
      </c>
      <c r="AA589" s="8">
        <v>12</v>
      </c>
      <c r="AB589" s="9">
        <f t="shared" si="28"/>
        <v>46390</v>
      </c>
      <c r="AC589" s="10">
        <v>20</v>
      </c>
      <c r="AD589" s="7">
        <f t="shared" si="29"/>
        <v>5672</v>
      </c>
      <c r="AE589" s="7">
        <f>IF(F589="Bullet",H589*AD589,MIN(MAX(I589,1),Assumptions!$B$6)*AD589)</f>
        <v>11344</v>
      </c>
      <c r="AF589" s="8">
        <f>IF(F589="Bullet",MAX(0,Assumptions!$B$4-AB589),MAX(0,Assumptions!$B$4-L589))</f>
        <v>30</v>
      </c>
      <c r="AG589" s="9">
        <v>46238</v>
      </c>
      <c r="AH589" s="8">
        <f>IF(AG589="","",Assumptions!$B$4-AG589)</f>
        <v>60</v>
      </c>
      <c r="AI589" s="5" t="s">
        <v>63</v>
      </c>
      <c r="AJ589" s="8">
        <v>2</v>
      </c>
      <c r="AK589" s="8">
        <v>0</v>
      </c>
      <c r="AL589" s="8">
        <v>578</v>
      </c>
      <c r="AM589" s="8">
        <v>3</v>
      </c>
      <c r="AN589" s="5" t="s">
        <v>63</v>
      </c>
      <c r="AO589" s="10">
        <v>66.900000000000006</v>
      </c>
      <c r="AP589" s="8">
        <v>64</v>
      </c>
      <c r="AQ589" s="9">
        <v>46294</v>
      </c>
      <c r="AR589" s="5" t="s">
        <v>70</v>
      </c>
      <c r="AS589" s="5" t="s">
        <v>91</v>
      </c>
    </row>
    <row r="590" spans="1:45" x14ac:dyDescent="0.35">
      <c r="A590" s="5" t="s">
        <v>2771</v>
      </c>
      <c r="B590" s="5" t="s">
        <v>809</v>
      </c>
      <c r="C590" s="6" t="s">
        <v>2772</v>
      </c>
      <c r="D590" s="7">
        <v>107500</v>
      </c>
      <c r="E590" s="5" t="s">
        <v>48</v>
      </c>
      <c r="F590" s="5" t="s">
        <v>49</v>
      </c>
      <c r="G590" s="8"/>
      <c r="H590" s="8" t="str">
        <f>IF(F590="Bullet",MIN(G590,Assumptions!$B$6),"")</f>
        <v/>
      </c>
      <c r="I590" s="8">
        <v>1</v>
      </c>
      <c r="J590" s="8">
        <f>IF(F590="Monthly interest",MAX(0,Assumptions!$B$5-I590),"")</f>
        <v>2</v>
      </c>
      <c r="K590" s="7">
        <f t="shared" si="27"/>
        <v>1971</v>
      </c>
      <c r="L590" s="9">
        <v>46277</v>
      </c>
      <c r="M590" s="5" t="s">
        <v>50</v>
      </c>
      <c r="N590" s="5" t="s">
        <v>53</v>
      </c>
      <c r="O590" s="5" t="s">
        <v>95</v>
      </c>
      <c r="P590" s="5" t="s">
        <v>70</v>
      </c>
      <c r="Q590" s="5" t="s">
        <v>54</v>
      </c>
      <c r="R590" s="5" t="s">
        <v>55</v>
      </c>
      <c r="S590" s="5" t="s">
        <v>214</v>
      </c>
      <c r="T590" s="5" t="s">
        <v>63</v>
      </c>
      <c r="U590" s="5" t="s">
        <v>104</v>
      </c>
      <c r="V590" s="5" t="s">
        <v>215</v>
      </c>
      <c r="W590" s="5" t="s">
        <v>216</v>
      </c>
      <c r="X590" s="5" t="s">
        <v>1797</v>
      </c>
      <c r="Y590" s="5" t="s">
        <v>2773</v>
      </c>
      <c r="Z590" s="9">
        <v>46003</v>
      </c>
      <c r="AA590" s="8">
        <v>24</v>
      </c>
      <c r="AB590" s="9">
        <f t="shared" si="28"/>
        <v>46733</v>
      </c>
      <c r="AC590" s="10">
        <v>22</v>
      </c>
      <c r="AD590" s="7">
        <f t="shared" si="29"/>
        <v>1971</v>
      </c>
      <c r="AE590" s="7">
        <f>IF(F590="Bullet",H590*AD590,MIN(MAX(I590,1),Assumptions!$B$6)*AD590)</f>
        <v>1971</v>
      </c>
      <c r="AF590" s="8">
        <f>IF(F590="Bullet",MAX(0,Assumptions!$B$4-AB590),MAX(0,Assumptions!$B$4-L590))</f>
        <v>21</v>
      </c>
      <c r="AG590" s="9">
        <v>46251</v>
      </c>
      <c r="AH590" s="8">
        <f>IF(AG590="","",Assumptions!$B$4-AG590)</f>
        <v>47</v>
      </c>
      <c r="AI590" s="5" t="s">
        <v>63</v>
      </c>
      <c r="AJ590" s="8">
        <v>1</v>
      </c>
      <c r="AK590" s="8">
        <v>0</v>
      </c>
      <c r="AL590" s="8">
        <v>725</v>
      </c>
      <c r="AM590" s="8">
        <v>1</v>
      </c>
      <c r="AN590" s="5" t="s">
        <v>63</v>
      </c>
      <c r="AO590" s="10">
        <v>69.900000000000006</v>
      </c>
      <c r="AP590" s="8">
        <v>24</v>
      </c>
      <c r="AQ590" s="9">
        <v>46296</v>
      </c>
      <c r="AR590" s="5" t="s">
        <v>53</v>
      </c>
      <c r="AS590" s="5" t="s">
        <v>81</v>
      </c>
    </row>
    <row r="591" spans="1:45" x14ac:dyDescent="0.35">
      <c r="A591" s="5" t="s">
        <v>2774</v>
      </c>
      <c r="B591" s="5" t="s">
        <v>865</v>
      </c>
      <c r="C591" s="6" t="s">
        <v>2775</v>
      </c>
      <c r="D591" s="7">
        <v>100400</v>
      </c>
      <c r="E591" s="5" t="s">
        <v>48</v>
      </c>
      <c r="F591" s="5" t="s">
        <v>68</v>
      </c>
      <c r="G591" s="8">
        <v>5</v>
      </c>
      <c r="H591" s="8">
        <f>IF(F591="Bullet",MIN(G591,Assumptions!$B$6),"")</f>
        <v>2</v>
      </c>
      <c r="I591" s="8"/>
      <c r="J591" s="8" t="str">
        <f>IF(F591="Monthly interest",MAX(0,Assumptions!$B$5-I591),"")</f>
        <v/>
      </c>
      <c r="K591" s="7">
        <f t="shared" si="27"/>
        <v>7530</v>
      </c>
      <c r="L591" s="9">
        <v>46145</v>
      </c>
      <c r="M591" s="5" t="s">
        <v>69</v>
      </c>
      <c r="N591" s="5" t="s">
        <v>53</v>
      </c>
      <c r="O591" s="5" t="s">
        <v>168</v>
      </c>
      <c r="P591" s="5" t="s">
        <v>70</v>
      </c>
      <c r="Q591" s="5" t="s">
        <v>169</v>
      </c>
      <c r="R591" s="5" t="s">
        <v>170</v>
      </c>
      <c r="S591" s="5" t="s">
        <v>185</v>
      </c>
      <c r="T591" s="5" t="s">
        <v>63</v>
      </c>
      <c r="U591" s="5" t="s">
        <v>58</v>
      </c>
      <c r="V591" s="5" t="s">
        <v>200</v>
      </c>
      <c r="W591" s="5" t="s">
        <v>433</v>
      </c>
      <c r="X591" s="5" t="s">
        <v>2776</v>
      </c>
      <c r="Y591" s="5" t="s">
        <v>2777</v>
      </c>
      <c r="Z591" s="9">
        <v>46145</v>
      </c>
      <c r="AA591" s="8">
        <v>6</v>
      </c>
      <c r="AB591" s="9">
        <f t="shared" si="28"/>
        <v>46329</v>
      </c>
      <c r="AC591" s="10">
        <v>18</v>
      </c>
      <c r="AD591" s="7">
        <f t="shared" si="29"/>
        <v>1506</v>
      </c>
      <c r="AE591" s="7">
        <f>IF(F591="Bullet",H591*AD591,MIN(MAX(I591,1),Assumptions!$B$6)*AD591)</f>
        <v>3012</v>
      </c>
      <c r="AF591" s="8">
        <f>IF(F591="Bullet",MAX(0,Assumptions!$B$4-AB591),MAX(0,Assumptions!$B$4-L591))</f>
        <v>0</v>
      </c>
      <c r="AG591" s="9"/>
      <c r="AH591" s="8" t="str">
        <f>IF(AG591="","",Assumptions!$B$4-AG591)</f>
        <v/>
      </c>
      <c r="AI591" s="5" t="s">
        <v>80</v>
      </c>
      <c r="AJ591" s="8"/>
      <c r="AK591" s="8">
        <v>1</v>
      </c>
      <c r="AL591" s="8">
        <v>698</v>
      </c>
      <c r="AM591" s="8">
        <v>1</v>
      </c>
      <c r="AN591" s="5" t="s">
        <v>63</v>
      </c>
      <c r="AO591" s="10">
        <v>84.5</v>
      </c>
      <c r="AP591" s="8">
        <v>47</v>
      </c>
      <c r="AQ591" s="9">
        <v>46282</v>
      </c>
      <c r="AR591" s="5" t="s">
        <v>70</v>
      </c>
      <c r="AS591" s="5" t="s">
        <v>81</v>
      </c>
    </row>
    <row r="592" spans="1:45" x14ac:dyDescent="0.35">
      <c r="A592" s="5" t="s">
        <v>2778</v>
      </c>
      <c r="B592" s="5" t="s">
        <v>2779</v>
      </c>
      <c r="C592" s="6" t="s">
        <v>2780</v>
      </c>
      <c r="D592" s="7">
        <v>74900</v>
      </c>
      <c r="E592" s="5" t="s">
        <v>48</v>
      </c>
      <c r="F592" s="5" t="s">
        <v>68</v>
      </c>
      <c r="G592" s="8">
        <v>4</v>
      </c>
      <c r="H592" s="8">
        <f>IF(F592="Bullet",MIN(G592,Assumptions!$B$6),"")</f>
        <v>2</v>
      </c>
      <c r="I592" s="8"/>
      <c r="J592" s="8" t="str">
        <f>IF(F592="Monthly interest",MAX(0,Assumptions!$B$5-I592),"")</f>
        <v/>
      </c>
      <c r="K592" s="7">
        <f t="shared" si="27"/>
        <v>3244</v>
      </c>
      <c r="L592" s="9">
        <v>46157</v>
      </c>
      <c r="M592" s="5" t="s">
        <v>50</v>
      </c>
      <c r="N592" s="5" t="s">
        <v>53</v>
      </c>
      <c r="O592" s="5" t="s">
        <v>71</v>
      </c>
      <c r="P592" s="5" t="s">
        <v>70</v>
      </c>
      <c r="Q592" s="5" t="s">
        <v>73</v>
      </c>
      <c r="R592" s="5" t="s">
        <v>74</v>
      </c>
      <c r="S592" s="5" t="s">
        <v>253</v>
      </c>
      <c r="T592" s="5" t="s">
        <v>63</v>
      </c>
      <c r="U592" s="5" t="s">
        <v>86</v>
      </c>
      <c r="V592" s="5" t="s">
        <v>59</v>
      </c>
      <c r="W592" s="5" t="s">
        <v>156</v>
      </c>
      <c r="X592" s="5" t="s">
        <v>2781</v>
      </c>
      <c r="Y592" s="5" t="s">
        <v>2782</v>
      </c>
      <c r="Z592" s="9">
        <v>46157</v>
      </c>
      <c r="AA592" s="8">
        <v>6</v>
      </c>
      <c r="AB592" s="9">
        <f t="shared" si="28"/>
        <v>46341</v>
      </c>
      <c r="AC592" s="10">
        <v>13</v>
      </c>
      <c r="AD592" s="7">
        <f t="shared" si="29"/>
        <v>811</v>
      </c>
      <c r="AE592" s="7">
        <f>IF(F592="Bullet",H592*AD592,MIN(MAX(I592,1),Assumptions!$B$6)*AD592)</f>
        <v>1622</v>
      </c>
      <c r="AF592" s="8">
        <f>IF(F592="Bullet",MAX(0,Assumptions!$B$4-AB592),MAX(0,Assumptions!$B$4-L592))</f>
        <v>0</v>
      </c>
      <c r="AG592" s="9"/>
      <c r="AH592" s="8" t="str">
        <f>IF(AG592="","",Assumptions!$B$4-AG592)</f>
        <v/>
      </c>
      <c r="AI592" s="5" t="s">
        <v>80</v>
      </c>
      <c r="AJ592" s="8"/>
      <c r="AK592" s="8">
        <v>3</v>
      </c>
      <c r="AL592" s="8">
        <v>819</v>
      </c>
      <c r="AM592" s="8">
        <v>1</v>
      </c>
      <c r="AN592" s="5" t="s">
        <v>63</v>
      </c>
      <c r="AO592" s="10">
        <v>72.3</v>
      </c>
      <c r="AP592" s="8">
        <v>24</v>
      </c>
      <c r="AQ592" s="9"/>
      <c r="AR592" s="5"/>
      <c r="AS592" s="5" t="s">
        <v>159</v>
      </c>
    </row>
    <row r="593" spans="1:45" x14ac:dyDescent="0.35">
      <c r="A593" s="5" t="s">
        <v>2783</v>
      </c>
      <c r="B593" s="5" t="s">
        <v>2784</v>
      </c>
      <c r="C593" s="6" t="s">
        <v>2785</v>
      </c>
      <c r="D593" s="7">
        <v>1322500</v>
      </c>
      <c r="E593" s="5" t="s">
        <v>48</v>
      </c>
      <c r="F593" s="5" t="s">
        <v>49</v>
      </c>
      <c r="G593" s="8"/>
      <c r="H593" s="8" t="str">
        <f>IF(F593="Bullet",MIN(G593,Assumptions!$B$6),"")</f>
        <v/>
      </c>
      <c r="I593" s="8">
        <v>1</v>
      </c>
      <c r="J593" s="8">
        <f>IF(F593="Monthly interest",MAX(0,Assumptions!$B$5-I593),"")</f>
        <v>2</v>
      </c>
      <c r="K593" s="7">
        <f t="shared" si="27"/>
        <v>17633</v>
      </c>
      <c r="L593" s="9">
        <v>46298</v>
      </c>
      <c r="M593" s="5" t="s">
        <v>50</v>
      </c>
      <c r="N593" s="5" t="s">
        <v>51</v>
      </c>
      <c r="O593" s="5" t="s">
        <v>52</v>
      </c>
      <c r="P593" s="5" t="s">
        <v>53</v>
      </c>
      <c r="Q593" s="5" t="s">
        <v>54</v>
      </c>
      <c r="R593" s="5" t="s">
        <v>55</v>
      </c>
      <c r="S593" s="5" t="s">
        <v>214</v>
      </c>
      <c r="T593" s="5" t="s">
        <v>57</v>
      </c>
      <c r="U593" s="5" t="s">
        <v>86</v>
      </c>
      <c r="V593" s="5" t="s">
        <v>215</v>
      </c>
      <c r="W593" s="5" t="s">
        <v>1057</v>
      </c>
      <c r="X593" s="5" t="s">
        <v>1058</v>
      </c>
      <c r="Y593" s="5" t="s">
        <v>2786</v>
      </c>
      <c r="Z593" s="9">
        <v>46115</v>
      </c>
      <c r="AA593" s="8">
        <v>12</v>
      </c>
      <c r="AB593" s="9">
        <f t="shared" si="28"/>
        <v>46480</v>
      </c>
      <c r="AC593" s="10">
        <v>16</v>
      </c>
      <c r="AD593" s="7">
        <f t="shared" si="29"/>
        <v>17633</v>
      </c>
      <c r="AE593" s="7">
        <f>IF(F593="Bullet",H593*AD593,MIN(MAX(I593,1),Assumptions!$B$6)*AD593)</f>
        <v>17633</v>
      </c>
      <c r="AF593" s="8">
        <f>IF(F593="Bullet",MAX(0,Assumptions!$B$4-AB593),MAX(0,Assumptions!$B$4-L593))</f>
        <v>0</v>
      </c>
      <c r="AG593" s="9">
        <v>46268</v>
      </c>
      <c r="AH593" s="8">
        <f>IF(AG593="","",Assumptions!$B$4-AG593)</f>
        <v>30</v>
      </c>
      <c r="AI593" s="5" t="s">
        <v>63</v>
      </c>
      <c r="AJ593" s="8">
        <v>1</v>
      </c>
      <c r="AK593" s="8">
        <v>0</v>
      </c>
      <c r="AL593" s="8">
        <v>740</v>
      </c>
      <c r="AM593" s="8">
        <v>1</v>
      </c>
      <c r="AN593" s="5" t="s">
        <v>63</v>
      </c>
      <c r="AO593" s="10">
        <v>67.900000000000006</v>
      </c>
      <c r="AP593" s="8">
        <v>17</v>
      </c>
      <c r="AQ593" s="9">
        <v>46289</v>
      </c>
      <c r="AR593" s="5" t="s">
        <v>53</v>
      </c>
      <c r="AS593" s="5" t="s">
        <v>81</v>
      </c>
    </row>
    <row r="594" spans="1:45" x14ac:dyDescent="0.35">
      <c r="A594" s="5" t="s">
        <v>2787</v>
      </c>
      <c r="B594" s="5" t="s">
        <v>2474</v>
      </c>
      <c r="C594" s="6" t="s">
        <v>2788</v>
      </c>
      <c r="D594" s="7">
        <v>212300</v>
      </c>
      <c r="E594" s="5" t="s">
        <v>48</v>
      </c>
      <c r="F594" s="5" t="s">
        <v>68</v>
      </c>
      <c r="G594" s="8">
        <v>2</v>
      </c>
      <c r="H594" s="8">
        <f>IF(F594="Bullet",MIN(G594,Assumptions!$B$6),"")</f>
        <v>2</v>
      </c>
      <c r="I594" s="8"/>
      <c r="J594" s="8" t="str">
        <f>IF(F594="Monthly interest",MAX(0,Assumptions!$B$5-I594),"")</f>
        <v/>
      </c>
      <c r="K594" s="7">
        <f t="shared" si="27"/>
        <v>4954</v>
      </c>
      <c r="L594" s="9">
        <v>46218</v>
      </c>
      <c r="M594" s="5" t="s">
        <v>50</v>
      </c>
      <c r="N594" s="5" t="s">
        <v>51</v>
      </c>
      <c r="O594" s="5" t="s">
        <v>71</v>
      </c>
      <c r="P594" s="5" t="s">
        <v>53</v>
      </c>
      <c r="Q594" s="5" t="s">
        <v>73</v>
      </c>
      <c r="R594" s="5" t="s">
        <v>74</v>
      </c>
      <c r="S594" s="5" t="s">
        <v>56</v>
      </c>
      <c r="T594" s="5" t="s">
        <v>57</v>
      </c>
      <c r="U594" s="5" t="s">
        <v>86</v>
      </c>
      <c r="V594" s="5" t="s">
        <v>59</v>
      </c>
      <c r="W594" s="5" t="s">
        <v>194</v>
      </c>
      <c r="X594" s="5" t="s">
        <v>521</v>
      </c>
      <c r="Y594" s="5" t="s">
        <v>2789</v>
      </c>
      <c r="Z594" s="9">
        <v>46218</v>
      </c>
      <c r="AA594" s="8">
        <v>12</v>
      </c>
      <c r="AB594" s="9">
        <f t="shared" si="28"/>
        <v>46583</v>
      </c>
      <c r="AC594" s="10">
        <v>14</v>
      </c>
      <c r="AD594" s="7">
        <f t="shared" si="29"/>
        <v>2477</v>
      </c>
      <c r="AE594" s="7">
        <f>IF(F594="Bullet",H594*AD594,MIN(MAX(I594,1),Assumptions!$B$6)*AD594)</f>
        <v>4954</v>
      </c>
      <c r="AF594" s="8">
        <f>IF(F594="Bullet",MAX(0,Assumptions!$B$4-AB594),MAX(0,Assumptions!$B$4-L594))</f>
        <v>0</v>
      </c>
      <c r="AG594" s="9"/>
      <c r="AH594" s="8" t="str">
        <f>IF(AG594="","",Assumptions!$B$4-AG594)</f>
        <v/>
      </c>
      <c r="AI594" s="5" t="s">
        <v>80</v>
      </c>
      <c r="AJ594" s="8"/>
      <c r="AK594" s="8">
        <v>1</v>
      </c>
      <c r="AL594" s="8">
        <v>764</v>
      </c>
      <c r="AM594" s="8">
        <v>1</v>
      </c>
      <c r="AN594" s="5" t="s">
        <v>63</v>
      </c>
      <c r="AO594" s="10">
        <v>75.8</v>
      </c>
      <c r="AP594" s="8">
        <v>10</v>
      </c>
      <c r="AQ594" s="9">
        <v>46294</v>
      </c>
      <c r="AR594" s="5" t="s">
        <v>70</v>
      </c>
      <c r="AS594" s="5" t="s">
        <v>81</v>
      </c>
    </row>
    <row r="595" spans="1:45" x14ac:dyDescent="0.35">
      <c r="A595" s="5" t="s">
        <v>2790</v>
      </c>
      <c r="B595" s="5" t="s">
        <v>2791</v>
      </c>
      <c r="C595" s="6" t="s">
        <v>2792</v>
      </c>
      <c r="D595" s="7">
        <v>456200</v>
      </c>
      <c r="E595" s="5" t="s">
        <v>48</v>
      </c>
      <c r="F595" s="5" t="s">
        <v>68</v>
      </c>
      <c r="G595" s="8">
        <v>6</v>
      </c>
      <c r="H595" s="8">
        <f>IF(F595="Bullet",MIN(G595,Assumptions!$B$6),"")</f>
        <v>2</v>
      </c>
      <c r="I595" s="8"/>
      <c r="J595" s="8" t="str">
        <f>IF(F595="Monthly interest",MAX(0,Assumptions!$B$5-I595),"")</f>
        <v/>
      </c>
      <c r="K595" s="7">
        <f t="shared" si="27"/>
        <v>29652</v>
      </c>
      <c r="L595" s="9">
        <v>46091</v>
      </c>
      <c r="M595" s="5" t="s">
        <v>116</v>
      </c>
      <c r="N595" s="5" t="s">
        <v>117</v>
      </c>
      <c r="O595" s="5" t="s">
        <v>461</v>
      </c>
      <c r="P595" s="5" t="s">
        <v>72</v>
      </c>
      <c r="Q595" s="5" t="s">
        <v>169</v>
      </c>
      <c r="R595" s="5" t="s">
        <v>170</v>
      </c>
      <c r="S595" s="5" t="s">
        <v>85</v>
      </c>
      <c r="T595" s="5" t="s">
        <v>57</v>
      </c>
      <c r="U595" s="5" t="s">
        <v>58</v>
      </c>
      <c r="V595" s="5" t="s">
        <v>96</v>
      </c>
      <c r="W595" s="5" t="s">
        <v>265</v>
      </c>
      <c r="X595" s="5" t="s">
        <v>1773</v>
      </c>
      <c r="Y595" s="5" t="s">
        <v>2793</v>
      </c>
      <c r="Z595" s="9">
        <v>46091</v>
      </c>
      <c r="AA595" s="8">
        <v>12</v>
      </c>
      <c r="AB595" s="9">
        <f t="shared" si="28"/>
        <v>46456</v>
      </c>
      <c r="AC595" s="10">
        <v>13</v>
      </c>
      <c r="AD595" s="7">
        <f t="shared" si="29"/>
        <v>4942</v>
      </c>
      <c r="AE595" s="7">
        <f>IF(F595="Bullet",H595*AD595,MIN(MAX(I595,1),Assumptions!$B$6)*AD595)</f>
        <v>9884</v>
      </c>
      <c r="AF595" s="8">
        <f>IF(F595="Bullet",MAX(0,Assumptions!$B$4-AB595),MAX(0,Assumptions!$B$4-L595))</f>
        <v>0</v>
      </c>
      <c r="AG595" s="9"/>
      <c r="AH595" s="8" t="str">
        <f>IF(AG595="","",Assumptions!$B$4-AG595)</f>
        <v/>
      </c>
      <c r="AI595" s="5" t="s">
        <v>80</v>
      </c>
      <c r="AJ595" s="8"/>
      <c r="AK595" s="8">
        <v>0</v>
      </c>
      <c r="AL595" s="8">
        <v>663</v>
      </c>
      <c r="AM595" s="8">
        <v>2</v>
      </c>
      <c r="AN595" s="5" t="s">
        <v>63</v>
      </c>
      <c r="AO595" s="10">
        <v>69</v>
      </c>
      <c r="AP595" s="8">
        <v>48</v>
      </c>
      <c r="AQ595" s="9">
        <v>46275</v>
      </c>
      <c r="AR595" s="5" t="s">
        <v>53</v>
      </c>
      <c r="AS595" s="5" t="s">
        <v>181</v>
      </c>
    </row>
    <row r="596" spans="1:45" x14ac:dyDescent="0.35">
      <c r="A596" s="5" t="s">
        <v>2794</v>
      </c>
      <c r="B596" s="5" t="s">
        <v>2795</v>
      </c>
      <c r="C596" s="6" t="s">
        <v>2796</v>
      </c>
      <c r="D596" s="7">
        <v>179000</v>
      </c>
      <c r="E596" s="5" t="s">
        <v>48</v>
      </c>
      <c r="F596" s="5" t="s">
        <v>49</v>
      </c>
      <c r="G596" s="8"/>
      <c r="H596" s="8" t="str">
        <f>IF(F596="Bullet",MIN(G596,Assumptions!$B$6),"")</f>
        <v/>
      </c>
      <c r="I596" s="8">
        <v>1</v>
      </c>
      <c r="J596" s="8">
        <f>IF(F596="Monthly interest",MAX(0,Assumptions!$B$5-I596),"")</f>
        <v>2</v>
      </c>
      <c r="K596" s="7">
        <f t="shared" si="27"/>
        <v>2685</v>
      </c>
      <c r="L596" s="9">
        <v>46269</v>
      </c>
      <c r="M596" s="5" t="s">
        <v>116</v>
      </c>
      <c r="N596" s="5" t="s">
        <v>117</v>
      </c>
      <c r="O596" s="5" t="s">
        <v>118</v>
      </c>
      <c r="P596" s="5" t="s">
        <v>72</v>
      </c>
      <c r="Q596" s="5" t="s">
        <v>119</v>
      </c>
      <c r="R596" s="5" t="s">
        <v>120</v>
      </c>
      <c r="S596" s="5" t="s">
        <v>253</v>
      </c>
      <c r="T596" s="5" t="s">
        <v>57</v>
      </c>
      <c r="U596" s="5" t="s">
        <v>58</v>
      </c>
      <c r="V596" s="5" t="s">
        <v>96</v>
      </c>
      <c r="W596" s="5" t="s">
        <v>819</v>
      </c>
      <c r="X596" s="5" t="s">
        <v>2797</v>
      </c>
      <c r="Y596" s="5" t="s">
        <v>2798</v>
      </c>
      <c r="Z596" s="9">
        <v>46207</v>
      </c>
      <c r="AA596" s="8">
        <v>24</v>
      </c>
      <c r="AB596" s="9">
        <f t="shared" si="28"/>
        <v>46938</v>
      </c>
      <c r="AC596" s="10">
        <v>18</v>
      </c>
      <c r="AD596" s="7">
        <f t="shared" si="29"/>
        <v>2685</v>
      </c>
      <c r="AE596" s="7">
        <f>IF(F596="Bullet",H596*AD596,MIN(MAX(I596,1),Assumptions!$B$6)*AD596)</f>
        <v>2685</v>
      </c>
      <c r="AF596" s="8">
        <f>IF(F596="Bullet",MAX(0,Assumptions!$B$4-AB596),MAX(0,Assumptions!$B$4-L596))</f>
        <v>29</v>
      </c>
      <c r="AG596" s="9">
        <v>46242</v>
      </c>
      <c r="AH596" s="8">
        <f>IF(AG596="","",Assumptions!$B$4-AG596)</f>
        <v>56</v>
      </c>
      <c r="AI596" s="5" t="s">
        <v>57</v>
      </c>
      <c r="AJ596" s="8">
        <v>1</v>
      </c>
      <c r="AK596" s="8">
        <v>2</v>
      </c>
      <c r="AL596" s="8" t="s">
        <v>80</v>
      </c>
      <c r="AM596" s="8">
        <v>1</v>
      </c>
      <c r="AN596" s="5" t="s">
        <v>63</v>
      </c>
      <c r="AO596" s="10">
        <v>83.4</v>
      </c>
      <c r="AP596" s="8">
        <v>52</v>
      </c>
      <c r="AQ596" s="9">
        <v>46273</v>
      </c>
      <c r="AR596" s="5" t="s">
        <v>53</v>
      </c>
      <c r="AS596" s="5" t="s">
        <v>81</v>
      </c>
    </row>
    <row r="597" spans="1:45" x14ac:dyDescent="0.35">
      <c r="A597" s="5" t="s">
        <v>2799</v>
      </c>
      <c r="B597" s="5" t="s">
        <v>2800</v>
      </c>
      <c r="C597" s="6" t="s">
        <v>2801</v>
      </c>
      <c r="D597" s="7">
        <v>20200</v>
      </c>
      <c r="E597" s="5" t="s">
        <v>48</v>
      </c>
      <c r="F597" s="5" t="s">
        <v>68</v>
      </c>
      <c r="G597" s="8">
        <v>3</v>
      </c>
      <c r="H597" s="8">
        <f>IF(F597="Bullet",MIN(G597,Assumptions!$B$6),"")</f>
        <v>2</v>
      </c>
      <c r="I597" s="8"/>
      <c r="J597" s="8" t="str">
        <f>IF(F597="Monthly interest",MAX(0,Assumptions!$B$5-I597),"")</f>
        <v/>
      </c>
      <c r="K597" s="7">
        <f t="shared" si="27"/>
        <v>657</v>
      </c>
      <c r="L597" s="9">
        <v>46199</v>
      </c>
      <c r="M597" s="5" t="s">
        <v>50</v>
      </c>
      <c r="N597" s="5" t="s">
        <v>53</v>
      </c>
      <c r="O597" s="5" t="s">
        <v>152</v>
      </c>
      <c r="P597" s="5" t="s">
        <v>153</v>
      </c>
      <c r="Q597" s="5" t="s">
        <v>154</v>
      </c>
      <c r="R597" s="5" t="s">
        <v>155</v>
      </c>
      <c r="S597" s="5" t="s">
        <v>214</v>
      </c>
      <c r="T597" s="5" t="s">
        <v>57</v>
      </c>
      <c r="U597" s="5" t="s">
        <v>86</v>
      </c>
      <c r="V597" s="5" t="s">
        <v>215</v>
      </c>
      <c r="W597" s="5" t="s">
        <v>278</v>
      </c>
      <c r="X597" s="5" t="s">
        <v>1783</v>
      </c>
      <c r="Y597" s="5" t="s">
        <v>2802</v>
      </c>
      <c r="Z597" s="9">
        <v>46199</v>
      </c>
      <c r="AA597" s="8">
        <v>6</v>
      </c>
      <c r="AB597" s="9">
        <f t="shared" si="28"/>
        <v>46382</v>
      </c>
      <c r="AC597" s="10">
        <v>13</v>
      </c>
      <c r="AD597" s="7">
        <f t="shared" si="29"/>
        <v>219</v>
      </c>
      <c r="AE597" s="7">
        <f>IF(F597="Bullet",H597*AD597,MIN(MAX(I597,1),Assumptions!$B$6)*AD597)</f>
        <v>438</v>
      </c>
      <c r="AF597" s="8">
        <f>IF(F597="Bullet",MAX(0,Assumptions!$B$4-AB597),MAX(0,Assumptions!$B$4-L597))</f>
        <v>0</v>
      </c>
      <c r="AG597" s="9"/>
      <c r="AH597" s="8" t="str">
        <f>IF(AG597="","",Assumptions!$B$4-AG597)</f>
        <v/>
      </c>
      <c r="AI597" s="5" t="s">
        <v>80</v>
      </c>
      <c r="AJ597" s="8"/>
      <c r="AK597" s="8">
        <v>0</v>
      </c>
      <c r="AL597" s="8" t="s">
        <v>80</v>
      </c>
      <c r="AM597" s="8">
        <v>0</v>
      </c>
      <c r="AN597" s="5" t="s">
        <v>63</v>
      </c>
      <c r="AO597" s="10">
        <v>79.8</v>
      </c>
      <c r="AP597" s="8">
        <v>29</v>
      </c>
      <c r="AQ597" s="9">
        <v>46289</v>
      </c>
      <c r="AR597" s="5" t="s">
        <v>53</v>
      </c>
      <c r="AS597" s="5" t="s">
        <v>64</v>
      </c>
    </row>
    <row r="598" spans="1:45" x14ac:dyDescent="0.35">
      <c r="A598" s="5" t="s">
        <v>2803</v>
      </c>
      <c r="B598" s="5" t="s">
        <v>545</v>
      </c>
      <c r="C598" s="6" t="s">
        <v>2804</v>
      </c>
      <c r="D598" s="7">
        <v>277600</v>
      </c>
      <c r="E598" s="5" t="s">
        <v>48</v>
      </c>
      <c r="F598" s="5" t="s">
        <v>49</v>
      </c>
      <c r="G598" s="8"/>
      <c r="H598" s="8" t="str">
        <f>IF(F598="Bullet",MIN(G598,Assumptions!$B$6),"")</f>
        <v/>
      </c>
      <c r="I598" s="8">
        <v>2</v>
      </c>
      <c r="J598" s="8">
        <f>IF(F598="Monthly interest",MAX(0,Assumptions!$B$5-I598),"")</f>
        <v>1</v>
      </c>
      <c r="K598" s="7">
        <f t="shared" si="27"/>
        <v>7402</v>
      </c>
      <c r="L598" s="9">
        <v>46252</v>
      </c>
      <c r="M598" s="5" t="s">
        <v>116</v>
      </c>
      <c r="N598" s="5" t="s">
        <v>117</v>
      </c>
      <c r="O598" s="5" t="s">
        <v>118</v>
      </c>
      <c r="P598" s="5" t="s">
        <v>72</v>
      </c>
      <c r="Q598" s="5" t="s">
        <v>119</v>
      </c>
      <c r="R598" s="5" t="s">
        <v>120</v>
      </c>
      <c r="S598" s="5" t="s">
        <v>75</v>
      </c>
      <c r="T598" s="5" t="s">
        <v>57</v>
      </c>
      <c r="U598" s="5" t="s">
        <v>58</v>
      </c>
      <c r="V598" s="5" t="s">
        <v>76</v>
      </c>
      <c r="W598" s="5" t="s">
        <v>306</v>
      </c>
      <c r="X598" s="5" t="s">
        <v>307</v>
      </c>
      <c r="Y598" s="5" t="s">
        <v>2805</v>
      </c>
      <c r="Z598" s="9">
        <v>46130</v>
      </c>
      <c r="AA598" s="8">
        <v>12</v>
      </c>
      <c r="AB598" s="9">
        <f t="shared" si="28"/>
        <v>46495</v>
      </c>
      <c r="AC598" s="10">
        <v>16</v>
      </c>
      <c r="AD598" s="7">
        <f t="shared" si="29"/>
        <v>3701</v>
      </c>
      <c r="AE598" s="7">
        <f>IF(F598="Bullet",H598*AD598,MIN(MAX(I598,1),Assumptions!$B$6)*AD598)</f>
        <v>7402</v>
      </c>
      <c r="AF598" s="8">
        <f>IF(F598="Bullet",MAX(0,Assumptions!$B$4-AB598),MAX(0,Assumptions!$B$4-L598))</f>
        <v>46</v>
      </c>
      <c r="AG598" s="9">
        <v>46223</v>
      </c>
      <c r="AH598" s="8">
        <f>IF(AG598="","",Assumptions!$B$4-AG598)</f>
        <v>75</v>
      </c>
      <c r="AI598" s="5" t="s">
        <v>63</v>
      </c>
      <c r="AJ598" s="8">
        <v>3</v>
      </c>
      <c r="AK598" s="8">
        <v>1</v>
      </c>
      <c r="AL598" s="8">
        <v>724</v>
      </c>
      <c r="AM598" s="8">
        <v>1</v>
      </c>
      <c r="AN598" s="5" t="s">
        <v>63</v>
      </c>
      <c r="AO598" s="10">
        <v>82.4</v>
      </c>
      <c r="AP598" s="8">
        <v>53</v>
      </c>
      <c r="AQ598" s="9"/>
      <c r="AR598" s="5"/>
      <c r="AS598" s="5" t="s">
        <v>159</v>
      </c>
    </row>
    <row r="599" spans="1:45" x14ac:dyDescent="0.35">
      <c r="A599" s="5" t="s">
        <v>2806</v>
      </c>
      <c r="B599" s="5" t="s">
        <v>2807</v>
      </c>
      <c r="C599" s="6" t="s">
        <v>2808</v>
      </c>
      <c r="D599" s="7">
        <v>378500</v>
      </c>
      <c r="E599" s="5" t="s">
        <v>48</v>
      </c>
      <c r="F599" s="5" t="s">
        <v>68</v>
      </c>
      <c r="G599" s="8">
        <v>4</v>
      </c>
      <c r="H599" s="8">
        <f>IF(F599="Bullet",MIN(G599,Assumptions!$B$6),"")</f>
        <v>2</v>
      </c>
      <c r="I599" s="8"/>
      <c r="J599" s="8" t="str">
        <f>IF(F599="Monthly interest",MAX(0,Assumptions!$B$5-I599),"")</f>
        <v/>
      </c>
      <c r="K599" s="7">
        <f t="shared" si="27"/>
        <v>15140</v>
      </c>
      <c r="L599" s="9">
        <v>46153</v>
      </c>
      <c r="M599" s="5" t="s">
        <v>69</v>
      </c>
      <c r="N599" s="5" t="s">
        <v>70</v>
      </c>
      <c r="O599" s="5" t="s">
        <v>71</v>
      </c>
      <c r="P599" s="5" t="s">
        <v>72</v>
      </c>
      <c r="Q599" s="5" t="s">
        <v>73</v>
      </c>
      <c r="R599" s="5" t="s">
        <v>74</v>
      </c>
      <c r="S599" s="5" t="s">
        <v>56</v>
      </c>
      <c r="T599" s="5" t="s">
        <v>57</v>
      </c>
      <c r="U599" s="5" t="s">
        <v>86</v>
      </c>
      <c r="V599" s="5" t="s">
        <v>59</v>
      </c>
      <c r="W599" s="5" t="s">
        <v>156</v>
      </c>
      <c r="X599" s="5" t="s">
        <v>2809</v>
      </c>
      <c r="Y599" s="5" t="s">
        <v>2810</v>
      </c>
      <c r="Z599" s="9">
        <v>46153</v>
      </c>
      <c r="AA599" s="8">
        <v>6</v>
      </c>
      <c r="AB599" s="9">
        <f t="shared" si="28"/>
        <v>46337</v>
      </c>
      <c r="AC599" s="10">
        <v>12</v>
      </c>
      <c r="AD599" s="7">
        <f t="shared" si="29"/>
        <v>3785</v>
      </c>
      <c r="AE599" s="7">
        <f>IF(F599="Bullet",H599*AD599,MIN(MAX(I599,1),Assumptions!$B$6)*AD599)</f>
        <v>7570</v>
      </c>
      <c r="AF599" s="8">
        <f>IF(F599="Bullet",MAX(0,Assumptions!$B$4-AB599),MAX(0,Assumptions!$B$4-L599))</f>
        <v>0</v>
      </c>
      <c r="AG599" s="9"/>
      <c r="AH599" s="8" t="str">
        <f>IF(AG599="","",Assumptions!$B$4-AG599)</f>
        <v/>
      </c>
      <c r="AI599" s="5" t="s">
        <v>80</v>
      </c>
      <c r="AJ599" s="8"/>
      <c r="AK599" s="8">
        <v>2</v>
      </c>
      <c r="AL599" s="8">
        <v>637</v>
      </c>
      <c r="AM599" s="8">
        <v>0</v>
      </c>
      <c r="AN599" s="5" t="s">
        <v>63</v>
      </c>
      <c r="AO599" s="10">
        <v>57.2</v>
      </c>
      <c r="AP599" s="8">
        <v>40</v>
      </c>
      <c r="AQ599" s="9">
        <v>46274</v>
      </c>
      <c r="AR599" s="5" t="s">
        <v>70</v>
      </c>
      <c r="AS599" s="5" t="s">
        <v>91</v>
      </c>
    </row>
    <row r="600" spans="1:45" x14ac:dyDescent="0.35">
      <c r="A600" s="5" t="s">
        <v>2811</v>
      </c>
      <c r="B600" s="5" t="s">
        <v>2812</v>
      </c>
      <c r="C600" s="6" t="s">
        <v>2813</v>
      </c>
      <c r="D600" s="7">
        <v>64100</v>
      </c>
      <c r="E600" s="5" t="s">
        <v>48</v>
      </c>
      <c r="F600" s="5" t="s">
        <v>68</v>
      </c>
      <c r="G600" s="8">
        <v>3</v>
      </c>
      <c r="H600" s="8">
        <f>IF(F600="Bullet",MIN(G600,Assumptions!$B$6),"")</f>
        <v>2</v>
      </c>
      <c r="I600" s="8"/>
      <c r="J600" s="8" t="str">
        <f>IF(F600="Monthly interest",MAX(0,Assumptions!$B$5-I600),"")</f>
        <v/>
      </c>
      <c r="K600" s="7">
        <f t="shared" si="27"/>
        <v>2886</v>
      </c>
      <c r="L600" s="9">
        <v>46184</v>
      </c>
      <c r="M600" s="5" t="s">
        <v>50</v>
      </c>
      <c r="N600" s="5" t="s">
        <v>53</v>
      </c>
      <c r="O600" s="5" t="s">
        <v>71</v>
      </c>
      <c r="P600" s="5" t="s">
        <v>70</v>
      </c>
      <c r="Q600" s="5" t="s">
        <v>73</v>
      </c>
      <c r="R600" s="5" t="s">
        <v>74</v>
      </c>
      <c r="S600" s="5" t="s">
        <v>214</v>
      </c>
      <c r="T600" s="5" t="s">
        <v>63</v>
      </c>
      <c r="U600" s="5" t="s">
        <v>86</v>
      </c>
      <c r="V600" s="5" t="s">
        <v>215</v>
      </c>
      <c r="W600" s="5" t="s">
        <v>278</v>
      </c>
      <c r="X600" s="5" t="s">
        <v>2305</v>
      </c>
      <c r="Y600" s="5" t="s">
        <v>2814</v>
      </c>
      <c r="Z600" s="9">
        <v>46184</v>
      </c>
      <c r="AA600" s="8">
        <v>6</v>
      </c>
      <c r="AB600" s="9">
        <f t="shared" si="28"/>
        <v>46367</v>
      </c>
      <c r="AC600" s="10">
        <v>18</v>
      </c>
      <c r="AD600" s="7">
        <f t="shared" si="29"/>
        <v>962</v>
      </c>
      <c r="AE600" s="7">
        <f>IF(F600="Bullet",H600*AD600,MIN(MAX(I600,1),Assumptions!$B$6)*AD600)</f>
        <v>1924</v>
      </c>
      <c r="AF600" s="8">
        <f>IF(F600="Bullet",MAX(0,Assumptions!$B$4-AB600),MAX(0,Assumptions!$B$4-L600))</f>
        <v>0</v>
      </c>
      <c r="AG600" s="9"/>
      <c r="AH600" s="8" t="str">
        <f>IF(AG600="","",Assumptions!$B$4-AG600)</f>
        <v/>
      </c>
      <c r="AI600" s="5" t="s">
        <v>80</v>
      </c>
      <c r="AJ600" s="8"/>
      <c r="AK600" s="8">
        <v>0</v>
      </c>
      <c r="AL600" s="8">
        <v>725</v>
      </c>
      <c r="AM600" s="8">
        <v>0</v>
      </c>
      <c r="AN600" s="5" t="s">
        <v>63</v>
      </c>
      <c r="AO600" s="10">
        <v>80.3</v>
      </c>
      <c r="AP600" s="8">
        <v>22</v>
      </c>
      <c r="AQ600" s="9">
        <v>46284</v>
      </c>
      <c r="AR600" s="5" t="s">
        <v>72</v>
      </c>
      <c r="AS600" s="5" t="s">
        <v>190</v>
      </c>
    </row>
    <row r="601" spans="1:45" x14ac:dyDescent="0.35">
      <c r="A601" s="5" t="s">
        <v>2815</v>
      </c>
      <c r="B601" s="5" t="s">
        <v>619</v>
      </c>
      <c r="C601" s="6" t="s">
        <v>2816</v>
      </c>
      <c r="D601" s="7">
        <v>294100</v>
      </c>
      <c r="E601" s="5" t="s">
        <v>48</v>
      </c>
      <c r="F601" s="5" t="s">
        <v>49</v>
      </c>
      <c r="G601" s="8"/>
      <c r="H601" s="8" t="str">
        <f>IF(F601="Bullet",MIN(G601,Assumptions!$B$6),"")</f>
        <v/>
      </c>
      <c r="I601" s="8">
        <v>2</v>
      </c>
      <c r="J601" s="8">
        <f>IF(F601="Monthly interest",MAX(0,Assumptions!$B$5-I601),"")</f>
        <v>1</v>
      </c>
      <c r="K601" s="7">
        <f t="shared" si="27"/>
        <v>7352</v>
      </c>
      <c r="L601" s="9">
        <v>46249</v>
      </c>
      <c r="M601" s="5" t="s">
        <v>116</v>
      </c>
      <c r="N601" s="5" t="s">
        <v>117</v>
      </c>
      <c r="O601" s="5" t="s">
        <v>118</v>
      </c>
      <c r="P601" s="5" t="s">
        <v>72</v>
      </c>
      <c r="Q601" s="5" t="s">
        <v>119</v>
      </c>
      <c r="R601" s="5" t="s">
        <v>120</v>
      </c>
      <c r="S601" s="5" t="s">
        <v>75</v>
      </c>
      <c r="T601" s="5" t="s">
        <v>63</v>
      </c>
      <c r="U601" s="5" t="s">
        <v>58</v>
      </c>
      <c r="V601" s="5" t="s">
        <v>76</v>
      </c>
      <c r="W601" s="5" t="s">
        <v>444</v>
      </c>
      <c r="X601" s="5" t="s">
        <v>877</v>
      </c>
      <c r="Y601" s="5" t="s">
        <v>2817</v>
      </c>
      <c r="Z601" s="9">
        <v>46157</v>
      </c>
      <c r="AA601" s="8">
        <v>12</v>
      </c>
      <c r="AB601" s="9">
        <f t="shared" si="28"/>
        <v>46522</v>
      </c>
      <c r="AC601" s="10">
        <v>15</v>
      </c>
      <c r="AD601" s="7">
        <f t="shared" si="29"/>
        <v>3676</v>
      </c>
      <c r="AE601" s="7">
        <f>IF(F601="Bullet",H601*AD601,MIN(MAX(I601,1),Assumptions!$B$6)*AD601)</f>
        <v>7352</v>
      </c>
      <c r="AF601" s="8">
        <f>IF(F601="Bullet",MAX(0,Assumptions!$B$4-AB601),MAX(0,Assumptions!$B$4-L601))</f>
        <v>49</v>
      </c>
      <c r="AG601" s="9">
        <v>46221</v>
      </c>
      <c r="AH601" s="8">
        <f>IF(AG601="","",Assumptions!$B$4-AG601)</f>
        <v>77</v>
      </c>
      <c r="AI601" s="5" t="s">
        <v>63</v>
      </c>
      <c r="AJ601" s="8">
        <v>3</v>
      </c>
      <c r="AK601" s="8">
        <v>1</v>
      </c>
      <c r="AL601" s="8">
        <v>669</v>
      </c>
      <c r="AM601" s="8">
        <v>0</v>
      </c>
      <c r="AN601" s="5" t="s">
        <v>63</v>
      </c>
      <c r="AO601" s="10">
        <v>62.7</v>
      </c>
      <c r="AP601" s="8">
        <v>54</v>
      </c>
      <c r="AQ601" s="9">
        <v>46282</v>
      </c>
      <c r="AR601" s="5" t="s">
        <v>70</v>
      </c>
      <c r="AS601" s="5" t="s">
        <v>91</v>
      </c>
    </row>
    <row r="602" spans="1:45" x14ac:dyDescent="0.35">
      <c r="A602" s="5" t="s">
        <v>2818</v>
      </c>
      <c r="B602" s="5" t="s">
        <v>2819</v>
      </c>
      <c r="C602" s="6" t="s">
        <v>2820</v>
      </c>
      <c r="D602" s="7">
        <v>18100</v>
      </c>
      <c r="E602" s="5" t="s">
        <v>48</v>
      </c>
      <c r="F602" s="5" t="s">
        <v>49</v>
      </c>
      <c r="G602" s="8"/>
      <c r="H602" s="8" t="str">
        <f>IF(F602="Bullet",MIN(G602,Assumptions!$B$6),"")</f>
        <v/>
      </c>
      <c r="I602" s="8">
        <v>2</v>
      </c>
      <c r="J602" s="8">
        <f>IF(F602="Monthly interest",MAX(0,Assumptions!$B$5-I602),"")</f>
        <v>1</v>
      </c>
      <c r="K602" s="7">
        <f t="shared" si="27"/>
        <v>482</v>
      </c>
      <c r="L602" s="9">
        <v>46268</v>
      </c>
      <c r="M602" s="5" t="s">
        <v>69</v>
      </c>
      <c r="N602" s="5" t="s">
        <v>53</v>
      </c>
      <c r="O602" s="5" t="s">
        <v>152</v>
      </c>
      <c r="P602" s="5" t="s">
        <v>153</v>
      </c>
      <c r="Q602" s="5" t="s">
        <v>154</v>
      </c>
      <c r="R602" s="5" t="s">
        <v>155</v>
      </c>
      <c r="S602" s="5" t="s">
        <v>56</v>
      </c>
      <c r="T602" s="5" t="s">
        <v>63</v>
      </c>
      <c r="U602" s="5" t="s">
        <v>86</v>
      </c>
      <c r="V602" s="5" t="s">
        <v>59</v>
      </c>
      <c r="W602" s="5" t="s">
        <v>126</v>
      </c>
      <c r="X602" s="5" t="s">
        <v>2821</v>
      </c>
      <c r="Y602" s="5" t="s">
        <v>2822</v>
      </c>
      <c r="Z602" s="9">
        <v>45994</v>
      </c>
      <c r="AA602" s="8">
        <v>12</v>
      </c>
      <c r="AB602" s="9">
        <f t="shared" si="28"/>
        <v>46359</v>
      </c>
      <c r="AC602" s="10">
        <v>16</v>
      </c>
      <c r="AD602" s="7">
        <f t="shared" si="29"/>
        <v>241</v>
      </c>
      <c r="AE602" s="7">
        <f>IF(F602="Bullet",H602*AD602,MIN(MAX(I602,1),Assumptions!$B$6)*AD602)</f>
        <v>482</v>
      </c>
      <c r="AF602" s="8">
        <f>IF(F602="Bullet",MAX(0,Assumptions!$B$4-AB602),MAX(0,Assumptions!$B$4-L602))</f>
        <v>30</v>
      </c>
      <c r="AG602" s="9">
        <v>46239</v>
      </c>
      <c r="AH602" s="8">
        <f>IF(AG602="","",Assumptions!$B$4-AG602)</f>
        <v>59</v>
      </c>
      <c r="AI602" s="5" t="s">
        <v>57</v>
      </c>
      <c r="AJ602" s="8">
        <v>2</v>
      </c>
      <c r="AK602" s="8">
        <v>0</v>
      </c>
      <c r="AL602" s="8">
        <v>739</v>
      </c>
      <c r="AM602" s="8">
        <v>1</v>
      </c>
      <c r="AN602" s="5" t="s">
        <v>63</v>
      </c>
      <c r="AO602" s="10">
        <v>71.3</v>
      </c>
      <c r="AP602" s="8">
        <v>35</v>
      </c>
      <c r="AQ602" s="9">
        <v>46293</v>
      </c>
      <c r="AR602" s="5" t="s">
        <v>53</v>
      </c>
      <c r="AS602" s="5" t="s">
        <v>190</v>
      </c>
    </row>
    <row r="603" spans="1:45" x14ac:dyDescent="0.35">
      <c r="A603" s="5" t="s">
        <v>2823</v>
      </c>
      <c r="B603" s="5" t="s">
        <v>2824</v>
      </c>
      <c r="C603" s="6" t="s">
        <v>2825</v>
      </c>
      <c r="D603" s="7">
        <v>179300</v>
      </c>
      <c r="E603" s="5" t="s">
        <v>48</v>
      </c>
      <c r="F603" s="5" t="s">
        <v>49</v>
      </c>
      <c r="G603" s="8"/>
      <c r="H603" s="8" t="str">
        <f>IF(F603="Bullet",MIN(G603,Assumptions!$B$6),"")</f>
        <v/>
      </c>
      <c r="I603" s="8">
        <v>2</v>
      </c>
      <c r="J603" s="8">
        <f>IF(F603="Monthly interest",MAX(0,Assumptions!$B$5-I603),"")</f>
        <v>1</v>
      </c>
      <c r="K603" s="7">
        <f t="shared" si="27"/>
        <v>4184</v>
      </c>
      <c r="L603" s="9">
        <v>46243</v>
      </c>
      <c r="M603" s="5" t="s">
        <v>69</v>
      </c>
      <c r="N603" s="5" t="s">
        <v>53</v>
      </c>
      <c r="O603" s="5" t="s">
        <v>71</v>
      </c>
      <c r="P603" s="5" t="s">
        <v>70</v>
      </c>
      <c r="Q603" s="5" t="s">
        <v>73</v>
      </c>
      <c r="R603" s="5" t="s">
        <v>74</v>
      </c>
      <c r="S603" s="5" t="s">
        <v>75</v>
      </c>
      <c r="T603" s="5" t="s">
        <v>63</v>
      </c>
      <c r="U603" s="5" t="s">
        <v>86</v>
      </c>
      <c r="V603" s="5" t="s">
        <v>76</v>
      </c>
      <c r="W603" s="5" t="s">
        <v>105</v>
      </c>
      <c r="X603" s="5" t="s">
        <v>1884</v>
      </c>
      <c r="Y603" s="5" t="s">
        <v>2826</v>
      </c>
      <c r="Z603" s="9">
        <v>46062</v>
      </c>
      <c r="AA603" s="8">
        <v>12</v>
      </c>
      <c r="AB603" s="9">
        <f t="shared" si="28"/>
        <v>46427</v>
      </c>
      <c r="AC603" s="10">
        <v>14</v>
      </c>
      <c r="AD603" s="7">
        <f t="shared" si="29"/>
        <v>2092</v>
      </c>
      <c r="AE603" s="7">
        <f>IF(F603="Bullet",H603*AD603,MIN(MAX(I603,1),Assumptions!$B$6)*AD603)</f>
        <v>4184</v>
      </c>
      <c r="AF603" s="8">
        <f>IF(F603="Bullet",MAX(0,Assumptions!$B$4-AB603),MAX(0,Assumptions!$B$4-L603))</f>
        <v>55</v>
      </c>
      <c r="AG603" s="9">
        <v>46217</v>
      </c>
      <c r="AH603" s="8">
        <f>IF(AG603="","",Assumptions!$B$4-AG603)</f>
        <v>81</v>
      </c>
      <c r="AI603" s="5" t="s">
        <v>57</v>
      </c>
      <c r="AJ603" s="8">
        <v>4</v>
      </c>
      <c r="AK603" s="8">
        <v>0</v>
      </c>
      <c r="AL603" s="8">
        <v>710</v>
      </c>
      <c r="AM603" s="8">
        <v>1</v>
      </c>
      <c r="AN603" s="5" t="s">
        <v>63</v>
      </c>
      <c r="AO603" s="10">
        <v>61.5</v>
      </c>
      <c r="AP603" s="8">
        <v>44</v>
      </c>
      <c r="AQ603" s="9">
        <v>46291</v>
      </c>
      <c r="AR603" s="5" t="s">
        <v>53</v>
      </c>
      <c r="AS603" s="5" t="s">
        <v>64</v>
      </c>
    </row>
    <row r="604" spans="1:45" x14ac:dyDescent="0.35">
      <c r="A604" s="5" t="s">
        <v>2827</v>
      </c>
      <c r="B604" s="5" t="s">
        <v>2828</v>
      </c>
      <c r="C604" s="6" t="s">
        <v>2829</v>
      </c>
      <c r="D604" s="7">
        <v>70000</v>
      </c>
      <c r="E604" s="5" t="s">
        <v>48</v>
      </c>
      <c r="F604" s="5" t="s">
        <v>68</v>
      </c>
      <c r="G604" s="8">
        <v>2</v>
      </c>
      <c r="H604" s="8">
        <f>IF(F604="Bullet",MIN(G604,Assumptions!$B$6),"")</f>
        <v>2</v>
      </c>
      <c r="I604" s="8"/>
      <c r="J604" s="8" t="str">
        <f>IF(F604="Monthly interest",MAX(0,Assumptions!$B$5-I604),"")</f>
        <v/>
      </c>
      <c r="K604" s="7">
        <f t="shared" si="27"/>
        <v>1866</v>
      </c>
      <c r="L604" s="9">
        <v>46237</v>
      </c>
      <c r="M604" s="5" t="s">
        <v>50</v>
      </c>
      <c r="N604" s="5" t="s">
        <v>51</v>
      </c>
      <c r="O604" s="5" t="s">
        <v>71</v>
      </c>
      <c r="P604" s="5" t="s">
        <v>53</v>
      </c>
      <c r="Q604" s="5" t="s">
        <v>73</v>
      </c>
      <c r="R604" s="5" t="s">
        <v>74</v>
      </c>
      <c r="S604" s="5" t="s">
        <v>56</v>
      </c>
      <c r="T604" s="5" t="s">
        <v>57</v>
      </c>
      <c r="U604" s="5" t="s">
        <v>86</v>
      </c>
      <c r="V604" s="5" t="s">
        <v>59</v>
      </c>
      <c r="W604" s="5" t="s">
        <v>300</v>
      </c>
      <c r="X604" s="5" t="s">
        <v>1193</v>
      </c>
      <c r="Y604" s="5" t="s">
        <v>2830</v>
      </c>
      <c r="Z604" s="9">
        <v>46237</v>
      </c>
      <c r="AA604" s="8">
        <v>6</v>
      </c>
      <c r="AB604" s="9">
        <f t="shared" si="28"/>
        <v>46421</v>
      </c>
      <c r="AC604" s="10">
        <v>16</v>
      </c>
      <c r="AD604" s="7">
        <f t="shared" si="29"/>
        <v>933</v>
      </c>
      <c r="AE604" s="7">
        <f>IF(F604="Bullet",H604*AD604,MIN(MAX(I604,1),Assumptions!$B$6)*AD604)</f>
        <v>1866</v>
      </c>
      <c r="AF604" s="8">
        <f>IF(F604="Bullet",MAX(0,Assumptions!$B$4-AB604),MAX(0,Assumptions!$B$4-L604))</f>
        <v>0</v>
      </c>
      <c r="AG604" s="9"/>
      <c r="AH604" s="8" t="str">
        <f>IF(AG604="","",Assumptions!$B$4-AG604)</f>
        <v/>
      </c>
      <c r="AI604" s="5" t="s">
        <v>80</v>
      </c>
      <c r="AJ604" s="8"/>
      <c r="AK604" s="8">
        <v>0</v>
      </c>
      <c r="AL604" s="8">
        <v>738</v>
      </c>
      <c r="AM604" s="8">
        <v>0</v>
      </c>
      <c r="AN604" s="5" t="s">
        <v>63</v>
      </c>
      <c r="AO604" s="10">
        <v>65.599999999999994</v>
      </c>
      <c r="AP604" s="8">
        <v>14</v>
      </c>
      <c r="AQ604" s="9">
        <v>46276</v>
      </c>
      <c r="AR604" s="5" t="s">
        <v>70</v>
      </c>
      <c r="AS604" s="5" t="s">
        <v>81</v>
      </c>
    </row>
    <row r="605" spans="1:45" x14ac:dyDescent="0.35">
      <c r="A605" s="5" t="s">
        <v>2831</v>
      </c>
      <c r="B605" s="5" t="s">
        <v>2832</v>
      </c>
      <c r="C605" s="6" t="s">
        <v>2833</v>
      </c>
      <c r="D605" s="7">
        <v>57700</v>
      </c>
      <c r="E605" s="5" t="s">
        <v>48</v>
      </c>
      <c r="F605" s="5" t="s">
        <v>49</v>
      </c>
      <c r="G605" s="8"/>
      <c r="H605" s="8" t="str">
        <f>IF(F605="Bullet",MIN(G605,Assumptions!$B$6),"")</f>
        <v/>
      </c>
      <c r="I605" s="8">
        <v>2</v>
      </c>
      <c r="J605" s="8">
        <f>IF(F605="Monthly interest",MAX(0,Assumptions!$B$5-I605),"")</f>
        <v>1</v>
      </c>
      <c r="K605" s="7">
        <f t="shared" si="27"/>
        <v>2308</v>
      </c>
      <c r="L605" s="9">
        <v>46257</v>
      </c>
      <c r="M605" s="5" t="s">
        <v>116</v>
      </c>
      <c r="N605" s="5" t="s">
        <v>117</v>
      </c>
      <c r="O605" s="5" t="s">
        <v>118</v>
      </c>
      <c r="P605" s="5" t="s">
        <v>72</v>
      </c>
      <c r="Q605" s="5" t="s">
        <v>119</v>
      </c>
      <c r="R605" s="5" t="s">
        <v>120</v>
      </c>
      <c r="S605" s="5" t="s">
        <v>214</v>
      </c>
      <c r="T605" s="5" t="s">
        <v>63</v>
      </c>
      <c r="U605" s="5" t="s">
        <v>104</v>
      </c>
      <c r="V605" s="5" t="s">
        <v>215</v>
      </c>
      <c r="W605" s="5" t="s">
        <v>242</v>
      </c>
      <c r="X605" s="5" t="s">
        <v>2834</v>
      </c>
      <c r="Y605" s="5" t="s">
        <v>2835</v>
      </c>
      <c r="Z605" s="9">
        <v>45984</v>
      </c>
      <c r="AA605" s="8">
        <v>12</v>
      </c>
      <c r="AB605" s="9">
        <f t="shared" si="28"/>
        <v>46349</v>
      </c>
      <c r="AC605" s="10">
        <v>24</v>
      </c>
      <c r="AD605" s="7">
        <f t="shared" si="29"/>
        <v>1154</v>
      </c>
      <c r="AE605" s="7">
        <f>IF(F605="Bullet",H605*AD605,MIN(MAX(I605,1),Assumptions!$B$6)*AD605)</f>
        <v>2308</v>
      </c>
      <c r="AF605" s="8">
        <f>IF(F605="Bullet",MAX(0,Assumptions!$B$4-AB605),MAX(0,Assumptions!$B$4-L605))</f>
        <v>41</v>
      </c>
      <c r="AG605" s="9">
        <v>46226</v>
      </c>
      <c r="AH605" s="8">
        <f>IF(AG605="","",Assumptions!$B$4-AG605)</f>
        <v>72</v>
      </c>
      <c r="AI605" s="5" t="s">
        <v>57</v>
      </c>
      <c r="AJ605" s="8">
        <v>3</v>
      </c>
      <c r="AK605" s="8">
        <v>1</v>
      </c>
      <c r="AL605" s="8" t="s">
        <v>80</v>
      </c>
      <c r="AM605" s="8">
        <v>0</v>
      </c>
      <c r="AN605" s="5" t="s">
        <v>63</v>
      </c>
      <c r="AO605" s="10">
        <v>69.7</v>
      </c>
      <c r="AP605" s="8">
        <v>49</v>
      </c>
      <c r="AQ605" s="9">
        <v>46288</v>
      </c>
      <c r="AR605" s="5" t="s">
        <v>70</v>
      </c>
      <c r="AS605" s="5" t="s">
        <v>81</v>
      </c>
    </row>
    <row r="606" spans="1:45" x14ac:dyDescent="0.35">
      <c r="A606" s="5" t="s">
        <v>2836</v>
      </c>
      <c r="B606" s="5" t="s">
        <v>1273</v>
      </c>
      <c r="C606" s="6" t="s">
        <v>2837</v>
      </c>
      <c r="D606" s="7">
        <v>127000</v>
      </c>
      <c r="E606" s="5" t="s">
        <v>48</v>
      </c>
      <c r="F606" s="5" t="s">
        <v>49</v>
      </c>
      <c r="G606" s="8"/>
      <c r="H606" s="8" t="str">
        <f>IF(F606="Bullet",MIN(G606,Assumptions!$B$6),"")</f>
        <v/>
      </c>
      <c r="I606" s="8">
        <v>1</v>
      </c>
      <c r="J606" s="8">
        <f>IF(F606="Monthly interest",MAX(0,Assumptions!$B$5-I606),"")</f>
        <v>2</v>
      </c>
      <c r="K606" s="7">
        <f t="shared" si="27"/>
        <v>2328</v>
      </c>
      <c r="L606" s="9">
        <v>46277</v>
      </c>
      <c r="M606" s="5" t="s">
        <v>50</v>
      </c>
      <c r="N606" s="5" t="s">
        <v>51</v>
      </c>
      <c r="O606" s="5" t="s">
        <v>52</v>
      </c>
      <c r="P606" s="5" t="s">
        <v>53</v>
      </c>
      <c r="Q606" s="5" t="s">
        <v>54</v>
      </c>
      <c r="R606" s="5" t="s">
        <v>55</v>
      </c>
      <c r="S606" s="5" t="s">
        <v>85</v>
      </c>
      <c r="T606" s="5" t="s">
        <v>57</v>
      </c>
      <c r="U606" s="5" t="s">
        <v>104</v>
      </c>
      <c r="V606" s="5" t="s">
        <v>96</v>
      </c>
      <c r="W606" s="5" t="s">
        <v>265</v>
      </c>
      <c r="X606" s="5" t="s">
        <v>2838</v>
      </c>
      <c r="Y606" s="5" t="s">
        <v>2839</v>
      </c>
      <c r="Z606" s="9">
        <v>46034</v>
      </c>
      <c r="AA606" s="8">
        <v>12</v>
      </c>
      <c r="AB606" s="9">
        <f t="shared" si="28"/>
        <v>46399</v>
      </c>
      <c r="AC606" s="10">
        <v>22</v>
      </c>
      <c r="AD606" s="7">
        <f t="shared" si="29"/>
        <v>2328</v>
      </c>
      <c r="AE606" s="7">
        <f>IF(F606="Bullet",H606*AD606,MIN(MAX(I606,1),Assumptions!$B$6)*AD606)</f>
        <v>2328</v>
      </c>
      <c r="AF606" s="8">
        <f>IF(F606="Bullet",MAX(0,Assumptions!$B$4-AB606),MAX(0,Assumptions!$B$4-L606))</f>
        <v>21</v>
      </c>
      <c r="AG606" s="9">
        <v>46248</v>
      </c>
      <c r="AH606" s="8">
        <f>IF(AG606="","",Assumptions!$B$4-AG606)</f>
        <v>50</v>
      </c>
      <c r="AI606" s="5" t="s">
        <v>63</v>
      </c>
      <c r="AJ606" s="8">
        <v>2</v>
      </c>
      <c r="AK606" s="8">
        <v>1</v>
      </c>
      <c r="AL606" s="8">
        <v>728</v>
      </c>
      <c r="AM606" s="8">
        <v>1</v>
      </c>
      <c r="AN606" s="5" t="s">
        <v>63</v>
      </c>
      <c r="AO606" s="10">
        <v>71.8</v>
      </c>
      <c r="AP606" s="8">
        <v>30</v>
      </c>
      <c r="AQ606" s="9">
        <v>46274</v>
      </c>
      <c r="AR606" s="5" t="s">
        <v>53</v>
      </c>
      <c r="AS606" s="5" t="s">
        <v>81</v>
      </c>
    </row>
    <row r="607" spans="1:45" x14ac:dyDescent="0.35">
      <c r="A607" s="5" t="s">
        <v>2840</v>
      </c>
      <c r="B607" s="5" t="s">
        <v>2841</v>
      </c>
      <c r="C607" s="6" t="s">
        <v>2842</v>
      </c>
      <c r="D607" s="7">
        <v>173000</v>
      </c>
      <c r="E607" s="5" t="s">
        <v>48</v>
      </c>
      <c r="F607" s="5" t="s">
        <v>49</v>
      </c>
      <c r="G607" s="8"/>
      <c r="H607" s="8" t="str">
        <f>IF(F607="Bullet",MIN(G607,Assumptions!$B$6),"")</f>
        <v/>
      </c>
      <c r="I607" s="8">
        <v>1</v>
      </c>
      <c r="J607" s="8">
        <f>IF(F607="Monthly interest",MAX(0,Assumptions!$B$5-I607),"")</f>
        <v>2</v>
      </c>
      <c r="K607" s="7">
        <f t="shared" si="27"/>
        <v>2018</v>
      </c>
      <c r="L607" s="9">
        <v>46287</v>
      </c>
      <c r="M607" s="5" t="s">
        <v>50</v>
      </c>
      <c r="N607" s="5" t="s">
        <v>51</v>
      </c>
      <c r="O607" s="5" t="s">
        <v>52</v>
      </c>
      <c r="P607" s="5" t="s">
        <v>53</v>
      </c>
      <c r="Q607" s="5" t="s">
        <v>54</v>
      </c>
      <c r="R607" s="5" t="s">
        <v>55</v>
      </c>
      <c r="S607" s="5" t="s">
        <v>214</v>
      </c>
      <c r="T607" s="5" t="s">
        <v>57</v>
      </c>
      <c r="U607" s="5" t="s">
        <v>104</v>
      </c>
      <c r="V607" s="5" t="s">
        <v>215</v>
      </c>
      <c r="W607" s="5" t="s">
        <v>242</v>
      </c>
      <c r="X607" s="5" t="s">
        <v>2834</v>
      </c>
      <c r="Y607" s="5" t="s">
        <v>2843</v>
      </c>
      <c r="Z607" s="9">
        <v>46225</v>
      </c>
      <c r="AA607" s="8">
        <v>24</v>
      </c>
      <c r="AB607" s="9">
        <f t="shared" si="28"/>
        <v>46956</v>
      </c>
      <c r="AC607" s="10">
        <v>14</v>
      </c>
      <c r="AD607" s="7">
        <f t="shared" si="29"/>
        <v>2018</v>
      </c>
      <c r="AE607" s="7">
        <f>IF(F607="Bullet",H607*AD607,MIN(MAX(I607,1),Assumptions!$B$6)*AD607)</f>
        <v>2018</v>
      </c>
      <c r="AF607" s="8">
        <f>IF(F607="Bullet",MAX(0,Assumptions!$B$4-AB607),MAX(0,Assumptions!$B$4-L607))</f>
        <v>11</v>
      </c>
      <c r="AG607" s="9">
        <v>46256</v>
      </c>
      <c r="AH607" s="8">
        <f>IF(AG607="","",Assumptions!$B$4-AG607)</f>
        <v>42</v>
      </c>
      <c r="AI607" s="5" t="s">
        <v>57</v>
      </c>
      <c r="AJ607" s="8">
        <v>1</v>
      </c>
      <c r="AK607" s="8">
        <v>0</v>
      </c>
      <c r="AL607" s="8" t="s">
        <v>80</v>
      </c>
      <c r="AM607" s="8">
        <v>1</v>
      </c>
      <c r="AN607" s="5" t="s">
        <v>63</v>
      </c>
      <c r="AO607" s="10">
        <v>65.7</v>
      </c>
      <c r="AP607" s="8">
        <v>24</v>
      </c>
      <c r="AQ607" s="9"/>
      <c r="AR607" s="5"/>
      <c r="AS607" s="5" t="s">
        <v>159</v>
      </c>
    </row>
    <row r="608" spans="1:45" x14ac:dyDescent="0.35">
      <c r="A608" s="5" t="s">
        <v>2844</v>
      </c>
      <c r="B608" s="5" t="s">
        <v>2845</v>
      </c>
      <c r="C608" s="6" t="s">
        <v>2846</v>
      </c>
      <c r="D608" s="7">
        <v>195500</v>
      </c>
      <c r="E608" s="5" t="s">
        <v>48</v>
      </c>
      <c r="F608" s="5" t="s">
        <v>49</v>
      </c>
      <c r="G608" s="8"/>
      <c r="H608" s="8" t="str">
        <f>IF(F608="Bullet",MIN(G608,Assumptions!$B$6),"")</f>
        <v/>
      </c>
      <c r="I608" s="8">
        <v>1</v>
      </c>
      <c r="J608" s="8">
        <f>IF(F608="Monthly interest",MAX(0,Assumptions!$B$5-I608),"")</f>
        <v>2</v>
      </c>
      <c r="K608" s="7">
        <f t="shared" si="27"/>
        <v>2607</v>
      </c>
      <c r="L608" s="9">
        <v>46281</v>
      </c>
      <c r="M608" s="5" t="s">
        <v>69</v>
      </c>
      <c r="N608" s="5" t="s">
        <v>53</v>
      </c>
      <c r="O608" s="5" t="s">
        <v>103</v>
      </c>
      <c r="P608" s="5" t="s">
        <v>70</v>
      </c>
      <c r="Q608" s="5" t="s">
        <v>54</v>
      </c>
      <c r="R608" s="5" t="s">
        <v>55</v>
      </c>
      <c r="S608" s="5" t="s">
        <v>85</v>
      </c>
      <c r="T608" s="5" t="s">
        <v>57</v>
      </c>
      <c r="U608" s="5" t="s">
        <v>58</v>
      </c>
      <c r="V608" s="5" t="s">
        <v>96</v>
      </c>
      <c r="W608" s="5" t="s">
        <v>265</v>
      </c>
      <c r="X608" s="5" t="s">
        <v>2847</v>
      </c>
      <c r="Y608" s="5" t="s">
        <v>2848</v>
      </c>
      <c r="Z608" s="9">
        <v>46069</v>
      </c>
      <c r="AA608" s="8">
        <v>18</v>
      </c>
      <c r="AB608" s="9">
        <f t="shared" si="28"/>
        <v>46615</v>
      </c>
      <c r="AC608" s="10">
        <v>16</v>
      </c>
      <c r="AD608" s="7">
        <f t="shared" si="29"/>
        <v>2607</v>
      </c>
      <c r="AE608" s="7">
        <f>IF(F608="Bullet",H608*AD608,MIN(MAX(I608,1),Assumptions!$B$6)*AD608)</f>
        <v>2607</v>
      </c>
      <c r="AF608" s="8">
        <f>IF(F608="Bullet",MAX(0,Assumptions!$B$4-AB608),MAX(0,Assumptions!$B$4-L608))</f>
        <v>17</v>
      </c>
      <c r="AG608" s="9">
        <v>46251</v>
      </c>
      <c r="AH608" s="8">
        <f>IF(AG608="","",Assumptions!$B$4-AG608)</f>
        <v>47</v>
      </c>
      <c r="AI608" s="5" t="s">
        <v>63</v>
      </c>
      <c r="AJ608" s="8">
        <v>1</v>
      </c>
      <c r="AK608" s="8">
        <v>2</v>
      </c>
      <c r="AL608" s="8">
        <v>729</v>
      </c>
      <c r="AM608" s="8">
        <v>1</v>
      </c>
      <c r="AN608" s="5" t="s">
        <v>63</v>
      </c>
      <c r="AO608" s="10">
        <v>77.7</v>
      </c>
      <c r="AP608" s="8">
        <v>31</v>
      </c>
      <c r="AQ608" s="9">
        <v>46294</v>
      </c>
      <c r="AR608" s="5" t="s">
        <v>51</v>
      </c>
      <c r="AS608" s="5" t="s">
        <v>81</v>
      </c>
    </row>
    <row r="609" spans="1:45" x14ac:dyDescent="0.35">
      <c r="A609" s="5" t="s">
        <v>2849</v>
      </c>
      <c r="B609" s="5" t="s">
        <v>2850</v>
      </c>
      <c r="C609" s="6" t="s">
        <v>2851</v>
      </c>
      <c r="D609" s="7">
        <v>360600</v>
      </c>
      <c r="E609" s="5" t="s">
        <v>48</v>
      </c>
      <c r="F609" s="5" t="s">
        <v>49</v>
      </c>
      <c r="G609" s="8"/>
      <c r="H609" s="8" t="str">
        <f>IF(F609="Bullet",MIN(G609,Assumptions!$B$6),"")</f>
        <v/>
      </c>
      <c r="I609" s="8">
        <v>2</v>
      </c>
      <c r="J609" s="8">
        <f>IF(F609="Monthly interest",MAX(0,Assumptions!$B$5-I609),"")</f>
        <v>1</v>
      </c>
      <c r="K609" s="7">
        <f t="shared" si="27"/>
        <v>13222</v>
      </c>
      <c r="L609" s="9">
        <v>46244</v>
      </c>
      <c r="M609" s="5" t="s">
        <v>116</v>
      </c>
      <c r="N609" s="5" t="s">
        <v>117</v>
      </c>
      <c r="O609" s="5" t="s">
        <v>118</v>
      </c>
      <c r="P609" s="5" t="s">
        <v>72</v>
      </c>
      <c r="Q609" s="5" t="s">
        <v>119</v>
      </c>
      <c r="R609" s="5" t="s">
        <v>120</v>
      </c>
      <c r="S609" s="5" t="s">
        <v>75</v>
      </c>
      <c r="T609" s="5" t="s">
        <v>57</v>
      </c>
      <c r="U609" s="5" t="s">
        <v>104</v>
      </c>
      <c r="V609" s="5" t="s">
        <v>76</v>
      </c>
      <c r="W609" s="5" t="s">
        <v>77</v>
      </c>
      <c r="X609" s="5" t="s">
        <v>1879</v>
      </c>
      <c r="Y609" s="5" t="s">
        <v>2852</v>
      </c>
      <c r="Z609" s="9">
        <v>46122</v>
      </c>
      <c r="AA609" s="8">
        <v>24</v>
      </c>
      <c r="AB609" s="9">
        <f t="shared" si="28"/>
        <v>46853</v>
      </c>
      <c r="AC609" s="10">
        <v>22</v>
      </c>
      <c r="AD609" s="7">
        <f t="shared" si="29"/>
        <v>6611</v>
      </c>
      <c r="AE609" s="7">
        <f>IF(F609="Bullet",H609*AD609,MIN(MAX(I609,1),Assumptions!$B$6)*AD609)</f>
        <v>13222</v>
      </c>
      <c r="AF609" s="8">
        <f>IF(F609="Bullet",MAX(0,Assumptions!$B$4-AB609),MAX(0,Assumptions!$B$4-L609))</f>
        <v>54</v>
      </c>
      <c r="AG609" s="9">
        <v>46216</v>
      </c>
      <c r="AH609" s="8">
        <f>IF(AG609="","",Assumptions!$B$4-AG609)</f>
        <v>82</v>
      </c>
      <c r="AI609" s="5" t="s">
        <v>63</v>
      </c>
      <c r="AJ609" s="8">
        <v>3</v>
      </c>
      <c r="AK609" s="8">
        <v>0</v>
      </c>
      <c r="AL609" s="8">
        <v>626</v>
      </c>
      <c r="AM609" s="8">
        <v>3</v>
      </c>
      <c r="AN609" s="5" t="s">
        <v>57</v>
      </c>
      <c r="AO609" s="10">
        <v>82.6</v>
      </c>
      <c r="AP609" s="8">
        <v>78</v>
      </c>
      <c r="AQ609" s="9">
        <v>46276</v>
      </c>
      <c r="AR609" s="5" t="s">
        <v>70</v>
      </c>
      <c r="AS609" s="5" t="s">
        <v>64</v>
      </c>
    </row>
    <row r="610" spans="1:45" x14ac:dyDescent="0.35">
      <c r="A610" s="5" t="s">
        <v>2853</v>
      </c>
      <c r="B610" s="5" t="s">
        <v>298</v>
      </c>
      <c r="C610" s="6" t="s">
        <v>2854</v>
      </c>
      <c r="D610" s="7">
        <v>113800</v>
      </c>
      <c r="E610" s="5" t="s">
        <v>48</v>
      </c>
      <c r="F610" s="5" t="s">
        <v>49</v>
      </c>
      <c r="G610" s="8"/>
      <c r="H610" s="8" t="str">
        <f>IF(F610="Bullet",MIN(G610,Assumptions!$B$6),"")</f>
        <v/>
      </c>
      <c r="I610" s="8">
        <v>2</v>
      </c>
      <c r="J610" s="8">
        <f>IF(F610="Monthly interest",MAX(0,Assumptions!$B$5-I610),"")</f>
        <v>1</v>
      </c>
      <c r="K610" s="7">
        <f t="shared" si="27"/>
        <v>3794</v>
      </c>
      <c r="L610" s="9">
        <v>46255</v>
      </c>
      <c r="M610" s="5" t="s">
        <v>69</v>
      </c>
      <c r="N610" s="5" t="s">
        <v>53</v>
      </c>
      <c r="O610" s="5" t="s">
        <v>71</v>
      </c>
      <c r="P610" s="5" t="s">
        <v>70</v>
      </c>
      <c r="Q610" s="5" t="s">
        <v>73</v>
      </c>
      <c r="R610" s="5" t="s">
        <v>74</v>
      </c>
      <c r="S610" s="5" t="s">
        <v>56</v>
      </c>
      <c r="T610" s="5" t="s">
        <v>57</v>
      </c>
      <c r="U610" s="5" t="s">
        <v>86</v>
      </c>
      <c r="V610" s="5" t="s">
        <v>59</v>
      </c>
      <c r="W610" s="5" t="s">
        <v>194</v>
      </c>
      <c r="X610" s="5" t="s">
        <v>195</v>
      </c>
      <c r="Y610" s="5" t="s">
        <v>2855</v>
      </c>
      <c r="Z610" s="9">
        <v>46043</v>
      </c>
      <c r="AA610" s="8">
        <v>12</v>
      </c>
      <c r="AB610" s="9">
        <f t="shared" si="28"/>
        <v>46408</v>
      </c>
      <c r="AC610" s="10">
        <v>20</v>
      </c>
      <c r="AD610" s="7">
        <f t="shared" si="29"/>
        <v>1897</v>
      </c>
      <c r="AE610" s="7">
        <f>IF(F610="Bullet",H610*AD610,MIN(MAX(I610,1),Assumptions!$B$6)*AD610)</f>
        <v>3794</v>
      </c>
      <c r="AF610" s="8">
        <f>IF(F610="Bullet",MAX(0,Assumptions!$B$4-AB610),MAX(0,Assumptions!$B$4-L610))</f>
        <v>43</v>
      </c>
      <c r="AG610" s="9">
        <v>46224</v>
      </c>
      <c r="AH610" s="8">
        <f>IF(AG610="","",Assumptions!$B$4-AG610)</f>
        <v>74</v>
      </c>
      <c r="AI610" s="5" t="s">
        <v>63</v>
      </c>
      <c r="AJ610" s="8">
        <v>4</v>
      </c>
      <c r="AK610" s="8">
        <v>0</v>
      </c>
      <c r="AL610" s="8">
        <v>748</v>
      </c>
      <c r="AM610" s="8">
        <v>1</v>
      </c>
      <c r="AN610" s="5" t="s">
        <v>63</v>
      </c>
      <c r="AO610" s="10">
        <v>76.5</v>
      </c>
      <c r="AP610" s="8">
        <v>43</v>
      </c>
      <c r="AQ610" s="9">
        <v>46288</v>
      </c>
      <c r="AR610" s="5" t="s">
        <v>51</v>
      </c>
      <c r="AS610" s="5" t="s">
        <v>81</v>
      </c>
    </row>
    <row r="611" spans="1:45" x14ac:dyDescent="0.35">
      <c r="A611" s="5" t="s">
        <v>2856</v>
      </c>
      <c r="B611" s="5" t="s">
        <v>2857</v>
      </c>
      <c r="C611" s="6" t="s">
        <v>2858</v>
      </c>
      <c r="D611" s="7">
        <v>44800</v>
      </c>
      <c r="E611" s="5" t="s">
        <v>48</v>
      </c>
      <c r="F611" s="5" t="s">
        <v>68</v>
      </c>
      <c r="G611" s="8">
        <v>3</v>
      </c>
      <c r="H611" s="8">
        <f>IF(F611="Bullet",MIN(G611,Assumptions!$B$6),"")</f>
        <v>2</v>
      </c>
      <c r="I611" s="8"/>
      <c r="J611" s="8" t="str">
        <f>IF(F611="Monthly interest",MAX(0,Assumptions!$B$5-I611),"")</f>
        <v/>
      </c>
      <c r="K611" s="7">
        <f t="shared" si="27"/>
        <v>1455</v>
      </c>
      <c r="L611" s="9">
        <v>46184</v>
      </c>
      <c r="M611" s="5" t="s">
        <v>69</v>
      </c>
      <c r="N611" s="5" t="s">
        <v>53</v>
      </c>
      <c r="O611" s="5" t="s">
        <v>152</v>
      </c>
      <c r="P611" s="5" t="s">
        <v>153</v>
      </c>
      <c r="Q611" s="5" t="s">
        <v>154</v>
      </c>
      <c r="R611" s="5" t="s">
        <v>155</v>
      </c>
      <c r="S611" s="5" t="s">
        <v>56</v>
      </c>
      <c r="T611" s="5" t="s">
        <v>63</v>
      </c>
      <c r="U611" s="5" t="s">
        <v>58</v>
      </c>
      <c r="V611" s="5" t="s">
        <v>59</v>
      </c>
      <c r="W611" s="5" t="s">
        <v>467</v>
      </c>
      <c r="X611" s="5" t="s">
        <v>1047</v>
      </c>
      <c r="Y611" s="5" t="s">
        <v>2859</v>
      </c>
      <c r="Z611" s="9">
        <v>46184</v>
      </c>
      <c r="AA611" s="8">
        <v>6</v>
      </c>
      <c r="AB611" s="9">
        <f t="shared" si="28"/>
        <v>46367</v>
      </c>
      <c r="AC611" s="10">
        <v>13</v>
      </c>
      <c r="AD611" s="7">
        <f t="shared" si="29"/>
        <v>485</v>
      </c>
      <c r="AE611" s="7">
        <f>IF(F611="Bullet",H611*AD611,MIN(MAX(I611,1),Assumptions!$B$6)*AD611)</f>
        <v>970</v>
      </c>
      <c r="AF611" s="8">
        <f>IF(F611="Bullet",MAX(0,Assumptions!$B$4-AB611),MAX(0,Assumptions!$B$4-L611))</f>
        <v>0</v>
      </c>
      <c r="AG611" s="9"/>
      <c r="AH611" s="8" t="str">
        <f>IF(AG611="","",Assumptions!$B$4-AG611)</f>
        <v/>
      </c>
      <c r="AI611" s="5" t="s">
        <v>80</v>
      </c>
      <c r="AJ611" s="8"/>
      <c r="AK611" s="8">
        <v>3</v>
      </c>
      <c r="AL611" s="8" t="s">
        <v>80</v>
      </c>
      <c r="AM611" s="8">
        <v>4</v>
      </c>
      <c r="AN611" s="5" t="s">
        <v>63</v>
      </c>
      <c r="AO611" s="10">
        <v>60.4</v>
      </c>
      <c r="AP611" s="8">
        <v>43</v>
      </c>
      <c r="AQ611" s="9">
        <v>46287</v>
      </c>
      <c r="AR611" s="5" t="s">
        <v>72</v>
      </c>
      <c r="AS611" s="5" t="s">
        <v>64</v>
      </c>
    </row>
    <row r="612" spans="1:45" x14ac:dyDescent="0.35">
      <c r="A612" s="5" t="s">
        <v>2860</v>
      </c>
      <c r="B612" s="5" t="s">
        <v>2861</v>
      </c>
      <c r="C612" s="6" t="s">
        <v>2862</v>
      </c>
      <c r="D612" s="7">
        <v>147900</v>
      </c>
      <c r="E612" s="5" t="s">
        <v>48</v>
      </c>
      <c r="F612" s="5" t="s">
        <v>68</v>
      </c>
      <c r="G612" s="8">
        <v>4</v>
      </c>
      <c r="H612" s="8">
        <f>IF(F612="Bullet",MIN(G612,Assumptions!$B$6),"")</f>
        <v>2</v>
      </c>
      <c r="I612" s="8"/>
      <c r="J612" s="8" t="str">
        <f>IF(F612="Monthly interest",MAX(0,Assumptions!$B$5-I612),"")</f>
        <v/>
      </c>
      <c r="K612" s="7">
        <f t="shared" si="27"/>
        <v>8876</v>
      </c>
      <c r="L612" s="9">
        <v>46171</v>
      </c>
      <c r="M612" s="5" t="s">
        <v>50</v>
      </c>
      <c r="N612" s="5" t="s">
        <v>53</v>
      </c>
      <c r="O612" s="5" t="s">
        <v>71</v>
      </c>
      <c r="P612" s="5" t="s">
        <v>51</v>
      </c>
      <c r="Q612" s="5" t="s">
        <v>73</v>
      </c>
      <c r="R612" s="5" t="s">
        <v>74</v>
      </c>
      <c r="S612" s="5" t="s">
        <v>214</v>
      </c>
      <c r="T612" s="5" t="s">
        <v>57</v>
      </c>
      <c r="U612" s="5" t="s">
        <v>86</v>
      </c>
      <c r="V612" s="5" t="s">
        <v>215</v>
      </c>
      <c r="W612" s="5" t="s">
        <v>242</v>
      </c>
      <c r="X612" s="5" t="s">
        <v>1957</v>
      </c>
      <c r="Y612" s="5" t="s">
        <v>2863</v>
      </c>
      <c r="Z612" s="9">
        <v>46171</v>
      </c>
      <c r="AA612" s="8">
        <v>6</v>
      </c>
      <c r="AB612" s="9">
        <f t="shared" si="28"/>
        <v>46355</v>
      </c>
      <c r="AC612" s="10">
        <v>18</v>
      </c>
      <c r="AD612" s="7">
        <f t="shared" si="29"/>
        <v>2219</v>
      </c>
      <c r="AE612" s="7">
        <f>IF(F612="Bullet",H612*AD612,MIN(MAX(I612,1),Assumptions!$B$6)*AD612)</f>
        <v>4438</v>
      </c>
      <c r="AF612" s="8">
        <f>IF(F612="Bullet",MAX(0,Assumptions!$B$4-AB612),MAX(0,Assumptions!$B$4-L612))</f>
        <v>0</v>
      </c>
      <c r="AG612" s="9"/>
      <c r="AH612" s="8" t="str">
        <f>IF(AG612="","",Assumptions!$B$4-AG612)</f>
        <v/>
      </c>
      <c r="AI612" s="5" t="s">
        <v>80</v>
      </c>
      <c r="AJ612" s="8"/>
      <c r="AK612" s="8">
        <v>0</v>
      </c>
      <c r="AL612" s="8">
        <v>682</v>
      </c>
      <c r="AM612" s="8">
        <v>2</v>
      </c>
      <c r="AN612" s="5" t="s">
        <v>63</v>
      </c>
      <c r="AO612" s="10">
        <v>69.099999999999994</v>
      </c>
      <c r="AP612" s="8">
        <v>29</v>
      </c>
      <c r="AQ612" s="9">
        <v>46288</v>
      </c>
      <c r="AR612" s="5" t="s">
        <v>70</v>
      </c>
      <c r="AS612" s="5" t="s">
        <v>81</v>
      </c>
    </row>
    <row r="613" spans="1:45" x14ac:dyDescent="0.35">
      <c r="A613" s="5" t="s">
        <v>2864</v>
      </c>
      <c r="B613" s="5" t="s">
        <v>2865</v>
      </c>
      <c r="C613" s="6" t="s">
        <v>2866</v>
      </c>
      <c r="D613" s="7">
        <v>233500</v>
      </c>
      <c r="E613" s="5" t="s">
        <v>48</v>
      </c>
      <c r="F613" s="5" t="s">
        <v>68</v>
      </c>
      <c r="G613" s="8">
        <v>5</v>
      </c>
      <c r="H613" s="8">
        <f>IF(F613="Bullet",MIN(G613,Assumptions!$B$6),"")</f>
        <v>2</v>
      </c>
      <c r="I613" s="8"/>
      <c r="J613" s="8" t="str">
        <f>IF(F613="Monthly interest",MAX(0,Assumptions!$B$5-I613),"")</f>
        <v/>
      </c>
      <c r="K613" s="7">
        <f t="shared" si="27"/>
        <v>13620</v>
      </c>
      <c r="L613" s="9">
        <v>46132</v>
      </c>
      <c r="M613" s="5" t="s">
        <v>116</v>
      </c>
      <c r="N613" s="5" t="s">
        <v>117</v>
      </c>
      <c r="O613" s="5" t="s">
        <v>461</v>
      </c>
      <c r="P613" s="5" t="s">
        <v>72</v>
      </c>
      <c r="Q613" s="5" t="s">
        <v>169</v>
      </c>
      <c r="R613" s="5" t="s">
        <v>170</v>
      </c>
      <c r="S613" s="5" t="s">
        <v>253</v>
      </c>
      <c r="T613" s="5" t="s">
        <v>57</v>
      </c>
      <c r="U613" s="5" t="s">
        <v>86</v>
      </c>
      <c r="V613" s="5" t="s">
        <v>59</v>
      </c>
      <c r="W613" s="5" t="s">
        <v>60</v>
      </c>
      <c r="X613" s="5" t="s">
        <v>2867</v>
      </c>
      <c r="Y613" s="5" t="s">
        <v>2868</v>
      </c>
      <c r="Z613" s="9">
        <v>46132</v>
      </c>
      <c r="AA613" s="8">
        <v>6</v>
      </c>
      <c r="AB613" s="9">
        <f t="shared" si="28"/>
        <v>46315</v>
      </c>
      <c r="AC613" s="10">
        <v>14</v>
      </c>
      <c r="AD613" s="7">
        <f t="shared" si="29"/>
        <v>2724</v>
      </c>
      <c r="AE613" s="7">
        <f>IF(F613="Bullet",H613*AD613,MIN(MAX(I613,1),Assumptions!$B$6)*AD613)</f>
        <v>5448</v>
      </c>
      <c r="AF613" s="8">
        <f>IF(F613="Bullet",MAX(0,Assumptions!$B$4-AB613),MAX(0,Assumptions!$B$4-L613))</f>
        <v>0</v>
      </c>
      <c r="AG613" s="9"/>
      <c r="AH613" s="8" t="str">
        <f>IF(AG613="","",Assumptions!$B$4-AG613)</f>
        <v/>
      </c>
      <c r="AI613" s="5" t="s">
        <v>80</v>
      </c>
      <c r="AJ613" s="8"/>
      <c r="AK613" s="8">
        <v>0</v>
      </c>
      <c r="AL613" s="8">
        <v>607</v>
      </c>
      <c r="AM613" s="8">
        <v>1</v>
      </c>
      <c r="AN613" s="5" t="s">
        <v>63</v>
      </c>
      <c r="AO613" s="10">
        <v>76</v>
      </c>
      <c r="AP613" s="8">
        <v>58</v>
      </c>
      <c r="AQ613" s="9">
        <v>46295</v>
      </c>
      <c r="AR613" s="5" t="s">
        <v>70</v>
      </c>
      <c r="AS613" s="5" t="s">
        <v>91</v>
      </c>
    </row>
    <row r="614" spans="1:45" x14ac:dyDescent="0.35">
      <c r="A614" s="5" t="s">
        <v>2869</v>
      </c>
      <c r="B614" s="5" t="s">
        <v>2870</v>
      </c>
      <c r="C614" s="6" t="s">
        <v>2871</v>
      </c>
      <c r="D614" s="7">
        <v>357200</v>
      </c>
      <c r="E614" s="5" t="s">
        <v>48</v>
      </c>
      <c r="F614" s="5" t="s">
        <v>68</v>
      </c>
      <c r="G614" s="8">
        <v>1</v>
      </c>
      <c r="H614" s="8">
        <f>IF(F614="Bullet",MIN(G614,Assumptions!$B$6),"")</f>
        <v>1</v>
      </c>
      <c r="I614" s="8"/>
      <c r="J614" s="8" t="str">
        <f>IF(F614="Monthly interest",MAX(0,Assumptions!$B$5-I614),"")</f>
        <v/>
      </c>
      <c r="K614" s="7">
        <f t="shared" si="27"/>
        <v>4167</v>
      </c>
      <c r="L614" s="9">
        <v>46266</v>
      </c>
      <c r="M614" s="5" t="s">
        <v>50</v>
      </c>
      <c r="N614" s="5" t="s">
        <v>51</v>
      </c>
      <c r="O614" s="5" t="s">
        <v>71</v>
      </c>
      <c r="P614" s="5" t="s">
        <v>53</v>
      </c>
      <c r="Q614" s="5" t="s">
        <v>73</v>
      </c>
      <c r="R614" s="5" t="s">
        <v>74</v>
      </c>
      <c r="S614" s="5" t="s">
        <v>56</v>
      </c>
      <c r="T614" s="5" t="s">
        <v>57</v>
      </c>
      <c r="U614" s="5" t="s">
        <v>104</v>
      </c>
      <c r="V614" s="5" t="s">
        <v>59</v>
      </c>
      <c r="W614" s="5" t="s">
        <v>194</v>
      </c>
      <c r="X614" s="5" t="s">
        <v>227</v>
      </c>
      <c r="Y614" s="5" t="s">
        <v>2872</v>
      </c>
      <c r="Z614" s="9">
        <v>46266</v>
      </c>
      <c r="AA614" s="8">
        <v>6</v>
      </c>
      <c r="AB614" s="9">
        <f t="shared" si="28"/>
        <v>46447</v>
      </c>
      <c r="AC614" s="10">
        <v>14</v>
      </c>
      <c r="AD614" s="7">
        <f t="shared" si="29"/>
        <v>4167</v>
      </c>
      <c r="AE614" s="7">
        <f>IF(F614="Bullet",H614*AD614,MIN(MAX(I614,1),Assumptions!$B$6)*AD614)</f>
        <v>4167</v>
      </c>
      <c r="AF614" s="8">
        <f>IF(F614="Bullet",MAX(0,Assumptions!$B$4-AB614),MAX(0,Assumptions!$B$4-L614))</f>
        <v>0</v>
      </c>
      <c r="AG614" s="9"/>
      <c r="AH614" s="8" t="str">
        <f>IF(AG614="","",Assumptions!$B$4-AG614)</f>
        <v/>
      </c>
      <c r="AI614" s="5" t="s">
        <v>80</v>
      </c>
      <c r="AJ614" s="8"/>
      <c r="AK614" s="8">
        <v>0</v>
      </c>
      <c r="AL614" s="8">
        <v>703</v>
      </c>
      <c r="AM614" s="8">
        <v>4</v>
      </c>
      <c r="AN614" s="5" t="s">
        <v>63</v>
      </c>
      <c r="AO614" s="10">
        <v>61.4</v>
      </c>
      <c r="AP614" s="8">
        <v>17</v>
      </c>
      <c r="AQ614" s="9">
        <v>46280</v>
      </c>
      <c r="AR614" s="5" t="s">
        <v>53</v>
      </c>
      <c r="AS614" s="5" t="s">
        <v>81</v>
      </c>
    </row>
    <row r="615" spans="1:45" x14ac:dyDescent="0.35">
      <c r="A615" s="5" t="s">
        <v>2873</v>
      </c>
      <c r="B615" s="5" t="s">
        <v>1767</v>
      </c>
      <c r="C615" s="6" t="s">
        <v>2874</v>
      </c>
      <c r="D615" s="7">
        <v>26600</v>
      </c>
      <c r="E615" s="5" t="s">
        <v>48</v>
      </c>
      <c r="F615" s="5" t="s">
        <v>68</v>
      </c>
      <c r="G615" s="8">
        <v>6</v>
      </c>
      <c r="H615" s="8">
        <f>IF(F615="Bullet",MIN(G615,Assumptions!$B$6),"")</f>
        <v>2</v>
      </c>
      <c r="I615" s="8"/>
      <c r="J615" s="8" t="str">
        <f>IF(F615="Monthly interest",MAX(0,Assumptions!$B$5-I615),"")</f>
        <v/>
      </c>
      <c r="K615" s="7">
        <f t="shared" si="27"/>
        <v>1596</v>
      </c>
      <c r="L615" s="9">
        <v>46096</v>
      </c>
      <c r="M615" s="5" t="s">
        <v>116</v>
      </c>
      <c r="N615" s="5" t="s">
        <v>117</v>
      </c>
      <c r="O615" s="5" t="s">
        <v>461</v>
      </c>
      <c r="P615" s="5" t="s">
        <v>72</v>
      </c>
      <c r="Q615" s="5" t="s">
        <v>169</v>
      </c>
      <c r="R615" s="5" t="s">
        <v>170</v>
      </c>
      <c r="S615" s="5" t="s">
        <v>185</v>
      </c>
      <c r="T615" s="5" t="s">
        <v>57</v>
      </c>
      <c r="U615" s="5" t="s">
        <v>86</v>
      </c>
      <c r="V615" s="5" t="s">
        <v>200</v>
      </c>
      <c r="W615" s="5" t="s">
        <v>433</v>
      </c>
      <c r="X615" s="5" t="s">
        <v>1961</v>
      </c>
      <c r="Y615" s="5" t="s">
        <v>2875</v>
      </c>
      <c r="Z615" s="9">
        <v>46096</v>
      </c>
      <c r="AA615" s="8">
        <v>6</v>
      </c>
      <c r="AB615" s="9">
        <f t="shared" si="28"/>
        <v>46280</v>
      </c>
      <c r="AC615" s="10">
        <v>12</v>
      </c>
      <c r="AD615" s="7">
        <f t="shared" si="29"/>
        <v>266</v>
      </c>
      <c r="AE615" s="7">
        <f>IF(F615="Bullet",H615*AD615,MIN(MAX(I615,1),Assumptions!$B$6)*AD615)</f>
        <v>532</v>
      </c>
      <c r="AF615" s="8">
        <f>IF(F615="Bullet",MAX(0,Assumptions!$B$4-AB615),MAX(0,Assumptions!$B$4-L615))</f>
        <v>18</v>
      </c>
      <c r="AG615" s="9"/>
      <c r="AH615" s="8" t="str">
        <f>IF(AG615="","",Assumptions!$B$4-AG615)</f>
        <v/>
      </c>
      <c r="AI615" s="5" t="s">
        <v>80</v>
      </c>
      <c r="AJ615" s="8"/>
      <c r="AK615" s="8">
        <v>2</v>
      </c>
      <c r="AL615" s="8">
        <v>665</v>
      </c>
      <c r="AM615" s="8">
        <v>4</v>
      </c>
      <c r="AN615" s="5" t="s">
        <v>57</v>
      </c>
      <c r="AO615" s="10">
        <v>71.7</v>
      </c>
      <c r="AP615" s="8">
        <v>75</v>
      </c>
      <c r="AQ615" s="9">
        <v>46280</v>
      </c>
      <c r="AR615" s="5" t="s">
        <v>70</v>
      </c>
      <c r="AS615" s="5" t="s">
        <v>81</v>
      </c>
    </row>
    <row r="616" spans="1:45" x14ac:dyDescent="0.35">
      <c r="A616" s="5" t="s">
        <v>2876</v>
      </c>
      <c r="B616" s="5" t="s">
        <v>2877</v>
      </c>
      <c r="C616" s="6" t="s">
        <v>2878</v>
      </c>
      <c r="D616" s="7">
        <v>15000</v>
      </c>
      <c r="E616" s="5" t="s">
        <v>48</v>
      </c>
      <c r="F616" s="5" t="s">
        <v>68</v>
      </c>
      <c r="G616" s="8">
        <v>3</v>
      </c>
      <c r="H616" s="8">
        <f>IF(F616="Bullet",MIN(G616,Assumptions!$B$6),"")</f>
        <v>2</v>
      </c>
      <c r="I616" s="8"/>
      <c r="J616" s="8" t="str">
        <f>IF(F616="Monthly interest",MAX(0,Assumptions!$B$5-I616),"")</f>
        <v/>
      </c>
      <c r="K616" s="7">
        <f t="shared" si="27"/>
        <v>564</v>
      </c>
      <c r="L616" s="9">
        <v>46198</v>
      </c>
      <c r="M616" s="5" t="s">
        <v>50</v>
      </c>
      <c r="N616" s="5" t="s">
        <v>53</v>
      </c>
      <c r="O616" s="5" t="s">
        <v>152</v>
      </c>
      <c r="P616" s="5" t="s">
        <v>153</v>
      </c>
      <c r="Q616" s="5" t="s">
        <v>154</v>
      </c>
      <c r="R616" s="5" t="s">
        <v>155</v>
      </c>
      <c r="S616" s="5" t="s">
        <v>56</v>
      </c>
      <c r="T616" s="5" t="s">
        <v>63</v>
      </c>
      <c r="U616" s="5" t="s">
        <v>58</v>
      </c>
      <c r="V616" s="5" t="s">
        <v>59</v>
      </c>
      <c r="W616" s="5" t="s">
        <v>194</v>
      </c>
      <c r="X616" s="5" t="s">
        <v>2879</v>
      </c>
      <c r="Y616" s="5" t="s">
        <v>2880</v>
      </c>
      <c r="Z616" s="9">
        <v>46198</v>
      </c>
      <c r="AA616" s="8">
        <v>12</v>
      </c>
      <c r="AB616" s="9">
        <f t="shared" si="28"/>
        <v>46563</v>
      </c>
      <c r="AC616" s="10">
        <v>15</v>
      </c>
      <c r="AD616" s="7">
        <f t="shared" si="29"/>
        <v>188</v>
      </c>
      <c r="AE616" s="7">
        <f>IF(F616="Bullet",H616*AD616,MIN(MAX(I616,1),Assumptions!$B$6)*AD616)</f>
        <v>376</v>
      </c>
      <c r="AF616" s="8">
        <f>IF(F616="Bullet",MAX(0,Assumptions!$B$4-AB616),MAX(0,Assumptions!$B$4-L616))</f>
        <v>0</v>
      </c>
      <c r="AG616" s="9"/>
      <c r="AH616" s="8" t="str">
        <f>IF(AG616="","",Assumptions!$B$4-AG616)</f>
        <v/>
      </c>
      <c r="AI616" s="5" t="s">
        <v>80</v>
      </c>
      <c r="AJ616" s="8"/>
      <c r="AK616" s="8">
        <v>0</v>
      </c>
      <c r="AL616" s="8" t="s">
        <v>80</v>
      </c>
      <c r="AM616" s="8">
        <v>2</v>
      </c>
      <c r="AN616" s="5" t="s">
        <v>63</v>
      </c>
      <c r="AO616" s="10">
        <v>71.599999999999994</v>
      </c>
      <c r="AP616" s="8">
        <v>18</v>
      </c>
      <c r="AQ616" s="9">
        <v>46294</v>
      </c>
      <c r="AR616" s="5" t="s">
        <v>70</v>
      </c>
      <c r="AS616" s="5" t="s">
        <v>81</v>
      </c>
    </row>
    <row r="617" spans="1:45" x14ac:dyDescent="0.35">
      <c r="A617" s="5" t="s">
        <v>2881</v>
      </c>
      <c r="B617" s="5" t="s">
        <v>551</v>
      </c>
      <c r="C617" s="6" t="s">
        <v>2882</v>
      </c>
      <c r="D617" s="7">
        <v>275300</v>
      </c>
      <c r="E617" s="5" t="s">
        <v>48</v>
      </c>
      <c r="F617" s="5" t="s">
        <v>49</v>
      </c>
      <c r="G617" s="8"/>
      <c r="H617" s="8" t="str">
        <f>IF(F617="Bullet",MIN(G617,Assumptions!$B$6),"")</f>
        <v/>
      </c>
      <c r="I617" s="8">
        <v>1</v>
      </c>
      <c r="J617" s="8">
        <f>IF(F617="Monthly interest",MAX(0,Assumptions!$B$5-I617),"")</f>
        <v>2</v>
      </c>
      <c r="K617" s="7">
        <f t="shared" si="27"/>
        <v>3441</v>
      </c>
      <c r="L617" s="9">
        <v>46290</v>
      </c>
      <c r="M617" s="5" t="s">
        <v>69</v>
      </c>
      <c r="N617" s="5" t="s">
        <v>51</v>
      </c>
      <c r="O617" s="5" t="s">
        <v>52</v>
      </c>
      <c r="P617" s="5" t="s">
        <v>53</v>
      </c>
      <c r="Q617" s="5" t="s">
        <v>54</v>
      </c>
      <c r="R617" s="5" t="s">
        <v>55</v>
      </c>
      <c r="S617" s="5" t="s">
        <v>85</v>
      </c>
      <c r="T617" s="5" t="s">
        <v>57</v>
      </c>
      <c r="U617" s="5" t="s">
        <v>58</v>
      </c>
      <c r="V617" s="5" t="s">
        <v>133</v>
      </c>
      <c r="W617" s="5" t="s">
        <v>317</v>
      </c>
      <c r="X617" s="5" t="s">
        <v>757</v>
      </c>
      <c r="Y617" s="5" t="s">
        <v>2883</v>
      </c>
      <c r="Z617" s="9">
        <v>46078</v>
      </c>
      <c r="AA617" s="8">
        <v>12</v>
      </c>
      <c r="AB617" s="9">
        <f t="shared" si="28"/>
        <v>46443</v>
      </c>
      <c r="AC617" s="10">
        <v>15</v>
      </c>
      <c r="AD617" s="7">
        <f t="shared" si="29"/>
        <v>3441</v>
      </c>
      <c r="AE617" s="7">
        <f>IF(F617="Bullet",H617*AD617,MIN(MAX(I617,1),Assumptions!$B$6)*AD617)</f>
        <v>3441</v>
      </c>
      <c r="AF617" s="8">
        <f>IF(F617="Bullet",MAX(0,Assumptions!$B$4-AB617),MAX(0,Assumptions!$B$4-L617))</f>
        <v>8</v>
      </c>
      <c r="AG617" s="9">
        <v>46260</v>
      </c>
      <c r="AH617" s="8">
        <f>IF(AG617="","",Assumptions!$B$4-AG617)</f>
        <v>38</v>
      </c>
      <c r="AI617" s="5" t="s">
        <v>63</v>
      </c>
      <c r="AJ617" s="8">
        <v>1</v>
      </c>
      <c r="AK617" s="8">
        <v>0</v>
      </c>
      <c r="AL617" s="8" t="s">
        <v>80</v>
      </c>
      <c r="AM617" s="8">
        <v>2</v>
      </c>
      <c r="AN617" s="5" t="s">
        <v>63</v>
      </c>
      <c r="AO617" s="10">
        <v>59.3</v>
      </c>
      <c r="AP617" s="8">
        <v>36</v>
      </c>
      <c r="AQ617" s="9">
        <v>46287</v>
      </c>
      <c r="AR617" s="5" t="s">
        <v>51</v>
      </c>
      <c r="AS617" s="5" t="s">
        <v>64</v>
      </c>
    </row>
    <row r="618" spans="1:45" x14ac:dyDescent="0.35">
      <c r="A618" s="5" t="s">
        <v>2884</v>
      </c>
      <c r="B618" s="5" t="s">
        <v>2885</v>
      </c>
      <c r="C618" s="6" t="s">
        <v>2886</v>
      </c>
      <c r="D618" s="7">
        <v>17200</v>
      </c>
      <c r="E618" s="5" t="s">
        <v>48</v>
      </c>
      <c r="F618" s="5" t="s">
        <v>49</v>
      </c>
      <c r="G618" s="8"/>
      <c r="H618" s="8" t="str">
        <f>IF(F618="Bullet",MIN(G618,Assumptions!$B$6),"")</f>
        <v/>
      </c>
      <c r="I618" s="8">
        <v>2</v>
      </c>
      <c r="J618" s="8">
        <f>IF(F618="Monthly interest",MAX(0,Assumptions!$B$5-I618),"")</f>
        <v>1</v>
      </c>
      <c r="K618" s="7">
        <f t="shared" si="27"/>
        <v>574</v>
      </c>
      <c r="L618" s="9">
        <v>46257</v>
      </c>
      <c r="M618" s="5" t="s">
        <v>116</v>
      </c>
      <c r="N618" s="5" t="s">
        <v>117</v>
      </c>
      <c r="O618" s="5" t="s">
        <v>450</v>
      </c>
      <c r="P618" s="5" t="s">
        <v>72</v>
      </c>
      <c r="Q618" s="5" t="s">
        <v>154</v>
      </c>
      <c r="R618" s="5" t="s">
        <v>155</v>
      </c>
      <c r="S618" s="5" t="s">
        <v>185</v>
      </c>
      <c r="T618" s="5" t="s">
        <v>63</v>
      </c>
      <c r="U618" s="5" t="s">
        <v>104</v>
      </c>
      <c r="V618" s="5" t="s">
        <v>200</v>
      </c>
      <c r="W618" s="5" t="s">
        <v>500</v>
      </c>
      <c r="X618" s="5" t="s">
        <v>1131</v>
      </c>
      <c r="Y618" s="5" t="s">
        <v>2887</v>
      </c>
      <c r="Z618" s="9">
        <v>46135</v>
      </c>
      <c r="AA618" s="8">
        <v>12</v>
      </c>
      <c r="AB618" s="9">
        <f t="shared" si="28"/>
        <v>46500</v>
      </c>
      <c r="AC618" s="10">
        <v>20</v>
      </c>
      <c r="AD618" s="7">
        <f t="shared" si="29"/>
        <v>287</v>
      </c>
      <c r="AE618" s="7">
        <f>IF(F618="Bullet",H618*AD618,MIN(MAX(I618,1),Assumptions!$B$6)*AD618)</f>
        <v>574</v>
      </c>
      <c r="AF618" s="8">
        <f>IF(F618="Bullet",MAX(0,Assumptions!$B$4-AB618),MAX(0,Assumptions!$B$4-L618))</f>
        <v>41</v>
      </c>
      <c r="AG618" s="9">
        <v>46226</v>
      </c>
      <c r="AH618" s="8">
        <f>IF(AG618="","",Assumptions!$B$4-AG618)</f>
        <v>72</v>
      </c>
      <c r="AI618" s="5" t="s">
        <v>57</v>
      </c>
      <c r="AJ618" s="8">
        <v>3</v>
      </c>
      <c r="AK618" s="8">
        <v>3</v>
      </c>
      <c r="AL618" s="8">
        <v>572</v>
      </c>
      <c r="AM618" s="8">
        <v>1</v>
      </c>
      <c r="AN618" s="5" t="s">
        <v>63</v>
      </c>
      <c r="AO618" s="10">
        <v>77.8</v>
      </c>
      <c r="AP618" s="8">
        <v>80</v>
      </c>
      <c r="AQ618" s="9">
        <v>46288</v>
      </c>
      <c r="AR618" s="5" t="s">
        <v>51</v>
      </c>
      <c r="AS618" s="5" t="s">
        <v>64</v>
      </c>
    </row>
    <row r="619" spans="1:45" x14ac:dyDescent="0.35">
      <c r="A619" s="5" t="s">
        <v>2888</v>
      </c>
      <c r="B619" s="5" t="s">
        <v>2889</v>
      </c>
      <c r="C619" s="6" t="s">
        <v>2890</v>
      </c>
      <c r="D619" s="7">
        <v>93300</v>
      </c>
      <c r="E619" s="5" t="s">
        <v>48</v>
      </c>
      <c r="F619" s="5" t="s">
        <v>49</v>
      </c>
      <c r="G619" s="8"/>
      <c r="H619" s="8" t="str">
        <f>IF(F619="Bullet",MIN(G619,Assumptions!$B$6),"")</f>
        <v/>
      </c>
      <c r="I619" s="8">
        <v>1</v>
      </c>
      <c r="J619" s="8">
        <f>IF(F619="Monthly interest",MAX(0,Assumptions!$B$5-I619),"")</f>
        <v>2</v>
      </c>
      <c r="K619" s="7">
        <f t="shared" si="27"/>
        <v>1089</v>
      </c>
      <c r="L619" s="9">
        <v>46298</v>
      </c>
      <c r="M619" s="5" t="s">
        <v>69</v>
      </c>
      <c r="N619" s="5" t="s">
        <v>53</v>
      </c>
      <c r="O619" s="5" t="s">
        <v>95</v>
      </c>
      <c r="P619" s="5" t="s">
        <v>70</v>
      </c>
      <c r="Q619" s="5" t="s">
        <v>54</v>
      </c>
      <c r="R619" s="5" t="s">
        <v>55</v>
      </c>
      <c r="S619" s="5" t="s">
        <v>253</v>
      </c>
      <c r="T619" s="5" t="s">
        <v>63</v>
      </c>
      <c r="U619" s="5" t="s">
        <v>104</v>
      </c>
      <c r="V619" s="5" t="s">
        <v>76</v>
      </c>
      <c r="W619" s="5" t="s">
        <v>77</v>
      </c>
      <c r="X619" s="5" t="s">
        <v>1565</v>
      </c>
      <c r="Y619" s="5" t="s">
        <v>2891</v>
      </c>
      <c r="Z619" s="9">
        <v>46145</v>
      </c>
      <c r="AA619" s="8">
        <v>24</v>
      </c>
      <c r="AB619" s="9">
        <f t="shared" si="28"/>
        <v>46876</v>
      </c>
      <c r="AC619" s="10">
        <v>14</v>
      </c>
      <c r="AD619" s="7">
        <f t="shared" si="29"/>
        <v>1089</v>
      </c>
      <c r="AE619" s="7">
        <f>IF(F619="Bullet",H619*AD619,MIN(MAX(I619,1),Assumptions!$B$6)*AD619)</f>
        <v>1089</v>
      </c>
      <c r="AF619" s="8">
        <f>IF(F619="Bullet",MAX(0,Assumptions!$B$4-AB619),MAX(0,Assumptions!$B$4-L619))</f>
        <v>0</v>
      </c>
      <c r="AG619" s="9">
        <v>46272</v>
      </c>
      <c r="AH619" s="8">
        <f>IF(AG619="","",Assumptions!$B$4-AG619)</f>
        <v>26</v>
      </c>
      <c r="AI619" s="5" t="s">
        <v>63</v>
      </c>
      <c r="AJ619" s="8">
        <v>4</v>
      </c>
      <c r="AK619" s="8">
        <v>0</v>
      </c>
      <c r="AL619" s="8">
        <v>750</v>
      </c>
      <c r="AM619" s="8">
        <v>2</v>
      </c>
      <c r="AN619" s="5" t="s">
        <v>63</v>
      </c>
      <c r="AO619" s="10">
        <v>64.3</v>
      </c>
      <c r="AP619" s="8">
        <v>32</v>
      </c>
      <c r="AQ619" s="9">
        <v>46295</v>
      </c>
      <c r="AR619" s="5" t="s">
        <v>70</v>
      </c>
      <c r="AS619" s="5" t="s">
        <v>190</v>
      </c>
    </row>
    <row r="620" spans="1:45" x14ac:dyDescent="0.35">
      <c r="A620" s="5" t="s">
        <v>2892</v>
      </c>
      <c r="B620" s="5" t="s">
        <v>2893</v>
      </c>
      <c r="C620" s="6" t="s">
        <v>2894</v>
      </c>
      <c r="D620" s="7">
        <v>269500</v>
      </c>
      <c r="E620" s="5" t="s">
        <v>48</v>
      </c>
      <c r="F620" s="5" t="s">
        <v>68</v>
      </c>
      <c r="G620" s="8">
        <v>5</v>
      </c>
      <c r="H620" s="8">
        <f>IF(F620="Bullet",MIN(G620,Assumptions!$B$6),"")</f>
        <v>2</v>
      </c>
      <c r="I620" s="8"/>
      <c r="J620" s="8" t="str">
        <f>IF(F620="Monthly interest",MAX(0,Assumptions!$B$5-I620),"")</f>
        <v/>
      </c>
      <c r="K620" s="7">
        <f t="shared" si="27"/>
        <v>17965</v>
      </c>
      <c r="L620" s="9">
        <v>46128</v>
      </c>
      <c r="M620" s="5" t="s">
        <v>116</v>
      </c>
      <c r="N620" s="5" t="s">
        <v>117</v>
      </c>
      <c r="O620" s="5" t="s">
        <v>461</v>
      </c>
      <c r="P620" s="5" t="s">
        <v>72</v>
      </c>
      <c r="Q620" s="5" t="s">
        <v>169</v>
      </c>
      <c r="R620" s="5" t="s">
        <v>170</v>
      </c>
      <c r="S620" s="5" t="s">
        <v>75</v>
      </c>
      <c r="T620" s="5" t="s">
        <v>63</v>
      </c>
      <c r="U620" s="5" t="s">
        <v>104</v>
      </c>
      <c r="V620" s="5" t="s">
        <v>76</v>
      </c>
      <c r="W620" s="5" t="s">
        <v>77</v>
      </c>
      <c r="X620" s="5" t="s">
        <v>1706</v>
      </c>
      <c r="Y620" s="5" t="s">
        <v>2895</v>
      </c>
      <c r="Z620" s="9">
        <v>46128</v>
      </c>
      <c r="AA620" s="8">
        <v>6</v>
      </c>
      <c r="AB620" s="9">
        <f t="shared" si="28"/>
        <v>46311</v>
      </c>
      <c r="AC620" s="10">
        <v>16</v>
      </c>
      <c r="AD620" s="7">
        <f t="shared" si="29"/>
        <v>3593</v>
      </c>
      <c r="AE620" s="7">
        <f>IF(F620="Bullet",H620*AD620,MIN(MAX(I620,1),Assumptions!$B$6)*AD620)</f>
        <v>7186</v>
      </c>
      <c r="AF620" s="8">
        <f>IF(F620="Bullet",MAX(0,Assumptions!$B$4-AB620),MAX(0,Assumptions!$B$4-L620))</f>
        <v>0</v>
      </c>
      <c r="AG620" s="9"/>
      <c r="AH620" s="8" t="str">
        <f>IF(AG620="","",Assumptions!$B$4-AG620)</f>
        <v/>
      </c>
      <c r="AI620" s="5" t="s">
        <v>80</v>
      </c>
      <c r="AJ620" s="8"/>
      <c r="AK620" s="8">
        <v>1</v>
      </c>
      <c r="AL620" s="8">
        <v>681</v>
      </c>
      <c r="AM620" s="8">
        <v>2</v>
      </c>
      <c r="AN620" s="5" t="s">
        <v>63</v>
      </c>
      <c r="AO620" s="10">
        <v>73.5</v>
      </c>
      <c r="AP620" s="8">
        <v>50</v>
      </c>
      <c r="AQ620" s="9">
        <v>46280</v>
      </c>
      <c r="AR620" s="5" t="s">
        <v>53</v>
      </c>
      <c r="AS620" s="5" t="s">
        <v>190</v>
      </c>
    </row>
    <row r="621" spans="1:45" x14ac:dyDescent="0.35">
      <c r="A621" s="5" t="s">
        <v>2896</v>
      </c>
      <c r="B621" s="5" t="s">
        <v>2897</v>
      </c>
      <c r="C621" s="6" t="s">
        <v>2898</v>
      </c>
      <c r="D621" s="7">
        <v>20900</v>
      </c>
      <c r="E621" s="5" t="s">
        <v>48</v>
      </c>
      <c r="F621" s="5" t="s">
        <v>68</v>
      </c>
      <c r="G621" s="8">
        <v>4</v>
      </c>
      <c r="H621" s="8">
        <f>IF(F621="Bullet",MIN(G621,Assumptions!$B$6),"")</f>
        <v>2</v>
      </c>
      <c r="I621" s="8"/>
      <c r="J621" s="8" t="str">
        <f>IF(F621="Monthly interest",MAX(0,Assumptions!$B$5-I621),"")</f>
        <v/>
      </c>
      <c r="K621" s="7">
        <f t="shared" si="27"/>
        <v>1044</v>
      </c>
      <c r="L621" s="9">
        <v>46161</v>
      </c>
      <c r="M621" s="5" t="s">
        <v>50</v>
      </c>
      <c r="N621" s="5" t="s">
        <v>53</v>
      </c>
      <c r="O621" s="5" t="s">
        <v>152</v>
      </c>
      <c r="P621" s="5" t="s">
        <v>153</v>
      </c>
      <c r="Q621" s="5" t="s">
        <v>154</v>
      </c>
      <c r="R621" s="5" t="s">
        <v>155</v>
      </c>
      <c r="S621" s="5" t="s">
        <v>75</v>
      </c>
      <c r="T621" s="5" t="s">
        <v>57</v>
      </c>
      <c r="U621" s="5" t="s">
        <v>104</v>
      </c>
      <c r="V621" s="5" t="s">
        <v>76</v>
      </c>
      <c r="W621" s="5" t="s">
        <v>77</v>
      </c>
      <c r="X621" s="5" t="s">
        <v>2899</v>
      </c>
      <c r="Y621" s="5" t="s">
        <v>2900</v>
      </c>
      <c r="Z621" s="9">
        <v>46161</v>
      </c>
      <c r="AA621" s="8">
        <v>12</v>
      </c>
      <c r="AB621" s="9">
        <f t="shared" si="28"/>
        <v>46526</v>
      </c>
      <c r="AC621" s="10">
        <v>15</v>
      </c>
      <c r="AD621" s="7">
        <f t="shared" si="29"/>
        <v>261</v>
      </c>
      <c r="AE621" s="7">
        <f>IF(F621="Bullet",H621*AD621,MIN(MAX(I621,1),Assumptions!$B$6)*AD621)</f>
        <v>522</v>
      </c>
      <c r="AF621" s="8">
        <f>IF(F621="Bullet",MAX(0,Assumptions!$B$4-AB621),MAX(0,Assumptions!$B$4-L621))</f>
        <v>0</v>
      </c>
      <c r="AG621" s="9"/>
      <c r="AH621" s="8" t="str">
        <f>IF(AG621="","",Assumptions!$B$4-AG621)</f>
        <v/>
      </c>
      <c r="AI621" s="5" t="s">
        <v>80</v>
      </c>
      <c r="AJ621" s="8"/>
      <c r="AK621" s="8">
        <v>1</v>
      </c>
      <c r="AL621" s="8">
        <v>776</v>
      </c>
      <c r="AM621" s="8">
        <v>1</v>
      </c>
      <c r="AN621" s="5" t="s">
        <v>63</v>
      </c>
      <c r="AO621" s="10">
        <v>78.900000000000006</v>
      </c>
      <c r="AP621" s="8">
        <v>24</v>
      </c>
      <c r="AQ621" s="9"/>
      <c r="AR621" s="5"/>
      <c r="AS621" s="5" t="s">
        <v>159</v>
      </c>
    </row>
    <row r="622" spans="1:45" x14ac:dyDescent="0.35">
      <c r="A622" s="5" t="s">
        <v>2901</v>
      </c>
      <c r="B622" s="5" t="s">
        <v>1972</v>
      </c>
      <c r="C622" s="6" t="s">
        <v>2902</v>
      </c>
      <c r="D622" s="7">
        <v>65000</v>
      </c>
      <c r="E622" s="5" t="s">
        <v>48</v>
      </c>
      <c r="F622" s="5" t="s">
        <v>68</v>
      </c>
      <c r="G622" s="8">
        <v>3</v>
      </c>
      <c r="H622" s="8">
        <f>IF(F622="Bullet",MIN(G622,Assumptions!$B$6),"")</f>
        <v>2</v>
      </c>
      <c r="I622" s="8"/>
      <c r="J622" s="8" t="str">
        <f>IF(F622="Monthly interest",MAX(0,Assumptions!$B$5-I622),"")</f>
        <v/>
      </c>
      <c r="K622" s="7">
        <f t="shared" si="27"/>
        <v>2601</v>
      </c>
      <c r="L622" s="9">
        <v>46200</v>
      </c>
      <c r="M622" s="5" t="s">
        <v>116</v>
      </c>
      <c r="N622" s="5" t="s">
        <v>117</v>
      </c>
      <c r="O622" s="5" t="s">
        <v>207</v>
      </c>
      <c r="P622" s="5" t="s">
        <v>72</v>
      </c>
      <c r="Q622" s="5" t="s">
        <v>73</v>
      </c>
      <c r="R622" s="5" t="s">
        <v>74</v>
      </c>
      <c r="S622" s="5" t="s">
        <v>214</v>
      </c>
      <c r="T622" s="5" t="s">
        <v>57</v>
      </c>
      <c r="U622" s="5" t="s">
        <v>58</v>
      </c>
      <c r="V622" s="5" t="s">
        <v>215</v>
      </c>
      <c r="W622" s="5" t="s">
        <v>242</v>
      </c>
      <c r="X622" s="5" t="s">
        <v>1957</v>
      </c>
      <c r="Y622" s="5" t="s">
        <v>2903</v>
      </c>
      <c r="Z622" s="9">
        <v>46200</v>
      </c>
      <c r="AA622" s="8">
        <v>3</v>
      </c>
      <c r="AB622" s="9">
        <f t="shared" si="28"/>
        <v>46292</v>
      </c>
      <c r="AC622" s="10">
        <v>16</v>
      </c>
      <c r="AD622" s="7">
        <f t="shared" si="29"/>
        <v>867</v>
      </c>
      <c r="AE622" s="7">
        <f>IF(F622="Bullet",H622*AD622,MIN(MAX(I622,1),Assumptions!$B$6)*AD622)</f>
        <v>1734</v>
      </c>
      <c r="AF622" s="8">
        <f>IF(F622="Bullet",MAX(0,Assumptions!$B$4-AB622),MAX(0,Assumptions!$B$4-L622))</f>
        <v>6</v>
      </c>
      <c r="AG622" s="9"/>
      <c r="AH622" s="8" t="str">
        <f>IF(AG622="","",Assumptions!$B$4-AG622)</f>
        <v/>
      </c>
      <c r="AI622" s="5" t="s">
        <v>80</v>
      </c>
      <c r="AJ622" s="8"/>
      <c r="AK622" s="8">
        <v>0</v>
      </c>
      <c r="AL622" s="8">
        <v>583</v>
      </c>
      <c r="AM622" s="8">
        <v>2</v>
      </c>
      <c r="AN622" s="5" t="s">
        <v>57</v>
      </c>
      <c r="AO622" s="10">
        <v>61.9</v>
      </c>
      <c r="AP622" s="8">
        <v>62</v>
      </c>
      <c r="AQ622" s="9">
        <v>46273</v>
      </c>
      <c r="AR622" s="5" t="s">
        <v>70</v>
      </c>
      <c r="AS622" s="5" t="s">
        <v>81</v>
      </c>
    </row>
    <row r="623" spans="1:45" x14ac:dyDescent="0.35">
      <c r="A623" s="5" t="s">
        <v>2904</v>
      </c>
      <c r="B623" s="5" t="s">
        <v>2905</v>
      </c>
      <c r="C623" s="6" t="s">
        <v>2906</v>
      </c>
      <c r="D623" s="7">
        <v>177000</v>
      </c>
      <c r="E623" s="5" t="s">
        <v>48</v>
      </c>
      <c r="F623" s="5" t="s">
        <v>49</v>
      </c>
      <c r="G623" s="8"/>
      <c r="H623" s="8" t="str">
        <f>IF(F623="Bullet",MIN(G623,Assumptions!$B$6),"")</f>
        <v/>
      </c>
      <c r="I623" s="8">
        <v>1</v>
      </c>
      <c r="J623" s="8">
        <f>IF(F623="Monthly interest",MAX(0,Assumptions!$B$5-I623),"")</f>
        <v>2</v>
      </c>
      <c r="K623" s="7">
        <f t="shared" si="27"/>
        <v>2213</v>
      </c>
      <c r="L623" s="9">
        <v>46296</v>
      </c>
      <c r="M623" s="5" t="s">
        <v>50</v>
      </c>
      <c r="N623" s="5" t="s">
        <v>51</v>
      </c>
      <c r="O623" s="5" t="s">
        <v>52</v>
      </c>
      <c r="P623" s="5" t="s">
        <v>53</v>
      </c>
      <c r="Q623" s="5" t="s">
        <v>54</v>
      </c>
      <c r="R623" s="5" t="s">
        <v>55</v>
      </c>
      <c r="S623" s="5" t="s">
        <v>56</v>
      </c>
      <c r="T623" s="5" t="s">
        <v>57</v>
      </c>
      <c r="U623" s="5" t="s">
        <v>104</v>
      </c>
      <c r="V623" s="5" t="s">
        <v>59</v>
      </c>
      <c r="W623" s="5" t="s">
        <v>60</v>
      </c>
      <c r="X623" s="5" t="s">
        <v>1076</v>
      </c>
      <c r="Y623" s="5" t="s">
        <v>2907</v>
      </c>
      <c r="Z623" s="9">
        <v>46174</v>
      </c>
      <c r="AA623" s="8">
        <v>24</v>
      </c>
      <c r="AB623" s="9">
        <f t="shared" si="28"/>
        <v>46905</v>
      </c>
      <c r="AC623" s="10">
        <v>15</v>
      </c>
      <c r="AD623" s="7">
        <f t="shared" si="29"/>
        <v>2213</v>
      </c>
      <c r="AE623" s="7">
        <f>IF(F623="Bullet",H623*AD623,MIN(MAX(I623,1),Assumptions!$B$6)*AD623)</f>
        <v>2213</v>
      </c>
      <c r="AF623" s="8">
        <f>IF(F623="Bullet",MAX(0,Assumptions!$B$4-AB623),MAX(0,Assumptions!$B$4-L623))</f>
        <v>2</v>
      </c>
      <c r="AG623" s="9">
        <v>46266</v>
      </c>
      <c r="AH623" s="8">
        <f>IF(AG623="","",Assumptions!$B$4-AG623)</f>
        <v>32</v>
      </c>
      <c r="AI623" s="5" t="s">
        <v>63</v>
      </c>
      <c r="AJ623" s="8">
        <v>1</v>
      </c>
      <c r="AK623" s="8">
        <v>0</v>
      </c>
      <c r="AL623" s="8">
        <v>692</v>
      </c>
      <c r="AM623" s="8">
        <v>2</v>
      </c>
      <c r="AN623" s="5" t="s">
        <v>63</v>
      </c>
      <c r="AO623" s="10">
        <v>70.900000000000006</v>
      </c>
      <c r="AP623" s="8">
        <v>26</v>
      </c>
      <c r="AQ623" s="9">
        <v>46297</v>
      </c>
      <c r="AR623" s="5" t="s">
        <v>51</v>
      </c>
      <c r="AS623" s="5" t="s">
        <v>274</v>
      </c>
    </row>
    <row r="624" spans="1:45" x14ac:dyDescent="0.35">
      <c r="A624" s="5" t="s">
        <v>2908</v>
      </c>
      <c r="B624" s="5" t="s">
        <v>198</v>
      </c>
      <c r="C624" s="6" t="s">
        <v>2909</v>
      </c>
      <c r="D624" s="7">
        <v>240900</v>
      </c>
      <c r="E624" s="5" t="s">
        <v>48</v>
      </c>
      <c r="F624" s="5" t="s">
        <v>49</v>
      </c>
      <c r="G624" s="8"/>
      <c r="H624" s="8" t="str">
        <f>IF(F624="Bullet",MIN(G624,Assumptions!$B$6),"")</f>
        <v/>
      </c>
      <c r="I624" s="8">
        <v>1</v>
      </c>
      <c r="J624" s="8">
        <f>IF(F624="Monthly interest",MAX(0,Assumptions!$B$5-I624),"")</f>
        <v>2</v>
      </c>
      <c r="K624" s="7">
        <f t="shared" si="27"/>
        <v>4417</v>
      </c>
      <c r="L624" s="9">
        <v>46290</v>
      </c>
      <c r="M624" s="5" t="s">
        <v>69</v>
      </c>
      <c r="N624" s="5" t="s">
        <v>51</v>
      </c>
      <c r="O624" s="5" t="s">
        <v>52</v>
      </c>
      <c r="P624" s="5" t="s">
        <v>53</v>
      </c>
      <c r="Q624" s="5" t="s">
        <v>54</v>
      </c>
      <c r="R624" s="5" t="s">
        <v>55</v>
      </c>
      <c r="S624" s="5" t="s">
        <v>185</v>
      </c>
      <c r="T624" s="5" t="s">
        <v>57</v>
      </c>
      <c r="U624" s="5" t="s">
        <v>86</v>
      </c>
      <c r="V624" s="5" t="s">
        <v>186</v>
      </c>
      <c r="W624" s="5" t="s">
        <v>376</v>
      </c>
      <c r="X624" s="5" t="s">
        <v>2724</v>
      </c>
      <c r="Y624" s="5" t="s">
        <v>2910</v>
      </c>
      <c r="Z624" s="9">
        <v>46078</v>
      </c>
      <c r="AA624" s="8">
        <v>12</v>
      </c>
      <c r="AB624" s="9">
        <f t="shared" si="28"/>
        <v>46443</v>
      </c>
      <c r="AC624" s="10">
        <v>22</v>
      </c>
      <c r="AD624" s="7">
        <f t="shared" si="29"/>
        <v>4417</v>
      </c>
      <c r="AE624" s="7">
        <f>IF(F624="Bullet",H624*AD624,MIN(MAX(I624,1),Assumptions!$B$6)*AD624)</f>
        <v>4417</v>
      </c>
      <c r="AF624" s="8">
        <f>IF(F624="Bullet",MAX(0,Assumptions!$B$4-AB624),MAX(0,Assumptions!$B$4-L624))</f>
        <v>8</v>
      </c>
      <c r="AG624" s="9">
        <v>46261</v>
      </c>
      <c r="AH624" s="8">
        <f>IF(AG624="","",Assumptions!$B$4-AG624)</f>
        <v>37</v>
      </c>
      <c r="AI624" s="5" t="s">
        <v>63</v>
      </c>
      <c r="AJ624" s="8">
        <v>1</v>
      </c>
      <c r="AK624" s="8">
        <v>0</v>
      </c>
      <c r="AL624" s="8">
        <v>715</v>
      </c>
      <c r="AM624" s="8">
        <v>1</v>
      </c>
      <c r="AN624" s="5" t="s">
        <v>57</v>
      </c>
      <c r="AO624" s="10">
        <v>79.099999999999994</v>
      </c>
      <c r="AP624" s="8">
        <v>40</v>
      </c>
      <c r="AQ624" s="9">
        <v>46280</v>
      </c>
      <c r="AR624" s="5" t="s">
        <v>53</v>
      </c>
      <c r="AS624" s="5" t="s">
        <v>81</v>
      </c>
    </row>
    <row r="625" spans="1:45" x14ac:dyDescent="0.35">
      <c r="A625" s="5" t="s">
        <v>2911</v>
      </c>
      <c r="B625" s="5" t="s">
        <v>2912</v>
      </c>
      <c r="C625" s="6" t="s">
        <v>2913</v>
      </c>
      <c r="D625" s="7">
        <v>99000</v>
      </c>
      <c r="E625" s="5" t="s">
        <v>48</v>
      </c>
      <c r="F625" s="5" t="s">
        <v>49</v>
      </c>
      <c r="G625" s="8"/>
      <c r="H625" s="8" t="str">
        <f>IF(F625="Bullet",MIN(G625,Assumptions!$B$6),"")</f>
        <v/>
      </c>
      <c r="I625" s="8">
        <v>1</v>
      </c>
      <c r="J625" s="8">
        <f>IF(F625="Monthly interest",MAX(0,Assumptions!$B$5-I625),"")</f>
        <v>2</v>
      </c>
      <c r="K625" s="7">
        <f t="shared" si="27"/>
        <v>1485</v>
      </c>
      <c r="L625" s="9">
        <v>46297</v>
      </c>
      <c r="M625" s="5" t="s">
        <v>50</v>
      </c>
      <c r="N625" s="5" t="s">
        <v>51</v>
      </c>
      <c r="O625" s="5" t="s">
        <v>52</v>
      </c>
      <c r="P625" s="5" t="s">
        <v>53</v>
      </c>
      <c r="Q625" s="5" t="s">
        <v>54</v>
      </c>
      <c r="R625" s="5" t="s">
        <v>55</v>
      </c>
      <c r="S625" s="5" t="s">
        <v>214</v>
      </c>
      <c r="T625" s="5" t="s">
        <v>57</v>
      </c>
      <c r="U625" s="5" t="s">
        <v>86</v>
      </c>
      <c r="V625" s="5" t="s">
        <v>215</v>
      </c>
      <c r="W625" s="5" t="s">
        <v>600</v>
      </c>
      <c r="X625" s="5" t="s">
        <v>2914</v>
      </c>
      <c r="Y625" s="5" t="s">
        <v>2915</v>
      </c>
      <c r="Z625" s="9">
        <v>46205</v>
      </c>
      <c r="AA625" s="8">
        <v>12</v>
      </c>
      <c r="AB625" s="9">
        <f t="shared" si="28"/>
        <v>46570</v>
      </c>
      <c r="AC625" s="10">
        <v>18</v>
      </c>
      <c r="AD625" s="7">
        <f t="shared" si="29"/>
        <v>1485</v>
      </c>
      <c r="AE625" s="7">
        <f>IF(F625="Bullet",H625*AD625,MIN(MAX(I625,1),Assumptions!$B$6)*AD625)</f>
        <v>1485</v>
      </c>
      <c r="AF625" s="8">
        <f>IF(F625="Bullet",MAX(0,Assumptions!$B$4-AB625),MAX(0,Assumptions!$B$4-L625))</f>
        <v>1</v>
      </c>
      <c r="AG625" s="9">
        <v>46268</v>
      </c>
      <c r="AH625" s="8">
        <f>IF(AG625="","",Assumptions!$B$4-AG625)</f>
        <v>30</v>
      </c>
      <c r="AI625" s="5" t="s">
        <v>57</v>
      </c>
      <c r="AJ625" s="8">
        <v>2</v>
      </c>
      <c r="AK625" s="8">
        <v>1</v>
      </c>
      <c r="AL625" s="8">
        <v>795</v>
      </c>
      <c r="AM625" s="8">
        <v>0</v>
      </c>
      <c r="AN625" s="5" t="s">
        <v>63</v>
      </c>
      <c r="AO625" s="10">
        <v>63.9</v>
      </c>
      <c r="AP625" s="8">
        <v>14</v>
      </c>
      <c r="AQ625" s="9">
        <v>46291</v>
      </c>
      <c r="AR625" s="5" t="s">
        <v>51</v>
      </c>
      <c r="AS625" s="5" t="s">
        <v>64</v>
      </c>
    </row>
    <row r="626" spans="1:45" x14ac:dyDescent="0.35">
      <c r="A626" s="5" t="s">
        <v>2916</v>
      </c>
      <c r="B626" s="5" t="s">
        <v>2917</v>
      </c>
      <c r="C626" s="6" t="s">
        <v>2918</v>
      </c>
      <c r="D626" s="7">
        <v>454300</v>
      </c>
      <c r="E626" s="5" t="s">
        <v>48</v>
      </c>
      <c r="F626" s="5" t="s">
        <v>49</v>
      </c>
      <c r="G626" s="8"/>
      <c r="H626" s="8" t="str">
        <f>IF(F626="Bullet",MIN(G626,Assumptions!$B$6),"")</f>
        <v/>
      </c>
      <c r="I626" s="8">
        <v>2</v>
      </c>
      <c r="J626" s="8">
        <f>IF(F626="Monthly interest",MAX(0,Assumptions!$B$5-I626),"")</f>
        <v>1</v>
      </c>
      <c r="K626" s="7">
        <f t="shared" si="27"/>
        <v>15144</v>
      </c>
      <c r="L626" s="9">
        <v>46250</v>
      </c>
      <c r="M626" s="5" t="s">
        <v>69</v>
      </c>
      <c r="N626" s="5" t="s">
        <v>70</v>
      </c>
      <c r="O626" s="5" t="s">
        <v>71</v>
      </c>
      <c r="P626" s="5" t="s">
        <v>72</v>
      </c>
      <c r="Q626" s="5" t="s">
        <v>73</v>
      </c>
      <c r="R626" s="5" t="s">
        <v>74</v>
      </c>
      <c r="S626" s="5" t="s">
        <v>185</v>
      </c>
      <c r="T626" s="5" t="s">
        <v>57</v>
      </c>
      <c r="U626" s="5" t="s">
        <v>58</v>
      </c>
      <c r="V626" s="5" t="s">
        <v>186</v>
      </c>
      <c r="W626" s="5" t="s">
        <v>329</v>
      </c>
      <c r="X626" s="5" t="s">
        <v>2919</v>
      </c>
      <c r="Y626" s="5" t="s">
        <v>2920</v>
      </c>
      <c r="Z626" s="9">
        <v>45977</v>
      </c>
      <c r="AA626" s="8">
        <v>12</v>
      </c>
      <c r="AB626" s="9">
        <f t="shared" si="28"/>
        <v>46342</v>
      </c>
      <c r="AC626" s="10">
        <v>20</v>
      </c>
      <c r="AD626" s="7">
        <f t="shared" si="29"/>
        <v>7572</v>
      </c>
      <c r="AE626" s="7">
        <f>IF(F626="Bullet",H626*AD626,MIN(MAX(I626,1),Assumptions!$B$6)*AD626)</f>
        <v>15144</v>
      </c>
      <c r="AF626" s="8">
        <f>IF(F626="Bullet",MAX(0,Assumptions!$B$4-AB626),MAX(0,Assumptions!$B$4-L626))</f>
        <v>48</v>
      </c>
      <c r="AG626" s="9">
        <v>46219</v>
      </c>
      <c r="AH626" s="8">
        <f>IF(AG626="","",Assumptions!$B$4-AG626)</f>
        <v>79</v>
      </c>
      <c r="AI626" s="5" t="s">
        <v>63</v>
      </c>
      <c r="AJ626" s="8">
        <v>3</v>
      </c>
      <c r="AK626" s="8">
        <v>2</v>
      </c>
      <c r="AL626" s="8">
        <v>772</v>
      </c>
      <c r="AM626" s="8">
        <v>0</v>
      </c>
      <c r="AN626" s="5" t="s">
        <v>63</v>
      </c>
      <c r="AO626" s="10">
        <v>57.3</v>
      </c>
      <c r="AP626" s="8">
        <v>43</v>
      </c>
      <c r="AQ626" s="9">
        <v>46276</v>
      </c>
      <c r="AR626" s="5" t="s">
        <v>70</v>
      </c>
      <c r="AS626" s="5" t="s">
        <v>81</v>
      </c>
    </row>
    <row r="627" spans="1:45" x14ac:dyDescent="0.35">
      <c r="A627" s="5" t="s">
        <v>2921</v>
      </c>
      <c r="B627" s="5" t="s">
        <v>2922</v>
      </c>
      <c r="C627" s="6" t="s">
        <v>2923</v>
      </c>
      <c r="D627" s="7">
        <v>201300</v>
      </c>
      <c r="E627" s="5" t="s">
        <v>48</v>
      </c>
      <c r="F627" s="5" t="s">
        <v>68</v>
      </c>
      <c r="G627" s="8">
        <v>5</v>
      </c>
      <c r="H627" s="8">
        <f>IF(F627="Bullet",MIN(G627,Assumptions!$B$6),"")</f>
        <v>2</v>
      </c>
      <c r="I627" s="8"/>
      <c r="J627" s="8" t="str">
        <f>IF(F627="Monthly interest",MAX(0,Assumptions!$B$5-I627),"")</f>
        <v/>
      </c>
      <c r="K627" s="7">
        <f t="shared" si="27"/>
        <v>10905</v>
      </c>
      <c r="L627" s="9">
        <v>46136</v>
      </c>
      <c r="M627" s="5" t="s">
        <v>116</v>
      </c>
      <c r="N627" s="5" t="s">
        <v>117</v>
      </c>
      <c r="O627" s="5" t="s">
        <v>461</v>
      </c>
      <c r="P627" s="5" t="s">
        <v>72</v>
      </c>
      <c r="Q627" s="5" t="s">
        <v>169</v>
      </c>
      <c r="R627" s="5" t="s">
        <v>170</v>
      </c>
      <c r="S627" s="5" t="s">
        <v>185</v>
      </c>
      <c r="T627" s="5" t="s">
        <v>57</v>
      </c>
      <c r="U627" s="5" t="s">
        <v>104</v>
      </c>
      <c r="V627" s="5" t="s">
        <v>200</v>
      </c>
      <c r="W627" s="5" t="s">
        <v>767</v>
      </c>
      <c r="X627" s="5" t="s">
        <v>2924</v>
      </c>
      <c r="Y627" s="5" t="s">
        <v>2925</v>
      </c>
      <c r="Z627" s="9">
        <v>46136</v>
      </c>
      <c r="AA627" s="8">
        <v>6</v>
      </c>
      <c r="AB627" s="9">
        <f t="shared" si="28"/>
        <v>46319</v>
      </c>
      <c r="AC627" s="10">
        <v>13</v>
      </c>
      <c r="AD627" s="7">
        <f t="shared" si="29"/>
        <v>2181</v>
      </c>
      <c r="AE627" s="7">
        <f>IF(F627="Bullet",H627*AD627,MIN(MAX(I627,1),Assumptions!$B$6)*AD627)</f>
        <v>4362</v>
      </c>
      <c r="AF627" s="8">
        <f>IF(F627="Bullet",MAX(0,Assumptions!$B$4-AB627),MAX(0,Assumptions!$B$4-L627))</f>
        <v>0</v>
      </c>
      <c r="AG627" s="9"/>
      <c r="AH627" s="8" t="str">
        <f>IF(AG627="","",Assumptions!$B$4-AG627)</f>
        <v/>
      </c>
      <c r="AI627" s="5" t="s">
        <v>80</v>
      </c>
      <c r="AJ627" s="8"/>
      <c r="AK627" s="8">
        <v>2</v>
      </c>
      <c r="AL627" s="8">
        <v>701</v>
      </c>
      <c r="AM627" s="8">
        <v>2</v>
      </c>
      <c r="AN627" s="5" t="s">
        <v>57</v>
      </c>
      <c r="AO627" s="10">
        <v>69.7</v>
      </c>
      <c r="AP627" s="8">
        <v>66</v>
      </c>
      <c r="AQ627" s="9">
        <v>46295</v>
      </c>
      <c r="AR627" s="5" t="s">
        <v>51</v>
      </c>
      <c r="AS627" s="5" t="s">
        <v>274</v>
      </c>
    </row>
    <row r="628" spans="1:45" x14ac:dyDescent="0.35">
      <c r="A628" s="5" t="s">
        <v>2926</v>
      </c>
      <c r="B628" s="5" t="s">
        <v>2927</v>
      </c>
      <c r="C628" s="6" t="s">
        <v>2928</v>
      </c>
      <c r="D628" s="7">
        <v>217900</v>
      </c>
      <c r="E628" s="5" t="s">
        <v>48</v>
      </c>
      <c r="F628" s="5" t="s">
        <v>49</v>
      </c>
      <c r="G628" s="8"/>
      <c r="H628" s="8" t="str">
        <f>IF(F628="Bullet",MIN(G628,Assumptions!$B$6),"")</f>
        <v/>
      </c>
      <c r="I628" s="8">
        <v>1</v>
      </c>
      <c r="J628" s="8">
        <f>IF(F628="Monthly interest",MAX(0,Assumptions!$B$5-I628),"")</f>
        <v>2</v>
      </c>
      <c r="K628" s="7">
        <f t="shared" si="27"/>
        <v>3995</v>
      </c>
      <c r="L628" s="9">
        <v>46296</v>
      </c>
      <c r="M628" s="5" t="s">
        <v>69</v>
      </c>
      <c r="N628" s="5" t="s">
        <v>51</v>
      </c>
      <c r="O628" s="5" t="s">
        <v>52</v>
      </c>
      <c r="P628" s="5" t="s">
        <v>53</v>
      </c>
      <c r="Q628" s="5" t="s">
        <v>54</v>
      </c>
      <c r="R628" s="5" t="s">
        <v>55</v>
      </c>
      <c r="S628" s="5" t="s">
        <v>214</v>
      </c>
      <c r="T628" s="5" t="s">
        <v>57</v>
      </c>
      <c r="U628" s="5" t="s">
        <v>86</v>
      </c>
      <c r="V628" s="5" t="s">
        <v>215</v>
      </c>
      <c r="W628" s="5" t="s">
        <v>284</v>
      </c>
      <c r="X628" s="5" t="s">
        <v>1731</v>
      </c>
      <c r="Y628" s="5" t="s">
        <v>2929</v>
      </c>
      <c r="Z628" s="9">
        <v>46204</v>
      </c>
      <c r="AA628" s="8">
        <v>12</v>
      </c>
      <c r="AB628" s="9">
        <f t="shared" si="28"/>
        <v>46569</v>
      </c>
      <c r="AC628" s="10">
        <v>22</v>
      </c>
      <c r="AD628" s="7">
        <f t="shared" si="29"/>
        <v>3995</v>
      </c>
      <c r="AE628" s="7">
        <f>IF(F628="Bullet",H628*AD628,MIN(MAX(I628,1),Assumptions!$B$6)*AD628)</f>
        <v>3995</v>
      </c>
      <c r="AF628" s="8">
        <f>IF(F628="Bullet",MAX(0,Assumptions!$B$4-AB628),MAX(0,Assumptions!$B$4-L628))</f>
        <v>2</v>
      </c>
      <c r="AG628" s="9">
        <v>46270</v>
      </c>
      <c r="AH628" s="8">
        <f>IF(AG628="","",Assumptions!$B$4-AG628)</f>
        <v>28</v>
      </c>
      <c r="AI628" s="5" t="s">
        <v>63</v>
      </c>
      <c r="AJ628" s="8">
        <v>2</v>
      </c>
      <c r="AK628" s="8">
        <v>1</v>
      </c>
      <c r="AL628" s="8">
        <v>657</v>
      </c>
      <c r="AM628" s="8">
        <v>0</v>
      </c>
      <c r="AN628" s="5" t="s">
        <v>63</v>
      </c>
      <c r="AO628" s="10">
        <v>73.8</v>
      </c>
      <c r="AP628" s="8">
        <v>39</v>
      </c>
      <c r="AQ628" s="9">
        <v>46283</v>
      </c>
      <c r="AR628" s="5" t="s">
        <v>51</v>
      </c>
      <c r="AS628" s="5" t="s">
        <v>190</v>
      </c>
    </row>
    <row r="629" spans="1:45" x14ac:dyDescent="0.35">
      <c r="A629" s="5" t="s">
        <v>2930</v>
      </c>
      <c r="B629" s="5" t="s">
        <v>558</v>
      </c>
      <c r="C629" s="6" t="s">
        <v>2931</v>
      </c>
      <c r="D629" s="7">
        <v>148600</v>
      </c>
      <c r="E629" s="5" t="s">
        <v>48</v>
      </c>
      <c r="F629" s="5" t="s">
        <v>68</v>
      </c>
      <c r="G629" s="8">
        <v>4</v>
      </c>
      <c r="H629" s="8">
        <f>IF(F629="Bullet",MIN(G629,Assumptions!$B$6),"")</f>
        <v>2</v>
      </c>
      <c r="I629" s="8"/>
      <c r="J629" s="8" t="str">
        <f>IF(F629="Monthly interest",MAX(0,Assumptions!$B$5-I629),"")</f>
        <v/>
      </c>
      <c r="K629" s="7">
        <f t="shared" si="27"/>
        <v>7432</v>
      </c>
      <c r="L629" s="9">
        <v>46169</v>
      </c>
      <c r="M629" s="5" t="s">
        <v>69</v>
      </c>
      <c r="N629" s="5" t="s">
        <v>70</v>
      </c>
      <c r="O629" s="5" t="s">
        <v>271</v>
      </c>
      <c r="P629" s="5" t="s">
        <v>72</v>
      </c>
      <c r="Q629" s="5" t="s">
        <v>73</v>
      </c>
      <c r="R629" s="5" t="s">
        <v>74</v>
      </c>
      <c r="S629" s="5" t="s">
        <v>185</v>
      </c>
      <c r="T629" s="5" t="s">
        <v>57</v>
      </c>
      <c r="U629" s="5" t="s">
        <v>86</v>
      </c>
      <c r="V629" s="5" t="s">
        <v>186</v>
      </c>
      <c r="W629" s="5" t="s">
        <v>376</v>
      </c>
      <c r="X629" s="5" t="s">
        <v>2747</v>
      </c>
      <c r="Y629" s="5" t="s">
        <v>2932</v>
      </c>
      <c r="Z629" s="9">
        <v>46169</v>
      </c>
      <c r="AA629" s="8">
        <v>12</v>
      </c>
      <c r="AB629" s="9">
        <f t="shared" si="28"/>
        <v>46534</v>
      </c>
      <c r="AC629" s="10">
        <v>15</v>
      </c>
      <c r="AD629" s="7">
        <f t="shared" si="29"/>
        <v>1858</v>
      </c>
      <c r="AE629" s="7">
        <f>IF(F629="Bullet",H629*AD629,MIN(MAX(I629,1),Assumptions!$B$6)*AD629)</f>
        <v>3716</v>
      </c>
      <c r="AF629" s="8">
        <f>IF(F629="Bullet",MAX(0,Assumptions!$B$4-AB629),MAX(0,Assumptions!$B$4-L629))</f>
        <v>0</v>
      </c>
      <c r="AG629" s="9"/>
      <c r="AH629" s="8" t="str">
        <f>IF(AG629="","",Assumptions!$B$4-AG629)</f>
        <v/>
      </c>
      <c r="AI629" s="5" t="s">
        <v>80</v>
      </c>
      <c r="AJ629" s="8"/>
      <c r="AK629" s="8">
        <v>2</v>
      </c>
      <c r="AL629" s="8">
        <v>714</v>
      </c>
      <c r="AM629" s="8">
        <v>0</v>
      </c>
      <c r="AN629" s="5" t="s">
        <v>63</v>
      </c>
      <c r="AO629" s="10">
        <v>76.599999999999994</v>
      </c>
      <c r="AP629" s="8">
        <v>32</v>
      </c>
      <c r="AQ629" s="9">
        <v>46274</v>
      </c>
      <c r="AR629" s="5" t="s">
        <v>51</v>
      </c>
      <c r="AS629" s="5" t="s">
        <v>274</v>
      </c>
    </row>
    <row r="630" spans="1:45" x14ac:dyDescent="0.35">
      <c r="A630" s="5" t="s">
        <v>2933</v>
      </c>
      <c r="B630" s="5" t="s">
        <v>2934</v>
      </c>
      <c r="C630" s="6" t="s">
        <v>2935</v>
      </c>
      <c r="D630" s="7">
        <v>101100</v>
      </c>
      <c r="E630" s="5" t="s">
        <v>48</v>
      </c>
      <c r="F630" s="5" t="s">
        <v>68</v>
      </c>
      <c r="G630" s="8">
        <v>2</v>
      </c>
      <c r="H630" s="8">
        <f>IF(F630="Bullet",MIN(G630,Assumptions!$B$6),"")</f>
        <v>2</v>
      </c>
      <c r="I630" s="8"/>
      <c r="J630" s="8" t="str">
        <f>IF(F630="Monthly interest",MAX(0,Assumptions!$B$5-I630),"")</f>
        <v/>
      </c>
      <c r="K630" s="7">
        <f t="shared" si="27"/>
        <v>2696</v>
      </c>
      <c r="L630" s="9">
        <v>46213</v>
      </c>
      <c r="M630" s="5" t="s">
        <v>50</v>
      </c>
      <c r="N630" s="5" t="s">
        <v>51</v>
      </c>
      <c r="O630" s="5" t="s">
        <v>71</v>
      </c>
      <c r="P630" s="5" t="s">
        <v>53</v>
      </c>
      <c r="Q630" s="5" t="s">
        <v>73</v>
      </c>
      <c r="R630" s="5" t="s">
        <v>74</v>
      </c>
      <c r="S630" s="5" t="s">
        <v>185</v>
      </c>
      <c r="T630" s="5" t="s">
        <v>57</v>
      </c>
      <c r="U630" s="5" t="s">
        <v>58</v>
      </c>
      <c r="V630" s="5" t="s">
        <v>200</v>
      </c>
      <c r="W630" s="5" t="s">
        <v>500</v>
      </c>
      <c r="X630" s="5" t="s">
        <v>2586</v>
      </c>
      <c r="Y630" s="5" t="s">
        <v>2936</v>
      </c>
      <c r="Z630" s="9">
        <v>46213</v>
      </c>
      <c r="AA630" s="8">
        <v>12</v>
      </c>
      <c r="AB630" s="9">
        <f t="shared" si="28"/>
        <v>46578</v>
      </c>
      <c r="AC630" s="10">
        <v>16</v>
      </c>
      <c r="AD630" s="7">
        <f t="shared" si="29"/>
        <v>1348</v>
      </c>
      <c r="AE630" s="7">
        <f>IF(F630="Bullet",H630*AD630,MIN(MAX(I630,1),Assumptions!$B$6)*AD630)</f>
        <v>2696</v>
      </c>
      <c r="AF630" s="8">
        <f>IF(F630="Bullet",MAX(0,Assumptions!$B$4-AB630),MAX(0,Assumptions!$B$4-L630))</f>
        <v>0</v>
      </c>
      <c r="AG630" s="9"/>
      <c r="AH630" s="8" t="str">
        <f>IF(AG630="","",Assumptions!$B$4-AG630)</f>
        <v/>
      </c>
      <c r="AI630" s="5" t="s">
        <v>80</v>
      </c>
      <c r="AJ630" s="8"/>
      <c r="AK630" s="8">
        <v>0</v>
      </c>
      <c r="AL630" s="8">
        <v>757</v>
      </c>
      <c r="AM630" s="8">
        <v>1</v>
      </c>
      <c r="AN630" s="5" t="s">
        <v>63</v>
      </c>
      <c r="AO630" s="10">
        <v>65.5</v>
      </c>
      <c r="AP630" s="8">
        <v>4</v>
      </c>
      <c r="AQ630" s="9">
        <v>46289</v>
      </c>
      <c r="AR630" s="5" t="s">
        <v>51</v>
      </c>
      <c r="AS630" s="5" t="s">
        <v>64</v>
      </c>
    </row>
    <row r="631" spans="1:45" x14ac:dyDescent="0.35">
      <c r="A631" s="5" t="s">
        <v>2937</v>
      </c>
      <c r="B631" s="5" t="s">
        <v>2938</v>
      </c>
      <c r="C631" s="6" t="s">
        <v>2939</v>
      </c>
      <c r="D631" s="7">
        <v>75800</v>
      </c>
      <c r="E631" s="5" t="s">
        <v>48</v>
      </c>
      <c r="F631" s="5" t="s">
        <v>49</v>
      </c>
      <c r="G631" s="8"/>
      <c r="H631" s="8" t="str">
        <f>IF(F631="Bullet",MIN(G631,Assumptions!$B$6),"")</f>
        <v/>
      </c>
      <c r="I631" s="8">
        <v>1</v>
      </c>
      <c r="J631" s="8">
        <f>IF(F631="Monthly interest",MAX(0,Assumptions!$B$5-I631),"")</f>
        <v>2</v>
      </c>
      <c r="K631" s="7">
        <f t="shared" si="27"/>
        <v>1011</v>
      </c>
      <c r="L631" s="9">
        <v>46289</v>
      </c>
      <c r="M631" s="5" t="s">
        <v>69</v>
      </c>
      <c r="N631" s="5" t="s">
        <v>51</v>
      </c>
      <c r="O631" s="5" t="s">
        <v>52</v>
      </c>
      <c r="P631" s="5" t="s">
        <v>53</v>
      </c>
      <c r="Q631" s="5" t="s">
        <v>54</v>
      </c>
      <c r="R631" s="5" t="s">
        <v>55</v>
      </c>
      <c r="S631" s="5" t="s">
        <v>85</v>
      </c>
      <c r="T631" s="5" t="s">
        <v>57</v>
      </c>
      <c r="U631" s="5" t="s">
        <v>86</v>
      </c>
      <c r="V631" s="5" t="s">
        <v>96</v>
      </c>
      <c r="W631" s="5" t="s">
        <v>265</v>
      </c>
      <c r="X631" s="5" t="s">
        <v>266</v>
      </c>
      <c r="Y631" s="5" t="s">
        <v>2940</v>
      </c>
      <c r="Z631" s="9">
        <v>46136</v>
      </c>
      <c r="AA631" s="8">
        <v>24</v>
      </c>
      <c r="AB631" s="9">
        <f t="shared" si="28"/>
        <v>46867</v>
      </c>
      <c r="AC631" s="10">
        <v>16</v>
      </c>
      <c r="AD631" s="7">
        <f t="shared" si="29"/>
        <v>1011</v>
      </c>
      <c r="AE631" s="7">
        <f>IF(F631="Bullet",H631*AD631,MIN(MAX(I631,1),Assumptions!$B$6)*AD631)</f>
        <v>1011</v>
      </c>
      <c r="AF631" s="8">
        <f>IF(F631="Bullet",MAX(0,Assumptions!$B$4-AB631),MAX(0,Assumptions!$B$4-L631))</f>
        <v>9</v>
      </c>
      <c r="AG631" s="9">
        <v>46258</v>
      </c>
      <c r="AH631" s="8">
        <f>IF(AG631="","",Assumptions!$B$4-AG631)</f>
        <v>40</v>
      </c>
      <c r="AI631" s="5" t="s">
        <v>63</v>
      </c>
      <c r="AJ631" s="8">
        <v>1</v>
      </c>
      <c r="AK631" s="8">
        <v>0</v>
      </c>
      <c r="AL631" s="8">
        <v>672</v>
      </c>
      <c r="AM631" s="8">
        <v>4</v>
      </c>
      <c r="AN631" s="5" t="s">
        <v>63</v>
      </c>
      <c r="AO631" s="10">
        <v>67.400000000000006</v>
      </c>
      <c r="AP631" s="8">
        <v>33</v>
      </c>
      <c r="AQ631" s="9">
        <v>46287</v>
      </c>
      <c r="AR631" s="5" t="s">
        <v>53</v>
      </c>
      <c r="AS631" s="5" t="s">
        <v>81</v>
      </c>
    </row>
    <row r="632" spans="1:45" x14ac:dyDescent="0.35">
      <c r="A632" s="5" t="s">
        <v>2941</v>
      </c>
      <c r="B632" s="5" t="s">
        <v>2942</v>
      </c>
      <c r="C632" s="6" t="s">
        <v>2943</v>
      </c>
      <c r="D632" s="7">
        <v>167400</v>
      </c>
      <c r="E632" s="5" t="s">
        <v>48</v>
      </c>
      <c r="F632" s="5" t="s">
        <v>49</v>
      </c>
      <c r="G632" s="8"/>
      <c r="H632" s="8" t="str">
        <f>IF(F632="Bullet",MIN(G632,Assumptions!$B$6),"")</f>
        <v/>
      </c>
      <c r="I632" s="8">
        <v>2</v>
      </c>
      <c r="J632" s="8">
        <f>IF(F632="Monthly interest",MAX(0,Assumptions!$B$5-I632),"")</f>
        <v>1</v>
      </c>
      <c r="K632" s="7">
        <f t="shared" si="27"/>
        <v>6138</v>
      </c>
      <c r="L632" s="9">
        <v>46254</v>
      </c>
      <c r="M632" s="5" t="s">
        <v>116</v>
      </c>
      <c r="N632" s="5" t="s">
        <v>117</v>
      </c>
      <c r="O632" s="5" t="s">
        <v>118</v>
      </c>
      <c r="P632" s="5" t="s">
        <v>72</v>
      </c>
      <c r="Q632" s="5" t="s">
        <v>119</v>
      </c>
      <c r="R632" s="5" t="s">
        <v>120</v>
      </c>
      <c r="S632" s="5" t="s">
        <v>85</v>
      </c>
      <c r="T632" s="5" t="s">
        <v>57</v>
      </c>
      <c r="U632" s="5" t="s">
        <v>104</v>
      </c>
      <c r="V632" s="5" t="s">
        <v>133</v>
      </c>
      <c r="W632" s="5" t="s">
        <v>317</v>
      </c>
      <c r="X632" s="5" t="s">
        <v>2944</v>
      </c>
      <c r="Y632" s="5" t="s">
        <v>2945</v>
      </c>
      <c r="Z632" s="9">
        <v>46073</v>
      </c>
      <c r="AA632" s="8">
        <v>18</v>
      </c>
      <c r="AB632" s="9">
        <f t="shared" si="28"/>
        <v>46619</v>
      </c>
      <c r="AC632" s="10">
        <v>22</v>
      </c>
      <c r="AD632" s="7">
        <f t="shared" si="29"/>
        <v>3069</v>
      </c>
      <c r="AE632" s="7">
        <f>IF(F632="Bullet",H632*AD632,MIN(MAX(I632,1),Assumptions!$B$6)*AD632)</f>
        <v>6138</v>
      </c>
      <c r="AF632" s="8">
        <f>IF(F632="Bullet",MAX(0,Assumptions!$B$4-AB632),MAX(0,Assumptions!$B$4-L632))</f>
        <v>44</v>
      </c>
      <c r="AG632" s="9">
        <v>46227</v>
      </c>
      <c r="AH632" s="8">
        <f>IF(AG632="","",Assumptions!$B$4-AG632)</f>
        <v>71</v>
      </c>
      <c r="AI632" s="5" t="s">
        <v>63</v>
      </c>
      <c r="AJ632" s="8">
        <v>3</v>
      </c>
      <c r="AK632" s="8">
        <v>0</v>
      </c>
      <c r="AL632" s="8">
        <v>693</v>
      </c>
      <c r="AM632" s="8">
        <v>2</v>
      </c>
      <c r="AN632" s="5" t="s">
        <v>63</v>
      </c>
      <c r="AO632" s="10">
        <v>62.4</v>
      </c>
      <c r="AP632" s="8">
        <v>54</v>
      </c>
      <c r="AQ632" s="9">
        <v>46278</v>
      </c>
      <c r="AR632" s="5" t="s">
        <v>51</v>
      </c>
      <c r="AS632" s="5" t="s">
        <v>91</v>
      </c>
    </row>
    <row r="633" spans="1:45" x14ac:dyDescent="0.35">
      <c r="A633" s="5" t="s">
        <v>2946</v>
      </c>
      <c r="B633" s="5" t="s">
        <v>2947</v>
      </c>
      <c r="C633" s="6" t="s">
        <v>2948</v>
      </c>
      <c r="D633" s="7">
        <v>63400</v>
      </c>
      <c r="E633" s="5" t="s">
        <v>48</v>
      </c>
      <c r="F633" s="5" t="s">
        <v>49</v>
      </c>
      <c r="G633" s="8"/>
      <c r="H633" s="8" t="str">
        <f>IF(F633="Bullet",MIN(G633,Assumptions!$B$6),"")</f>
        <v/>
      </c>
      <c r="I633" s="8">
        <v>1</v>
      </c>
      <c r="J633" s="8">
        <f>IF(F633="Monthly interest",MAX(0,Assumptions!$B$5-I633),"")</f>
        <v>2</v>
      </c>
      <c r="K633" s="7">
        <f t="shared" si="27"/>
        <v>1057</v>
      </c>
      <c r="L633" s="9">
        <v>46271</v>
      </c>
      <c r="M633" s="5" t="s">
        <v>50</v>
      </c>
      <c r="N633" s="5" t="s">
        <v>53</v>
      </c>
      <c r="O633" s="5" t="s">
        <v>103</v>
      </c>
      <c r="P633" s="5" t="s">
        <v>51</v>
      </c>
      <c r="Q633" s="5" t="s">
        <v>54</v>
      </c>
      <c r="R633" s="5" t="s">
        <v>55</v>
      </c>
      <c r="S633" s="5" t="s">
        <v>56</v>
      </c>
      <c r="T633" s="5" t="s">
        <v>57</v>
      </c>
      <c r="U633" s="5" t="s">
        <v>58</v>
      </c>
      <c r="V633" s="5" t="s">
        <v>59</v>
      </c>
      <c r="W633" s="5" t="s">
        <v>300</v>
      </c>
      <c r="X633" s="5" t="s">
        <v>2310</v>
      </c>
      <c r="Y633" s="5" t="s">
        <v>2949</v>
      </c>
      <c r="Z633" s="9">
        <v>46118</v>
      </c>
      <c r="AA633" s="8">
        <v>18</v>
      </c>
      <c r="AB633" s="9">
        <f t="shared" si="28"/>
        <v>46666</v>
      </c>
      <c r="AC633" s="10">
        <v>20</v>
      </c>
      <c r="AD633" s="7">
        <f t="shared" si="29"/>
        <v>1057</v>
      </c>
      <c r="AE633" s="7">
        <f>IF(F633="Bullet",H633*AD633,MIN(MAX(I633,1),Assumptions!$B$6)*AD633)</f>
        <v>1057</v>
      </c>
      <c r="AF633" s="8">
        <f>IF(F633="Bullet",MAX(0,Assumptions!$B$4-AB633),MAX(0,Assumptions!$B$4-L633))</f>
        <v>27</v>
      </c>
      <c r="AG633" s="9">
        <v>46243</v>
      </c>
      <c r="AH633" s="8">
        <f>IF(AG633="","",Assumptions!$B$4-AG633)</f>
        <v>55</v>
      </c>
      <c r="AI633" s="5" t="s">
        <v>57</v>
      </c>
      <c r="AJ633" s="8">
        <v>1</v>
      </c>
      <c r="AK633" s="8">
        <v>0</v>
      </c>
      <c r="AL633" s="8">
        <v>768</v>
      </c>
      <c r="AM633" s="8">
        <v>2</v>
      </c>
      <c r="AN633" s="5" t="s">
        <v>63</v>
      </c>
      <c r="AO633" s="10">
        <v>53.5</v>
      </c>
      <c r="AP633" s="8">
        <v>19</v>
      </c>
      <c r="AQ633" s="9">
        <v>46289</v>
      </c>
      <c r="AR633" s="5" t="s">
        <v>51</v>
      </c>
      <c r="AS633" s="5" t="s">
        <v>81</v>
      </c>
    </row>
    <row r="634" spans="1:45" x14ac:dyDescent="0.35">
      <c r="A634" s="5" t="s">
        <v>2950</v>
      </c>
      <c r="B634" s="5" t="s">
        <v>2951</v>
      </c>
      <c r="C634" s="6" t="s">
        <v>2952</v>
      </c>
      <c r="D634" s="7">
        <v>51800</v>
      </c>
      <c r="E634" s="5" t="s">
        <v>48</v>
      </c>
      <c r="F634" s="5" t="s">
        <v>68</v>
      </c>
      <c r="G634" s="8">
        <v>2</v>
      </c>
      <c r="H634" s="8">
        <f>IF(F634="Bullet",MIN(G634,Assumptions!$B$6),"")</f>
        <v>2</v>
      </c>
      <c r="I634" s="8"/>
      <c r="J634" s="8" t="str">
        <f>IF(F634="Monthly interest",MAX(0,Assumptions!$B$5-I634),"")</f>
        <v/>
      </c>
      <c r="K634" s="7">
        <f t="shared" si="27"/>
        <v>1296</v>
      </c>
      <c r="L634" s="9">
        <v>46219</v>
      </c>
      <c r="M634" s="5" t="s">
        <v>50</v>
      </c>
      <c r="N634" s="5" t="s">
        <v>51</v>
      </c>
      <c r="O634" s="5" t="s">
        <v>71</v>
      </c>
      <c r="P634" s="5" t="s">
        <v>53</v>
      </c>
      <c r="Q634" s="5" t="s">
        <v>73</v>
      </c>
      <c r="R634" s="5" t="s">
        <v>74</v>
      </c>
      <c r="S634" s="5" t="s">
        <v>56</v>
      </c>
      <c r="T634" s="5" t="s">
        <v>57</v>
      </c>
      <c r="U634" s="5" t="s">
        <v>104</v>
      </c>
      <c r="V634" s="5" t="s">
        <v>59</v>
      </c>
      <c r="W634" s="5" t="s">
        <v>126</v>
      </c>
      <c r="X634" s="5" t="s">
        <v>2821</v>
      </c>
      <c r="Y634" s="5" t="s">
        <v>2953</v>
      </c>
      <c r="Z634" s="9">
        <v>46219</v>
      </c>
      <c r="AA634" s="8">
        <v>3</v>
      </c>
      <c r="AB634" s="9">
        <f t="shared" si="28"/>
        <v>46311</v>
      </c>
      <c r="AC634" s="10">
        <v>15</v>
      </c>
      <c r="AD634" s="7">
        <f t="shared" si="29"/>
        <v>648</v>
      </c>
      <c r="AE634" s="7">
        <f>IF(F634="Bullet",H634*AD634,MIN(MAX(I634,1),Assumptions!$B$6)*AD634)</f>
        <v>1296</v>
      </c>
      <c r="AF634" s="8">
        <f>IF(F634="Bullet",MAX(0,Assumptions!$B$4-AB634),MAX(0,Assumptions!$B$4-L634))</f>
        <v>0</v>
      </c>
      <c r="AG634" s="9"/>
      <c r="AH634" s="8" t="str">
        <f>IF(AG634="","",Assumptions!$B$4-AG634)</f>
        <v/>
      </c>
      <c r="AI634" s="5" t="s">
        <v>80</v>
      </c>
      <c r="AJ634" s="8"/>
      <c r="AK634" s="8">
        <v>1</v>
      </c>
      <c r="AL634" s="8">
        <v>716</v>
      </c>
      <c r="AM634" s="8">
        <v>0</v>
      </c>
      <c r="AN634" s="5" t="s">
        <v>63</v>
      </c>
      <c r="AO634" s="10">
        <v>71.7</v>
      </c>
      <c r="AP634" s="8">
        <v>21</v>
      </c>
      <c r="AQ634" s="9">
        <v>46290</v>
      </c>
      <c r="AR634" s="5" t="s">
        <v>70</v>
      </c>
      <c r="AS634" s="5" t="s">
        <v>81</v>
      </c>
    </row>
    <row r="635" spans="1:45" x14ac:dyDescent="0.35">
      <c r="A635" s="5" t="s">
        <v>2954</v>
      </c>
      <c r="B635" s="5" t="s">
        <v>2624</v>
      </c>
      <c r="C635" s="6" t="s">
        <v>2955</v>
      </c>
      <c r="D635" s="7">
        <v>207700</v>
      </c>
      <c r="E635" s="5" t="s">
        <v>48</v>
      </c>
      <c r="F635" s="5" t="s">
        <v>49</v>
      </c>
      <c r="G635" s="8"/>
      <c r="H635" s="8" t="str">
        <f>IF(F635="Bullet",MIN(G635,Assumptions!$B$6),"")</f>
        <v/>
      </c>
      <c r="I635" s="8">
        <v>2</v>
      </c>
      <c r="J635" s="8">
        <f>IF(F635="Monthly interest",MAX(0,Assumptions!$B$5-I635),"")</f>
        <v>1</v>
      </c>
      <c r="K635" s="7">
        <f t="shared" si="27"/>
        <v>7616</v>
      </c>
      <c r="L635" s="9">
        <v>46261</v>
      </c>
      <c r="M635" s="5" t="s">
        <v>116</v>
      </c>
      <c r="N635" s="5" t="s">
        <v>117</v>
      </c>
      <c r="O635" s="5" t="s">
        <v>118</v>
      </c>
      <c r="P635" s="5" t="s">
        <v>72</v>
      </c>
      <c r="Q635" s="5" t="s">
        <v>119</v>
      </c>
      <c r="R635" s="5" t="s">
        <v>120</v>
      </c>
      <c r="S635" s="5" t="s">
        <v>56</v>
      </c>
      <c r="T635" s="5" t="s">
        <v>57</v>
      </c>
      <c r="U635" s="5" t="s">
        <v>86</v>
      </c>
      <c r="V635" s="5" t="s">
        <v>59</v>
      </c>
      <c r="W635" s="5" t="s">
        <v>300</v>
      </c>
      <c r="X635" s="5" t="s">
        <v>301</v>
      </c>
      <c r="Y635" s="5" t="s">
        <v>2956</v>
      </c>
      <c r="Z635" s="9">
        <v>46018</v>
      </c>
      <c r="AA635" s="8">
        <v>24</v>
      </c>
      <c r="AB635" s="9">
        <f t="shared" si="28"/>
        <v>46748</v>
      </c>
      <c r="AC635" s="10">
        <v>22</v>
      </c>
      <c r="AD635" s="7">
        <f t="shared" si="29"/>
        <v>3808</v>
      </c>
      <c r="AE635" s="7">
        <f>IF(F635="Bullet",H635*AD635,MIN(MAX(I635,1),Assumptions!$B$6)*AD635)</f>
        <v>7616</v>
      </c>
      <c r="AF635" s="8">
        <f>IF(F635="Bullet",MAX(0,Assumptions!$B$4-AB635),MAX(0,Assumptions!$B$4-L635))</f>
        <v>37</v>
      </c>
      <c r="AG635" s="9">
        <v>46231</v>
      </c>
      <c r="AH635" s="8">
        <f>IF(AG635="","",Assumptions!$B$4-AG635)</f>
        <v>67</v>
      </c>
      <c r="AI635" s="5" t="s">
        <v>63</v>
      </c>
      <c r="AJ635" s="8">
        <v>2</v>
      </c>
      <c r="AK635" s="8">
        <v>0</v>
      </c>
      <c r="AL635" s="8">
        <v>574</v>
      </c>
      <c r="AM635" s="8">
        <v>1</v>
      </c>
      <c r="AN635" s="5" t="s">
        <v>63</v>
      </c>
      <c r="AO635" s="10">
        <v>66.900000000000006</v>
      </c>
      <c r="AP635" s="8">
        <v>53</v>
      </c>
      <c r="AQ635" s="9">
        <v>46295</v>
      </c>
      <c r="AR635" s="5" t="s">
        <v>70</v>
      </c>
      <c r="AS635" s="5" t="s">
        <v>81</v>
      </c>
    </row>
    <row r="636" spans="1:45" x14ac:dyDescent="0.35">
      <c r="A636" s="5" t="s">
        <v>2957</v>
      </c>
      <c r="B636" s="5" t="s">
        <v>2958</v>
      </c>
      <c r="C636" s="6" t="s">
        <v>2959</v>
      </c>
      <c r="D636" s="7">
        <v>133500</v>
      </c>
      <c r="E636" s="5" t="s">
        <v>48</v>
      </c>
      <c r="F636" s="5" t="s">
        <v>68</v>
      </c>
      <c r="G636" s="8">
        <v>2</v>
      </c>
      <c r="H636" s="8">
        <f>IF(F636="Bullet",MIN(G636,Assumptions!$B$6),"")</f>
        <v>2</v>
      </c>
      <c r="I636" s="8"/>
      <c r="J636" s="8" t="str">
        <f>IF(F636="Monthly interest",MAX(0,Assumptions!$B$5-I636),"")</f>
        <v/>
      </c>
      <c r="K636" s="7">
        <f t="shared" si="27"/>
        <v>4006</v>
      </c>
      <c r="L636" s="9">
        <v>46219</v>
      </c>
      <c r="M636" s="5" t="s">
        <v>50</v>
      </c>
      <c r="N636" s="5" t="s">
        <v>51</v>
      </c>
      <c r="O636" s="5" t="s">
        <v>71</v>
      </c>
      <c r="P636" s="5" t="s">
        <v>53</v>
      </c>
      <c r="Q636" s="5" t="s">
        <v>73</v>
      </c>
      <c r="R636" s="5" t="s">
        <v>74</v>
      </c>
      <c r="S636" s="5" t="s">
        <v>56</v>
      </c>
      <c r="T636" s="5" t="s">
        <v>57</v>
      </c>
      <c r="U636" s="5" t="s">
        <v>86</v>
      </c>
      <c r="V636" s="5" t="s">
        <v>59</v>
      </c>
      <c r="W636" s="5" t="s">
        <v>156</v>
      </c>
      <c r="X636" s="5" t="s">
        <v>2761</v>
      </c>
      <c r="Y636" s="5" t="s">
        <v>2960</v>
      </c>
      <c r="Z636" s="9">
        <v>46219</v>
      </c>
      <c r="AA636" s="8">
        <v>6</v>
      </c>
      <c r="AB636" s="9">
        <f t="shared" si="28"/>
        <v>46403</v>
      </c>
      <c r="AC636" s="10">
        <v>18</v>
      </c>
      <c r="AD636" s="7">
        <f t="shared" si="29"/>
        <v>2003</v>
      </c>
      <c r="AE636" s="7">
        <f>IF(F636="Bullet",H636*AD636,MIN(MAX(I636,1),Assumptions!$B$6)*AD636)</f>
        <v>4006</v>
      </c>
      <c r="AF636" s="8">
        <f>IF(F636="Bullet",MAX(0,Assumptions!$B$4-AB636),MAX(0,Assumptions!$B$4-L636))</f>
        <v>0</v>
      </c>
      <c r="AG636" s="9"/>
      <c r="AH636" s="8" t="str">
        <f>IF(AG636="","",Assumptions!$B$4-AG636)</f>
        <v/>
      </c>
      <c r="AI636" s="5" t="s">
        <v>80</v>
      </c>
      <c r="AJ636" s="8"/>
      <c r="AK636" s="8">
        <v>0</v>
      </c>
      <c r="AL636" s="8">
        <v>743</v>
      </c>
      <c r="AM636" s="8">
        <v>2</v>
      </c>
      <c r="AN636" s="5" t="s">
        <v>63</v>
      </c>
      <c r="AO636" s="10">
        <v>69.7</v>
      </c>
      <c r="AP636" s="8">
        <v>12</v>
      </c>
      <c r="AQ636" s="9">
        <v>46295</v>
      </c>
      <c r="AR636" s="5" t="s">
        <v>53</v>
      </c>
      <c r="AS636" s="5" t="s">
        <v>81</v>
      </c>
    </row>
    <row r="637" spans="1:45" x14ac:dyDescent="0.35">
      <c r="A637" s="5" t="s">
        <v>2961</v>
      </c>
      <c r="B637" s="5" t="s">
        <v>1964</v>
      </c>
      <c r="C637" s="6" t="s">
        <v>2962</v>
      </c>
      <c r="D637" s="7">
        <v>220400</v>
      </c>
      <c r="E637" s="5" t="s">
        <v>48</v>
      </c>
      <c r="F637" s="5" t="s">
        <v>49</v>
      </c>
      <c r="G637" s="8"/>
      <c r="H637" s="8" t="str">
        <f>IF(F637="Bullet",MIN(G637,Assumptions!$B$6),"")</f>
        <v/>
      </c>
      <c r="I637" s="8">
        <v>1</v>
      </c>
      <c r="J637" s="8">
        <f>IF(F637="Monthly interest",MAX(0,Assumptions!$B$5-I637),"")</f>
        <v>2</v>
      </c>
      <c r="K637" s="7">
        <f t="shared" si="27"/>
        <v>4041</v>
      </c>
      <c r="L637" s="9">
        <v>46297</v>
      </c>
      <c r="M637" s="5" t="s">
        <v>50</v>
      </c>
      <c r="N637" s="5" t="s">
        <v>51</v>
      </c>
      <c r="O637" s="5" t="s">
        <v>52</v>
      </c>
      <c r="P637" s="5" t="s">
        <v>53</v>
      </c>
      <c r="Q637" s="5" t="s">
        <v>54</v>
      </c>
      <c r="R637" s="5" t="s">
        <v>55</v>
      </c>
      <c r="S637" s="5" t="s">
        <v>185</v>
      </c>
      <c r="T637" s="5" t="s">
        <v>57</v>
      </c>
      <c r="U637" s="5" t="s">
        <v>104</v>
      </c>
      <c r="V637" s="5" t="s">
        <v>186</v>
      </c>
      <c r="W637" s="5" t="s">
        <v>187</v>
      </c>
      <c r="X637" s="5" t="s">
        <v>2963</v>
      </c>
      <c r="Y637" s="5" t="s">
        <v>2964</v>
      </c>
      <c r="Z637" s="9">
        <v>46055</v>
      </c>
      <c r="AA637" s="8">
        <v>12</v>
      </c>
      <c r="AB637" s="9">
        <f t="shared" si="28"/>
        <v>46420</v>
      </c>
      <c r="AC637" s="10">
        <v>22</v>
      </c>
      <c r="AD637" s="7">
        <f t="shared" si="29"/>
        <v>4041</v>
      </c>
      <c r="AE637" s="7">
        <f>IF(F637="Bullet",H637*AD637,MIN(MAX(I637,1),Assumptions!$B$6)*AD637)</f>
        <v>4041</v>
      </c>
      <c r="AF637" s="8">
        <f>IF(F637="Bullet",MAX(0,Assumptions!$B$4-AB637),MAX(0,Assumptions!$B$4-L637))</f>
        <v>1</v>
      </c>
      <c r="AG637" s="9">
        <v>46269</v>
      </c>
      <c r="AH637" s="8">
        <f>IF(AG637="","",Assumptions!$B$4-AG637)</f>
        <v>29</v>
      </c>
      <c r="AI637" s="5" t="s">
        <v>57</v>
      </c>
      <c r="AJ637" s="8">
        <v>1</v>
      </c>
      <c r="AK637" s="8">
        <v>0</v>
      </c>
      <c r="AL637" s="8">
        <v>827</v>
      </c>
      <c r="AM637" s="8">
        <v>0</v>
      </c>
      <c r="AN637" s="5" t="s">
        <v>63</v>
      </c>
      <c r="AO637" s="10">
        <v>77.7</v>
      </c>
      <c r="AP637" s="8">
        <v>15</v>
      </c>
      <c r="AQ637" s="9">
        <v>46281</v>
      </c>
      <c r="AR637" s="5" t="s">
        <v>51</v>
      </c>
      <c r="AS637" s="5" t="s">
        <v>190</v>
      </c>
    </row>
    <row r="638" spans="1:45" x14ac:dyDescent="0.35">
      <c r="A638" s="5" t="s">
        <v>2965</v>
      </c>
      <c r="B638" s="5" t="s">
        <v>785</v>
      </c>
      <c r="C638" s="6" t="s">
        <v>2966</v>
      </c>
      <c r="D638" s="7">
        <v>220900</v>
      </c>
      <c r="E638" s="5" t="s">
        <v>48</v>
      </c>
      <c r="F638" s="5" t="s">
        <v>49</v>
      </c>
      <c r="G638" s="8"/>
      <c r="H638" s="8" t="str">
        <f>IF(F638="Bullet",MIN(G638,Assumptions!$B$6),"")</f>
        <v/>
      </c>
      <c r="I638" s="8">
        <v>1</v>
      </c>
      <c r="J638" s="8">
        <f>IF(F638="Monthly interest",MAX(0,Assumptions!$B$5-I638),"")</f>
        <v>2</v>
      </c>
      <c r="K638" s="7">
        <f t="shared" si="27"/>
        <v>2577</v>
      </c>
      <c r="L638" s="9">
        <v>46284</v>
      </c>
      <c r="M638" s="5" t="s">
        <v>50</v>
      </c>
      <c r="N638" s="5" t="s">
        <v>51</v>
      </c>
      <c r="O638" s="5" t="s">
        <v>52</v>
      </c>
      <c r="P638" s="5" t="s">
        <v>53</v>
      </c>
      <c r="Q638" s="5" t="s">
        <v>54</v>
      </c>
      <c r="R638" s="5" t="s">
        <v>55</v>
      </c>
      <c r="S638" s="5" t="s">
        <v>75</v>
      </c>
      <c r="T638" s="5" t="s">
        <v>57</v>
      </c>
      <c r="U638" s="5" t="s">
        <v>86</v>
      </c>
      <c r="V638" s="5" t="s">
        <v>76</v>
      </c>
      <c r="W638" s="5" t="s">
        <v>444</v>
      </c>
      <c r="X638" s="5" t="s">
        <v>2967</v>
      </c>
      <c r="Y638" s="5" t="s">
        <v>2968</v>
      </c>
      <c r="Z638" s="9">
        <v>46161</v>
      </c>
      <c r="AA638" s="8">
        <v>12</v>
      </c>
      <c r="AB638" s="9">
        <f t="shared" si="28"/>
        <v>46526</v>
      </c>
      <c r="AC638" s="10">
        <v>14</v>
      </c>
      <c r="AD638" s="7">
        <f t="shared" si="29"/>
        <v>2577</v>
      </c>
      <c r="AE638" s="7">
        <f>IF(F638="Bullet",H638*AD638,MIN(MAX(I638,1),Assumptions!$B$6)*AD638)</f>
        <v>2577</v>
      </c>
      <c r="AF638" s="8">
        <f>IF(F638="Bullet",MAX(0,Assumptions!$B$4-AB638),MAX(0,Assumptions!$B$4-L638))</f>
        <v>14</v>
      </c>
      <c r="AG638" s="9">
        <v>46258</v>
      </c>
      <c r="AH638" s="8">
        <f>IF(AG638="","",Assumptions!$B$4-AG638)</f>
        <v>40</v>
      </c>
      <c r="AI638" s="5" t="s">
        <v>57</v>
      </c>
      <c r="AJ638" s="8">
        <v>1</v>
      </c>
      <c r="AK638" s="8">
        <v>1</v>
      </c>
      <c r="AL638" s="8" t="s">
        <v>80</v>
      </c>
      <c r="AM638" s="8">
        <v>0</v>
      </c>
      <c r="AN638" s="5" t="s">
        <v>63</v>
      </c>
      <c r="AO638" s="10">
        <v>72.099999999999994</v>
      </c>
      <c r="AP638" s="8">
        <v>23</v>
      </c>
      <c r="AQ638" s="9"/>
      <c r="AR638" s="5"/>
      <c r="AS638" s="5" t="s">
        <v>159</v>
      </c>
    </row>
    <row r="639" spans="1:45" x14ac:dyDescent="0.35">
      <c r="A639" s="5" t="s">
        <v>2969</v>
      </c>
      <c r="B639" s="5" t="s">
        <v>2970</v>
      </c>
      <c r="C639" s="6" t="s">
        <v>2971</v>
      </c>
      <c r="D639" s="7">
        <v>100200</v>
      </c>
      <c r="E639" s="5" t="s">
        <v>48</v>
      </c>
      <c r="F639" s="5" t="s">
        <v>68</v>
      </c>
      <c r="G639" s="8">
        <v>1</v>
      </c>
      <c r="H639" s="8">
        <f>IF(F639="Bullet",MIN(G639,Assumptions!$B$6),"")</f>
        <v>1</v>
      </c>
      <c r="I639" s="8"/>
      <c r="J639" s="8" t="str">
        <f>IF(F639="Monthly interest",MAX(0,Assumptions!$B$5-I639),"")</f>
        <v/>
      </c>
      <c r="K639" s="7">
        <f t="shared" si="27"/>
        <v>1336</v>
      </c>
      <c r="L639" s="9">
        <v>46251</v>
      </c>
      <c r="M639" s="5" t="s">
        <v>50</v>
      </c>
      <c r="N639" s="5" t="s">
        <v>51</v>
      </c>
      <c r="O639" s="5" t="s">
        <v>71</v>
      </c>
      <c r="P639" s="5" t="s">
        <v>53</v>
      </c>
      <c r="Q639" s="5" t="s">
        <v>73</v>
      </c>
      <c r="R639" s="5" t="s">
        <v>74</v>
      </c>
      <c r="S639" s="5" t="s">
        <v>75</v>
      </c>
      <c r="T639" s="5" t="s">
        <v>57</v>
      </c>
      <c r="U639" s="5" t="s">
        <v>58</v>
      </c>
      <c r="V639" s="5" t="s">
        <v>76</v>
      </c>
      <c r="W639" s="5" t="s">
        <v>140</v>
      </c>
      <c r="X639" s="5" t="s">
        <v>393</v>
      </c>
      <c r="Y639" s="5" t="s">
        <v>2972</v>
      </c>
      <c r="Z639" s="9">
        <v>46251</v>
      </c>
      <c r="AA639" s="8">
        <v>6</v>
      </c>
      <c r="AB639" s="9">
        <f t="shared" si="28"/>
        <v>46435</v>
      </c>
      <c r="AC639" s="10">
        <v>16</v>
      </c>
      <c r="AD639" s="7">
        <f t="shared" si="29"/>
        <v>1336</v>
      </c>
      <c r="AE639" s="7">
        <f>IF(F639="Bullet",H639*AD639,MIN(MAX(I639,1),Assumptions!$B$6)*AD639)</f>
        <v>1336</v>
      </c>
      <c r="AF639" s="8">
        <f>IF(F639="Bullet",MAX(0,Assumptions!$B$4-AB639),MAX(0,Assumptions!$B$4-L639))</f>
        <v>0</v>
      </c>
      <c r="AG639" s="9"/>
      <c r="AH639" s="8" t="str">
        <f>IF(AG639="","",Assumptions!$B$4-AG639)</f>
        <v/>
      </c>
      <c r="AI639" s="5" t="s">
        <v>80</v>
      </c>
      <c r="AJ639" s="8"/>
      <c r="AK639" s="8">
        <v>0</v>
      </c>
      <c r="AL639" s="8">
        <v>587</v>
      </c>
      <c r="AM639" s="8">
        <v>4</v>
      </c>
      <c r="AN639" s="5" t="s">
        <v>63</v>
      </c>
      <c r="AO639" s="10">
        <v>62.7</v>
      </c>
      <c r="AP639" s="8">
        <v>30</v>
      </c>
      <c r="AQ639" s="9">
        <v>46274</v>
      </c>
      <c r="AR639" s="5" t="s">
        <v>51</v>
      </c>
      <c r="AS639" s="5" t="s">
        <v>64</v>
      </c>
    </row>
    <row r="640" spans="1:45" x14ac:dyDescent="0.35">
      <c r="A640" s="5" t="s">
        <v>2973</v>
      </c>
      <c r="B640" s="5" t="s">
        <v>2974</v>
      </c>
      <c r="C640" s="6" t="s">
        <v>2975</v>
      </c>
      <c r="D640" s="7">
        <v>170000</v>
      </c>
      <c r="E640" s="5" t="s">
        <v>48</v>
      </c>
      <c r="F640" s="5" t="s">
        <v>49</v>
      </c>
      <c r="G640" s="8"/>
      <c r="H640" s="8" t="str">
        <f>IF(F640="Bullet",MIN(G640,Assumptions!$B$6),"")</f>
        <v/>
      </c>
      <c r="I640" s="8">
        <v>1</v>
      </c>
      <c r="J640" s="8">
        <f>IF(F640="Monthly interest",MAX(0,Assumptions!$B$5-I640),"")</f>
        <v>2</v>
      </c>
      <c r="K640" s="7">
        <f t="shared" si="27"/>
        <v>3117</v>
      </c>
      <c r="L640" s="9">
        <v>46289</v>
      </c>
      <c r="M640" s="5" t="s">
        <v>50</v>
      </c>
      <c r="N640" s="5" t="s">
        <v>51</v>
      </c>
      <c r="O640" s="5" t="s">
        <v>52</v>
      </c>
      <c r="P640" s="5" t="s">
        <v>53</v>
      </c>
      <c r="Q640" s="5" t="s">
        <v>54</v>
      </c>
      <c r="R640" s="5" t="s">
        <v>55</v>
      </c>
      <c r="S640" s="5" t="s">
        <v>75</v>
      </c>
      <c r="T640" s="5" t="s">
        <v>57</v>
      </c>
      <c r="U640" s="5" t="s">
        <v>86</v>
      </c>
      <c r="V640" s="5" t="s">
        <v>76</v>
      </c>
      <c r="W640" s="5" t="s">
        <v>105</v>
      </c>
      <c r="X640" s="5" t="s">
        <v>2976</v>
      </c>
      <c r="Y640" s="5" t="s">
        <v>2977</v>
      </c>
      <c r="Z640" s="9">
        <v>46015</v>
      </c>
      <c r="AA640" s="8">
        <v>12</v>
      </c>
      <c r="AB640" s="9">
        <f t="shared" si="28"/>
        <v>46380</v>
      </c>
      <c r="AC640" s="10">
        <v>22</v>
      </c>
      <c r="AD640" s="7">
        <f t="shared" si="29"/>
        <v>3117</v>
      </c>
      <c r="AE640" s="7">
        <f>IF(F640="Bullet",H640*AD640,MIN(MAX(I640,1),Assumptions!$B$6)*AD640)</f>
        <v>3117</v>
      </c>
      <c r="AF640" s="8">
        <f>IF(F640="Bullet",MAX(0,Assumptions!$B$4-AB640),MAX(0,Assumptions!$B$4-L640))</f>
        <v>9</v>
      </c>
      <c r="AG640" s="9">
        <v>46259</v>
      </c>
      <c r="AH640" s="8">
        <f>IF(AG640="","",Assumptions!$B$4-AG640)</f>
        <v>39</v>
      </c>
      <c r="AI640" s="5" t="s">
        <v>63</v>
      </c>
      <c r="AJ640" s="8">
        <v>1</v>
      </c>
      <c r="AK640" s="8">
        <v>0</v>
      </c>
      <c r="AL640" s="8" t="s">
        <v>80</v>
      </c>
      <c r="AM640" s="8">
        <v>1</v>
      </c>
      <c r="AN640" s="5" t="s">
        <v>63</v>
      </c>
      <c r="AO640" s="10">
        <v>65.3</v>
      </c>
      <c r="AP640" s="8">
        <v>20</v>
      </c>
      <c r="AQ640" s="9">
        <v>46290</v>
      </c>
      <c r="AR640" s="5" t="s">
        <v>53</v>
      </c>
      <c r="AS640" s="5" t="s">
        <v>64</v>
      </c>
    </row>
    <row r="641" spans="1:45" x14ac:dyDescent="0.35">
      <c r="A641" s="5" t="s">
        <v>2978</v>
      </c>
      <c r="B641" s="5" t="s">
        <v>2979</v>
      </c>
      <c r="C641" s="6" t="s">
        <v>2980</v>
      </c>
      <c r="D641" s="7">
        <v>178400</v>
      </c>
      <c r="E641" s="5" t="s">
        <v>48</v>
      </c>
      <c r="F641" s="5" t="s">
        <v>49</v>
      </c>
      <c r="G641" s="8"/>
      <c r="H641" s="8" t="str">
        <f>IF(F641="Bullet",MIN(G641,Assumptions!$B$6),"")</f>
        <v/>
      </c>
      <c r="I641" s="8">
        <v>1</v>
      </c>
      <c r="J641" s="8">
        <f>IF(F641="Monthly interest",MAX(0,Assumptions!$B$5-I641),"")</f>
        <v>2</v>
      </c>
      <c r="K641" s="7">
        <f t="shared" si="27"/>
        <v>2081</v>
      </c>
      <c r="L641" s="9">
        <v>46286</v>
      </c>
      <c r="M641" s="5" t="s">
        <v>50</v>
      </c>
      <c r="N641" s="5" t="s">
        <v>51</v>
      </c>
      <c r="O641" s="5" t="s">
        <v>52</v>
      </c>
      <c r="P641" s="5" t="s">
        <v>53</v>
      </c>
      <c r="Q641" s="5" t="s">
        <v>54</v>
      </c>
      <c r="R641" s="5" t="s">
        <v>55</v>
      </c>
      <c r="S641" s="5" t="s">
        <v>85</v>
      </c>
      <c r="T641" s="5" t="s">
        <v>57</v>
      </c>
      <c r="U641" s="5" t="s">
        <v>86</v>
      </c>
      <c r="V641" s="5" t="s">
        <v>177</v>
      </c>
      <c r="W641" s="5" t="s">
        <v>208</v>
      </c>
      <c r="X641" s="5" t="s">
        <v>904</v>
      </c>
      <c r="Y641" s="5" t="s">
        <v>2981</v>
      </c>
      <c r="Z641" s="9">
        <v>46102</v>
      </c>
      <c r="AA641" s="8">
        <v>24</v>
      </c>
      <c r="AB641" s="9">
        <f t="shared" si="28"/>
        <v>46833</v>
      </c>
      <c r="AC641" s="10">
        <v>14</v>
      </c>
      <c r="AD641" s="7">
        <f t="shared" si="29"/>
        <v>2081</v>
      </c>
      <c r="AE641" s="7">
        <f>IF(F641="Bullet",H641*AD641,MIN(MAX(I641,1),Assumptions!$B$6)*AD641)</f>
        <v>2081</v>
      </c>
      <c r="AF641" s="8">
        <f>IF(F641="Bullet",MAX(0,Assumptions!$B$4-AB641),MAX(0,Assumptions!$B$4-L641))</f>
        <v>12</v>
      </c>
      <c r="AG641" s="9">
        <v>46256</v>
      </c>
      <c r="AH641" s="8">
        <f>IF(AG641="","",Assumptions!$B$4-AG641)</f>
        <v>42</v>
      </c>
      <c r="AI641" s="5" t="s">
        <v>63</v>
      </c>
      <c r="AJ641" s="8">
        <v>2</v>
      </c>
      <c r="AK641" s="8">
        <v>0</v>
      </c>
      <c r="AL641" s="8">
        <v>744</v>
      </c>
      <c r="AM641" s="8">
        <v>2</v>
      </c>
      <c r="AN641" s="5" t="s">
        <v>63</v>
      </c>
      <c r="AO641" s="10">
        <v>67.5</v>
      </c>
      <c r="AP641" s="8">
        <v>24</v>
      </c>
      <c r="AQ641" s="9">
        <v>46284</v>
      </c>
      <c r="AR641" s="5" t="s">
        <v>53</v>
      </c>
      <c r="AS641" s="5" t="s">
        <v>81</v>
      </c>
    </row>
    <row r="642" spans="1:45" x14ac:dyDescent="0.35">
      <c r="A642" s="5" t="s">
        <v>2982</v>
      </c>
      <c r="B642" s="5" t="s">
        <v>2983</v>
      </c>
      <c r="C642" s="6" t="s">
        <v>2984</v>
      </c>
      <c r="D642" s="7">
        <v>76300</v>
      </c>
      <c r="E642" s="5" t="s">
        <v>48</v>
      </c>
      <c r="F642" s="5" t="s">
        <v>49</v>
      </c>
      <c r="G642" s="8"/>
      <c r="H642" s="8" t="str">
        <f>IF(F642="Bullet",MIN(G642,Assumptions!$B$6),"")</f>
        <v/>
      </c>
      <c r="I642" s="8">
        <v>1</v>
      </c>
      <c r="J642" s="8">
        <f>IF(F642="Monthly interest",MAX(0,Assumptions!$B$5-I642),"")</f>
        <v>2</v>
      </c>
      <c r="K642" s="7">
        <f t="shared" ref="K642:K705" si="30">IF(F642="Bullet",G642*AD642,MAX(I642,1)*AD642)</f>
        <v>954</v>
      </c>
      <c r="L642" s="9">
        <v>46273</v>
      </c>
      <c r="M642" s="5" t="s">
        <v>50</v>
      </c>
      <c r="N642" s="5" t="s">
        <v>51</v>
      </c>
      <c r="O642" s="5" t="s">
        <v>52</v>
      </c>
      <c r="P642" s="5" t="s">
        <v>53</v>
      </c>
      <c r="Q642" s="5" t="s">
        <v>54</v>
      </c>
      <c r="R642" s="5" t="s">
        <v>55</v>
      </c>
      <c r="S642" s="5" t="s">
        <v>56</v>
      </c>
      <c r="T642" s="5" t="s">
        <v>57</v>
      </c>
      <c r="U642" s="5" t="s">
        <v>104</v>
      </c>
      <c r="V642" s="5" t="s">
        <v>59</v>
      </c>
      <c r="W642" s="5" t="s">
        <v>323</v>
      </c>
      <c r="X642" s="5" t="s">
        <v>1485</v>
      </c>
      <c r="Y642" s="5" t="s">
        <v>2985</v>
      </c>
      <c r="Z642" s="9">
        <v>46150</v>
      </c>
      <c r="AA642" s="8">
        <v>12</v>
      </c>
      <c r="AB642" s="9">
        <f t="shared" ref="AB642:AB705" si="31">EDATE(Z642,AA642)</f>
        <v>46515</v>
      </c>
      <c r="AC642" s="10">
        <v>15</v>
      </c>
      <c r="AD642" s="7">
        <f t="shared" ref="AD642:AD705" si="32">ROUND(D642*AC642/100/12,0)</f>
        <v>954</v>
      </c>
      <c r="AE642" s="7">
        <f>IF(F642="Bullet",H642*AD642,MIN(MAX(I642,1),Assumptions!$B$6)*AD642)</f>
        <v>954</v>
      </c>
      <c r="AF642" s="8">
        <f>IF(F642="Bullet",MAX(0,Assumptions!$B$4-AB642),MAX(0,Assumptions!$B$4-L642))</f>
        <v>25</v>
      </c>
      <c r="AG642" s="9">
        <v>46244</v>
      </c>
      <c r="AH642" s="8">
        <f>IF(AG642="","",Assumptions!$B$4-AG642)</f>
        <v>54</v>
      </c>
      <c r="AI642" s="5" t="s">
        <v>63</v>
      </c>
      <c r="AJ642" s="8">
        <v>1</v>
      </c>
      <c r="AK642" s="8">
        <v>0</v>
      </c>
      <c r="AL642" s="8">
        <v>719</v>
      </c>
      <c r="AM642" s="8">
        <v>1</v>
      </c>
      <c r="AN642" s="5" t="s">
        <v>63</v>
      </c>
      <c r="AO642" s="10">
        <v>74.400000000000006</v>
      </c>
      <c r="AP642" s="8">
        <v>27</v>
      </c>
      <c r="AQ642" s="9">
        <v>46295</v>
      </c>
      <c r="AR642" s="5" t="s">
        <v>53</v>
      </c>
      <c r="AS642" s="5" t="s">
        <v>81</v>
      </c>
    </row>
    <row r="643" spans="1:45" x14ac:dyDescent="0.35">
      <c r="A643" s="5" t="s">
        <v>2986</v>
      </c>
      <c r="B643" s="5" t="s">
        <v>2987</v>
      </c>
      <c r="C643" s="6" t="s">
        <v>2988</v>
      </c>
      <c r="D643" s="7">
        <v>155800</v>
      </c>
      <c r="E643" s="5" t="s">
        <v>48</v>
      </c>
      <c r="F643" s="5" t="s">
        <v>49</v>
      </c>
      <c r="G643" s="8"/>
      <c r="H643" s="8" t="str">
        <f>IF(F643="Bullet",MIN(G643,Assumptions!$B$6),"")</f>
        <v/>
      </c>
      <c r="I643" s="8">
        <v>1</v>
      </c>
      <c r="J643" s="8">
        <f>IF(F643="Monthly interest",MAX(0,Assumptions!$B$5-I643),"")</f>
        <v>2</v>
      </c>
      <c r="K643" s="7">
        <f t="shared" si="30"/>
        <v>3116</v>
      </c>
      <c r="L643" s="9">
        <v>46273</v>
      </c>
      <c r="M643" s="5" t="s">
        <v>69</v>
      </c>
      <c r="N643" s="5" t="s">
        <v>51</v>
      </c>
      <c r="O643" s="5" t="s">
        <v>52</v>
      </c>
      <c r="P643" s="5" t="s">
        <v>53</v>
      </c>
      <c r="Q643" s="5" t="s">
        <v>54</v>
      </c>
      <c r="R643" s="5" t="s">
        <v>55</v>
      </c>
      <c r="S643" s="5" t="s">
        <v>56</v>
      </c>
      <c r="T643" s="5" t="s">
        <v>57</v>
      </c>
      <c r="U643" s="5" t="s">
        <v>104</v>
      </c>
      <c r="V643" s="5" t="s">
        <v>59</v>
      </c>
      <c r="W643" s="5" t="s">
        <v>300</v>
      </c>
      <c r="X643" s="5" t="s">
        <v>301</v>
      </c>
      <c r="Y643" s="5" t="s">
        <v>2989</v>
      </c>
      <c r="Z643" s="9">
        <v>46120</v>
      </c>
      <c r="AA643" s="8">
        <v>24</v>
      </c>
      <c r="AB643" s="9">
        <f t="shared" si="31"/>
        <v>46851</v>
      </c>
      <c r="AC643" s="10">
        <v>24</v>
      </c>
      <c r="AD643" s="7">
        <f t="shared" si="32"/>
        <v>3116</v>
      </c>
      <c r="AE643" s="7">
        <f>IF(F643="Bullet",H643*AD643,MIN(MAX(I643,1),Assumptions!$B$6)*AD643)</f>
        <v>3116</v>
      </c>
      <c r="AF643" s="8">
        <f>IF(F643="Bullet",MAX(0,Assumptions!$B$4-AB643),MAX(0,Assumptions!$B$4-L643))</f>
        <v>25</v>
      </c>
      <c r="AG643" s="9">
        <v>46245</v>
      </c>
      <c r="AH643" s="8">
        <f>IF(AG643="","",Assumptions!$B$4-AG643)</f>
        <v>53</v>
      </c>
      <c r="AI643" s="5" t="s">
        <v>63</v>
      </c>
      <c r="AJ643" s="8">
        <v>1</v>
      </c>
      <c r="AK643" s="8">
        <v>0</v>
      </c>
      <c r="AL643" s="8">
        <v>664</v>
      </c>
      <c r="AM643" s="8">
        <v>5</v>
      </c>
      <c r="AN643" s="5" t="s">
        <v>63</v>
      </c>
      <c r="AO643" s="10">
        <v>63.6</v>
      </c>
      <c r="AP643" s="8">
        <v>31</v>
      </c>
      <c r="AQ643" s="9"/>
      <c r="AR643" s="5"/>
      <c r="AS643" s="5" t="s">
        <v>159</v>
      </c>
    </row>
    <row r="644" spans="1:45" x14ac:dyDescent="0.35">
      <c r="A644" s="5" t="s">
        <v>2990</v>
      </c>
      <c r="B644" s="5" t="s">
        <v>2991</v>
      </c>
      <c r="C644" s="6" t="s">
        <v>2992</v>
      </c>
      <c r="D644" s="7">
        <v>167800</v>
      </c>
      <c r="E644" s="5" t="s">
        <v>48</v>
      </c>
      <c r="F644" s="5" t="s">
        <v>49</v>
      </c>
      <c r="G644" s="8"/>
      <c r="H644" s="8" t="str">
        <f>IF(F644="Bullet",MIN(G644,Assumptions!$B$6),"")</f>
        <v/>
      </c>
      <c r="I644" s="8">
        <v>1</v>
      </c>
      <c r="J644" s="8">
        <f>IF(F644="Monthly interest",MAX(0,Assumptions!$B$5-I644),"")</f>
        <v>2</v>
      </c>
      <c r="K644" s="7">
        <f t="shared" si="30"/>
        <v>2237</v>
      </c>
      <c r="L644" s="9">
        <v>46292</v>
      </c>
      <c r="M644" s="5" t="s">
        <v>50</v>
      </c>
      <c r="N644" s="5" t="s">
        <v>53</v>
      </c>
      <c r="O644" s="5" t="s">
        <v>95</v>
      </c>
      <c r="P644" s="5" t="s">
        <v>70</v>
      </c>
      <c r="Q644" s="5" t="s">
        <v>54</v>
      </c>
      <c r="R644" s="5" t="s">
        <v>55</v>
      </c>
      <c r="S644" s="5" t="s">
        <v>214</v>
      </c>
      <c r="T644" s="5" t="s">
        <v>63</v>
      </c>
      <c r="U644" s="5" t="s">
        <v>86</v>
      </c>
      <c r="V644" s="5" t="s">
        <v>215</v>
      </c>
      <c r="W644" s="5" t="s">
        <v>242</v>
      </c>
      <c r="X644" s="5" t="s">
        <v>797</v>
      </c>
      <c r="Y644" s="5" t="s">
        <v>2993</v>
      </c>
      <c r="Z644" s="9">
        <v>46080</v>
      </c>
      <c r="AA644" s="8">
        <v>12</v>
      </c>
      <c r="AB644" s="9">
        <f t="shared" si="31"/>
        <v>46445</v>
      </c>
      <c r="AC644" s="10">
        <v>16</v>
      </c>
      <c r="AD644" s="7">
        <f t="shared" si="32"/>
        <v>2237</v>
      </c>
      <c r="AE644" s="7">
        <f>IF(F644="Bullet",H644*AD644,MIN(MAX(I644,1),Assumptions!$B$6)*AD644)</f>
        <v>2237</v>
      </c>
      <c r="AF644" s="8">
        <f>IF(F644="Bullet",MAX(0,Assumptions!$B$4-AB644),MAX(0,Assumptions!$B$4-L644))</f>
        <v>6</v>
      </c>
      <c r="AG644" s="9">
        <v>46262</v>
      </c>
      <c r="AH644" s="8">
        <f>IF(AG644="","",Assumptions!$B$4-AG644)</f>
        <v>36</v>
      </c>
      <c r="AI644" s="5" t="s">
        <v>63</v>
      </c>
      <c r="AJ644" s="8">
        <v>1</v>
      </c>
      <c r="AK644" s="8">
        <v>1</v>
      </c>
      <c r="AL644" s="8">
        <v>751</v>
      </c>
      <c r="AM644" s="8">
        <v>2</v>
      </c>
      <c r="AN644" s="5" t="s">
        <v>63</v>
      </c>
      <c r="AO644" s="10">
        <v>66.8</v>
      </c>
      <c r="AP644" s="8">
        <v>30</v>
      </c>
      <c r="AQ644" s="9">
        <v>46282</v>
      </c>
      <c r="AR644" s="5" t="s">
        <v>51</v>
      </c>
      <c r="AS644" s="5" t="s">
        <v>64</v>
      </c>
    </row>
    <row r="645" spans="1:45" x14ac:dyDescent="0.35">
      <c r="A645" s="5" t="s">
        <v>2994</v>
      </c>
      <c r="B645" s="5" t="s">
        <v>2995</v>
      </c>
      <c r="C645" s="6" t="s">
        <v>2996</v>
      </c>
      <c r="D645" s="7">
        <v>201700</v>
      </c>
      <c r="E645" s="5" t="s">
        <v>48</v>
      </c>
      <c r="F645" s="5" t="s">
        <v>68</v>
      </c>
      <c r="G645" s="8">
        <v>2</v>
      </c>
      <c r="H645" s="8">
        <f>IF(F645="Bullet",MIN(G645,Assumptions!$B$6),"")</f>
        <v>2</v>
      </c>
      <c r="I645" s="8"/>
      <c r="J645" s="8" t="str">
        <f>IF(F645="Monthly interest",MAX(0,Assumptions!$B$5-I645),"")</f>
        <v/>
      </c>
      <c r="K645" s="7">
        <f t="shared" si="30"/>
        <v>6052</v>
      </c>
      <c r="L645" s="9">
        <v>46227</v>
      </c>
      <c r="M645" s="5" t="s">
        <v>50</v>
      </c>
      <c r="N645" s="5" t="s">
        <v>51</v>
      </c>
      <c r="O645" s="5" t="s">
        <v>71</v>
      </c>
      <c r="P645" s="5" t="s">
        <v>53</v>
      </c>
      <c r="Q645" s="5" t="s">
        <v>73</v>
      </c>
      <c r="R645" s="5" t="s">
        <v>74</v>
      </c>
      <c r="S645" s="5" t="s">
        <v>56</v>
      </c>
      <c r="T645" s="5" t="s">
        <v>57</v>
      </c>
      <c r="U645" s="5" t="s">
        <v>86</v>
      </c>
      <c r="V645" s="5" t="s">
        <v>59</v>
      </c>
      <c r="W645" s="5" t="s">
        <v>323</v>
      </c>
      <c r="X645" s="5" t="s">
        <v>1309</v>
      </c>
      <c r="Y645" s="5" t="s">
        <v>2997</v>
      </c>
      <c r="Z645" s="9">
        <v>46227</v>
      </c>
      <c r="AA645" s="8">
        <v>3</v>
      </c>
      <c r="AB645" s="9">
        <f t="shared" si="31"/>
        <v>46319</v>
      </c>
      <c r="AC645" s="10">
        <v>18</v>
      </c>
      <c r="AD645" s="7">
        <f t="shared" si="32"/>
        <v>3026</v>
      </c>
      <c r="AE645" s="7">
        <f>IF(F645="Bullet",H645*AD645,MIN(MAX(I645,1),Assumptions!$B$6)*AD645)</f>
        <v>6052</v>
      </c>
      <c r="AF645" s="8">
        <f>IF(F645="Bullet",MAX(0,Assumptions!$B$4-AB645),MAX(0,Assumptions!$B$4-L645))</f>
        <v>0</v>
      </c>
      <c r="AG645" s="9"/>
      <c r="AH645" s="8" t="str">
        <f>IF(AG645="","",Assumptions!$B$4-AG645)</f>
        <v/>
      </c>
      <c r="AI645" s="5" t="s">
        <v>80</v>
      </c>
      <c r="AJ645" s="8"/>
      <c r="AK645" s="8">
        <v>0</v>
      </c>
      <c r="AL645" s="8">
        <v>710</v>
      </c>
      <c r="AM645" s="8">
        <v>0</v>
      </c>
      <c r="AN645" s="5" t="s">
        <v>63</v>
      </c>
      <c r="AO645" s="10">
        <v>73.3</v>
      </c>
      <c r="AP645" s="8">
        <v>23</v>
      </c>
      <c r="AQ645" s="9">
        <v>46288</v>
      </c>
      <c r="AR645" s="5" t="s">
        <v>72</v>
      </c>
      <c r="AS645" s="5" t="s">
        <v>181</v>
      </c>
    </row>
    <row r="646" spans="1:45" x14ac:dyDescent="0.35">
      <c r="A646" s="5" t="s">
        <v>2998</v>
      </c>
      <c r="B646" s="5" t="s">
        <v>2999</v>
      </c>
      <c r="C646" s="6" t="s">
        <v>3000</v>
      </c>
      <c r="D646" s="7">
        <v>381600</v>
      </c>
      <c r="E646" s="5" t="s">
        <v>48</v>
      </c>
      <c r="F646" s="5" t="s">
        <v>68</v>
      </c>
      <c r="G646" s="8">
        <v>1</v>
      </c>
      <c r="H646" s="8">
        <f>IF(F646="Bullet",MIN(G646,Assumptions!$B$6),"")</f>
        <v>1</v>
      </c>
      <c r="I646" s="8"/>
      <c r="J646" s="8" t="str">
        <f>IF(F646="Monthly interest",MAX(0,Assumptions!$B$5-I646),"")</f>
        <v/>
      </c>
      <c r="K646" s="7">
        <f t="shared" si="30"/>
        <v>4770</v>
      </c>
      <c r="L646" s="9">
        <v>46248</v>
      </c>
      <c r="M646" s="5" t="s">
        <v>69</v>
      </c>
      <c r="N646" s="5" t="s">
        <v>53</v>
      </c>
      <c r="O646" s="5" t="s">
        <v>71</v>
      </c>
      <c r="P646" s="5" t="s">
        <v>70</v>
      </c>
      <c r="Q646" s="5" t="s">
        <v>73</v>
      </c>
      <c r="R646" s="5" t="s">
        <v>74</v>
      </c>
      <c r="S646" s="5" t="s">
        <v>85</v>
      </c>
      <c r="T646" s="5" t="s">
        <v>57</v>
      </c>
      <c r="U646" s="5" t="s">
        <v>86</v>
      </c>
      <c r="V646" s="5" t="s">
        <v>96</v>
      </c>
      <c r="W646" s="5" t="s">
        <v>819</v>
      </c>
      <c r="X646" s="5" t="s">
        <v>3001</v>
      </c>
      <c r="Y646" s="5" t="s">
        <v>3002</v>
      </c>
      <c r="Z646" s="9">
        <v>46248</v>
      </c>
      <c r="AA646" s="8">
        <v>6</v>
      </c>
      <c r="AB646" s="9">
        <f t="shared" si="31"/>
        <v>46432</v>
      </c>
      <c r="AC646" s="10">
        <v>15</v>
      </c>
      <c r="AD646" s="7">
        <f t="shared" si="32"/>
        <v>4770</v>
      </c>
      <c r="AE646" s="7">
        <f>IF(F646="Bullet",H646*AD646,MIN(MAX(I646,1),Assumptions!$B$6)*AD646)</f>
        <v>4770</v>
      </c>
      <c r="AF646" s="8">
        <f>IF(F646="Bullet",MAX(0,Assumptions!$B$4-AB646),MAX(0,Assumptions!$B$4-L646))</f>
        <v>0</v>
      </c>
      <c r="AG646" s="9"/>
      <c r="AH646" s="8" t="str">
        <f>IF(AG646="","",Assumptions!$B$4-AG646)</f>
        <v/>
      </c>
      <c r="AI646" s="5" t="s">
        <v>80</v>
      </c>
      <c r="AJ646" s="8"/>
      <c r="AK646" s="8">
        <v>0</v>
      </c>
      <c r="AL646" s="8">
        <v>611</v>
      </c>
      <c r="AM646" s="8">
        <v>1</v>
      </c>
      <c r="AN646" s="5" t="s">
        <v>57</v>
      </c>
      <c r="AO646" s="10">
        <v>82.8</v>
      </c>
      <c r="AP646" s="8">
        <v>44</v>
      </c>
      <c r="AQ646" s="9">
        <v>46284</v>
      </c>
      <c r="AR646" s="5" t="s">
        <v>70</v>
      </c>
      <c r="AS646" s="5" t="s">
        <v>81</v>
      </c>
    </row>
    <row r="647" spans="1:45" x14ac:dyDescent="0.35">
      <c r="A647" s="5" t="s">
        <v>3003</v>
      </c>
      <c r="B647" s="5" t="s">
        <v>3004</v>
      </c>
      <c r="C647" s="6" t="s">
        <v>3005</v>
      </c>
      <c r="D647" s="7">
        <v>239000</v>
      </c>
      <c r="E647" s="5" t="s">
        <v>48</v>
      </c>
      <c r="F647" s="5" t="s">
        <v>68</v>
      </c>
      <c r="G647" s="8">
        <v>2</v>
      </c>
      <c r="H647" s="8">
        <f>IF(F647="Bullet",MIN(G647,Assumptions!$B$6),"")</f>
        <v>2</v>
      </c>
      <c r="I647" s="8"/>
      <c r="J647" s="8" t="str">
        <f>IF(F647="Monthly interest",MAX(0,Assumptions!$B$5-I647),"")</f>
        <v/>
      </c>
      <c r="K647" s="7">
        <f t="shared" si="30"/>
        <v>7170</v>
      </c>
      <c r="L647" s="9">
        <v>46219</v>
      </c>
      <c r="M647" s="5" t="s">
        <v>50</v>
      </c>
      <c r="N647" s="5" t="s">
        <v>51</v>
      </c>
      <c r="O647" s="5" t="s">
        <v>71</v>
      </c>
      <c r="P647" s="5" t="s">
        <v>53</v>
      </c>
      <c r="Q647" s="5" t="s">
        <v>73</v>
      </c>
      <c r="R647" s="5" t="s">
        <v>74</v>
      </c>
      <c r="S647" s="5" t="s">
        <v>85</v>
      </c>
      <c r="T647" s="5" t="s">
        <v>57</v>
      </c>
      <c r="U647" s="5" t="s">
        <v>86</v>
      </c>
      <c r="V647" s="5" t="s">
        <v>177</v>
      </c>
      <c r="W647" s="5" t="s">
        <v>208</v>
      </c>
      <c r="X647" s="5" t="s">
        <v>3006</v>
      </c>
      <c r="Y647" s="5" t="s">
        <v>3007</v>
      </c>
      <c r="Z647" s="9">
        <v>46219</v>
      </c>
      <c r="AA647" s="8">
        <v>6</v>
      </c>
      <c r="AB647" s="9">
        <f t="shared" si="31"/>
        <v>46403</v>
      </c>
      <c r="AC647" s="10">
        <v>18</v>
      </c>
      <c r="AD647" s="7">
        <f t="shared" si="32"/>
        <v>3585</v>
      </c>
      <c r="AE647" s="7">
        <f>IF(F647="Bullet",H647*AD647,MIN(MAX(I647,1),Assumptions!$B$6)*AD647)</f>
        <v>7170</v>
      </c>
      <c r="AF647" s="8">
        <f>IF(F647="Bullet",MAX(0,Assumptions!$B$4-AB647),MAX(0,Assumptions!$B$4-L647))</f>
        <v>0</v>
      </c>
      <c r="AG647" s="9"/>
      <c r="AH647" s="8" t="str">
        <f>IF(AG647="","",Assumptions!$B$4-AG647)</f>
        <v/>
      </c>
      <c r="AI647" s="5" t="s">
        <v>80</v>
      </c>
      <c r="AJ647" s="8"/>
      <c r="AK647" s="8">
        <v>1</v>
      </c>
      <c r="AL647" s="8">
        <v>720</v>
      </c>
      <c r="AM647" s="8">
        <v>0</v>
      </c>
      <c r="AN647" s="5" t="s">
        <v>63</v>
      </c>
      <c r="AO647" s="10">
        <v>65.8</v>
      </c>
      <c r="AP647" s="8">
        <v>15</v>
      </c>
      <c r="AQ647" s="9">
        <v>46286</v>
      </c>
      <c r="AR647" s="5" t="s">
        <v>51</v>
      </c>
      <c r="AS647" s="5" t="s">
        <v>64</v>
      </c>
    </row>
    <row r="648" spans="1:45" x14ac:dyDescent="0.35">
      <c r="A648" s="5" t="s">
        <v>3008</v>
      </c>
      <c r="B648" s="5" t="s">
        <v>3009</v>
      </c>
      <c r="C648" s="6" t="s">
        <v>3010</v>
      </c>
      <c r="D648" s="7">
        <v>221300</v>
      </c>
      <c r="E648" s="5" t="s">
        <v>48</v>
      </c>
      <c r="F648" s="5" t="s">
        <v>68</v>
      </c>
      <c r="G648" s="8">
        <v>4</v>
      </c>
      <c r="H648" s="8">
        <f>IF(F648="Bullet",MIN(G648,Assumptions!$B$6),"")</f>
        <v>2</v>
      </c>
      <c r="I648" s="8"/>
      <c r="J648" s="8" t="str">
        <f>IF(F648="Monthly interest",MAX(0,Assumptions!$B$5-I648),"")</f>
        <v/>
      </c>
      <c r="K648" s="7">
        <f t="shared" si="30"/>
        <v>11064</v>
      </c>
      <c r="L648" s="9">
        <v>46157</v>
      </c>
      <c r="M648" s="5" t="s">
        <v>69</v>
      </c>
      <c r="N648" s="5" t="s">
        <v>70</v>
      </c>
      <c r="O648" s="5" t="s">
        <v>71</v>
      </c>
      <c r="P648" s="5" t="s">
        <v>72</v>
      </c>
      <c r="Q648" s="5" t="s">
        <v>73</v>
      </c>
      <c r="R648" s="5" t="s">
        <v>74</v>
      </c>
      <c r="S648" s="5" t="s">
        <v>214</v>
      </c>
      <c r="T648" s="5" t="s">
        <v>57</v>
      </c>
      <c r="U648" s="5" t="s">
        <v>58</v>
      </c>
      <c r="V648" s="5" t="s">
        <v>215</v>
      </c>
      <c r="W648" s="5" t="s">
        <v>242</v>
      </c>
      <c r="X648" s="5" t="s">
        <v>797</v>
      </c>
      <c r="Y648" s="5" t="s">
        <v>3011</v>
      </c>
      <c r="Z648" s="9">
        <v>46157</v>
      </c>
      <c r="AA648" s="8">
        <v>6</v>
      </c>
      <c r="AB648" s="9">
        <f t="shared" si="31"/>
        <v>46341</v>
      </c>
      <c r="AC648" s="10">
        <v>15</v>
      </c>
      <c r="AD648" s="7">
        <f t="shared" si="32"/>
        <v>2766</v>
      </c>
      <c r="AE648" s="7">
        <f>IF(F648="Bullet",H648*AD648,MIN(MAX(I648,1),Assumptions!$B$6)*AD648)</f>
        <v>5532</v>
      </c>
      <c r="AF648" s="8">
        <f>IF(F648="Bullet",MAX(0,Assumptions!$B$4-AB648),MAX(0,Assumptions!$B$4-L648))</f>
        <v>0</v>
      </c>
      <c r="AG648" s="9"/>
      <c r="AH648" s="8" t="str">
        <f>IF(AG648="","",Assumptions!$B$4-AG648)</f>
        <v/>
      </c>
      <c r="AI648" s="5" t="s">
        <v>80</v>
      </c>
      <c r="AJ648" s="8"/>
      <c r="AK648" s="8">
        <v>2</v>
      </c>
      <c r="AL648" s="8">
        <v>721</v>
      </c>
      <c r="AM648" s="8">
        <v>4</v>
      </c>
      <c r="AN648" s="5" t="s">
        <v>63</v>
      </c>
      <c r="AO648" s="10">
        <v>72.900000000000006</v>
      </c>
      <c r="AP648" s="8">
        <v>42</v>
      </c>
      <c r="AQ648" s="9">
        <v>46294</v>
      </c>
      <c r="AR648" s="5" t="s">
        <v>51</v>
      </c>
      <c r="AS648" s="5" t="s">
        <v>181</v>
      </c>
    </row>
    <row r="649" spans="1:45" x14ac:dyDescent="0.35">
      <c r="A649" s="5" t="s">
        <v>3012</v>
      </c>
      <c r="B649" s="5" t="s">
        <v>2656</v>
      </c>
      <c r="C649" s="6" t="s">
        <v>3013</v>
      </c>
      <c r="D649" s="7">
        <v>388800</v>
      </c>
      <c r="E649" s="5" t="s">
        <v>48</v>
      </c>
      <c r="F649" s="5" t="s">
        <v>49</v>
      </c>
      <c r="G649" s="8"/>
      <c r="H649" s="8" t="str">
        <f>IF(F649="Bullet",MIN(G649,Assumptions!$B$6),"")</f>
        <v/>
      </c>
      <c r="I649" s="8">
        <v>1</v>
      </c>
      <c r="J649" s="8">
        <f>IF(F649="Monthly interest",MAX(0,Assumptions!$B$5-I649),"")</f>
        <v>2</v>
      </c>
      <c r="K649" s="7">
        <f t="shared" si="30"/>
        <v>5184</v>
      </c>
      <c r="L649" s="9">
        <v>46270</v>
      </c>
      <c r="M649" s="5" t="s">
        <v>50</v>
      </c>
      <c r="N649" s="5" t="s">
        <v>53</v>
      </c>
      <c r="O649" s="5" t="s">
        <v>95</v>
      </c>
      <c r="P649" s="5" t="s">
        <v>70</v>
      </c>
      <c r="Q649" s="5" t="s">
        <v>54</v>
      </c>
      <c r="R649" s="5" t="s">
        <v>55</v>
      </c>
      <c r="S649" s="5" t="s">
        <v>85</v>
      </c>
      <c r="T649" s="5" t="s">
        <v>63</v>
      </c>
      <c r="U649" s="5" t="s">
        <v>104</v>
      </c>
      <c r="V649" s="5" t="s">
        <v>133</v>
      </c>
      <c r="W649" s="5" t="s">
        <v>134</v>
      </c>
      <c r="X649" s="5" t="s">
        <v>2530</v>
      </c>
      <c r="Y649" s="5" t="s">
        <v>3014</v>
      </c>
      <c r="Z649" s="9">
        <v>46147</v>
      </c>
      <c r="AA649" s="8">
        <v>12</v>
      </c>
      <c r="AB649" s="9">
        <f t="shared" si="31"/>
        <v>46512</v>
      </c>
      <c r="AC649" s="10">
        <v>16</v>
      </c>
      <c r="AD649" s="7">
        <f t="shared" si="32"/>
        <v>5184</v>
      </c>
      <c r="AE649" s="7">
        <f>IF(F649="Bullet",H649*AD649,MIN(MAX(I649,1),Assumptions!$B$6)*AD649)</f>
        <v>5184</v>
      </c>
      <c r="AF649" s="8">
        <f>IF(F649="Bullet",MAX(0,Assumptions!$B$4-AB649),MAX(0,Assumptions!$B$4-L649))</f>
        <v>28</v>
      </c>
      <c r="AG649" s="9">
        <v>46244</v>
      </c>
      <c r="AH649" s="8">
        <f>IF(AG649="","",Assumptions!$B$4-AG649)</f>
        <v>54</v>
      </c>
      <c r="AI649" s="5" t="s">
        <v>63</v>
      </c>
      <c r="AJ649" s="8">
        <v>1</v>
      </c>
      <c r="AK649" s="8">
        <v>0</v>
      </c>
      <c r="AL649" s="8">
        <v>715</v>
      </c>
      <c r="AM649" s="8">
        <v>0</v>
      </c>
      <c r="AN649" s="5" t="s">
        <v>63</v>
      </c>
      <c r="AO649" s="10">
        <v>64.400000000000006</v>
      </c>
      <c r="AP649" s="8">
        <v>21</v>
      </c>
      <c r="AQ649" s="9">
        <v>46296</v>
      </c>
      <c r="AR649" s="5" t="s">
        <v>51</v>
      </c>
      <c r="AS649" s="5" t="s">
        <v>190</v>
      </c>
    </row>
    <row r="650" spans="1:45" x14ac:dyDescent="0.35">
      <c r="A650" s="5" t="s">
        <v>3015</v>
      </c>
      <c r="B650" s="5" t="s">
        <v>3016</v>
      </c>
      <c r="C650" s="6" t="s">
        <v>3017</v>
      </c>
      <c r="D650" s="7">
        <v>59200</v>
      </c>
      <c r="E650" s="5" t="s">
        <v>48</v>
      </c>
      <c r="F650" s="5" t="s">
        <v>49</v>
      </c>
      <c r="G650" s="8"/>
      <c r="H650" s="8" t="str">
        <f>IF(F650="Bullet",MIN(G650,Assumptions!$B$6),"")</f>
        <v/>
      </c>
      <c r="I650" s="8">
        <v>1</v>
      </c>
      <c r="J650" s="8">
        <f>IF(F650="Monthly interest",MAX(0,Assumptions!$B$5-I650),"")</f>
        <v>2</v>
      </c>
      <c r="K650" s="7">
        <f t="shared" si="30"/>
        <v>789</v>
      </c>
      <c r="L650" s="9">
        <v>46273</v>
      </c>
      <c r="M650" s="5" t="s">
        <v>50</v>
      </c>
      <c r="N650" s="5" t="s">
        <v>53</v>
      </c>
      <c r="O650" s="5" t="s">
        <v>103</v>
      </c>
      <c r="P650" s="5" t="s">
        <v>51</v>
      </c>
      <c r="Q650" s="5" t="s">
        <v>54</v>
      </c>
      <c r="R650" s="5" t="s">
        <v>55</v>
      </c>
      <c r="S650" s="5" t="s">
        <v>75</v>
      </c>
      <c r="T650" s="5" t="s">
        <v>57</v>
      </c>
      <c r="U650" s="5" t="s">
        <v>58</v>
      </c>
      <c r="V650" s="5" t="s">
        <v>76</v>
      </c>
      <c r="W650" s="5" t="s">
        <v>105</v>
      </c>
      <c r="X650" s="5" t="s">
        <v>585</v>
      </c>
      <c r="Y650" s="5" t="s">
        <v>3018</v>
      </c>
      <c r="Z650" s="9">
        <v>46120</v>
      </c>
      <c r="AA650" s="8">
        <v>12</v>
      </c>
      <c r="AB650" s="9">
        <f t="shared" si="31"/>
        <v>46485</v>
      </c>
      <c r="AC650" s="10">
        <v>16</v>
      </c>
      <c r="AD650" s="7">
        <f t="shared" si="32"/>
        <v>789</v>
      </c>
      <c r="AE650" s="7">
        <f>IF(F650="Bullet",H650*AD650,MIN(MAX(I650,1),Assumptions!$B$6)*AD650)</f>
        <v>789</v>
      </c>
      <c r="AF650" s="8">
        <f>IF(F650="Bullet",MAX(0,Assumptions!$B$4-AB650),MAX(0,Assumptions!$B$4-L650))</f>
        <v>25</v>
      </c>
      <c r="AG650" s="9">
        <v>46245</v>
      </c>
      <c r="AH650" s="8">
        <f>IF(AG650="","",Assumptions!$B$4-AG650)</f>
        <v>53</v>
      </c>
      <c r="AI650" s="5" t="s">
        <v>63</v>
      </c>
      <c r="AJ650" s="8">
        <v>2</v>
      </c>
      <c r="AK650" s="8">
        <v>0</v>
      </c>
      <c r="AL650" s="8">
        <v>792</v>
      </c>
      <c r="AM650" s="8">
        <v>4</v>
      </c>
      <c r="AN650" s="5" t="s">
        <v>63</v>
      </c>
      <c r="AO650" s="10">
        <v>60.7</v>
      </c>
      <c r="AP650" s="8">
        <v>18</v>
      </c>
      <c r="AQ650" s="9">
        <v>46283</v>
      </c>
      <c r="AR650" s="5" t="s">
        <v>51</v>
      </c>
      <c r="AS650" s="5" t="s">
        <v>81</v>
      </c>
    </row>
    <row r="651" spans="1:45" x14ac:dyDescent="0.35">
      <c r="A651" s="5" t="s">
        <v>3019</v>
      </c>
      <c r="B651" s="5" t="s">
        <v>3020</v>
      </c>
      <c r="C651" s="6" t="s">
        <v>3021</v>
      </c>
      <c r="D651" s="7">
        <v>64600</v>
      </c>
      <c r="E651" s="5" t="s">
        <v>48</v>
      </c>
      <c r="F651" s="5" t="s">
        <v>49</v>
      </c>
      <c r="G651" s="8"/>
      <c r="H651" s="8" t="str">
        <f>IF(F651="Bullet",MIN(G651,Assumptions!$B$6),"")</f>
        <v/>
      </c>
      <c r="I651" s="8">
        <v>2</v>
      </c>
      <c r="J651" s="8">
        <f>IF(F651="Monthly interest",MAX(0,Assumptions!$B$5-I651),"")</f>
        <v>1</v>
      </c>
      <c r="K651" s="7">
        <f t="shared" si="30"/>
        <v>1722</v>
      </c>
      <c r="L651" s="9">
        <v>46258</v>
      </c>
      <c r="M651" s="5" t="s">
        <v>116</v>
      </c>
      <c r="N651" s="5" t="s">
        <v>117</v>
      </c>
      <c r="O651" s="5" t="s">
        <v>118</v>
      </c>
      <c r="P651" s="5" t="s">
        <v>72</v>
      </c>
      <c r="Q651" s="5" t="s">
        <v>119</v>
      </c>
      <c r="R651" s="5" t="s">
        <v>120</v>
      </c>
      <c r="S651" s="5" t="s">
        <v>185</v>
      </c>
      <c r="T651" s="5" t="s">
        <v>57</v>
      </c>
      <c r="U651" s="5" t="s">
        <v>58</v>
      </c>
      <c r="V651" s="5" t="s">
        <v>200</v>
      </c>
      <c r="W651" s="5" t="s">
        <v>500</v>
      </c>
      <c r="X651" s="5" t="s">
        <v>1495</v>
      </c>
      <c r="Y651" s="5" t="s">
        <v>3022</v>
      </c>
      <c r="Z651" s="9">
        <v>46136</v>
      </c>
      <c r="AA651" s="8">
        <v>12</v>
      </c>
      <c r="AB651" s="9">
        <f t="shared" si="31"/>
        <v>46501</v>
      </c>
      <c r="AC651" s="10">
        <v>16</v>
      </c>
      <c r="AD651" s="7">
        <f t="shared" si="32"/>
        <v>861</v>
      </c>
      <c r="AE651" s="7">
        <f>IF(F651="Bullet",H651*AD651,MIN(MAX(I651,1),Assumptions!$B$6)*AD651)</f>
        <v>1722</v>
      </c>
      <c r="AF651" s="8">
        <f>IF(F651="Bullet",MAX(0,Assumptions!$B$4-AB651),MAX(0,Assumptions!$B$4-L651))</f>
        <v>40</v>
      </c>
      <c r="AG651" s="9">
        <v>46228</v>
      </c>
      <c r="AH651" s="8">
        <f>IF(AG651="","",Assumptions!$B$4-AG651)</f>
        <v>70</v>
      </c>
      <c r="AI651" s="5" t="s">
        <v>63</v>
      </c>
      <c r="AJ651" s="8">
        <v>2</v>
      </c>
      <c r="AK651" s="8">
        <v>1</v>
      </c>
      <c r="AL651" s="8" t="s">
        <v>80</v>
      </c>
      <c r="AM651" s="8">
        <v>0</v>
      </c>
      <c r="AN651" s="5" t="s">
        <v>63</v>
      </c>
      <c r="AO651" s="10">
        <v>71.400000000000006</v>
      </c>
      <c r="AP651" s="8">
        <v>50</v>
      </c>
      <c r="AQ651" s="9">
        <v>46282</v>
      </c>
      <c r="AR651" s="5" t="s">
        <v>53</v>
      </c>
      <c r="AS651" s="5" t="s">
        <v>81</v>
      </c>
    </row>
    <row r="652" spans="1:45" x14ac:dyDescent="0.35">
      <c r="A652" s="5" t="s">
        <v>3023</v>
      </c>
      <c r="B652" s="5" t="s">
        <v>3024</v>
      </c>
      <c r="C652" s="6" t="s">
        <v>3025</v>
      </c>
      <c r="D652" s="7">
        <v>170400</v>
      </c>
      <c r="E652" s="5" t="s">
        <v>48</v>
      </c>
      <c r="F652" s="5" t="s">
        <v>68</v>
      </c>
      <c r="G652" s="8">
        <v>2</v>
      </c>
      <c r="H652" s="8">
        <f>IF(F652="Bullet",MIN(G652,Assumptions!$B$6),"")</f>
        <v>2</v>
      </c>
      <c r="I652" s="8"/>
      <c r="J652" s="8" t="str">
        <f>IF(F652="Monthly interest",MAX(0,Assumptions!$B$5-I652),"")</f>
        <v/>
      </c>
      <c r="K652" s="7">
        <f t="shared" si="30"/>
        <v>4260</v>
      </c>
      <c r="L652" s="9">
        <v>46233</v>
      </c>
      <c r="M652" s="5" t="s">
        <v>50</v>
      </c>
      <c r="N652" s="5" t="s">
        <v>70</v>
      </c>
      <c r="O652" s="5" t="s">
        <v>271</v>
      </c>
      <c r="P652" s="5" t="s">
        <v>72</v>
      </c>
      <c r="Q652" s="5" t="s">
        <v>73</v>
      </c>
      <c r="R652" s="5" t="s">
        <v>74</v>
      </c>
      <c r="S652" s="5" t="s">
        <v>214</v>
      </c>
      <c r="T652" s="5" t="s">
        <v>57</v>
      </c>
      <c r="U652" s="5" t="s">
        <v>104</v>
      </c>
      <c r="V652" s="5" t="s">
        <v>215</v>
      </c>
      <c r="W652" s="5" t="s">
        <v>284</v>
      </c>
      <c r="X652" s="5" t="s">
        <v>398</v>
      </c>
      <c r="Y652" s="5" t="s">
        <v>3026</v>
      </c>
      <c r="Z652" s="9">
        <v>46233</v>
      </c>
      <c r="AA652" s="8">
        <v>6</v>
      </c>
      <c r="AB652" s="9">
        <f t="shared" si="31"/>
        <v>46417</v>
      </c>
      <c r="AC652" s="10">
        <v>15</v>
      </c>
      <c r="AD652" s="7">
        <f t="shared" si="32"/>
        <v>2130</v>
      </c>
      <c r="AE652" s="7">
        <f>IF(F652="Bullet",H652*AD652,MIN(MAX(I652,1),Assumptions!$B$6)*AD652)</f>
        <v>4260</v>
      </c>
      <c r="AF652" s="8">
        <f>IF(F652="Bullet",MAX(0,Assumptions!$B$4-AB652),MAX(0,Assumptions!$B$4-L652))</f>
        <v>0</v>
      </c>
      <c r="AG652" s="9"/>
      <c r="AH652" s="8" t="str">
        <f>IF(AG652="","",Assumptions!$B$4-AG652)</f>
        <v/>
      </c>
      <c r="AI652" s="5" t="s">
        <v>80</v>
      </c>
      <c r="AJ652" s="8"/>
      <c r="AK652" s="8">
        <v>0</v>
      </c>
      <c r="AL652" s="8" t="s">
        <v>80</v>
      </c>
      <c r="AM652" s="8">
        <v>0</v>
      </c>
      <c r="AN652" s="5" t="s">
        <v>63</v>
      </c>
      <c r="AO652" s="10">
        <v>67.8</v>
      </c>
      <c r="AP652" s="8">
        <v>21</v>
      </c>
      <c r="AQ652" s="9">
        <v>46286</v>
      </c>
      <c r="AR652" s="5" t="s">
        <v>53</v>
      </c>
      <c r="AS652" s="5" t="s">
        <v>274</v>
      </c>
    </row>
    <row r="653" spans="1:45" x14ac:dyDescent="0.35">
      <c r="A653" s="5" t="s">
        <v>3027</v>
      </c>
      <c r="B653" s="5" t="s">
        <v>3028</v>
      </c>
      <c r="C653" s="6" t="s">
        <v>3029</v>
      </c>
      <c r="D653" s="7">
        <v>77900</v>
      </c>
      <c r="E653" s="5" t="s">
        <v>48</v>
      </c>
      <c r="F653" s="5" t="s">
        <v>49</v>
      </c>
      <c r="G653" s="8"/>
      <c r="H653" s="8" t="str">
        <f>IF(F653="Bullet",MIN(G653,Assumptions!$B$6),"")</f>
        <v/>
      </c>
      <c r="I653" s="8">
        <v>1</v>
      </c>
      <c r="J653" s="8">
        <f>IF(F653="Monthly interest",MAX(0,Assumptions!$B$5-I653),"")</f>
        <v>2</v>
      </c>
      <c r="K653" s="7">
        <f t="shared" si="30"/>
        <v>1169</v>
      </c>
      <c r="L653" s="9">
        <v>46288</v>
      </c>
      <c r="M653" s="5" t="s">
        <v>50</v>
      </c>
      <c r="N653" s="5" t="s">
        <v>51</v>
      </c>
      <c r="O653" s="5" t="s">
        <v>52</v>
      </c>
      <c r="P653" s="5" t="s">
        <v>53</v>
      </c>
      <c r="Q653" s="5" t="s">
        <v>54</v>
      </c>
      <c r="R653" s="5" t="s">
        <v>55</v>
      </c>
      <c r="S653" s="5" t="s">
        <v>75</v>
      </c>
      <c r="T653" s="5" t="s">
        <v>57</v>
      </c>
      <c r="U653" s="5" t="s">
        <v>86</v>
      </c>
      <c r="V653" s="5" t="s">
        <v>76</v>
      </c>
      <c r="W653" s="5" t="s">
        <v>105</v>
      </c>
      <c r="X653" s="5" t="s">
        <v>565</v>
      </c>
      <c r="Y653" s="5" t="s">
        <v>3030</v>
      </c>
      <c r="Z653" s="9">
        <v>46104</v>
      </c>
      <c r="AA653" s="8">
        <v>24</v>
      </c>
      <c r="AB653" s="9">
        <f t="shared" si="31"/>
        <v>46835</v>
      </c>
      <c r="AC653" s="10">
        <v>18</v>
      </c>
      <c r="AD653" s="7">
        <f t="shared" si="32"/>
        <v>1169</v>
      </c>
      <c r="AE653" s="7">
        <f>IF(F653="Bullet",H653*AD653,MIN(MAX(I653,1),Assumptions!$B$6)*AD653)</f>
        <v>1169</v>
      </c>
      <c r="AF653" s="8">
        <f>IF(F653="Bullet",MAX(0,Assumptions!$B$4-AB653),MAX(0,Assumptions!$B$4-L653))</f>
        <v>10</v>
      </c>
      <c r="AG653" s="9">
        <v>46259</v>
      </c>
      <c r="AH653" s="8">
        <f>IF(AG653="","",Assumptions!$B$4-AG653)</f>
        <v>39</v>
      </c>
      <c r="AI653" s="5" t="s">
        <v>63</v>
      </c>
      <c r="AJ653" s="8">
        <v>2</v>
      </c>
      <c r="AK653" s="8">
        <v>0</v>
      </c>
      <c r="AL653" s="8">
        <v>704</v>
      </c>
      <c r="AM653" s="8">
        <v>0</v>
      </c>
      <c r="AN653" s="5" t="s">
        <v>63</v>
      </c>
      <c r="AO653" s="10">
        <v>66.400000000000006</v>
      </c>
      <c r="AP653" s="8">
        <v>26</v>
      </c>
      <c r="AQ653" s="9">
        <v>46296</v>
      </c>
      <c r="AR653" s="5" t="s">
        <v>53</v>
      </c>
      <c r="AS653" s="5" t="s">
        <v>181</v>
      </c>
    </row>
    <row r="654" spans="1:45" x14ac:dyDescent="0.35">
      <c r="A654" s="5" t="s">
        <v>3031</v>
      </c>
      <c r="B654" s="5" t="s">
        <v>437</v>
      </c>
      <c r="C654" s="6" t="s">
        <v>3032</v>
      </c>
      <c r="D654" s="7">
        <v>69200</v>
      </c>
      <c r="E654" s="5" t="s">
        <v>48</v>
      </c>
      <c r="F654" s="5" t="s">
        <v>68</v>
      </c>
      <c r="G654" s="8">
        <v>4</v>
      </c>
      <c r="H654" s="8">
        <f>IF(F654="Bullet",MIN(G654,Assumptions!$B$6),"")</f>
        <v>2</v>
      </c>
      <c r="I654" s="8"/>
      <c r="J654" s="8" t="str">
        <f>IF(F654="Monthly interest",MAX(0,Assumptions!$B$5-I654),"")</f>
        <v/>
      </c>
      <c r="K654" s="7">
        <f t="shared" si="30"/>
        <v>4152</v>
      </c>
      <c r="L654" s="9">
        <v>46163</v>
      </c>
      <c r="M654" s="5" t="s">
        <v>69</v>
      </c>
      <c r="N654" s="5" t="s">
        <v>53</v>
      </c>
      <c r="O654" s="5" t="s">
        <v>71</v>
      </c>
      <c r="P654" s="5" t="s">
        <v>70</v>
      </c>
      <c r="Q654" s="5" t="s">
        <v>73</v>
      </c>
      <c r="R654" s="5" t="s">
        <v>74</v>
      </c>
      <c r="S654" s="5" t="s">
        <v>85</v>
      </c>
      <c r="T654" s="5" t="s">
        <v>57</v>
      </c>
      <c r="U654" s="5" t="s">
        <v>58</v>
      </c>
      <c r="V654" s="5" t="s">
        <v>133</v>
      </c>
      <c r="W654" s="5" t="s">
        <v>317</v>
      </c>
      <c r="X654" s="5" t="s">
        <v>3033</v>
      </c>
      <c r="Y654" s="5" t="s">
        <v>3034</v>
      </c>
      <c r="Z654" s="9">
        <v>46163</v>
      </c>
      <c r="AA654" s="8">
        <v>6</v>
      </c>
      <c r="AB654" s="9">
        <f t="shared" si="31"/>
        <v>46347</v>
      </c>
      <c r="AC654" s="10">
        <v>18</v>
      </c>
      <c r="AD654" s="7">
        <f t="shared" si="32"/>
        <v>1038</v>
      </c>
      <c r="AE654" s="7">
        <f>IF(F654="Bullet",H654*AD654,MIN(MAX(I654,1),Assumptions!$B$6)*AD654)</f>
        <v>2076</v>
      </c>
      <c r="AF654" s="8">
        <f>IF(F654="Bullet",MAX(0,Assumptions!$B$4-AB654),MAX(0,Assumptions!$B$4-L654))</f>
        <v>0</v>
      </c>
      <c r="AG654" s="9"/>
      <c r="AH654" s="8" t="str">
        <f>IF(AG654="","",Assumptions!$B$4-AG654)</f>
        <v/>
      </c>
      <c r="AI654" s="5" t="s">
        <v>80</v>
      </c>
      <c r="AJ654" s="8"/>
      <c r="AK654" s="8">
        <v>1</v>
      </c>
      <c r="AL654" s="8">
        <v>713</v>
      </c>
      <c r="AM654" s="8">
        <v>2</v>
      </c>
      <c r="AN654" s="5" t="s">
        <v>63</v>
      </c>
      <c r="AO654" s="10">
        <v>88</v>
      </c>
      <c r="AP654" s="8">
        <v>45</v>
      </c>
      <c r="AQ654" s="9">
        <v>46285</v>
      </c>
      <c r="AR654" s="5" t="s">
        <v>70</v>
      </c>
      <c r="AS654" s="5" t="s">
        <v>190</v>
      </c>
    </row>
    <row r="655" spans="1:45" x14ac:dyDescent="0.35">
      <c r="A655" s="5" t="s">
        <v>3035</v>
      </c>
      <c r="B655" s="5" t="s">
        <v>3036</v>
      </c>
      <c r="C655" s="6" t="s">
        <v>3037</v>
      </c>
      <c r="D655" s="7">
        <v>24700</v>
      </c>
      <c r="E655" s="5" t="s">
        <v>48</v>
      </c>
      <c r="F655" s="5" t="s">
        <v>49</v>
      </c>
      <c r="G655" s="8"/>
      <c r="H655" s="8" t="str">
        <f>IF(F655="Bullet",MIN(G655,Assumptions!$B$6),"")</f>
        <v/>
      </c>
      <c r="I655" s="8">
        <v>1</v>
      </c>
      <c r="J655" s="8">
        <f>IF(F655="Monthly interest",MAX(0,Assumptions!$B$5-I655),"")</f>
        <v>2</v>
      </c>
      <c r="K655" s="7">
        <f t="shared" si="30"/>
        <v>412</v>
      </c>
      <c r="L655" s="9">
        <v>46282</v>
      </c>
      <c r="M655" s="5" t="s">
        <v>69</v>
      </c>
      <c r="N655" s="5" t="s">
        <v>51</v>
      </c>
      <c r="O655" s="5" t="s">
        <v>152</v>
      </c>
      <c r="P655" s="5" t="s">
        <v>53</v>
      </c>
      <c r="Q655" s="5" t="s">
        <v>154</v>
      </c>
      <c r="R655" s="5" t="s">
        <v>155</v>
      </c>
      <c r="S655" s="5" t="s">
        <v>214</v>
      </c>
      <c r="T655" s="5" t="s">
        <v>57</v>
      </c>
      <c r="U655" s="5" t="s">
        <v>104</v>
      </c>
      <c r="V655" s="5" t="s">
        <v>215</v>
      </c>
      <c r="W655" s="5" t="s">
        <v>242</v>
      </c>
      <c r="X655" s="5" t="s">
        <v>2400</v>
      </c>
      <c r="Y655" s="5" t="s">
        <v>3038</v>
      </c>
      <c r="Z655" s="9">
        <v>46098</v>
      </c>
      <c r="AA655" s="8">
        <v>24</v>
      </c>
      <c r="AB655" s="9">
        <f t="shared" si="31"/>
        <v>46829</v>
      </c>
      <c r="AC655" s="10">
        <v>20</v>
      </c>
      <c r="AD655" s="7">
        <f t="shared" si="32"/>
        <v>412</v>
      </c>
      <c r="AE655" s="7">
        <f>IF(F655="Bullet",H655*AD655,MIN(MAX(I655,1),Assumptions!$B$6)*AD655)</f>
        <v>412</v>
      </c>
      <c r="AF655" s="8">
        <f>IF(F655="Bullet",MAX(0,Assumptions!$B$4-AB655),MAX(0,Assumptions!$B$4-L655))</f>
        <v>16</v>
      </c>
      <c r="AG655" s="9">
        <v>46255</v>
      </c>
      <c r="AH655" s="8">
        <f>IF(AG655="","",Assumptions!$B$4-AG655)</f>
        <v>43</v>
      </c>
      <c r="AI655" s="5" t="s">
        <v>63</v>
      </c>
      <c r="AJ655" s="8">
        <v>1</v>
      </c>
      <c r="AK655" s="8">
        <v>0</v>
      </c>
      <c r="AL655" s="8">
        <v>809</v>
      </c>
      <c r="AM655" s="8">
        <v>2</v>
      </c>
      <c r="AN655" s="5" t="s">
        <v>63</v>
      </c>
      <c r="AO655" s="10">
        <v>88</v>
      </c>
      <c r="AP655" s="8">
        <v>36</v>
      </c>
      <c r="AQ655" s="9">
        <v>46283</v>
      </c>
      <c r="AR655" s="5" t="s">
        <v>51</v>
      </c>
      <c r="AS655" s="5" t="s">
        <v>64</v>
      </c>
    </row>
    <row r="656" spans="1:45" x14ac:dyDescent="0.35">
      <c r="A656" s="5" t="s">
        <v>3039</v>
      </c>
      <c r="B656" s="5" t="s">
        <v>3040</v>
      </c>
      <c r="C656" s="6" t="s">
        <v>3041</v>
      </c>
      <c r="D656" s="7">
        <v>33000</v>
      </c>
      <c r="E656" s="5" t="s">
        <v>48</v>
      </c>
      <c r="F656" s="5" t="s">
        <v>68</v>
      </c>
      <c r="G656" s="8">
        <v>1</v>
      </c>
      <c r="H656" s="8">
        <f>IF(F656="Bullet",MIN(G656,Assumptions!$B$6),"")</f>
        <v>1</v>
      </c>
      <c r="I656" s="8"/>
      <c r="J656" s="8" t="str">
        <f>IF(F656="Monthly interest",MAX(0,Assumptions!$B$5-I656),"")</f>
        <v/>
      </c>
      <c r="K656" s="7">
        <f t="shared" si="30"/>
        <v>413</v>
      </c>
      <c r="L656" s="9">
        <v>46266</v>
      </c>
      <c r="M656" s="5" t="s">
        <v>50</v>
      </c>
      <c r="N656" s="5" t="s">
        <v>51</v>
      </c>
      <c r="O656" s="5" t="s">
        <v>152</v>
      </c>
      <c r="P656" s="5" t="s">
        <v>53</v>
      </c>
      <c r="Q656" s="5" t="s">
        <v>154</v>
      </c>
      <c r="R656" s="5" t="s">
        <v>155</v>
      </c>
      <c r="S656" s="5" t="s">
        <v>56</v>
      </c>
      <c r="T656" s="5" t="s">
        <v>57</v>
      </c>
      <c r="U656" s="5" t="s">
        <v>86</v>
      </c>
      <c r="V656" s="5" t="s">
        <v>59</v>
      </c>
      <c r="W656" s="5" t="s">
        <v>156</v>
      </c>
      <c r="X656" s="5" t="s">
        <v>451</v>
      </c>
      <c r="Y656" s="5" t="s">
        <v>3042</v>
      </c>
      <c r="Z656" s="9">
        <v>46266</v>
      </c>
      <c r="AA656" s="8">
        <v>12</v>
      </c>
      <c r="AB656" s="9">
        <f t="shared" si="31"/>
        <v>46631</v>
      </c>
      <c r="AC656" s="10">
        <v>15</v>
      </c>
      <c r="AD656" s="7">
        <f t="shared" si="32"/>
        <v>413</v>
      </c>
      <c r="AE656" s="7">
        <f>IF(F656="Bullet",H656*AD656,MIN(MAX(I656,1),Assumptions!$B$6)*AD656)</f>
        <v>413</v>
      </c>
      <c r="AF656" s="8">
        <f>IF(F656="Bullet",MAX(0,Assumptions!$B$4-AB656),MAX(0,Assumptions!$B$4-L656))</f>
        <v>0</v>
      </c>
      <c r="AG656" s="9"/>
      <c r="AH656" s="8" t="str">
        <f>IF(AG656="","",Assumptions!$B$4-AG656)</f>
        <v/>
      </c>
      <c r="AI656" s="5" t="s">
        <v>80</v>
      </c>
      <c r="AJ656" s="8"/>
      <c r="AK656" s="8">
        <v>0</v>
      </c>
      <c r="AL656" s="8">
        <v>719</v>
      </c>
      <c r="AM656" s="8">
        <v>0</v>
      </c>
      <c r="AN656" s="5" t="s">
        <v>63</v>
      </c>
      <c r="AO656" s="10">
        <v>73.599999999999994</v>
      </c>
      <c r="AP656" s="8">
        <v>16</v>
      </c>
      <c r="AQ656" s="9">
        <v>46275</v>
      </c>
      <c r="AR656" s="5" t="s">
        <v>51</v>
      </c>
      <c r="AS656" s="5" t="s">
        <v>64</v>
      </c>
    </row>
    <row r="657" spans="1:45" x14ac:dyDescent="0.35">
      <c r="A657" s="5" t="s">
        <v>3043</v>
      </c>
      <c r="B657" s="5" t="s">
        <v>3044</v>
      </c>
      <c r="C657" s="6" t="s">
        <v>3045</v>
      </c>
      <c r="D657" s="7">
        <v>574400</v>
      </c>
      <c r="E657" s="5" t="s">
        <v>48</v>
      </c>
      <c r="F657" s="5" t="s">
        <v>49</v>
      </c>
      <c r="G657" s="8"/>
      <c r="H657" s="8" t="str">
        <f>IF(F657="Bullet",MIN(G657,Assumptions!$B$6),"")</f>
        <v/>
      </c>
      <c r="I657" s="8">
        <v>2</v>
      </c>
      <c r="J657" s="8">
        <f>IF(F657="Monthly interest",MAX(0,Assumptions!$B$5-I657),"")</f>
        <v>1</v>
      </c>
      <c r="K657" s="7">
        <f t="shared" si="30"/>
        <v>15318</v>
      </c>
      <c r="L657" s="9">
        <v>46249</v>
      </c>
      <c r="M657" s="5" t="s">
        <v>69</v>
      </c>
      <c r="N657" s="5" t="s">
        <v>70</v>
      </c>
      <c r="O657" s="5" t="s">
        <v>71</v>
      </c>
      <c r="P657" s="5" t="s">
        <v>72</v>
      </c>
      <c r="Q657" s="5" t="s">
        <v>73</v>
      </c>
      <c r="R657" s="5" t="s">
        <v>74</v>
      </c>
      <c r="S657" s="5" t="s">
        <v>85</v>
      </c>
      <c r="T657" s="5" t="s">
        <v>63</v>
      </c>
      <c r="U657" s="5" t="s">
        <v>86</v>
      </c>
      <c r="V657" s="5" t="s">
        <v>96</v>
      </c>
      <c r="W657" s="5" t="s">
        <v>819</v>
      </c>
      <c r="X657" s="5" t="s">
        <v>1459</v>
      </c>
      <c r="Y657" s="5" t="s">
        <v>3046</v>
      </c>
      <c r="Z657" s="9">
        <v>46068</v>
      </c>
      <c r="AA657" s="8">
        <v>12</v>
      </c>
      <c r="AB657" s="9">
        <f t="shared" si="31"/>
        <v>46433</v>
      </c>
      <c r="AC657" s="10">
        <v>16</v>
      </c>
      <c r="AD657" s="7">
        <f t="shared" si="32"/>
        <v>7659</v>
      </c>
      <c r="AE657" s="7">
        <f>IF(F657="Bullet",H657*AD657,MIN(MAX(I657,1),Assumptions!$B$6)*AD657)</f>
        <v>15318</v>
      </c>
      <c r="AF657" s="8">
        <f>IF(F657="Bullet",MAX(0,Assumptions!$B$4-AB657),MAX(0,Assumptions!$B$4-L657))</f>
        <v>49</v>
      </c>
      <c r="AG657" s="9">
        <v>46220</v>
      </c>
      <c r="AH657" s="8">
        <f>IF(AG657="","",Assumptions!$B$4-AG657)</f>
        <v>78</v>
      </c>
      <c r="AI657" s="5" t="s">
        <v>57</v>
      </c>
      <c r="AJ657" s="8">
        <v>3</v>
      </c>
      <c r="AK657" s="8">
        <v>0</v>
      </c>
      <c r="AL657" s="8">
        <v>740</v>
      </c>
      <c r="AM657" s="8">
        <v>0</v>
      </c>
      <c r="AN657" s="5" t="s">
        <v>63</v>
      </c>
      <c r="AO657" s="10">
        <v>69.599999999999994</v>
      </c>
      <c r="AP657" s="8">
        <v>45</v>
      </c>
      <c r="AQ657" s="9">
        <v>46276</v>
      </c>
      <c r="AR657" s="5" t="s">
        <v>53</v>
      </c>
      <c r="AS657" s="5" t="s">
        <v>64</v>
      </c>
    </row>
    <row r="658" spans="1:45" x14ac:dyDescent="0.35">
      <c r="A658" s="5" t="s">
        <v>3047</v>
      </c>
      <c r="B658" s="5" t="s">
        <v>3048</v>
      </c>
      <c r="C658" s="6" t="s">
        <v>3049</v>
      </c>
      <c r="D658" s="7">
        <v>73100</v>
      </c>
      <c r="E658" s="5" t="s">
        <v>48</v>
      </c>
      <c r="F658" s="5" t="s">
        <v>49</v>
      </c>
      <c r="G658" s="8"/>
      <c r="H658" s="8" t="str">
        <f>IF(F658="Bullet",MIN(G658,Assumptions!$B$6),"")</f>
        <v/>
      </c>
      <c r="I658" s="8">
        <v>1</v>
      </c>
      <c r="J658" s="8">
        <f>IF(F658="Monthly interest",MAX(0,Assumptions!$B$5-I658),"")</f>
        <v>2</v>
      </c>
      <c r="K658" s="7">
        <f t="shared" si="30"/>
        <v>914</v>
      </c>
      <c r="L658" s="9">
        <v>46293</v>
      </c>
      <c r="M658" s="5" t="s">
        <v>69</v>
      </c>
      <c r="N658" s="5" t="s">
        <v>53</v>
      </c>
      <c r="O658" s="5" t="s">
        <v>103</v>
      </c>
      <c r="P658" s="5" t="s">
        <v>70</v>
      </c>
      <c r="Q658" s="5" t="s">
        <v>54</v>
      </c>
      <c r="R658" s="5" t="s">
        <v>55</v>
      </c>
      <c r="S658" s="5" t="s">
        <v>56</v>
      </c>
      <c r="T658" s="5" t="s">
        <v>57</v>
      </c>
      <c r="U658" s="5" t="s">
        <v>104</v>
      </c>
      <c r="V658" s="5" t="s">
        <v>59</v>
      </c>
      <c r="W658" s="5" t="s">
        <v>418</v>
      </c>
      <c r="X658" s="5" t="s">
        <v>1089</v>
      </c>
      <c r="Y658" s="5" t="s">
        <v>3050</v>
      </c>
      <c r="Z658" s="9">
        <v>46109</v>
      </c>
      <c r="AA658" s="8">
        <v>24</v>
      </c>
      <c r="AB658" s="9">
        <f t="shared" si="31"/>
        <v>46840</v>
      </c>
      <c r="AC658" s="10">
        <v>15</v>
      </c>
      <c r="AD658" s="7">
        <f t="shared" si="32"/>
        <v>914</v>
      </c>
      <c r="AE658" s="7">
        <f>IF(F658="Bullet",H658*AD658,MIN(MAX(I658,1),Assumptions!$B$6)*AD658)</f>
        <v>914</v>
      </c>
      <c r="AF658" s="8">
        <f>IF(F658="Bullet",MAX(0,Assumptions!$B$4-AB658),MAX(0,Assumptions!$B$4-L658))</f>
        <v>5</v>
      </c>
      <c r="AG658" s="9">
        <v>46265</v>
      </c>
      <c r="AH658" s="8">
        <f>IF(AG658="","",Assumptions!$B$4-AG658)</f>
        <v>33</v>
      </c>
      <c r="AI658" s="5" t="s">
        <v>63</v>
      </c>
      <c r="AJ658" s="8">
        <v>3</v>
      </c>
      <c r="AK658" s="8">
        <v>1</v>
      </c>
      <c r="AL658" s="8" t="s">
        <v>80</v>
      </c>
      <c r="AM658" s="8">
        <v>3</v>
      </c>
      <c r="AN658" s="5" t="s">
        <v>63</v>
      </c>
      <c r="AO658" s="10">
        <v>76.400000000000006</v>
      </c>
      <c r="AP658" s="8">
        <v>44</v>
      </c>
      <c r="AQ658" s="9">
        <v>46278</v>
      </c>
      <c r="AR658" s="5" t="s">
        <v>51</v>
      </c>
      <c r="AS658" s="5" t="s">
        <v>81</v>
      </c>
    </row>
    <row r="659" spans="1:45" x14ac:dyDescent="0.35">
      <c r="A659" s="5" t="s">
        <v>3051</v>
      </c>
      <c r="B659" s="5" t="s">
        <v>3052</v>
      </c>
      <c r="C659" s="6" t="s">
        <v>3053</v>
      </c>
      <c r="D659" s="7">
        <v>116400</v>
      </c>
      <c r="E659" s="5" t="s">
        <v>48</v>
      </c>
      <c r="F659" s="5" t="s">
        <v>49</v>
      </c>
      <c r="G659" s="8"/>
      <c r="H659" s="8" t="str">
        <f>IF(F659="Bullet",MIN(G659,Assumptions!$B$6),"")</f>
        <v/>
      </c>
      <c r="I659" s="8">
        <v>1</v>
      </c>
      <c r="J659" s="8">
        <f>IF(F659="Monthly interest",MAX(0,Assumptions!$B$5-I659),"")</f>
        <v>2</v>
      </c>
      <c r="K659" s="7">
        <f t="shared" si="30"/>
        <v>2328</v>
      </c>
      <c r="L659" s="9">
        <v>46292</v>
      </c>
      <c r="M659" s="5" t="s">
        <v>69</v>
      </c>
      <c r="N659" s="5" t="s">
        <v>53</v>
      </c>
      <c r="O659" s="5" t="s">
        <v>95</v>
      </c>
      <c r="P659" s="5" t="s">
        <v>70</v>
      </c>
      <c r="Q659" s="5" t="s">
        <v>54</v>
      </c>
      <c r="R659" s="5" t="s">
        <v>55</v>
      </c>
      <c r="S659" s="5" t="s">
        <v>75</v>
      </c>
      <c r="T659" s="5" t="s">
        <v>63</v>
      </c>
      <c r="U659" s="5" t="s">
        <v>104</v>
      </c>
      <c r="V659" s="5" t="s">
        <v>76</v>
      </c>
      <c r="W659" s="5" t="s">
        <v>444</v>
      </c>
      <c r="X659" s="5" t="s">
        <v>877</v>
      </c>
      <c r="Y659" s="5" t="s">
        <v>3054</v>
      </c>
      <c r="Z659" s="9">
        <v>46018</v>
      </c>
      <c r="AA659" s="8">
        <v>12</v>
      </c>
      <c r="AB659" s="9">
        <f t="shared" si="31"/>
        <v>46383</v>
      </c>
      <c r="AC659" s="10">
        <v>24</v>
      </c>
      <c r="AD659" s="7">
        <f t="shared" si="32"/>
        <v>2328</v>
      </c>
      <c r="AE659" s="7">
        <f>IF(F659="Bullet",H659*AD659,MIN(MAX(I659,1),Assumptions!$B$6)*AD659)</f>
        <v>2328</v>
      </c>
      <c r="AF659" s="8">
        <f>IF(F659="Bullet",MAX(0,Assumptions!$B$4-AB659),MAX(0,Assumptions!$B$4-L659))</f>
        <v>6</v>
      </c>
      <c r="AG659" s="9">
        <v>46264</v>
      </c>
      <c r="AH659" s="8">
        <f>IF(AG659="","",Assumptions!$B$4-AG659)</f>
        <v>34</v>
      </c>
      <c r="AI659" s="5" t="s">
        <v>63</v>
      </c>
      <c r="AJ659" s="8">
        <v>2</v>
      </c>
      <c r="AK659" s="8">
        <v>0</v>
      </c>
      <c r="AL659" s="8">
        <v>624</v>
      </c>
      <c r="AM659" s="8">
        <v>1</v>
      </c>
      <c r="AN659" s="5" t="s">
        <v>63</v>
      </c>
      <c r="AO659" s="10">
        <v>69.3</v>
      </c>
      <c r="AP659" s="8">
        <v>43</v>
      </c>
      <c r="AQ659" s="9">
        <v>46285</v>
      </c>
      <c r="AR659" s="5" t="s">
        <v>70</v>
      </c>
      <c r="AS659" s="5" t="s">
        <v>64</v>
      </c>
    </row>
    <row r="660" spans="1:45" x14ac:dyDescent="0.35">
      <c r="A660" s="5" t="s">
        <v>3055</v>
      </c>
      <c r="B660" s="5" t="s">
        <v>3056</v>
      </c>
      <c r="C660" s="6" t="s">
        <v>3057</v>
      </c>
      <c r="D660" s="7">
        <v>72900</v>
      </c>
      <c r="E660" s="5" t="s">
        <v>48</v>
      </c>
      <c r="F660" s="5" t="s">
        <v>68</v>
      </c>
      <c r="G660" s="8">
        <v>3</v>
      </c>
      <c r="H660" s="8">
        <f>IF(F660="Bullet",MIN(G660,Assumptions!$B$6),"")</f>
        <v>2</v>
      </c>
      <c r="I660" s="8"/>
      <c r="J660" s="8" t="str">
        <f>IF(F660="Monthly interest",MAX(0,Assumptions!$B$5-I660),"")</f>
        <v/>
      </c>
      <c r="K660" s="7">
        <f t="shared" si="30"/>
        <v>2553</v>
      </c>
      <c r="L660" s="9">
        <v>46190</v>
      </c>
      <c r="M660" s="5" t="s">
        <v>50</v>
      </c>
      <c r="N660" s="5" t="s">
        <v>53</v>
      </c>
      <c r="O660" s="5" t="s">
        <v>71</v>
      </c>
      <c r="P660" s="5" t="s">
        <v>51</v>
      </c>
      <c r="Q660" s="5" t="s">
        <v>73</v>
      </c>
      <c r="R660" s="5" t="s">
        <v>74</v>
      </c>
      <c r="S660" s="5" t="s">
        <v>85</v>
      </c>
      <c r="T660" s="5" t="s">
        <v>57</v>
      </c>
      <c r="U660" s="5" t="s">
        <v>58</v>
      </c>
      <c r="V660" s="5" t="s">
        <v>87</v>
      </c>
      <c r="W660" s="5" t="s">
        <v>361</v>
      </c>
      <c r="X660" s="5" t="s">
        <v>2370</v>
      </c>
      <c r="Y660" s="5" t="s">
        <v>3058</v>
      </c>
      <c r="Z660" s="9">
        <v>46190</v>
      </c>
      <c r="AA660" s="8">
        <v>6</v>
      </c>
      <c r="AB660" s="9">
        <f t="shared" si="31"/>
        <v>46373</v>
      </c>
      <c r="AC660" s="10">
        <v>14</v>
      </c>
      <c r="AD660" s="7">
        <f t="shared" si="32"/>
        <v>851</v>
      </c>
      <c r="AE660" s="7">
        <f>IF(F660="Bullet",H660*AD660,MIN(MAX(I660,1),Assumptions!$B$6)*AD660)</f>
        <v>1702</v>
      </c>
      <c r="AF660" s="8">
        <f>IF(F660="Bullet",MAX(0,Assumptions!$B$4-AB660),MAX(0,Assumptions!$B$4-L660))</f>
        <v>0</v>
      </c>
      <c r="AG660" s="9"/>
      <c r="AH660" s="8" t="str">
        <f>IF(AG660="","",Assumptions!$B$4-AG660)</f>
        <v/>
      </c>
      <c r="AI660" s="5" t="s">
        <v>80</v>
      </c>
      <c r="AJ660" s="8"/>
      <c r="AK660" s="8">
        <v>0</v>
      </c>
      <c r="AL660" s="8">
        <v>753</v>
      </c>
      <c r="AM660" s="8">
        <v>2</v>
      </c>
      <c r="AN660" s="5" t="s">
        <v>63</v>
      </c>
      <c r="AO660" s="10">
        <v>73.2</v>
      </c>
      <c r="AP660" s="8">
        <v>16</v>
      </c>
      <c r="AQ660" s="9">
        <v>46295</v>
      </c>
      <c r="AR660" s="5" t="s">
        <v>51</v>
      </c>
      <c r="AS660" s="5" t="s">
        <v>81</v>
      </c>
    </row>
    <row r="661" spans="1:45" x14ac:dyDescent="0.35">
      <c r="A661" s="5" t="s">
        <v>3059</v>
      </c>
      <c r="B661" s="5" t="s">
        <v>3060</v>
      </c>
      <c r="C661" s="6" t="s">
        <v>3061</v>
      </c>
      <c r="D661" s="7">
        <v>78900</v>
      </c>
      <c r="E661" s="5" t="s">
        <v>48</v>
      </c>
      <c r="F661" s="5" t="s">
        <v>68</v>
      </c>
      <c r="G661" s="8">
        <v>4</v>
      </c>
      <c r="H661" s="8">
        <f>IF(F661="Bullet",MIN(G661,Assumptions!$B$6),"")</f>
        <v>2</v>
      </c>
      <c r="I661" s="8"/>
      <c r="J661" s="8" t="str">
        <f>IF(F661="Monthly interest",MAX(0,Assumptions!$B$5-I661),"")</f>
        <v/>
      </c>
      <c r="K661" s="7">
        <f t="shared" si="30"/>
        <v>3420</v>
      </c>
      <c r="L661" s="9">
        <v>46163</v>
      </c>
      <c r="M661" s="5" t="s">
        <v>69</v>
      </c>
      <c r="N661" s="5" t="s">
        <v>53</v>
      </c>
      <c r="O661" s="5" t="s">
        <v>71</v>
      </c>
      <c r="P661" s="5" t="s">
        <v>70</v>
      </c>
      <c r="Q661" s="5" t="s">
        <v>73</v>
      </c>
      <c r="R661" s="5" t="s">
        <v>74</v>
      </c>
      <c r="S661" s="5" t="s">
        <v>214</v>
      </c>
      <c r="T661" s="5" t="s">
        <v>57</v>
      </c>
      <c r="U661" s="5" t="s">
        <v>86</v>
      </c>
      <c r="V661" s="5" t="s">
        <v>215</v>
      </c>
      <c r="W661" s="5" t="s">
        <v>278</v>
      </c>
      <c r="X661" s="5" t="s">
        <v>1783</v>
      </c>
      <c r="Y661" s="5" t="s">
        <v>3062</v>
      </c>
      <c r="Z661" s="9">
        <v>46163</v>
      </c>
      <c r="AA661" s="8">
        <v>6</v>
      </c>
      <c r="AB661" s="9">
        <f t="shared" si="31"/>
        <v>46347</v>
      </c>
      <c r="AC661" s="10">
        <v>13</v>
      </c>
      <c r="AD661" s="7">
        <f t="shared" si="32"/>
        <v>855</v>
      </c>
      <c r="AE661" s="7">
        <f>IF(F661="Bullet",H661*AD661,MIN(MAX(I661,1),Assumptions!$B$6)*AD661)</f>
        <v>1710</v>
      </c>
      <c r="AF661" s="8">
        <f>IF(F661="Bullet",MAX(0,Assumptions!$B$4-AB661),MAX(0,Assumptions!$B$4-L661))</f>
        <v>0</v>
      </c>
      <c r="AG661" s="9"/>
      <c r="AH661" s="8" t="str">
        <f>IF(AG661="","",Assumptions!$B$4-AG661)</f>
        <v/>
      </c>
      <c r="AI661" s="5" t="s">
        <v>80</v>
      </c>
      <c r="AJ661" s="8"/>
      <c r="AK661" s="8">
        <v>2</v>
      </c>
      <c r="AL661" s="8" t="s">
        <v>80</v>
      </c>
      <c r="AM661" s="8">
        <v>2</v>
      </c>
      <c r="AN661" s="5" t="s">
        <v>63</v>
      </c>
      <c r="AO661" s="10">
        <v>68.400000000000006</v>
      </c>
      <c r="AP661" s="8">
        <v>44</v>
      </c>
      <c r="AQ661" s="9">
        <v>46291</v>
      </c>
      <c r="AR661" s="5" t="s">
        <v>70</v>
      </c>
      <c r="AS661" s="5" t="s">
        <v>64</v>
      </c>
    </row>
    <row r="662" spans="1:45" x14ac:dyDescent="0.35">
      <c r="A662" s="5" t="s">
        <v>3063</v>
      </c>
      <c r="B662" s="5" t="s">
        <v>3064</v>
      </c>
      <c r="C662" s="6" t="s">
        <v>3065</v>
      </c>
      <c r="D662" s="7">
        <v>101000</v>
      </c>
      <c r="E662" s="5" t="s">
        <v>48</v>
      </c>
      <c r="F662" s="5" t="s">
        <v>68</v>
      </c>
      <c r="G662" s="8">
        <v>4</v>
      </c>
      <c r="H662" s="8">
        <f>IF(F662="Bullet",MIN(G662,Assumptions!$B$6),"")</f>
        <v>2</v>
      </c>
      <c r="I662" s="8"/>
      <c r="J662" s="8" t="str">
        <f>IF(F662="Monthly interest",MAX(0,Assumptions!$B$5-I662),"")</f>
        <v/>
      </c>
      <c r="K662" s="7">
        <f t="shared" si="30"/>
        <v>5388</v>
      </c>
      <c r="L662" s="9">
        <v>46174</v>
      </c>
      <c r="M662" s="5" t="s">
        <v>50</v>
      </c>
      <c r="N662" s="5" t="s">
        <v>53</v>
      </c>
      <c r="O662" s="5" t="s">
        <v>71</v>
      </c>
      <c r="P662" s="5" t="s">
        <v>51</v>
      </c>
      <c r="Q662" s="5" t="s">
        <v>73</v>
      </c>
      <c r="R662" s="5" t="s">
        <v>74</v>
      </c>
      <c r="S662" s="5" t="s">
        <v>185</v>
      </c>
      <c r="T662" s="5" t="s">
        <v>57</v>
      </c>
      <c r="U662" s="5" t="s">
        <v>86</v>
      </c>
      <c r="V662" s="5" t="s">
        <v>200</v>
      </c>
      <c r="W662" s="5" t="s">
        <v>1332</v>
      </c>
      <c r="X662" s="5" t="s">
        <v>3066</v>
      </c>
      <c r="Y662" s="5" t="s">
        <v>3067</v>
      </c>
      <c r="Z662" s="9">
        <v>46174</v>
      </c>
      <c r="AA662" s="8">
        <v>12</v>
      </c>
      <c r="AB662" s="9">
        <f t="shared" si="31"/>
        <v>46539</v>
      </c>
      <c r="AC662" s="10">
        <v>16</v>
      </c>
      <c r="AD662" s="7">
        <f t="shared" si="32"/>
        <v>1347</v>
      </c>
      <c r="AE662" s="7">
        <f>IF(F662="Bullet",H662*AD662,MIN(MAX(I662,1),Assumptions!$B$6)*AD662)</f>
        <v>2694</v>
      </c>
      <c r="AF662" s="8">
        <f>IF(F662="Bullet",MAX(0,Assumptions!$B$4-AB662),MAX(0,Assumptions!$B$4-L662))</f>
        <v>0</v>
      </c>
      <c r="AG662" s="9"/>
      <c r="AH662" s="8" t="str">
        <f>IF(AG662="","",Assumptions!$B$4-AG662)</f>
        <v/>
      </c>
      <c r="AI662" s="5" t="s">
        <v>80</v>
      </c>
      <c r="AJ662" s="8"/>
      <c r="AK662" s="8">
        <v>1</v>
      </c>
      <c r="AL662" s="8">
        <v>681</v>
      </c>
      <c r="AM662" s="8">
        <v>1</v>
      </c>
      <c r="AN662" s="5" t="s">
        <v>63</v>
      </c>
      <c r="AO662" s="10">
        <v>66.5</v>
      </c>
      <c r="AP662" s="8">
        <v>30</v>
      </c>
      <c r="AQ662" s="9">
        <v>46294</v>
      </c>
      <c r="AR662" s="5" t="s">
        <v>51</v>
      </c>
      <c r="AS662" s="5" t="s">
        <v>64</v>
      </c>
    </row>
    <row r="663" spans="1:45" x14ac:dyDescent="0.35">
      <c r="A663" s="5" t="s">
        <v>3068</v>
      </c>
      <c r="B663" s="5" t="s">
        <v>1704</v>
      </c>
      <c r="C663" s="6" t="s">
        <v>3069</v>
      </c>
      <c r="D663" s="7">
        <v>65600</v>
      </c>
      <c r="E663" s="5" t="s">
        <v>48</v>
      </c>
      <c r="F663" s="5" t="s">
        <v>68</v>
      </c>
      <c r="G663" s="8">
        <v>3</v>
      </c>
      <c r="H663" s="8">
        <f>IF(F663="Bullet",MIN(G663,Assumptions!$B$6),"")</f>
        <v>2</v>
      </c>
      <c r="I663" s="8"/>
      <c r="J663" s="8" t="str">
        <f>IF(F663="Monthly interest",MAX(0,Assumptions!$B$5-I663),"")</f>
        <v/>
      </c>
      <c r="K663" s="7">
        <f t="shared" si="30"/>
        <v>2460</v>
      </c>
      <c r="L663" s="9">
        <v>46201</v>
      </c>
      <c r="M663" s="5" t="s">
        <v>69</v>
      </c>
      <c r="N663" s="5" t="s">
        <v>53</v>
      </c>
      <c r="O663" s="5" t="s">
        <v>71</v>
      </c>
      <c r="P663" s="5" t="s">
        <v>70</v>
      </c>
      <c r="Q663" s="5" t="s">
        <v>73</v>
      </c>
      <c r="R663" s="5" t="s">
        <v>74</v>
      </c>
      <c r="S663" s="5" t="s">
        <v>75</v>
      </c>
      <c r="T663" s="5" t="s">
        <v>63</v>
      </c>
      <c r="U663" s="5" t="s">
        <v>104</v>
      </c>
      <c r="V663" s="5" t="s">
        <v>76</v>
      </c>
      <c r="W663" s="5" t="s">
        <v>382</v>
      </c>
      <c r="X663" s="5" t="s">
        <v>1381</v>
      </c>
      <c r="Y663" s="5" t="s">
        <v>3070</v>
      </c>
      <c r="Z663" s="9">
        <v>46201</v>
      </c>
      <c r="AA663" s="8">
        <v>6</v>
      </c>
      <c r="AB663" s="9">
        <f t="shared" si="31"/>
        <v>46384</v>
      </c>
      <c r="AC663" s="10">
        <v>15</v>
      </c>
      <c r="AD663" s="7">
        <f t="shared" si="32"/>
        <v>820</v>
      </c>
      <c r="AE663" s="7">
        <f>IF(F663="Bullet",H663*AD663,MIN(MAX(I663,1),Assumptions!$B$6)*AD663)</f>
        <v>1640</v>
      </c>
      <c r="AF663" s="8">
        <f>IF(F663="Bullet",MAX(0,Assumptions!$B$4-AB663),MAX(0,Assumptions!$B$4-L663))</f>
        <v>0</v>
      </c>
      <c r="AG663" s="9"/>
      <c r="AH663" s="8" t="str">
        <f>IF(AG663="","",Assumptions!$B$4-AG663)</f>
        <v/>
      </c>
      <c r="AI663" s="5" t="s">
        <v>80</v>
      </c>
      <c r="AJ663" s="8"/>
      <c r="AK663" s="8">
        <v>2</v>
      </c>
      <c r="AL663" s="8">
        <v>680</v>
      </c>
      <c r="AM663" s="8">
        <v>3</v>
      </c>
      <c r="AN663" s="5" t="s">
        <v>63</v>
      </c>
      <c r="AO663" s="10">
        <v>70.599999999999994</v>
      </c>
      <c r="AP663" s="8">
        <v>35</v>
      </c>
      <c r="AQ663" s="9"/>
      <c r="AR663" s="5"/>
      <c r="AS663" s="5" t="s">
        <v>159</v>
      </c>
    </row>
    <row r="664" spans="1:45" x14ac:dyDescent="0.35">
      <c r="A664" s="5" t="s">
        <v>3071</v>
      </c>
      <c r="B664" s="5" t="s">
        <v>624</v>
      </c>
      <c r="C664" s="6" t="s">
        <v>3072</v>
      </c>
      <c r="D664" s="7">
        <v>210900</v>
      </c>
      <c r="E664" s="5" t="s">
        <v>48</v>
      </c>
      <c r="F664" s="5" t="s">
        <v>49</v>
      </c>
      <c r="G664" s="8"/>
      <c r="H664" s="8" t="str">
        <f>IF(F664="Bullet",MIN(G664,Assumptions!$B$6),"")</f>
        <v/>
      </c>
      <c r="I664" s="8">
        <v>1</v>
      </c>
      <c r="J664" s="8">
        <f>IF(F664="Monthly interest",MAX(0,Assumptions!$B$5-I664),"")</f>
        <v>2</v>
      </c>
      <c r="K664" s="7">
        <f t="shared" si="30"/>
        <v>2636</v>
      </c>
      <c r="L664" s="9">
        <v>46293</v>
      </c>
      <c r="M664" s="5" t="s">
        <v>50</v>
      </c>
      <c r="N664" s="5" t="s">
        <v>53</v>
      </c>
      <c r="O664" s="5" t="s">
        <v>103</v>
      </c>
      <c r="P664" s="5" t="s">
        <v>51</v>
      </c>
      <c r="Q664" s="5" t="s">
        <v>54</v>
      </c>
      <c r="R664" s="5" t="s">
        <v>55</v>
      </c>
      <c r="S664" s="5" t="s">
        <v>185</v>
      </c>
      <c r="T664" s="5" t="s">
        <v>57</v>
      </c>
      <c r="U664" s="5" t="s">
        <v>86</v>
      </c>
      <c r="V664" s="5" t="s">
        <v>200</v>
      </c>
      <c r="W664" s="5" t="s">
        <v>201</v>
      </c>
      <c r="X664" s="5" t="s">
        <v>428</v>
      </c>
      <c r="Y664" s="5" t="s">
        <v>3073</v>
      </c>
      <c r="Z664" s="9">
        <v>46201</v>
      </c>
      <c r="AA664" s="8">
        <v>24</v>
      </c>
      <c r="AB664" s="9">
        <f t="shared" si="31"/>
        <v>46932</v>
      </c>
      <c r="AC664" s="10">
        <v>15</v>
      </c>
      <c r="AD664" s="7">
        <f t="shared" si="32"/>
        <v>2636</v>
      </c>
      <c r="AE664" s="7">
        <f>IF(F664="Bullet",H664*AD664,MIN(MAX(I664,1),Assumptions!$B$6)*AD664)</f>
        <v>2636</v>
      </c>
      <c r="AF664" s="8">
        <f>IF(F664="Bullet",MAX(0,Assumptions!$B$4-AB664),MAX(0,Assumptions!$B$4-L664))</f>
        <v>5</v>
      </c>
      <c r="AG664" s="9">
        <v>46263</v>
      </c>
      <c r="AH664" s="8">
        <f>IF(AG664="","",Assumptions!$B$4-AG664)</f>
        <v>35</v>
      </c>
      <c r="AI664" s="5" t="s">
        <v>63</v>
      </c>
      <c r="AJ664" s="8">
        <v>1</v>
      </c>
      <c r="AK664" s="8">
        <v>0</v>
      </c>
      <c r="AL664" s="8">
        <v>783</v>
      </c>
      <c r="AM664" s="8">
        <v>1</v>
      </c>
      <c r="AN664" s="5" t="s">
        <v>63</v>
      </c>
      <c r="AO664" s="10">
        <v>72.900000000000006</v>
      </c>
      <c r="AP664" s="8">
        <v>8</v>
      </c>
      <c r="AQ664" s="9">
        <v>46284</v>
      </c>
      <c r="AR664" s="5" t="s">
        <v>51</v>
      </c>
      <c r="AS664" s="5" t="s">
        <v>81</v>
      </c>
    </row>
    <row r="665" spans="1:45" x14ac:dyDescent="0.35">
      <c r="A665" s="5" t="s">
        <v>3074</v>
      </c>
      <c r="B665" s="5" t="s">
        <v>1781</v>
      </c>
      <c r="C665" s="6" t="s">
        <v>3075</v>
      </c>
      <c r="D665" s="7">
        <v>345700</v>
      </c>
      <c r="E665" s="5" t="s">
        <v>48</v>
      </c>
      <c r="F665" s="5" t="s">
        <v>49</v>
      </c>
      <c r="G665" s="8"/>
      <c r="H665" s="8" t="str">
        <f>IF(F665="Bullet",MIN(G665,Assumptions!$B$6),"")</f>
        <v/>
      </c>
      <c r="I665" s="8">
        <v>2</v>
      </c>
      <c r="J665" s="8">
        <f>IF(F665="Monthly interest",MAX(0,Assumptions!$B$5-I665),"")</f>
        <v>1</v>
      </c>
      <c r="K665" s="7">
        <f t="shared" si="30"/>
        <v>10372</v>
      </c>
      <c r="L665" s="9">
        <v>46243</v>
      </c>
      <c r="M665" s="5" t="s">
        <v>116</v>
      </c>
      <c r="N665" s="5" t="s">
        <v>117</v>
      </c>
      <c r="O665" s="5" t="s">
        <v>118</v>
      </c>
      <c r="P665" s="5" t="s">
        <v>72</v>
      </c>
      <c r="Q665" s="5" t="s">
        <v>119</v>
      </c>
      <c r="R665" s="5" t="s">
        <v>120</v>
      </c>
      <c r="S665" s="5" t="s">
        <v>214</v>
      </c>
      <c r="T665" s="5" t="s">
        <v>57</v>
      </c>
      <c r="U665" s="5" t="s">
        <v>58</v>
      </c>
      <c r="V665" s="5" t="s">
        <v>215</v>
      </c>
      <c r="W665" s="5" t="s">
        <v>278</v>
      </c>
      <c r="X665" s="5" t="s">
        <v>1783</v>
      </c>
      <c r="Y665" s="5" t="s">
        <v>3076</v>
      </c>
      <c r="Z665" s="9">
        <v>46031</v>
      </c>
      <c r="AA665" s="8">
        <v>24</v>
      </c>
      <c r="AB665" s="9">
        <f t="shared" si="31"/>
        <v>46761</v>
      </c>
      <c r="AC665" s="10">
        <v>18</v>
      </c>
      <c r="AD665" s="7">
        <f t="shared" si="32"/>
        <v>5186</v>
      </c>
      <c r="AE665" s="7">
        <f>IF(F665="Bullet",H665*AD665,MIN(MAX(I665,1),Assumptions!$B$6)*AD665)</f>
        <v>10372</v>
      </c>
      <c r="AF665" s="8">
        <f>IF(F665="Bullet",MAX(0,Assumptions!$B$4-AB665),MAX(0,Assumptions!$B$4-L665))</f>
        <v>55</v>
      </c>
      <c r="AG665" s="9">
        <v>46216</v>
      </c>
      <c r="AH665" s="8">
        <f>IF(AG665="","",Assumptions!$B$4-AG665)</f>
        <v>82</v>
      </c>
      <c r="AI665" s="5" t="s">
        <v>57</v>
      </c>
      <c r="AJ665" s="8">
        <v>2</v>
      </c>
      <c r="AK665" s="8">
        <v>0</v>
      </c>
      <c r="AL665" s="8">
        <v>665</v>
      </c>
      <c r="AM665" s="8">
        <v>1</v>
      </c>
      <c r="AN665" s="5" t="s">
        <v>63</v>
      </c>
      <c r="AO665" s="10">
        <v>79.5</v>
      </c>
      <c r="AP665" s="8">
        <v>60</v>
      </c>
      <c r="AQ665" s="9">
        <v>46286</v>
      </c>
      <c r="AR665" s="5" t="s">
        <v>53</v>
      </c>
      <c r="AS665" s="5" t="s">
        <v>81</v>
      </c>
    </row>
    <row r="666" spans="1:45" x14ac:dyDescent="0.35">
      <c r="A666" s="5" t="s">
        <v>3077</v>
      </c>
      <c r="B666" s="5" t="s">
        <v>3078</v>
      </c>
      <c r="C666" s="6" t="s">
        <v>3079</v>
      </c>
      <c r="D666" s="7">
        <v>413500</v>
      </c>
      <c r="E666" s="5" t="s">
        <v>48</v>
      </c>
      <c r="F666" s="5" t="s">
        <v>49</v>
      </c>
      <c r="G666" s="8"/>
      <c r="H666" s="8" t="str">
        <f>IF(F666="Bullet",MIN(G666,Assumptions!$B$6),"")</f>
        <v/>
      </c>
      <c r="I666" s="8">
        <v>2</v>
      </c>
      <c r="J666" s="8">
        <f>IF(F666="Monthly interest",MAX(0,Assumptions!$B$5-I666),"")</f>
        <v>1</v>
      </c>
      <c r="K666" s="7">
        <f t="shared" si="30"/>
        <v>11026</v>
      </c>
      <c r="L666" s="9">
        <v>46250</v>
      </c>
      <c r="M666" s="5" t="s">
        <v>69</v>
      </c>
      <c r="N666" s="5" t="s">
        <v>70</v>
      </c>
      <c r="O666" s="5" t="s">
        <v>71</v>
      </c>
      <c r="P666" s="5" t="s">
        <v>72</v>
      </c>
      <c r="Q666" s="5" t="s">
        <v>73</v>
      </c>
      <c r="R666" s="5" t="s">
        <v>74</v>
      </c>
      <c r="S666" s="5" t="s">
        <v>85</v>
      </c>
      <c r="T666" s="5" t="s">
        <v>57</v>
      </c>
      <c r="U666" s="5" t="s">
        <v>86</v>
      </c>
      <c r="V666" s="5" t="s">
        <v>553</v>
      </c>
      <c r="W666" s="5" t="s">
        <v>1029</v>
      </c>
      <c r="X666" s="5" t="s">
        <v>3080</v>
      </c>
      <c r="Y666" s="5" t="s">
        <v>3081</v>
      </c>
      <c r="Z666" s="9">
        <v>46038</v>
      </c>
      <c r="AA666" s="8">
        <v>12</v>
      </c>
      <c r="AB666" s="9">
        <f t="shared" si="31"/>
        <v>46403</v>
      </c>
      <c r="AC666" s="10">
        <v>16</v>
      </c>
      <c r="AD666" s="7">
        <f t="shared" si="32"/>
        <v>5513</v>
      </c>
      <c r="AE666" s="7">
        <f>IF(F666="Bullet",H666*AD666,MIN(MAX(I666,1),Assumptions!$B$6)*AD666)</f>
        <v>11026</v>
      </c>
      <c r="AF666" s="8">
        <f>IF(F666="Bullet",MAX(0,Assumptions!$B$4-AB666),MAX(0,Assumptions!$B$4-L666))</f>
        <v>48</v>
      </c>
      <c r="AG666" s="9">
        <v>46224</v>
      </c>
      <c r="AH666" s="8">
        <f>IF(AG666="","",Assumptions!$B$4-AG666)</f>
        <v>74</v>
      </c>
      <c r="AI666" s="5" t="s">
        <v>63</v>
      </c>
      <c r="AJ666" s="8">
        <v>3</v>
      </c>
      <c r="AK666" s="8">
        <v>0</v>
      </c>
      <c r="AL666" s="8">
        <v>741</v>
      </c>
      <c r="AM666" s="8">
        <v>2</v>
      </c>
      <c r="AN666" s="5" t="s">
        <v>63</v>
      </c>
      <c r="AO666" s="10">
        <v>77.8</v>
      </c>
      <c r="AP666" s="8">
        <v>42</v>
      </c>
      <c r="AQ666" s="9">
        <v>46281</v>
      </c>
      <c r="AR666" s="5" t="s">
        <v>53</v>
      </c>
      <c r="AS666" s="5" t="s">
        <v>81</v>
      </c>
    </row>
    <row r="667" spans="1:45" x14ac:dyDescent="0.35">
      <c r="A667" s="5" t="s">
        <v>3082</v>
      </c>
      <c r="B667" s="5" t="s">
        <v>3083</v>
      </c>
      <c r="C667" s="6" t="s">
        <v>3084</v>
      </c>
      <c r="D667" s="7">
        <v>29900</v>
      </c>
      <c r="E667" s="5" t="s">
        <v>48</v>
      </c>
      <c r="F667" s="5" t="s">
        <v>68</v>
      </c>
      <c r="G667" s="8">
        <v>6</v>
      </c>
      <c r="H667" s="8">
        <f>IF(F667="Bullet",MIN(G667,Assumptions!$B$6),"")</f>
        <v>2</v>
      </c>
      <c r="I667" s="8"/>
      <c r="J667" s="8" t="str">
        <f>IF(F667="Monthly interest",MAX(0,Assumptions!$B$5-I667),"")</f>
        <v/>
      </c>
      <c r="K667" s="7">
        <f t="shared" si="30"/>
        <v>1944</v>
      </c>
      <c r="L667" s="9">
        <v>46091</v>
      </c>
      <c r="M667" s="5" t="s">
        <v>116</v>
      </c>
      <c r="N667" s="5" t="s">
        <v>117</v>
      </c>
      <c r="O667" s="5" t="s">
        <v>461</v>
      </c>
      <c r="P667" s="5" t="s">
        <v>72</v>
      </c>
      <c r="Q667" s="5" t="s">
        <v>169</v>
      </c>
      <c r="R667" s="5" t="s">
        <v>170</v>
      </c>
      <c r="S667" s="5" t="s">
        <v>75</v>
      </c>
      <c r="T667" s="5" t="s">
        <v>57</v>
      </c>
      <c r="U667" s="5" t="s">
        <v>86</v>
      </c>
      <c r="V667" s="5" t="s">
        <v>76</v>
      </c>
      <c r="W667" s="5" t="s">
        <v>77</v>
      </c>
      <c r="X667" s="5" t="s">
        <v>1565</v>
      </c>
      <c r="Y667" s="5" t="s">
        <v>3085</v>
      </c>
      <c r="Z667" s="9">
        <v>46091</v>
      </c>
      <c r="AA667" s="8">
        <v>12</v>
      </c>
      <c r="AB667" s="9">
        <f t="shared" si="31"/>
        <v>46456</v>
      </c>
      <c r="AC667" s="10">
        <v>13</v>
      </c>
      <c r="AD667" s="7">
        <f t="shared" si="32"/>
        <v>324</v>
      </c>
      <c r="AE667" s="7">
        <f>IF(F667="Bullet",H667*AD667,MIN(MAX(I667,1),Assumptions!$B$6)*AD667)</f>
        <v>648</v>
      </c>
      <c r="AF667" s="8">
        <f>IF(F667="Bullet",MAX(0,Assumptions!$B$4-AB667),MAX(0,Assumptions!$B$4-L667))</f>
        <v>0</v>
      </c>
      <c r="AG667" s="9"/>
      <c r="AH667" s="8" t="str">
        <f>IF(AG667="","",Assumptions!$B$4-AG667)</f>
        <v/>
      </c>
      <c r="AI667" s="5" t="s">
        <v>80</v>
      </c>
      <c r="AJ667" s="8"/>
      <c r="AK667" s="8">
        <v>1</v>
      </c>
      <c r="AL667" s="8">
        <v>743</v>
      </c>
      <c r="AM667" s="8">
        <v>1</v>
      </c>
      <c r="AN667" s="5" t="s">
        <v>57</v>
      </c>
      <c r="AO667" s="10">
        <v>69.3</v>
      </c>
      <c r="AP667" s="8">
        <v>48</v>
      </c>
      <c r="AQ667" s="9">
        <v>46278</v>
      </c>
      <c r="AR667" s="5" t="s">
        <v>70</v>
      </c>
      <c r="AS667" s="5" t="s">
        <v>81</v>
      </c>
    </row>
    <row r="668" spans="1:45" x14ac:dyDescent="0.35">
      <c r="A668" s="5" t="s">
        <v>3086</v>
      </c>
      <c r="B668" s="5" t="s">
        <v>3087</v>
      </c>
      <c r="C668" s="6" t="s">
        <v>3088</v>
      </c>
      <c r="D668" s="7">
        <v>65000</v>
      </c>
      <c r="E668" s="5" t="s">
        <v>48</v>
      </c>
      <c r="F668" s="5" t="s">
        <v>49</v>
      </c>
      <c r="G668" s="8"/>
      <c r="H668" s="8" t="str">
        <f>IF(F668="Bullet",MIN(G668,Assumptions!$B$6),"")</f>
        <v/>
      </c>
      <c r="I668" s="8">
        <v>1</v>
      </c>
      <c r="J668" s="8">
        <f>IF(F668="Monthly interest",MAX(0,Assumptions!$B$5-I668),"")</f>
        <v>2</v>
      </c>
      <c r="K668" s="7">
        <f t="shared" si="30"/>
        <v>758</v>
      </c>
      <c r="L668" s="9">
        <v>46280</v>
      </c>
      <c r="M668" s="5" t="s">
        <v>69</v>
      </c>
      <c r="N668" s="5" t="s">
        <v>51</v>
      </c>
      <c r="O668" s="5" t="s">
        <v>52</v>
      </c>
      <c r="P668" s="5" t="s">
        <v>53</v>
      </c>
      <c r="Q668" s="5" t="s">
        <v>54</v>
      </c>
      <c r="R668" s="5" t="s">
        <v>55</v>
      </c>
      <c r="S668" s="5" t="s">
        <v>56</v>
      </c>
      <c r="T668" s="5" t="s">
        <v>57</v>
      </c>
      <c r="U668" s="5" t="s">
        <v>86</v>
      </c>
      <c r="V668" s="5" t="s">
        <v>59</v>
      </c>
      <c r="W668" s="5" t="s">
        <v>300</v>
      </c>
      <c r="X668" s="5" t="s">
        <v>1193</v>
      </c>
      <c r="Y668" s="5" t="s">
        <v>3089</v>
      </c>
      <c r="Z668" s="9">
        <v>46037</v>
      </c>
      <c r="AA668" s="8">
        <v>12</v>
      </c>
      <c r="AB668" s="9">
        <f t="shared" si="31"/>
        <v>46402</v>
      </c>
      <c r="AC668" s="10">
        <v>14</v>
      </c>
      <c r="AD668" s="7">
        <f t="shared" si="32"/>
        <v>758</v>
      </c>
      <c r="AE668" s="7">
        <f>IF(F668="Bullet",H668*AD668,MIN(MAX(I668,1),Assumptions!$B$6)*AD668)</f>
        <v>758</v>
      </c>
      <c r="AF668" s="8">
        <f>IF(F668="Bullet",MAX(0,Assumptions!$B$4-AB668),MAX(0,Assumptions!$B$4-L668))</f>
        <v>18</v>
      </c>
      <c r="AG668" s="9">
        <v>46252</v>
      </c>
      <c r="AH668" s="8">
        <f>IF(AG668="","",Assumptions!$B$4-AG668)</f>
        <v>46</v>
      </c>
      <c r="AI668" s="5" t="s">
        <v>57</v>
      </c>
      <c r="AJ668" s="8">
        <v>1</v>
      </c>
      <c r="AK668" s="8">
        <v>0</v>
      </c>
      <c r="AL668" s="8">
        <v>669</v>
      </c>
      <c r="AM668" s="8">
        <v>2</v>
      </c>
      <c r="AN668" s="5" t="s">
        <v>57</v>
      </c>
      <c r="AO668" s="10">
        <v>66.5</v>
      </c>
      <c r="AP668" s="8">
        <v>40</v>
      </c>
      <c r="AQ668" s="9">
        <v>46280</v>
      </c>
      <c r="AR668" s="5" t="s">
        <v>53</v>
      </c>
      <c r="AS668" s="5" t="s">
        <v>91</v>
      </c>
    </row>
    <row r="669" spans="1:45" x14ac:dyDescent="0.35">
      <c r="A669" s="5" t="s">
        <v>3090</v>
      </c>
      <c r="B669" s="5" t="s">
        <v>3091</v>
      </c>
      <c r="C669" s="6" t="s">
        <v>3092</v>
      </c>
      <c r="D669" s="7">
        <v>58300</v>
      </c>
      <c r="E669" s="5" t="s">
        <v>48</v>
      </c>
      <c r="F669" s="5" t="s">
        <v>49</v>
      </c>
      <c r="G669" s="8"/>
      <c r="H669" s="8" t="str">
        <f>IF(F669="Bullet",MIN(G669,Assumptions!$B$6),"")</f>
        <v/>
      </c>
      <c r="I669" s="8">
        <v>1</v>
      </c>
      <c r="J669" s="8">
        <f>IF(F669="Monthly interest",MAX(0,Assumptions!$B$5-I669),"")</f>
        <v>2</v>
      </c>
      <c r="K669" s="7">
        <f t="shared" si="30"/>
        <v>1166</v>
      </c>
      <c r="L669" s="9">
        <v>46293</v>
      </c>
      <c r="M669" s="5" t="s">
        <v>69</v>
      </c>
      <c r="N669" s="5" t="s">
        <v>51</v>
      </c>
      <c r="O669" s="5" t="s">
        <v>52</v>
      </c>
      <c r="P669" s="5" t="s">
        <v>53</v>
      </c>
      <c r="Q669" s="5" t="s">
        <v>54</v>
      </c>
      <c r="R669" s="5" t="s">
        <v>55</v>
      </c>
      <c r="S669" s="5" t="s">
        <v>185</v>
      </c>
      <c r="T669" s="5" t="s">
        <v>57</v>
      </c>
      <c r="U669" s="5" t="s">
        <v>86</v>
      </c>
      <c r="V669" s="5" t="s">
        <v>186</v>
      </c>
      <c r="W669" s="5" t="s">
        <v>376</v>
      </c>
      <c r="X669" s="5" t="s">
        <v>2747</v>
      </c>
      <c r="Y669" s="5" t="s">
        <v>3093</v>
      </c>
      <c r="Z669" s="9">
        <v>46019</v>
      </c>
      <c r="AA669" s="8">
        <v>12</v>
      </c>
      <c r="AB669" s="9">
        <f t="shared" si="31"/>
        <v>46384</v>
      </c>
      <c r="AC669" s="10">
        <v>24</v>
      </c>
      <c r="AD669" s="7">
        <f t="shared" si="32"/>
        <v>1166</v>
      </c>
      <c r="AE669" s="7">
        <f>IF(F669="Bullet",H669*AD669,MIN(MAX(I669,1),Assumptions!$B$6)*AD669)</f>
        <v>1166</v>
      </c>
      <c r="AF669" s="8">
        <f>IF(F669="Bullet",MAX(0,Assumptions!$B$4-AB669),MAX(0,Assumptions!$B$4-L669))</f>
        <v>5</v>
      </c>
      <c r="AG669" s="9">
        <v>46264</v>
      </c>
      <c r="AH669" s="8">
        <f>IF(AG669="","",Assumptions!$B$4-AG669)</f>
        <v>34</v>
      </c>
      <c r="AI669" s="5" t="s">
        <v>57</v>
      </c>
      <c r="AJ669" s="8">
        <v>1</v>
      </c>
      <c r="AK669" s="8">
        <v>1</v>
      </c>
      <c r="AL669" s="8">
        <v>680</v>
      </c>
      <c r="AM669" s="8">
        <v>3</v>
      </c>
      <c r="AN669" s="5" t="s">
        <v>63</v>
      </c>
      <c r="AO669" s="10">
        <v>75.3</v>
      </c>
      <c r="AP669" s="8">
        <v>35</v>
      </c>
      <c r="AQ669" s="9"/>
      <c r="AR669" s="5"/>
      <c r="AS669" s="5" t="s">
        <v>159</v>
      </c>
    </row>
    <row r="670" spans="1:45" x14ac:dyDescent="0.35">
      <c r="A670" s="5" t="s">
        <v>3094</v>
      </c>
      <c r="B670" s="5" t="s">
        <v>3095</v>
      </c>
      <c r="C670" s="6" t="s">
        <v>3096</v>
      </c>
      <c r="D670" s="7">
        <v>900800</v>
      </c>
      <c r="E670" s="5" t="s">
        <v>48</v>
      </c>
      <c r="F670" s="5" t="s">
        <v>68</v>
      </c>
      <c r="G670" s="8">
        <v>1</v>
      </c>
      <c r="H670" s="8">
        <f>IF(F670="Bullet",MIN(G670,Assumptions!$B$6),"")</f>
        <v>1</v>
      </c>
      <c r="I670" s="8"/>
      <c r="J670" s="8" t="str">
        <f>IF(F670="Monthly interest",MAX(0,Assumptions!$B$5-I670),"")</f>
        <v/>
      </c>
      <c r="K670" s="7">
        <f t="shared" si="30"/>
        <v>9008</v>
      </c>
      <c r="L670" s="9">
        <v>46250</v>
      </c>
      <c r="M670" s="5" t="s">
        <v>50</v>
      </c>
      <c r="N670" s="5" t="s">
        <v>53</v>
      </c>
      <c r="O670" s="5" t="s">
        <v>103</v>
      </c>
      <c r="P670" s="5" t="s">
        <v>70</v>
      </c>
      <c r="Q670" s="5" t="s">
        <v>73</v>
      </c>
      <c r="R670" s="5" t="s">
        <v>74</v>
      </c>
      <c r="S670" s="5" t="s">
        <v>85</v>
      </c>
      <c r="T670" s="5" t="s">
        <v>63</v>
      </c>
      <c r="U670" s="5" t="s">
        <v>58</v>
      </c>
      <c r="V670" s="5" t="s">
        <v>177</v>
      </c>
      <c r="W670" s="5" t="s">
        <v>178</v>
      </c>
      <c r="X670" s="5" t="s">
        <v>222</v>
      </c>
      <c r="Y670" s="5" t="s">
        <v>3097</v>
      </c>
      <c r="Z670" s="9">
        <v>46250</v>
      </c>
      <c r="AA670" s="8">
        <v>12</v>
      </c>
      <c r="AB670" s="9">
        <f t="shared" si="31"/>
        <v>46615</v>
      </c>
      <c r="AC670" s="10">
        <v>12</v>
      </c>
      <c r="AD670" s="7">
        <f t="shared" si="32"/>
        <v>9008</v>
      </c>
      <c r="AE670" s="7">
        <f>IF(F670="Bullet",H670*AD670,MIN(MAX(I670,1),Assumptions!$B$6)*AD670)</f>
        <v>9008</v>
      </c>
      <c r="AF670" s="8">
        <f>IF(F670="Bullet",MAX(0,Assumptions!$B$4-AB670),MAX(0,Assumptions!$B$4-L670))</f>
        <v>0</v>
      </c>
      <c r="AG670" s="9"/>
      <c r="AH670" s="8" t="str">
        <f>IF(AG670="","",Assumptions!$B$4-AG670)</f>
        <v/>
      </c>
      <c r="AI670" s="5" t="s">
        <v>80</v>
      </c>
      <c r="AJ670" s="8"/>
      <c r="AK670" s="8">
        <v>0</v>
      </c>
      <c r="AL670" s="8">
        <v>690</v>
      </c>
      <c r="AM670" s="8">
        <v>1</v>
      </c>
      <c r="AN670" s="5" t="s">
        <v>63</v>
      </c>
      <c r="AO670" s="10">
        <v>64</v>
      </c>
      <c r="AP670" s="8">
        <v>13</v>
      </c>
      <c r="AQ670" s="9">
        <v>46278</v>
      </c>
      <c r="AR670" s="5" t="s">
        <v>51</v>
      </c>
      <c r="AS670" s="5" t="s">
        <v>81</v>
      </c>
    </row>
    <row r="671" spans="1:45" x14ac:dyDescent="0.35">
      <c r="A671" s="5" t="s">
        <v>3098</v>
      </c>
      <c r="B671" s="5" t="s">
        <v>2252</v>
      </c>
      <c r="C671" s="6" t="s">
        <v>3099</v>
      </c>
      <c r="D671" s="7">
        <v>140800</v>
      </c>
      <c r="E671" s="5" t="s">
        <v>48</v>
      </c>
      <c r="F671" s="5" t="s">
        <v>49</v>
      </c>
      <c r="G671" s="8"/>
      <c r="H671" s="8" t="str">
        <f>IF(F671="Bullet",MIN(G671,Assumptions!$B$6),"")</f>
        <v/>
      </c>
      <c r="I671" s="8">
        <v>1</v>
      </c>
      <c r="J671" s="8">
        <f>IF(F671="Monthly interest",MAX(0,Assumptions!$B$5-I671),"")</f>
        <v>2</v>
      </c>
      <c r="K671" s="7">
        <f t="shared" si="30"/>
        <v>1877</v>
      </c>
      <c r="L671" s="9">
        <v>46293</v>
      </c>
      <c r="M671" s="5" t="s">
        <v>69</v>
      </c>
      <c r="N671" s="5" t="s">
        <v>51</v>
      </c>
      <c r="O671" s="5" t="s">
        <v>52</v>
      </c>
      <c r="P671" s="5" t="s">
        <v>53</v>
      </c>
      <c r="Q671" s="5" t="s">
        <v>54</v>
      </c>
      <c r="R671" s="5" t="s">
        <v>55</v>
      </c>
      <c r="S671" s="5" t="s">
        <v>253</v>
      </c>
      <c r="T671" s="5" t="s">
        <v>57</v>
      </c>
      <c r="U671" s="5" t="s">
        <v>86</v>
      </c>
      <c r="V671" s="5" t="s">
        <v>215</v>
      </c>
      <c r="W671" s="5" t="s">
        <v>232</v>
      </c>
      <c r="X671" s="5" t="s">
        <v>1927</v>
      </c>
      <c r="Y671" s="5" t="s">
        <v>3100</v>
      </c>
      <c r="Z671" s="9">
        <v>46201</v>
      </c>
      <c r="AA671" s="8">
        <v>12</v>
      </c>
      <c r="AB671" s="9">
        <f t="shared" si="31"/>
        <v>46566</v>
      </c>
      <c r="AC671" s="10">
        <v>16</v>
      </c>
      <c r="AD671" s="7">
        <f t="shared" si="32"/>
        <v>1877</v>
      </c>
      <c r="AE671" s="7">
        <f>IF(F671="Bullet",H671*AD671,MIN(MAX(I671,1),Assumptions!$B$6)*AD671)</f>
        <v>1877</v>
      </c>
      <c r="AF671" s="8">
        <f>IF(F671="Bullet",MAX(0,Assumptions!$B$4-AB671),MAX(0,Assumptions!$B$4-L671))</f>
        <v>5</v>
      </c>
      <c r="AG671" s="9">
        <v>46263</v>
      </c>
      <c r="AH671" s="8">
        <f>IF(AG671="","",Assumptions!$B$4-AG671)</f>
        <v>35</v>
      </c>
      <c r="AI671" s="5" t="s">
        <v>63</v>
      </c>
      <c r="AJ671" s="8">
        <v>1</v>
      </c>
      <c r="AK671" s="8">
        <v>0</v>
      </c>
      <c r="AL671" s="8" t="s">
        <v>80</v>
      </c>
      <c r="AM671" s="8">
        <v>2</v>
      </c>
      <c r="AN671" s="5" t="s">
        <v>57</v>
      </c>
      <c r="AO671" s="10">
        <v>53.7</v>
      </c>
      <c r="AP671" s="8">
        <v>38</v>
      </c>
      <c r="AQ671" s="9">
        <v>46297</v>
      </c>
      <c r="AR671" s="5" t="s">
        <v>70</v>
      </c>
      <c r="AS671" s="5" t="s">
        <v>81</v>
      </c>
    </row>
    <row r="672" spans="1:45" x14ac:dyDescent="0.35">
      <c r="A672" s="5" t="s">
        <v>3101</v>
      </c>
      <c r="B672" s="5" t="s">
        <v>3102</v>
      </c>
      <c r="C672" s="6" t="s">
        <v>3103</v>
      </c>
      <c r="D672" s="7">
        <v>1029500</v>
      </c>
      <c r="E672" s="5" t="s">
        <v>48</v>
      </c>
      <c r="F672" s="5" t="s">
        <v>49</v>
      </c>
      <c r="G672" s="8"/>
      <c r="H672" s="8" t="str">
        <f>IF(F672="Bullet",MIN(G672,Assumptions!$B$6),"")</f>
        <v/>
      </c>
      <c r="I672" s="8">
        <v>1</v>
      </c>
      <c r="J672" s="8">
        <f>IF(F672="Monthly interest",MAX(0,Assumptions!$B$5-I672),"")</f>
        <v>2</v>
      </c>
      <c r="K672" s="7">
        <f t="shared" si="30"/>
        <v>12011</v>
      </c>
      <c r="L672" s="9">
        <v>46292</v>
      </c>
      <c r="M672" s="5" t="s">
        <v>69</v>
      </c>
      <c r="N672" s="5" t="s">
        <v>53</v>
      </c>
      <c r="O672" s="5" t="s">
        <v>103</v>
      </c>
      <c r="P672" s="5" t="s">
        <v>70</v>
      </c>
      <c r="Q672" s="5" t="s">
        <v>54</v>
      </c>
      <c r="R672" s="5" t="s">
        <v>55</v>
      </c>
      <c r="S672" s="5" t="s">
        <v>85</v>
      </c>
      <c r="T672" s="5" t="s">
        <v>57</v>
      </c>
      <c r="U672" s="5" t="s">
        <v>86</v>
      </c>
      <c r="V672" s="5" t="s">
        <v>553</v>
      </c>
      <c r="W672" s="5" t="s">
        <v>554</v>
      </c>
      <c r="X672" s="5" t="s">
        <v>1510</v>
      </c>
      <c r="Y672" s="5" t="s">
        <v>3104</v>
      </c>
      <c r="Z672" s="9">
        <v>46169</v>
      </c>
      <c r="AA672" s="8">
        <v>18</v>
      </c>
      <c r="AB672" s="9">
        <f t="shared" si="31"/>
        <v>46718</v>
      </c>
      <c r="AC672" s="10">
        <v>14</v>
      </c>
      <c r="AD672" s="7">
        <f t="shared" si="32"/>
        <v>12011</v>
      </c>
      <c r="AE672" s="7">
        <f>IF(F672="Bullet",H672*AD672,MIN(MAX(I672,1),Assumptions!$B$6)*AD672)</f>
        <v>12011</v>
      </c>
      <c r="AF672" s="8">
        <f>IF(F672="Bullet",MAX(0,Assumptions!$B$4-AB672),MAX(0,Assumptions!$B$4-L672))</f>
        <v>6</v>
      </c>
      <c r="AG672" s="9">
        <v>46266</v>
      </c>
      <c r="AH672" s="8">
        <f>IF(AG672="","",Assumptions!$B$4-AG672)</f>
        <v>32</v>
      </c>
      <c r="AI672" s="5" t="s">
        <v>57</v>
      </c>
      <c r="AJ672" s="8">
        <v>1</v>
      </c>
      <c r="AK672" s="8">
        <v>1</v>
      </c>
      <c r="AL672" s="8" t="s">
        <v>80</v>
      </c>
      <c r="AM672" s="8">
        <v>2</v>
      </c>
      <c r="AN672" s="5" t="s">
        <v>63</v>
      </c>
      <c r="AO672" s="10">
        <v>57.4</v>
      </c>
      <c r="AP672" s="8">
        <v>32</v>
      </c>
      <c r="AQ672" s="9">
        <v>46279</v>
      </c>
      <c r="AR672" s="5" t="s">
        <v>51</v>
      </c>
      <c r="AS672" s="5" t="s">
        <v>81</v>
      </c>
    </row>
    <row r="673" spans="1:45" x14ac:dyDescent="0.35">
      <c r="A673" s="5" t="s">
        <v>3105</v>
      </c>
      <c r="B673" s="5" t="s">
        <v>3106</v>
      </c>
      <c r="C673" s="6" t="s">
        <v>3107</v>
      </c>
      <c r="D673" s="7">
        <v>124400</v>
      </c>
      <c r="E673" s="5" t="s">
        <v>48</v>
      </c>
      <c r="F673" s="5" t="s">
        <v>49</v>
      </c>
      <c r="G673" s="8"/>
      <c r="H673" s="8" t="str">
        <f>IF(F673="Bullet",MIN(G673,Assumptions!$B$6),"")</f>
        <v/>
      </c>
      <c r="I673" s="8">
        <v>2</v>
      </c>
      <c r="J673" s="8">
        <f>IF(F673="Monthly interest",MAX(0,Assumptions!$B$5-I673),"")</f>
        <v>1</v>
      </c>
      <c r="K673" s="7">
        <f t="shared" si="30"/>
        <v>3732</v>
      </c>
      <c r="L673" s="9">
        <v>46251</v>
      </c>
      <c r="M673" s="5" t="s">
        <v>69</v>
      </c>
      <c r="N673" s="5" t="s">
        <v>53</v>
      </c>
      <c r="O673" s="5" t="s">
        <v>71</v>
      </c>
      <c r="P673" s="5" t="s">
        <v>70</v>
      </c>
      <c r="Q673" s="5" t="s">
        <v>73</v>
      </c>
      <c r="R673" s="5" t="s">
        <v>74</v>
      </c>
      <c r="S673" s="5" t="s">
        <v>85</v>
      </c>
      <c r="T673" s="5" t="s">
        <v>57</v>
      </c>
      <c r="U673" s="5" t="s">
        <v>58</v>
      </c>
      <c r="V673" s="5" t="s">
        <v>177</v>
      </c>
      <c r="W673" s="5" t="s">
        <v>208</v>
      </c>
      <c r="X673" s="5" t="s">
        <v>3108</v>
      </c>
      <c r="Y673" s="5" t="s">
        <v>3109</v>
      </c>
      <c r="Z673" s="9">
        <v>46039</v>
      </c>
      <c r="AA673" s="8">
        <v>12</v>
      </c>
      <c r="AB673" s="9">
        <f t="shared" si="31"/>
        <v>46404</v>
      </c>
      <c r="AC673" s="10">
        <v>18</v>
      </c>
      <c r="AD673" s="7">
        <f t="shared" si="32"/>
        <v>1866</v>
      </c>
      <c r="AE673" s="7">
        <f>IF(F673="Bullet",H673*AD673,MIN(MAX(I673,1),Assumptions!$B$6)*AD673)</f>
        <v>3732</v>
      </c>
      <c r="AF673" s="8">
        <f>IF(F673="Bullet",MAX(0,Assumptions!$B$4-AB673),MAX(0,Assumptions!$B$4-L673))</f>
        <v>47</v>
      </c>
      <c r="AG673" s="9">
        <v>46224</v>
      </c>
      <c r="AH673" s="8">
        <f>IF(AG673="","",Assumptions!$B$4-AG673)</f>
        <v>74</v>
      </c>
      <c r="AI673" s="5" t="s">
        <v>57</v>
      </c>
      <c r="AJ673" s="8">
        <v>3</v>
      </c>
      <c r="AK673" s="8">
        <v>0</v>
      </c>
      <c r="AL673" s="8">
        <v>698</v>
      </c>
      <c r="AM673" s="8">
        <v>0</v>
      </c>
      <c r="AN673" s="5" t="s">
        <v>63</v>
      </c>
      <c r="AO673" s="10">
        <v>66</v>
      </c>
      <c r="AP673" s="8">
        <v>47</v>
      </c>
      <c r="AQ673" s="9">
        <v>46288</v>
      </c>
      <c r="AR673" s="5" t="s">
        <v>70</v>
      </c>
      <c r="AS673" s="5" t="s">
        <v>81</v>
      </c>
    </row>
    <row r="674" spans="1:45" x14ac:dyDescent="0.35">
      <c r="A674" s="5" t="s">
        <v>3110</v>
      </c>
      <c r="B674" s="5" t="s">
        <v>3111</v>
      </c>
      <c r="C674" s="6" t="s">
        <v>3112</v>
      </c>
      <c r="D674" s="7">
        <v>293800</v>
      </c>
      <c r="E674" s="5" t="s">
        <v>48</v>
      </c>
      <c r="F674" s="5" t="s">
        <v>68</v>
      </c>
      <c r="G674" s="8">
        <v>2</v>
      </c>
      <c r="H674" s="8">
        <f>IF(F674="Bullet",MIN(G674,Assumptions!$B$6),"")</f>
        <v>2</v>
      </c>
      <c r="I674" s="8"/>
      <c r="J674" s="8" t="str">
        <f>IF(F674="Monthly interest",MAX(0,Assumptions!$B$5-I674),"")</f>
        <v/>
      </c>
      <c r="K674" s="7">
        <f t="shared" si="30"/>
        <v>7834</v>
      </c>
      <c r="L674" s="9">
        <v>46231</v>
      </c>
      <c r="M674" s="5" t="s">
        <v>50</v>
      </c>
      <c r="N674" s="5" t="s">
        <v>51</v>
      </c>
      <c r="O674" s="5" t="s">
        <v>71</v>
      </c>
      <c r="P674" s="5" t="s">
        <v>53</v>
      </c>
      <c r="Q674" s="5" t="s">
        <v>73</v>
      </c>
      <c r="R674" s="5" t="s">
        <v>74</v>
      </c>
      <c r="S674" s="5" t="s">
        <v>85</v>
      </c>
      <c r="T674" s="5" t="s">
        <v>57</v>
      </c>
      <c r="U674" s="5" t="s">
        <v>58</v>
      </c>
      <c r="V674" s="5" t="s">
        <v>553</v>
      </c>
      <c r="W674" s="5" t="s">
        <v>1029</v>
      </c>
      <c r="X674" s="5" t="s">
        <v>3113</v>
      </c>
      <c r="Y674" s="5" t="s">
        <v>3114</v>
      </c>
      <c r="Z674" s="9">
        <v>46231</v>
      </c>
      <c r="AA674" s="8">
        <v>6</v>
      </c>
      <c r="AB674" s="9">
        <f t="shared" si="31"/>
        <v>46415</v>
      </c>
      <c r="AC674" s="10">
        <v>16</v>
      </c>
      <c r="AD674" s="7">
        <f t="shared" si="32"/>
        <v>3917</v>
      </c>
      <c r="AE674" s="7">
        <f>IF(F674="Bullet",H674*AD674,MIN(MAX(I674,1),Assumptions!$B$6)*AD674)</f>
        <v>7834</v>
      </c>
      <c r="AF674" s="8">
        <f>IF(F674="Bullet",MAX(0,Assumptions!$B$4-AB674),MAX(0,Assumptions!$B$4-L674))</f>
        <v>0</v>
      </c>
      <c r="AG674" s="9"/>
      <c r="AH674" s="8" t="str">
        <f>IF(AG674="","",Assumptions!$B$4-AG674)</f>
        <v/>
      </c>
      <c r="AI674" s="5" t="s">
        <v>80</v>
      </c>
      <c r="AJ674" s="8"/>
      <c r="AK674" s="8">
        <v>0</v>
      </c>
      <c r="AL674" s="8">
        <v>606</v>
      </c>
      <c r="AM674" s="8">
        <v>2</v>
      </c>
      <c r="AN674" s="5" t="s">
        <v>63</v>
      </c>
      <c r="AO674" s="10">
        <v>58.8</v>
      </c>
      <c r="AP674" s="8">
        <v>24</v>
      </c>
      <c r="AQ674" s="9">
        <v>46286</v>
      </c>
      <c r="AR674" s="5" t="s">
        <v>72</v>
      </c>
      <c r="AS674" s="5" t="s">
        <v>190</v>
      </c>
    </row>
    <row r="675" spans="1:45" x14ac:dyDescent="0.35">
      <c r="A675" s="5" t="s">
        <v>3115</v>
      </c>
      <c r="B675" s="5" t="s">
        <v>3116</v>
      </c>
      <c r="C675" s="6" t="s">
        <v>3117</v>
      </c>
      <c r="D675" s="7">
        <v>119500</v>
      </c>
      <c r="E675" s="5" t="s">
        <v>48</v>
      </c>
      <c r="F675" s="5" t="s">
        <v>49</v>
      </c>
      <c r="G675" s="8"/>
      <c r="H675" s="8" t="str">
        <f>IF(F675="Bullet",MIN(G675,Assumptions!$B$6),"")</f>
        <v/>
      </c>
      <c r="I675" s="8">
        <v>2</v>
      </c>
      <c r="J675" s="8">
        <f>IF(F675="Monthly interest",MAX(0,Assumptions!$B$5-I675),"")</f>
        <v>1</v>
      </c>
      <c r="K675" s="7">
        <f t="shared" si="30"/>
        <v>3586</v>
      </c>
      <c r="L675" s="9">
        <v>46251</v>
      </c>
      <c r="M675" s="5" t="s">
        <v>116</v>
      </c>
      <c r="N675" s="5" t="s">
        <v>117</v>
      </c>
      <c r="O675" s="5" t="s">
        <v>118</v>
      </c>
      <c r="P675" s="5" t="s">
        <v>72</v>
      </c>
      <c r="Q675" s="5" t="s">
        <v>119</v>
      </c>
      <c r="R675" s="5" t="s">
        <v>120</v>
      </c>
      <c r="S675" s="5" t="s">
        <v>85</v>
      </c>
      <c r="T675" s="5" t="s">
        <v>57</v>
      </c>
      <c r="U675" s="5" t="s">
        <v>86</v>
      </c>
      <c r="V675" s="5" t="s">
        <v>96</v>
      </c>
      <c r="W675" s="5" t="s">
        <v>97</v>
      </c>
      <c r="X675" s="5" t="s">
        <v>3118</v>
      </c>
      <c r="Y675" s="5" t="s">
        <v>3119</v>
      </c>
      <c r="Z675" s="9">
        <v>46190</v>
      </c>
      <c r="AA675" s="8">
        <v>12</v>
      </c>
      <c r="AB675" s="9">
        <f t="shared" si="31"/>
        <v>46555</v>
      </c>
      <c r="AC675" s="10">
        <v>18</v>
      </c>
      <c r="AD675" s="7">
        <f t="shared" si="32"/>
        <v>1793</v>
      </c>
      <c r="AE675" s="7">
        <f>IF(F675="Bullet",H675*AD675,MIN(MAX(I675,1),Assumptions!$B$6)*AD675)</f>
        <v>3586</v>
      </c>
      <c r="AF675" s="8">
        <f>IF(F675="Bullet",MAX(0,Assumptions!$B$4-AB675),MAX(0,Assumptions!$B$4-L675))</f>
        <v>47</v>
      </c>
      <c r="AG675" s="9">
        <v>46223</v>
      </c>
      <c r="AH675" s="8">
        <f>IF(AG675="","",Assumptions!$B$4-AG675)</f>
        <v>75</v>
      </c>
      <c r="AI675" s="5" t="s">
        <v>57</v>
      </c>
      <c r="AJ675" s="8">
        <v>2</v>
      </c>
      <c r="AK675" s="8">
        <v>1</v>
      </c>
      <c r="AL675" s="8" t="s">
        <v>80</v>
      </c>
      <c r="AM675" s="8">
        <v>0</v>
      </c>
      <c r="AN675" s="5" t="s">
        <v>63</v>
      </c>
      <c r="AO675" s="10">
        <v>76.099999999999994</v>
      </c>
      <c r="AP675" s="8">
        <v>54</v>
      </c>
      <c r="AQ675" s="9">
        <v>46291</v>
      </c>
      <c r="AR675" s="5" t="s">
        <v>53</v>
      </c>
      <c r="AS675" s="5" t="s">
        <v>181</v>
      </c>
    </row>
    <row r="676" spans="1:45" x14ac:dyDescent="0.35">
      <c r="A676" s="5" t="s">
        <v>3120</v>
      </c>
      <c r="B676" s="5" t="s">
        <v>3121</v>
      </c>
      <c r="C676" s="6" t="s">
        <v>3122</v>
      </c>
      <c r="D676" s="7">
        <v>40400</v>
      </c>
      <c r="E676" s="5" t="s">
        <v>48</v>
      </c>
      <c r="F676" s="5" t="s">
        <v>49</v>
      </c>
      <c r="G676" s="8"/>
      <c r="H676" s="8" t="str">
        <f>IF(F676="Bullet",MIN(G676,Assumptions!$B$6),"")</f>
        <v/>
      </c>
      <c r="I676" s="8">
        <v>2</v>
      </c>
      <c r="J676" s="8">
        <f>IF(F676="Monthly interest",MAX(0,Assumptions!$B$5-I676),"")</f>
        <v>1</v>
      </c>
      <c r="K676" s="7">
        <f t="shared" si="30"/>
        <v>1346</v>
      </c>
      <c r="L676" s="9">
        <v>46251</v>
      </c>
      <c r="M676" s="5" t="s">
        <v>116</v>
      </c>
      <c r="N676" s="5" t="s">
        <v>117</v>
      </c>
      <c r="O676" s="5" t="s">
        <v>450</v>
      </c>
      <c r="P676" s="5" t="s">
        <v>72</v>
      </c>
      <c r="Q676" s="5" t="s">
        <v>154</v>
      </c>
      <c r="R676" s="5" t="s">
        <v>155</v>
      </c>
      <c r="S676" s="5" t="s">
        <v>85</v>
      </c>
      <c r="T676" s="5" t="s">
        <v>57</v>
      </c>
      <c r="U676" s="5" t="s">
        <v>86</v>
      </c>
      <c r="V676" s="5" t="s">
        <v>96</v>
      </c>
      <c r="W676" s="5" t="s">
        <v>819</v>
      </c>
      <c r="X676" s="5" t="s">
        <v>1459</v>
      </c>
      <c r="Y676" s="5" t="s">
        <v>3123</v>
      </c>
      <c r="Z676" s="9">
        <v>46190</v>
      </c>
      <c r="AA676" s="8">
        <v>12</v>
      </c>
      <c r="AB676" s="9">
        <f t="shared" si="31"/>
        <v>46555</v>
      </c>
      <c r="AC676" s="10">
        <v>20</v>
      </c>
      <c r="AD676" s="7">
        <f t="shared" si="32"/>
        <v>673</v>
      </c>
      <c r="AE676" s="7">
        <f>IF(F676="Bullet",H676*AD676,MIN(MAX(I676,1),Assumptions!$B$6)*AD676)</f>
        <v>1346</v>
      </c>
      <c r="AF676" s="8">
        <f>IF(F676="Bullet",MAX(0,Assumptions!$B$4-AB676),MAX(0,Assumptions!$B$4-L676))</f>
        <v>47</v>
      </c>
      <c r="AG676" s="9">
        <v>46222</v>
      </c>
      <c r="AH676" s="8">
        <f>IF(AG676="","",Assumptions!$B$4-AG676)</f>
        <v>76</v>
      </c>
      <c r="AI676" s="5" t="s">
        <v>63</v>
      </c>
      <c r="AJ676" s="8">
        <v>3</v>
      </c>
      <c r="AK676" s="8">
        <v>0</v>
      </c>
      <c r="AL676" s="8">
        <v>581</v>
      </c>
      <c r="AM676" s="8">
        <v>0</v>
      </c>
      <c r="AN676" s="5" t="s">
        <v>57</v>
      </c>
      <c r="AO676" s="10">
        <v>65.599999999999994</v>
      </c>
      <c r="AP676" s="8">
        <v>67</v>
      </c>
      <c r="AQ676" s="9">
        <v>46286</v>
      </c>
      <c r="AR676" s="5" t="s">
        <v>70</v>
      </c>
      <c r="AS676" s="5" t="s">
        <v>81</v>
      </c>
    </row>
    <row r="677" spans="1:45" x14ac:dyDescent="0.35">
      <c r="A677" s="5" t="s">
        <v>3124</v>
      </c>
      <c r="B677" s="5" t="s">
        <v>870</v>
      </c>
      <c r="C677" s="6" t="s">
        <v>3125</v>
      </c>
      <c r="D677" s="7">
        <v>332000</v>
      </c>
      <c r="E677" s="5" t="s">
        <v>48</v>
      </c>
      <c r="F677" s="5" t="s">
        <v>49</v>
      </c>
      <c r="G677" s="8"/>
      <c r="H677" s="8" t="str">
        <f>IF(F677="Bullet",MIN(G677,Assumptions!$B$6),"")</f>
        <v/>
      </c>
      <c r="I677" s="8">
        <v>2</v>
      </c>
      <c r="J677" s="8">
        <f>IF(F677="Monthly interest",MAX(0,Assumptions!$B$5-I677),"")</f>
        <v>1</v>
      </c>
      <c r="K677" s="7">
        <f t="shared" si="30"/>
        <v>13280</v>
      </c>
      <c r="L677" s="9">
        <v>46262</v>
      </c>
      <c r="M677" s="5" t="s">
        <v>116</v>
      </c>
      <c r="N677" s="5" t="s">
        <v>117</v>
      </c>
      <c r="O677" s="5" t="s">
        <v>118</v>
      </c>
      <c r="P677" s="5" t="s">
        <v>72</v>
      </c>
      <c r="Q677" s="5" t="s">
        <v>119</v>
      </c>
      <c r="R677" s="5" t="s">
        <v>120</v>
      </c>
      <c r="S677" s="5" t="s">
        <v>214</v>
      </c>
      <c r="T677" s="5" t="s">
        <v>57</v>
      </c>
      <c r="U677" s="5" t="s">
        <v>104</v>
      </c>
      <c r="V677" s="5" t="s">
        <v>215</v>
      </c>
      <c r="W677" s="5" t="s">
        <v>1057</v>
      </c>
      <c r="X677" s="5" t="s">
        <v>3126</v>
      </c>
      <c r="Y677" s="5" t="s">
        <v>3127</v>
      </c>
      <c r="Z677" s="9">
        <v>46050</v>
      </c>
      <c r="AA677" s="8">
        <v>24</v>
      </c>
      <c r="AB677" s="9">
        <f t="shared" si="31"/>
        <v>46780</v>
      </c>
      <c r="AC677" s="10">
        <v>24</v>
      </c>
      <c r="AD677" s="7">
        <f t="shared" si="32"/>
        <v>6640</v>
      </c>
      <c r="AE677" s="7">
        <f>IF(F677="Bullet",H677*AD677,MIN(MAX(I677,1),Assumptions!$B$6)*AD677)</f>
        <v>13280</v>
      </c>
      <c r="AF677" s="8">
        <f>IF(F677="Bullet",MAX(0,Assumptions!$B$4-AB677),MAX(0,Assumptions!$B$4-L677))</f>
        <v>36</v>
      </c>
      <c r="AG677" s="9">
        <v>46235</v>
      </c>
      <c r="AH677" s="8">
        <f>IF(AG677="","",Assumptions!$B$4-AG677)</f>
        <v>63</v>
      </c>
      <c r="AI677" s="5" t="s">
        <v>57</v>
      </c>
      <c r="AJ677" s="8">
        <v>4</v>
      </c>
      <c r="AK677" s="8">
        <v>0</v>
      </c>
      <c r="AL677" s="8" t="s">
        <v>80</v>
      </c>
      <c r="AM677" s="8">
        <v>1</v>
      </c>
      <c r="AN677" s="5" t="s">
        <v>63</v>
      </c>
      <c r="AO677" s="10">
        <v>66.099999999999994</v>
      </c>
      <c r="AP677" s="8">
        <v>48</v>
      </c>
      <c r="AQ677" s="9">
        <v>46293</v>
      </c>
      <c r="AR677" s="5" t="s">
        <v>51</v>
      </c>
      <c r="AS677" s="5" t="s">
        <v>64</v>
      </c>
    </row>
    <row r="678" spans="1:45" x14ac:dyDescent="0.35">
      <c r="A678" s="5" t="s">
        <v>3128</v>
      </c>
      <c r="B678" s="5" t="s">
        <v>3129</v>
      </c>
      <c r="C678" s="6" t="s">
        <v>3130</v>
      </c>
      <c r="D678" s="7">
        <v>121200</v>
      </c>
      <c r="E678" s="5" t="s">
        <v>48</v>
      </c>
      <c r="F678" s="5" t="s">
        <v>68</v>
      </c>
      <c r="G678" s="8">
        <v>4</v>
      </c>
      <c r="H678" s="8">
        <f>IF(F678="Bullet",MIN(G678,Assumptions!$B$6),"")</f>
        <v>2</v>
      </c>
      <c r="I678" s="8"/>
      <c r="J678" s="8" t="str">
        <f>IF(F678="Monthly interest",MAX(0,Assumptions!$B$5-I678),"")</f>
        <v/>
      </c>
      <c r="K678" s="7">
        <f t="shared" si="30"/>
        <v>5656</v>
      </c>
      <c r="L678" s="9">
        <v>46176</v>
      </c>
      <c r="M678" s="5" t="s">
        <v>50</v>
      </c>
      <c r="N678" s="5" t="s">
        <v>53</v>
      </c>
      <c r="O678" s="5" t="s">
        <v>71</v>
      </c>
      <c r="P678" s="5" t="s">
        <v>51</v>
      </c>
      <c r="Q678" s="5" t="s">
        <v>73</v>
      </c>
      <c r="R678" s="5" t="s">
        <v>74</v>
      </c>
      <c r="S678" s="5" t="s">
        <v>185</v>
      </c>
      <c r="T678" s="5" t="s">
        <v>57</v>
      </c>
      <c r="U678" s="5" t="s">
        <v>104</v>
      </c>
      <c r="V678" s="5" t="s">
        <v>186</v>
      </c>
      <c r="W678" s="5" t="s">
        <v>694</v>
      </c>
      <c r="X678" s="5" t="s">
        <v>1099</v>
      </c>
      <c r="Y678" s="5" t="s">
        <v>3131</v>
      </c>
      <c r="Z678" s="9">
        <v>46176</v>
      </c>
      <c r="AA678" s="8">
        <v>6</v>
      </c>
      <c r="AB678" s="9">
        <f t="shared" si="31"/>
        <v>46359</v>
      </c>
      <c r="AC678" s="10">
        <v>14</v>
      </c>
      <c r="AD678" s="7">
        <f t="shared" si="32"/>
        <v>1414</v>
      </c>
      <c r="AE678" s="7">
        <f>IF(F678="Bullet",H678*AD678,MIN(MAX(I678,1),Assumptions!$B$6)*AD678)</f>
        <v>2828</v>
      </c>
      <c r="AF678" s="8">
        <f>IF(F678="Bullet",MAX(0,Assumptions!$B$4-AB678),MAX(0,Assumptions!$B$4-L678))</f>
        <v>0</v>
      </c>
      <c r="AG678" s="9"/>
      <c r="AH678" s="8" t="str">
        <f>IF(AG678="","",Assumptions!$B$4-AG678)</f>
        <v/>
      </c>
      <c r="AI678" s="5" t="s">
        <v>80</v>
      </c>
      <c r="AJ678" s="8"/>
      <c r="AK678" s="8">
        <v>0</v>
      </c>
      <c r="AL678" s="8">
        <v>703</v>
      </c>
      <c r="AM678" s="8">
        <v>0</v>
      </c>
      <c r="AN678" s="5" t="s">
        <v>63</v>
      </c>
      <c r="AO678" s="10">
        <v>69</v>
      </c>
      <c r="AP678" s="8">
        <v>28</v>
      </c>
      <c r="AQ678" s="9"/>
      <c r="AR678" s="5"/>
      <c r="AS678" s="5" t="s">
        <v>159</v>
      </c>
    </row>
    <row r="679" spans="1:45" x14ac:dyDescent="0.35">
      <c r="A679" s="5" t="s">
        <v>3132</v>
      </c>
      <c r="B679" s="5" t="s">
        <v>3133</v>
      </c>
      <c r="C679" s="6" t="s">
        <v>3134</v>
      </c>
      <c r="D679" s="7">
        <v>248900</v>
      </c>
      <c r="E679" s="5" t="s">
        <v>48</v>
      </c>
      <c r="F679" s="5" t="s">
        <v>49</v>
      </c>
      <c r="G679" s="8"/>
      <c r="H679" s="8" t="str">
        <f>IF(F679="Bullet",MIN(G679,Assumptions!$B$6),"")</f>
        <v/>
      </c>
      <c r="I679" s="8">
        <v>2</v>
      </c>
      <c r="J679" s="8">
        <f>IF(F679="Monthly interest",MAX(0,Assumptions!$B$5-I679),"")</f>
        <v>1</v>
      </c>
      <c r="K679" s="7">
        <f t="shared" si="30"/>
        <v>9126</v>
      </c>
      <c r="L679" s="9">
        <v>46257</v>
      </c>
      <c r="M679" s="5" t="s">
        <v>116</v>
      </c>
      <c r="N679" s="5" t="s">
        <v>117</v>
      </c>
      <c r="O679" s="5" t="s">
        <v>118</v>
      </c>
      <c r="P679" s="5" t="s">
        <v>72</v>
      </c>
      <c r="Q679" s="5" t="s">
        <v>119</v>
      </c>
      <c r="R679" s="5" t="s">
        <v>120</v>
      </c>
      <c r="S679" s="5" t="s">
        <v>185</v>
      </c>
      <c r="T679" s="5" t="s">
        <v>57</v>
      </c>
      <c r="U679" s="5" t="s">
        <v>104</v>
      </c>
      <c r="V679" s="5" t="s">
        <v>186</v>
      </c>
      <c r="W679" s="5" t="s">
        <v>376</v>
      </c>
      <c r="X679" s="5" t="s">
        <v>3135</v>
      </c>
      <c r="Y679" s="5" t="s">
        <v>3136</v>
      </c>
      <c r="Z679" s="9">
        <v>45984</v>
      </c>
      <c r="AA679" s="8">
        <v>18</v>
      </c>
      <c r="AB679" s="9">
        <f t="shared" si="31"/>
        <v>46530</v>
      </c>
      <c r="AC679" s="10">
        <v>22</v>
      </c>
      <c r="AD679" s="7">
        <f t="shared" si="32"/>
        <v>4563</v>
      </c>
      <c r="AE679" s="7">
        <f>IF(F679="Bullet",H679*AD679,MIN(MAX(I679,1),Assumptions!$B$6)*AD679)</f>
        <v>9126</v>
      </c>
      <c r="AF679" s="8">
        <f>IF(F679="Bullet",MAX(0,Assumptions!$B$4-AB679),MAX(0,Assumptions!$B$4-L679))</f>
        <v>41</v>
      </c>
      <c r="AG679" s="9">
        <v>46228</v>
      </c>
      <c r="AH679" s="8">
        <f>IF(AG679="","",Assumptions!$B$4-AG679)</f>
        <v>70</v>
      </c>
      <c r="AI679" s="5" t="s">
        <v>63</v>
      </c>
      <c r="AJ679" s="8">
        <v>2</v>
      </c>
      <c r="AK679" s="8">
        <v>1</v>
      </c>
      <c r="AL679" s="8">
        <v>750</v>
      </c>
      <c r="AM679" s="8">
        <v>1</v>
      </c>
      <c r="AN679" s="5" t="s">
        <v>63</v>
      </c>
      <c r="AO679" s="10">
        <v>84.7</v>
      </c>
      <c r="AP679" s="8">
        <v>48</v>
      </c>
      <c r="AQ679" s="9">
        <v>46282</v>
      </c>
      <c r="AR679" s="5" t="s">
        <v>70</v>
      </c>
      <c r="AS679" s="5" t="s">
        <v>64</v>
      </c>
    </row>
    <row r="680" spans="1:45" x14ac:dyDescent="0.35">
      <c r="A680" s="5" t="s">
        <v>3137</v>
      </c>
      <c r="B680" s="5" t="s">
        <v>3138</v>
      </c>
      <c r="C680" s="6" t="s">
        <v>3139</v>
      </c>
      <c r="D680" s="7">
        <v>146100</v>
      </c>
      <c r="E680" s="5" t="s">
        <v>48</v>
      </c>
      <c r="F680" s="5" t="s">
        <v>68</v>
      </c>
      <c r="G680" s="8">
        <v>4</v>
      </c>
      <c r="H680" s="8">
        <f>IF(F680="Bullet",MIN(G680,Assumptions!$B$6),"")</f>
        <v>2</v>
      </c>
      <c r="I680" s="8"/>
      <c r="J680" s="8" t="str">
        <f>IF(F680="Monthly interest",MAX(0,Assumptions!$B$5-I680),"")</f>
        <v/>
      </c>
      <c r="K680" s="7">
        <f t="shared" si="30"/>
        <v>7792</v>
      </c>
      <c r="L680" s="9">
        <v>46175</v>
      </c>
      <c r="M680" s="5" t="s">
        <v>69</v>
      </c>
      <c r="N680" s="5" t="s">
        <v>53</v>
      </c>
      <c r="O680" s="5" t="s">
        <v>71</v>
      </c>
      <c r="P680" s="5" t="s">
        <v>70</v>
      </c>
      <c r="Q680" s="5" t="s">
        <v>73</v>
      </c>
      <c r="R680" s="5" t="s">
        <v>74</v>
      </c>
      <c r="S680" s="5" t="s">
        <v>214</v>
      </c>
      <c r="T680" s="5" t="s">
        <v>57</v>
      </c>
      <c r="U680" s="5" t="s">
        <v>58</v>
      </c>
      <c r="V680" s="5" t="s">
        <v>215</v>
      </c>
      <c r="W680" s="5" t="s">
        <v>216</v>
      </c>
      <c r="X680" s="5" t="s">
        <v>1797</v>
      </c>
      <c r="Y680" s="5" t="s">
        <v>3140</v>
      </c>
      <c r="Z680" s="9">
        <v>46175</v>
      </c>
      <c r="AA680" s="8">
        <v>6</v>
      </c>
      <c r="AB680" s="9">
        <f t="shared" si="31"/>
        <v>46358</v>
      </c>
      <c r="AC680" s="10">
        <v>16</v>
      </c>
      <c r="AD680" s="7">
        <f t="shared" si="32"/>
        <v>1948</v>
      </c>
      <c r="AE680" s="7">
        <f>IF(F680="Bullet",H680*AD680,MIN(MAX(I680,1),Assumptions!$B$6)*AD680)</f>
        <v>3896</v>
      </c>
      <c r="AF680" s="8">
        <f>IF(F680="Bullet",MAX(0,Assumptions!$B$4-AB680),MAX(0,Assumptions!$B$4-L680))</f>
        <v>0</v>
      </c>
      <c r="AG680" s="9"/>
      <c r="AH680" s="8" t="str">
        <f>IF(AG680="","",Assumptions!$B$4-AG680)</f>
        <v/>
      </c>
      <c r="AI680" s="5" t="s">
        <v>80</v>
      </c>
      <c r="AJ680" s="8"/>
      <c r="AK680" s="8">
        <v>0</v>
      </c>
      <c r="AL680" s="8">
        <v>739</v>
      </c>
      <c r="AM680" s="8">
        <v>1</v>
      </c>
      <c r="AN680" s="5" t="s">
        <v>63</v>
      </c>
      <c r="AO680" s="10">
        <v>80.2</v>
      </c>
      <c r="AP680" s="8">
        <v>36</v>
      </c>
      <c r="AQ680" s="9"/>
      <c r="AR680" s="5"/>
      <c r="AS680" s="5" t="s">
        <v>159</v>
      </c>
    </row>
    <row r="681" spans="1:45" x14ac:dyDescent="0.35">
      <c r="A681" s="5" t="s">
        <v>3141</v>
      </c>
      <c r="B681" s="5" t="s">
        <v>1976</v>
      </c>
      <c r="C681" s="6" t="s">
        <v>3142</v>
      </c>
      <c r="D681" s="7">
        <v>99700</v>
      </c>
      <c r="E681" s="5" t="s">
        <v>48</v>
      </c>
      <c r="F681" s="5" t="s">
        <v>68</v>
      </c>
      <c r="G681" s="8">
        <v>4</v>
      </c>
      <c r="H681" s="8">
        <f>IF(F681="Bullet",MIN(G681,Assumptions!$B$6),"")</f>
        <v>2</v>
      </c>
      <c r="I681" s="8"/>
      <c r="J681" s="8" t="str">
        <f>IF(F681="Monthly interest",MAX(0,Assumptions!$B$5-I681),"")</f>
        <v/>
      </c>
      <c r="K681" s="7">
        <f t="shared" si="30"/>
        <v>4984</v>
      </c>
      <c r="L681" s="9">
        <v>46170</v>
      </c>
      <c r="M681" s="5" t="s">
        <v>69</v>
      </c>
      <c r="N681" s="5" t="s">
        <v>53</v>
      </c>
      <c r="O681" s="5" t="s">
        <v>71</v>
      </c>
      <c r="P681" s="5" t="s">
        <v>70</v>
      </c>
      <c r="Q681" s="5" t="s">
        <v>73</v>
      </c>
      <c r="R681" s="5" t="s">
        <v>74</v>
      </c>
      <c r="S681" s="5" t="s">
        <v>185</v>
      </c>
      <c r="T681" s="5" t="s">
        <v>57</v>
      </c>
      <c r="U681" s="5" t="s">
        <v>86</v>
      </c>
      <c r="V681" s="5" t="s">
        <v>200</v>
      </c>
      <c r="W681" s="5" t="s">
        <v>767</v>
      </c>
      <c r="X681" s="5" t="s">
        <v>768</v>
      </c>
      <c r="Y681" s="5" t="s">
        <v>3143</v>
      </c>
      <c r="Z681" s="9">
        <v>46170</v>
      </c>
      <c r="AA681" s="8">
        <v>3</v>
      </c>
      <c r="AB681" s="9">
        <f t="shared" si="31"/>
        <v>46262</v>
      </c>
      <c r="AC681" s="10">
        <v>15</v>
      </c>
      <c r="AD681" s="7">
        <f t="shared" si="32"/>
        <v>1246</v>
      </c>
      <c r="AE681" s="7">
        <f>IF(F681="Bullet",H681*AD681,MIN(MAX(I681,1),Assumptions!$B$6)*AD681)</f>
        <v>2492</v>
      </c>
      <c r="AF681" s="8">
        <f>IF(F681="Bullet",MAX(0,Assumptions!$B$4-AB681),MAX(0,Assumptions!$B$4-L681))</f>
        <v>36</v>
      </c>
      <c r="AG681" s="9"/>
      <c r="AH681" s="8" t="str">
        <f>IF(AG681="","",Assumptions!$B$4-AG681)</f>
        <v/>
      </c>
      <c r="AI681" s="5" t="s">
        <v>80</v>
      </c>
      <c r="AJ681" s="8"/>
      <c r="AK681" s="8">
        <v>0</v>
      </c>
      <c r="AL681" s="8" t="s">
        <v>80</v>
      </c>
      <c r="AM681" s="8">
        <v>1</v>
      </c>
      <c r="AN681" s="5" t="s">
        <v>63</v>
      </c>
      <c r="AO681" s="10">
        <v>73.8</v>
      </c>
      <c r="AP681" s="8">
        <v>44</v>
      </c>
      <c r="AQ681" s="9">
        <v>46277</v>
      </c>
      <c r="AR681" s="5" t="s">
        <v>70</v>
      </c>
      <c r="AS681" s="5" t="s">
        <v>81</v>
      </c>
    </row>
    <row r="682" spans="1:45" x14ac:dyDescent="0.35">
      <c r="A682" s="5" t="s">
        <v>3144</v>
      </c>
      <c r="B682" s="5" t="s">
        <v>3145</v>
      </c>
      <c r="C682" s="6" t="s">
        <v>3146</v>
      </c>
      <c r="D682" s="7">
        <v>1127700</v>
      </c>
      <c r="E682" s="5" t="s">
        <v>48</v>
      </c>
      <c r="F682" s="5" t="s">
        <v>49</v>
      </c>
      <c r="G682" s="8"/>
      <c r="H682" s="8" t="str">
        <f>IF(F682="Bullet",MIN(G682,Assumptions!$B$6),"")</f>
        <v/>
      </c>
      <c r="I682" s="8">
        <v>2</v>
      </c>
      <c r="J682" s="8">
        <f>IF(F682="Monthly interest",MAX(0,Assumptions!$B$5-I682),"")</f>
        <v>1</v>
      </c>
      <c r="K682" s="7">
        <f t="shared" si="30"/>
        <v>45108</v>
      </c>
      <c r="L682" s="9">
        <v>46268</v>
      </c>
      <c r="M682" s="5" t="s">
        <v>50</v>
      </c>
      <c r="N682" s="5" t="s">
        <v>51</v>
      </c>
      <c r="O682" s="5" t="s">
        <v>71</v>
      </c>
      <c r="P682" s="5" t="s">
        <v>53</v>
      </c>
      <c r="Q682" s="5" t="s">
        <v>73</v>
      </c>
      <c r="R682" s="5" t="s">
        <v>74</v>
      </c>
      <c r="S682" s="5" t="s">
        <v>75</v>
      </c>
      <c r="T682" s="5" t="s">
        <v>57</v>
      </c>
      <c r="U682" s="5" t="s">
        <v>104</v>
      </c>
      <c r="V682" s="5" t="s">
        <v>76</v>
      </c>
      <c r="W682" s="5" t="s">
        <v>306</v>
      </c>
      <c r="X682" s="5" t="s">
        <v>1094</v>
      </c>
      <c r="Y682" s="5" t="s">
        <v>3147</v>
      </c>
      <c r="Z682" s="9">
        <v>46084</v>
      </c>
      <c r="AA682" s="8">
        <v>12</v>
      </c>
      <c r="AB682" s="9">
        <f t="shared" si="31"/>
        <v>46449</v>
      </c>
      <c r="AC682" s="10">
        <v>24</v>
      </c>
      <c r="AD682" s="7">
        <f t="shared" si="32"/>
        <v>22554</v>
      </c>
      <c r="AE682" s="7">
        <f>IF(F682="Bullet",H682*AD682,MIN(MAX(I682,1),Assumptions!$B$6)*AD682)</f>
        <v>45108</v>
      </c>
      <c r="AF682" s="8">
        <f>IF(F682="Bullet",MAX(0,Assumptions!$B$4-AB682),MAX(0,Assumptions!$B$4-L682))</f>
        <v>30</v>
      </c>
      <c r="AG682" s="9">
        <v>46240</v>
      </c>
      <c r="AH682" s="8">
        <f>IF(AG682="","",Assumptions!$B$4-AG682)</f>
        <v>58</v>
      </c>
      <c r="AI682" s="5" t="s">
        <v>63</v>
      </c>
      <c r="AJ682" s="8">
        <v>2</v>
      </c>
      <c r="AK682" s="8">
        <v>0</v>
      </c>
      <c r="AL682" s="8">
        <v>856</v>
      </c>
      <c r="AM682" s="8">
        <v>3</v>
      </c>
      <c r="AN682" s="5" t="s">
        <v>63</v>
      </c>
      <c r="AO682" s="10">
        <v>63.6</v>
      </c>
      <c r="AP682" s="8">
        <v>29</v>
      </c>
      <c r="AQ682" s="9">
        <v>46281</v>
      </c>
      <c r="AR682" s="5" t="s">
        <v>70</v>
      </c>
      <c r="AS682" s="5" t="s">
        <v>81</v>
      </c>
    </row>
    <row r="683" spans="1:45" x14ac:dyDescent="0.35">
      <c r="A683" s="5" t="s">
        <v>3148</v>
      </c>
      <c r="B683" s="5" t="s">
        <v>3149</v>
      </c>
      <c r="C683" s="6" t="s">
        <v>3150</v>
      </c>
      <c r="D683" s="7">
        <v>115900</v>
      </c>
      <c r="E683" s="5" t="s">
        <v>48</v>
      </c>
      <c r="F683" s="5" t="s">
        <v>68</v>
      </c>
      <c r="G683" s="8">
        <v>1</v>
      </c>
      <c r="H683" s="8">
        <f>IF(F683="Bullet",MIN(G683,Assumptions!$B$6),"")</f>
        <v>1</v>
      </c>
      <c r="I683" s="8"/>
      <c r="J683" s="8" t="str">
        <f>IF(F683="Monthly interest",MAX(0,Assumptions!$B$5-I683),"")</f>
        <v/>
      </c>
      <c r="K683" s="7">
        <f t="shared" si="30"/>
        <v>1256</v>
      </c>
      <c r="L683" s="9">
        <v>46265</v>
      </c>
      <c r="M683" s="5" t="s">
        <v>50</v>
      </c>
      <c r="N683" s="5" t="s">
        <v>53</v>
      </c>
      <c r="O683" s="5" t="s">
        <v>103</v>
      </c>
      <c r="P683" s="5" t="s">
        <v>51</v>
      </c>
      <c r="Q683" s="5" t="s">
        <v>73</v>
      </c>
      <c r="R683" s="5" t="s">
        <v>74</v>
      </c>
      <c r="S683" s="5" t="s">
        <v>185</v>
      </c>
      <c r="T683" s="5" t="s">
        <v>57</v>
      </c>
      <c r="U683" s="5" t="s">
        <v>104</v>
      </c>
      <c r="V683" s="5" t="s">
        <v>200</v>
      </c>
      <c r="W683" s="5" t="s">
        <v>1332</v>
      </c>
      <c r="X683" s="5" t="s">
        <v>3151</v>
      </c>
      <c r="Y683" s="5" t="s">
        <v>3152</v>
      </c>
      <c r="Z683" s="9">
        <v>46265</v>
      </c>
      <c r="AA683" s="8">
        <v>6</v>
      </c>
      <c r="AB683" s="9">
        <f t="shared" si="31"/>
        <v>46446</v>
      </c>
      <c r="AC683" s="10">
        <v>13</v>
      </c>
      <c r="AD683" s="7">
        <f t="shared" si="32"/>
        <v>1256</v>
      </c>
      <c r="AE683" s="7">
        <f>IF(F683="Bullet",H683*AD683,MIN(MAX(I683,1),Assumptions!$B$6)*AD683)</f>
        <v>1256</v>
      </c>
      <c r="AF683" s="8">
        <f>IF(F683="Bullet",MAX(0,Assumptions!$B$4-AB683),MAX(0,Assumptions!$B$4-L683))</f>
        <v>0</v>
      </c>
      <c r="AG683" s="9"/>
      <c r="AH683" s="8" t="str">
        <f>IF(AG683="","",Assumptions!$B$4-AG683)</f>
        <v/>
      </c>
      <c r="AI683" s="5" t="s">
        <v>80</v>
      </c>
      <c r="AJ683" s="8"/>
      <c r="AK683" s="8">
        <v>0</v>
      </c>
      <c r="AL683" s="8">
        <v>759</v>
      </c>
      <c r="AM683" s="8">
        <v>0</v>
      </c>
      <c r="AN683" s="5" t="s">
        <v>63</v>
      </c>
      <c r="AO683" s="10">
        <v>61.1</v>
      </c>
      <c r="AP683" s="8">
        <v>2</v>
      </c>
      <c r="AQ683" s="9">
        <v>46296</v>
      </c>
      <c r="AR683" s="5" t="s">
        <v>51</v>
      </c>
      <c r="AS683" s="5" t="s">
        <v>81</v>
      </c>
    </row>
    <row r="684" spans="1:45" x14ac:dyDescent="0.35">
      <c r="A684" s="5" t="s">
        <v>3153</v>
      </c>
      <c r="B684" s="5" t="s">
        <v>3154</v>
      </c>
      <c r="C684" s="6" t="s">
        <v>3155</v>
      </c>
      <c r="D684" s="7">
        <v>430600</v>
      </c>
      <c r="E684" s="5" t="s">
        <v>48</v>
      </c>
      <c r="F684" s="5" t="s">
        <v>49</v>
      </c>
      <c r="G684" s="8"/>
      <c r="H684" s="8" t="str">
        <f>IF(F684="Bullet",MIN(G684,Assumptions!$B$6),"")</f>
        <v/>
      </c>
      <c r="I684" s="8">
        <v>1</v>
      </c>
      <c r="J684" s="8">
        <f>IF(F684="Monthly interest",MAX(0,Assumptions!$B$5-I684),"")</f>
        <v>2</v>
      </c>
      <c r="K684" s="7">
        <f t="shared" si="30"/>
        <v>7894</v>
      </c>
      <c r="L684" s="9">
        <v>46279</v>
      </c>
      <c r="M684" s="5" t="s">
        <v>50</v>
      </c>
      <c r="N684" s="5" t="s">
        <v>53</v>
      </c>
      <c r="O684" s="5" t="s">
        <v>103</v>
      </c>
      <c r="P684" s="5" t="s">
        <v>70</v>
      </c>
      <c r="Q684" s="5" t="s">
        <v>54</v>
      </c>
      <c r="R684" s="5" t="s">
        <v>55</v>
      </c>
      <c r="S684" s="5" t="s">
        <v>185</v>
      </c>
      <c r="T684" s="5" t="s">
        <v>63</v>
      </c>
      <c r="U684" s="5" t="s">
        <v>104</v>
      </c>
      <c r="V684" s="5" t="s">
        <v>200</v>
      </c>
      <c r="W684" s="5" t="s">
        <v>1332</v>
      </c>
      <c r="X684" s="5" t="s">
        <v>3156</v>
      </c>
      <c r="Y684" s="5" t="s">
        <v>3157</v>
      </c>
      <c r="Z684" s="9">
        <v>46005</v>
      </c>
      <c r="AA684" s="8">
        <v>12</v>
      </c>
      <c r="AB684" s="9">
        <f t="shared" si="31"/>
        <v>46370</v>
      </c>
      <c r="AC684" s="10">
        <v>22</v>
      </c>
      <c r="AD684" s="7">
        <f t="shared" si="32"/>
        <v>7894</v>
      </c>
      <c r="AE684" s="7">
        <f>IF(F684="Bullet",H684*AD684,MIN(MAX(I684,1),Assumptions!$B$6)*AD684)</f>
        <v>7894</v>
      </c>
      <c r="AF684" s="8">
        <f>IF(F684="Bullet",MAX(0,Assumptions!$B$4-AB684),MAX(0,Assumptions!$B$4-L684))</f>
        <v>19</v>
      </c>
      <c r="AG684" s="9">
        <v>46252</v>
      </c>
      <c r="AH684" s="8">
        <f>IF(AG684="","",Assumptions!$B$4-AG684)</f>
        <v>46</v>
      </c>
      <c r="AI684" s="5" t="s">
        <v>57</v>
      </c>
      <c r="AJ684" s="8">
        <v>1</v>
      </c>
      <c r="AK684" s="8">
        <v>0</v>
      </c>
      <c r="AL684" s="8">
        <v>671</v>
      </c>
      <c r="AM684" s="8">
        <v>0</v>
      </c>
      <c r="AN684" s="5" t="s">
        <v>63</v>
      </c>
      <c r="AO684" s="10">
        <v>69.599999999999994</v>
      </c>
      <c r="AP684" s="8">
        <v>30</v>
      </c>
      <c r="AQ684" s="9">
        <v>46281</v>
      </c>
      <c r="AR684" s="5" t="s">
        <v>51</v>
      </c>
      <c r="AS684" s="5" t="s">
        <v>81</v>
      </c>
    </row>
    <row r="685" spans="1:45" x14ac:dyDescent="0.35">
      <c r="A685" s="5" t="s">
        <v>3158</v>
      </c>
      <c r="B685" s="5" t="s">
        <v>3159</v>
      </c>
      <c r="C685" s="6" t="s">
        <v>3160</v>
      </c>
      <c r="D685" s="7">
        <v>508300</v>
      </c>
      <c r="E685" s="5" t="s">
        <v>48</v>
      </c>
      <c r="F685" s="5" t="s">
        <v>49</v>
      </c>
      <c r="G685" s="8"/>
      <c r="H685" s="8" t="str">
        <f>IF(F685="Bullet",MIN(G685,Assumptions!$B$6),"")</f>
        <v/>
      </c>
      <c r="I685" s="8">
        <v>2</v>
      </c>
      <c r="J685" s="8">
        <f>IF(F685="Monthly interest",MAX(0,Assumptions!$B$5-I685),"")</f>
        <v>1</v>
      </c>
      <c r="K685" s="7">
        <f t="shared" si="30"/>
        <v>20332</v>
      </c>
      <c r="L685" s="9">
        <v>46258</v>
      </c>
      <c r="M685" s="5" t="s">
        <v>116</v>
      </c>
      <c r="N685" s="5" t="s">
        <v>117</v>
      </c>
      <c r="O685" s="5" t="s">
        <v>118</v>
      </c>
      <c r="P685" s="5" t="s">
        <v>72</v>
      </c>
      <c r="Q685" s="5" t="s">
        <v>119</v>
      </c>
      <c r="R685" s="5" t="s">
        <v>120</v>
      </c>
      <c r="S685" s="5" t="s">
        <v>75</v>
      </c>
      <c r="T685" s="5" t="s">
        <v>57</v>
      </c>
      <c r="U685" s="5" t="s">
        <v>58</v>
      </c>
      <c r="V685" s="5" t="s">
        <v>76</v>
      </c>
      <c r="W685" s="5" t="s">
        <v>105</v>
      </c>
      <c r="X685" s="5" t="s">
        <v>1588</v>
      </c>
      <c r="Y685" s="5" t="s">
        <v>3161</v>
      </c>
      <c r="Z685" s="9">
        <v>46105</v>
      </c>
      <c r="AA685" s="8">
        <v>24</v>
      </c>
      <c r="AB685" s="9">
        <f t="shared" si="31"/>
        <v>46836</v>
      </c>
      <c r="AC685" s="10">
        <v>24</v>
      </c>
      <c r="AD685" s="7">
        <f t="shared" si="32"/>
        <v>10166</v>
      </c>
      <c r="AE685" s="7">
        <f>IF(F685="Bullet",H685*AD685,MIN(MAX(I685,1),Assumptions!$B$6)*AD685)</f>
        <v>20332</v>
      </c>
      <c r="AF685" s="8">
        <f>IF(F685="Bullet",MAX(0,Assumptions!$B$4-AB685),MAX(0,Assumptions!$B$4-L685))</f>
        <v>40</v>
      </c>
      <c r="AG685" s="9">
        <v>46231</v>
      </c>
      <c r="AH685" s="8">
        <f>IF(AG685="","",Assumptions!$B$4-AG685)</f>
        <v>67</v>
      </c>
      <c r="AI685" s="5" t="s">
        <v>57</v>
      </c>
      <c r="AJ685" s="8">
        <v>2</v>
      </c>
      <c r="AK685" s="8">
        <v>2</v>
      </c>
      <c r="AL685" s="8">
        <v>670</v>
      </c>
      <c r="AM685" s="8">
        <v>0</v>
      </c>
      <c r="AN685" s="5" t="s">
        <v>63</v>
      </c>
      <c r="AO685" s="10">
        <v>53.2</v>
      </c>
      <c r="AP685" s="8">
        <v>52</v>
      </c>
      <c r="AQ685" s="9">
        <v>46284</v>
      </c>
      <c r="AR685" s="5" t="s">
        <v>51</v>
      </c>
      <c r="AS685" s="5" t="s">
        <v>181</v>
      </c>
    </row>
    <row r="686" spans="1:45" x14ac:dyDescent="0.35">
      <c r="A686" s="5" t="s">
        <v>3162</v>
      </c>
      <c r="B686" s="5" t="s">
        <v>3163</v>
      </c>
      <c r="C686" s="6" t="s">
        <v>3164</v>
      </c>
      <c r="D686" s="7">
        <v>188500</v>
      </c>
      <c r="E686" s="5" t="s">
        <v>48</v>
      </c>
      <c r="F686" s="5" t="s">
        <v>49</v>
      </c>
      <c r="G686" s="8"/>
      <c r="H686" s="8" t="str">
        <f>IF(F686="Bullet",MIN(G686,Assumptions!$B$6),"")</f>
        <v/>
      </c>
      <c r="I686" s="8">
        <v>2</v>
      </c>
      <c r="J686" s="8">
        <f>IF(F686="Monthly interest",MAX(0,Assumptions!$B$5-I686),"")</f>
        <v>1</v>
      </c>
      <c r="K686" s="7">
        <f t="shared" si="30"/>
        <v>6284</v>
      </c>
      <c r="L686" s="9">
        <v>46242</v>
      </c>
      <c r="M686" s="5" t="s">
        <v>116</v>
      </c>
      <c r="N686" s="5" t="s">
        <v>117</v>
      </c>
      <c r="O686" s="5" t="s">
        <v>118</v>
      </c>
      <c r="P686" s="5" t="s">
        <v>72</v>
      </c>
      <c r="Q686" s="5" t="s">
        <v>119</v>
      </c>
      <c r="R686" s="5" t="s">
        <v>120</v>
      </c>
      <c r="S686" s="5" t="s">
        <v>75</v>
      </c>
      <c r="T686" s="5" t="s">
        <v>57</v>
      </c>
      <c r="U686" s="5" t="s">
        <v>86</v>
      </c>
      <c r="V686" s="5" t="s">
        <v>76</v>
      </c>
      <c r="W686" s="5" t="s">
        <v>105</v>
      </c>
      <c r="X686" s="5" t="s">
        <v>3165</v>
      </c>
      <c r="Y686" s="5" t="s">
        <v>3166</v>
      </c>
      <c r="Z686" s="9">
        <v>46030</v>
      </c>
      <c r="AA686" s="8">
        <v>24</v>
      </c>
      <c r="AB686" s="9">
        <f t="shared" si="31"/>
        <v>46760</v>
      </c>
      <c r="AC686" s="10">
        <v>20</v>
      </c>
      <c r="AD686" s="7">
        <f t="shared" si="32"/>
        <v>3142</v>
      </c>
      <c r="AE686" s="7">
        <f>IF(F686="Bullet",H686*AD686,MIN(MAX(I686,1),Assumptions!$B$6)*AD686)</f>
        <v>6284</v>
      </c>
      <c r="AF686" s="8">
        <f>IF(F686="Bullet",MAX(0,Assumptions!$B$4-AB686),MAX(0,Assumptions!$B$4-L686))</f>
        <v>56</v>
      </c>
      <c r="AG686" s="9">
        <v>46216</v>
      </c>
      <c r="AH686" s="8">
        <f>IF(AG686="","",Assumptions!$B$4-AG686)</f>
        <v>82</v>
      </c>
      <c r="AI686" s="5" t="s">
        <v>57</v>
      </c>
      <c r="AJ686" s="8">
        <v>3</v>
      </c>
      <c r="AK686" s="8">
        <v>1</v>
      </c>
      <c r="AL686" s="8">
        <v>698</v>
      </c>
      <c r="AM686" s="8">
        <v>1</v>
      </c>
      <c r="AN686" s="5" t="s">
        <v>63</v>
      </c>
      <c r="AO686" s="10">
        <v>74.7</v>
      </c>
      <c r="AP686" s="8">
        <v>55</v>
      </c>
      <c r="AQ686" s="9">
        <v>46291</v>
      </c>
      <c r="AR686" s="5" t="s">
        <v>51</v>
      </c>
      <c r="AS686" s="5" t="s">
        <v>81</v>
      </c>
    </row>
    <row r="687" spans="1:45" x14ac:dyDescent="0.35">
      <c r="A687" s="5" t="s">
        <v>3167</v>
      </c>
      <c r="B687" s="5" t="s">
        <v>3168</v>
      </c>
      <c r="C687" s="6" t="s">
        <v>3169</v>
      </c>
      <c r="D687" s="7">
        <v>111800</v>
      </c>
      <c r="E687" s="5" t="s">
        <v>48</v>
      </c>
      <c r="F687" s="5" t="s">
        <v>49</v>
      </c>
      <c r="G687" s="8"/>
      <c r="H687" s="8" t="str">
        <f>IF(F687="Bullet",MIN(G687,Assumptions!$B$6),"")</f>
        <v/>
      </c>
      <c r="I687" s="8">
        <v>2</v>
      </c>
      <c r="J687" s="8">
        <f>IF(F687="Monthly interest",MAX(0,Assumptions!$B$5-I687),"")</f>
        <v>1</v>
      </c>
      <c r="K687" s="7">
        <f t="shared" si="30"/>
        <v>2608</v>
      </c>
      <c r="L687" s="9">
        <v>46252</v>
      </c>
      <c r="M687" s="5" t="s">
        <v>69</v>
      </c>
      <c r="N687" s="5" t="s">
        <v>53</v>
      </c>
      <c r="O687" s="5" t="s">
        <v>71</v>
      </c>
      <c r="P687" s="5" t="s">
        <v>70</v>
      </c>
      <c r="Q687" s="5" t="s">
        <v>73</v>
      </c>
      <c r="R687" s="5" t="s">
        <v>74</v>
      </c>
      <c r="S687" s="5" t="s">
        <v>185</v>
      </c>
      <c r="T687" s="5" t="s">
        <v>57</v>
      </c>
      <c r="U687" s="5" t="s">
        <v>104</v>
      </c>
      <c r="V687" s="5" t="s">
        <v>200</v>
      </c>
      <c r="W687" s="5" t="s">
        <v>433</v>
      </c>
      <c r="X687" s="5" t="s">
        <v>2668</v>
      </c>
      <c r="Y687" s="5" t="s">
        <v>3170</v>
      </c>
      <c r="Z687" s="9">
        <v>46099</v>
      </c>
      <c r="AA687" s="8">
        <v>12</v>
      </c>
      <c r="AB687" s="9">
        <f t="shared" si="31"/>
        <v>46464</v>
      </c>
      <c r="AC687" s="10">
        <v>14</v>
      </c>
      <c r="AD687" s="7">
        <f t="shared" si="32"/>
        <v>1304</v>
      </c>
      <c r="AE687" s="7">
        <f>IF(F687="Bullet",H687*AD687,MIN(MAX(I687,1),Assumptions!$B$6)*AD687)</f>
        <v>2608</v>
      </c>
      <c r="AF687" s="8">
        <f>IF(F687="Bullet",MAX(0,Assumptions!$B$4-AB687),MAX(0,Assumptions!$B$4-L687))</f>
        <v>46</v>
      </c>
      <c r="AG687" s="9">
        <v>46221</v>
      </c>
      <c r="AH687" s="8">
        <f>IF(AG687="","",Assumptions!$B$4-AG687)</f>
        <v>77</v>
      </c>
      <c r="AI687" s="5" t="s">
        <v>57</v>
      </c>
      <c r="AJ687" s="8">
        <v>2</v>
      </c>
      <c r="AK687" s="8">
        <v>0</v>
      </c>
      <c r="AL687" s="8">
        <v>760</v>
      </c>
      <c r="AM687" s="8">
        <v>1</v>
      </c>
      <c r="AN687" s="5" t="s">
        <v>63</v>
      </c>
      <c r="AO687" s="10">
        <v>62.5</v>
      </c>
      <c r="AP687" s="8">
        <v>32</v>
      </c>
      <c r="AQ687" s="9"/>
      <c r="AR687" s="5"/>
      <c r="AS687" s="5" t="s">
        <v>159</v>
      </c>
    </row>
    <row r="688" spans="1:45" x14ac:dyDescent="0.35">
      <c r="A688" s="5" t="s">
        <v>3171</v>
      </c>
      <c r="B688" s="5" t="s">
        <v>1359</v>
      </c>
      <c r="C688" s="6" t="s">
        <v>3172</v>
      </c>
      <c r="D688" s="7">
        <v>143800</v>
      </c>
      <c r="E688" s="5" t="s">
        <v>48</v>
      </c>
      <c r="F688" s="5" t="s">
        <v>68</v>
      </c>
      <c r="G688" s="8">
        <v>2</v>
      </c>
      <c r="H688" s="8">
        <f>IF(F688="Bullet",MIN(G688,Assumptions!$B$6),"")</f>
        <v>2</v>
      </c>
      <c r="I688" s="8"/>
      <c r="J688" s="8" t="str">
        <f>IF(F688="Monthly interest",MAX(0,Assumptions!$B$5-I688),"")</f>
        <v/>
      </c>
      <c r="K688" s="7">
        <f t="shared" si="30"/>
        <v>3356</v>
      </c>
      <c r="L688" s="9">
        <v>46222</v>
      </c>
      <c r="M688" s="5" t="s">
        <v>69</v>
      </c>
      <c r="N688" s="5" t="s">
        <v>53</v>
      </c>
      <c r="O688" s="5" t="s">
        <v>71</v>
      </c>
      <c r="P688" s="5" t="s">
        <v>70</v>
      </c>
      <c r="Q688" s="5" t="s">
        <v>73</v>
      </c>
      <c r="R688" s="5" t="s">
        <v>74</v>
      </c>
      <c r="S688" s="5" t="s">
        <v>214</v>
      </c>
      <c r="T688" s="5" t="s">
        <v>57</v>
      </c>
      <c r="U688" s="5" t="s">
        <v>86</v>
      </c>
      <c r="V688" s="5" t="s">
        <v>215</v>
      </c>
      <c r="W688" s="5" t="s">
        <v>1057</v>
      </c>
      <c r="X688" s="5" t="s">
        <v>1651</v>
      </c>
      <c r="Y688" s="5" t="s">
        <v>3173</v>
      </c>
      <c r="Z688" s="9">
        <v>46222</v>
      </c>
      <c r="AA688" s="8">
        <v>3</v>
      </c>
      <c r="AB688" s="9">
        <f t="shared" si="31"/>
        <v>46314</v>
      </c>
      <c r="AC688" s="10">
        <v>14</v>
      </c>
      <c r="AD688" s="7">
        <f t="shared" si="32"/>
        <v>1678</v>
      </c>
      <c r="AE688" s="7">
        <f>IF(F688="Bullet",H688*AD688,MIN(MAX(I688,1),Assumptions!$B$6)*AD688)</f>
        <v>3356</v>
      </c>
      <c r="AF688" s="8">
        <f>IF(F688="Bullet",MAX(0,Assumptions!$B$4-AB688),MAX(0,Assumptions!$B$4-L688))</f>
        <v>0</v>
      </c>
      <c r="AG688" s="9"/>
      <c r="AH688" s="8" t="str">
        <f>IF(AG688="","",Assumptions!$B$4-AG688)</f>
        <v/>
      </c>
      <c r="AI688" s="5" t="s">
        <v>80</v>
      </c>
      <c r="AJ688" s="8"/>
      <c r="AK688" s="8">
        <v>0</v>
      </c>
      <c r="AL688" s="8">
        <v>641</v>
      </c>
      <c r="AM688" s="8">
        <v>1</v>
      </c>
      <c r="AN688" s="5" t="s">
        <v>63</v>
      </c>
      <c r="AO688" s="10">
        <v>69.8</v>
      </c>
      <c r="AP688" s="8">
        <v>31</v>
      </c>
      <c r="AQ688" s="9">
        <v>46278</v>
      </c>
      <c r="AR688" s="5" t="s">
        <v>53</v>
      </c>
      <c r="AS688" s="5" t="s">
        <v>190</v>
      </c>
    </row>
    <row r="689" spans="1:45" x14ac:dyDescent="0.35">
      <c r="A689" s="5" t="s">
        <v>3174</v>
      </c>
      <c r="B689" s="5" t="s">
        <v>1045</v>
      </c>
      <c r="C689" s="6" t="s">
        <v>3175</v>
      </c>
      <c r="D689" s="7">
        <v>370700</v>
      </c>
      <c r="E689" s="5" t="s">
        <v>48</v>
      </c>
      <c r="F689" s="5" t="s">
        <v>49</v>
      </c>
      <c r="G689" s="8"/>
      <c r="H689" s="8" t="str">
        <f>IF(F689="Bullet",MIN(G689,Assumptions!$B$6),"")</f>
        <v/>
      </c>
      <c r="I689" s="8">
        <v>1</v>
      </c>
      <c r="J689" s="8">
        <f>IF(F689="Monthly interest",MAX(0,Assumptions!$B$5-I689),"")</f>
        <v>2</v>
      </c>
      <c r="K689" s="7">
        <f t="shared" si="30"/>
        <v>6178</v>
      </c>
      <c r="L689" s="9">
        <v>46275</v>
      </c>
      <c r="M689" s="5" t="s">
        <v>69</v>
      </c>
      <c r="N689" s="5" t="s">
        <v>51</v>
      </c>
      <c r="O689" s="5" t="s">
        <v>52</v>
      </c>
      <c r="P689" s="5" t="s">
        <v>53</v>
      </c>
      <c r="Q689" s="5" t="s">
        <v>54</v>
      </c>
      <c r="R689" s="5" t="s">
        <v>55</v>
      </c>
      <c r="S689" s="5" t="s">
        <v>56</v>
      </c>
      <c r="T689" s="5" t="s">
        <v>57</v>
      </c>
      <c r="U689" s="5" t="s">
        <v>86</v>
      </c>
      <c r="V689" s="5" t="s">
        <v>59</v>
      </c>
      <c r="W689" s="5" t="s">
        <v>418</v>
      </c>
      <c r="X689" s="5" t="s">
        <v>2170</v>
      </c>
      <c r="Y689" s="5" t="s">
        <v>3176</v>
      </c>
      <c r="Z689" s="9">
        <v>46152</v>
      </c>
      <c r="AA689" s="8">
        <v>12</v>
      </c>
      <c r="AB689" s="9">
        <f t="shared" si="31"/>
        <v>46517</v>
      </c>
      <c r="AC689" s="10">
        <v>20</v>
      </c>
      <c r="AD689" s="7">
        <f t="shared" si="32"/>
        <v>6178</v>
      </c>
      <c r="AE689" s="7">
        <f>IF(F689="Bullet",H689*AD689,MIN(MAX(I689,1),Assumptions!$B$6)*AD689)</f>
        <v>6178</v>
      </c>
      <c r="AF689" s="8">
        <f>IF(F689="Bullet",MAX(0,Assumptions!$B$4-AB689),MAX(0,Assumptions!$B$4-L689))</f>
        <v>23</v>
      </c>
      <c r="AG689" s="9">
        <v>46244</v>
      </c>
      <c r="AH689" s="8">
        <f>IF(AG689="","",Assumptions!$B$4-AG689)</f>
        <v>54</v>
      </c>
      <c r="AI689" s="5" t="s">
        <v>63</v>
      </c>
      <c r="AJ689" s="8">
        <v>1</v>
      </c>
      <c r="AK689" s="8">
        <v>1</v>
      </c>
      <c r="AL689" s="8">
        <v>687</v>
      </c>
      <c r="AM689" s="8">
        <v>0</v>
      </c>
      <c r="AN689" s="5" t="s">
        <v>63</v>
      </c>
      <c r="AO689" s="10">
        <v>66.3</v>
      </c>
      <c r="AP689" s="8">
        <v>34</v>
      </c>
      <c r="AQ689" s="9">
        <v>46283</v>
      </c>
      <c r="AR689" s="5" t="s">
        <v>53</v>
      </c>
      <c r="AS689" s="5" t="s">
        <v>81</v>
      </c>
    </row>
    <row r="690" spans="1:45" x14ac:dyDescent="0.35">
      <c r="A690" s="5" t="s">
        <v>3177</v>
      </c>
      <c r="B690" s="5" t="s">
        <v>3178</v>
      </c>
      <c r="C690" s="6" t="s">
        <v>3179</v>
      </c>
      <c r="D690" s="7">
        <v>320400</v>
      </c>
      <c r="E690" s="5" t="s">
        <v>48</v>
      </c>
      <c r="F690" s="5" t="s">
        <v>68</v>
      </c>
      <c r="G690" s="8">
        <v>2</v>
      </c>
      <c r="H690" s="8">
        <f>IF(F690="Bullet",MIN(G690,Assumptions!$B$6),"")</f>
        <v>2</v>
      </c>
      <c r="I690" s="8"/>
      <c r="J690" s="8" t="str">
        <f>IF(F690="Monthly interest",MAX(0,Assumptions!$B$5-I690),"")</f>
        <v/>
      </c>
      <c r="K690" s="7">
        <f t="shared" si="30"/>
        <v>7476</v>
      </c>
      <c r="L690" s="9">
        <v>46220</v>
      </c>
      <c r="M690" s="5" t="s">
        <v>50</v>
      </c>
      <c r="N690" s="5" t="s">
        <v>51</v>
      </c>
      <c r="O690" s="5" t="s">
        <v>71</v>
      </c>
      <c r="P690" s="5" t="s">
        <v>53</v>
      </c>
      <c r="Q690" s="5" t="s">
        <v>73</v>
      </c>
      <c r="R690" s="5" t="s">
        <v>74</v>
      </c>
      <c r="S690" s="5" t="s">
        <v>85</v>
      </c>
      <c r="T690" s="5" t="s">
        <v>57</v>
      </c>
      <c r="U690" s="5" t="s">
        <v>86</v>
      </c>
      <c r="V690" s="5" t="s">
        <v>177</v>
      </c>
      <c r="W690" s="5" t="s">
        <v>345</v>
      </c>
      <c r="X690" s="5" t="s">
        <v>2535</v>
      </c>
      <c r="Y690" s="5" t="s">
        <v>3180</v>
      </c>
      <c r="Z690" s="9">
        <v>46220</v>
      </c>
      <c r="AA690" s="8">
        <v>6</v>
      </c>
      <c r="AB690" s="9">
        <f t="shared" si="31"/>
        <v>46404</v>
      </c>
      <c r="AC690" s="10">
        <v>14</v>
      </c>
      <c r="AD690" s="7">
        <f t="shared" si="32"/>
        <v>3738</v>
      </c>
      <c r="AE690" s="7">
        <f>IF(F690="Bullet",H690*AD690,MIN(MAX(I690,1),Assumptions!$B$6)*AD690)</f>
        <v>7476</v>
      </c>
      <c r="AF690" s="8">
        <f>IF(F690="Bullet",MAX(0,Assumptions!$B$4-AB690),MAX(0,Assumptions!$B$4-L690))</f>
        <v>0</v>
      </c>
      <c r="AG690" s="9"/>
      <c r="AH690" s="8" t="str">
        <f>IF(AG690="","",Assumptions!$B$4-AG690)</f>
        <v/>
      </c>
      <c r="AI690" s="5" t="s">
        <v>80</v>
      </c>
      <c r="AJ690" s="8"/>
      <c r="AK690" s="8">
        <v>0</v>
      </c>
      <c r="AL690" s="8">
        <v>689</v>
      </c>
      <c r="AM690" s="8">
        <v>0</v>
      </c>
      <c r="AN690" s="5" t="s">
        <v>63</v>
      </c>
      <c r="AO690" s="10">
        <v>63.4</v>
      </c>
      <c r="AP690" s="8">
        <v>17</v>
      </c>
      <c r="AQ690" s="9">
        <v>46292</v>
      </c>
      <c r="AR690" s="5" t="s">
        <v>70</v>
      </c>
      <c r="AS690" s="5" t="s">
        <v>81</v>
      </c>
    </row>
    <row r="691" spans="1:45" x14ac:dyDescent="0.35">
      <c r="A691" s="5" t="s">
        <v>3181</v>
      </c>
      <c r="B691" s="5" t="s">
        <v>3182</v>
      </c>
      <c r="C691" s="6" t="s">
        <v>3183</v>
      </c>
      <c r="D691" s="7">
        <v>35600</v>
      </c>
      <c r="E691" s="5" t="s">
        <v>48</v>
      </c>
      <c r="F691" s="5" t="s">
        <v>68</v>
      </c>
      <c r="G691" s="8">
        <v>4</v>
      </c>
      <c r="H691" s="8">
        <f>IF(F691="Bullet",MIN(G691,Assumptions!$B$6),"")</f>
        <v>2</v>
      </c>
      <c r="I691" s="8"/>
      <c r="J691" s="8" t="str">
        <f>IF(F691="Monthly interest",MAX(0,Assumptions!$B$5-I691),"")</f>
        <v/>
      </c>
      <c r="K691" s="7">
        <f t="shared" si="30"/>
        <v>1660</v>
      </c>
      <c r="L691" s="9">
        <v>46165</v>
      </c>
      <c r="M691" s="5" t="s">
        <v>50</v>
      </c>
      <c r="N691" s="5" t="s">
        <v>53</v>
      </c>
      <c r="O691" s="5" t="s">
        <v>152</v>
      </c>
      <c r="P691" s="5" t="s">
        <v>153</v>
      </c>
      <c r="Q691" s="5" t="s">
        <v>154</v>
      </c>
      <c r="R691" s="5" t="s">
        <v>155</v>
      </c>
      <c r="S691" s="5" t="s">
        <v>85</v>
      </c>
      <c r="T691" s="5" t="s">
        <v>57</v>
      </c>
      <c r="U691" s="5" t="s">
        <v>86</v>
      </c>
      <c r="V691" s="5" t="s">
        <v>177</v>
      </c>
      <c r="W691" s="5" t="s">
        <v>345</v>
      </c>
      <c r="X691" s="5" t="s">
        <v>388</v>
      </c>
      <c r="Y691" s="5" t="s">
        <v>3184</v>
      </c>
      <c r="Z691" s="9">
        <v>46165</v>
      </c>
      <c r="AA691" s="8">
        <v>12</v>
      </c>
      <c r="AB691" s="9">
        <f t="shared" si="31"/>
        <v>46530</v>
      </c>
      <c r="AC691" s="10">
        <v>14</v>
      </c>
      <c r="AD691" s="7">
        <f t="shared" si="32"/>
        <v>415</v>
      </c>
      <c r="AE691" s="7">
        <f>IF(F691="Bullet",H691*AD691,MIN(MAX(I691,1),Assumptions!$B$6)*AD691)</f>
        <v>830</v>
      </c>
      <c r="AF691" s="8">
        <f>IF(F691="Bullet",MAX(0,Assumptions!$B$4-AB691),MAX(0,Assumptions!$B$4-L691))</f>
        <v>0</v>
      </c>
      <c r="AG691" s="9"/>
      <c r="AH691" s="8" t="str">
        <f>IF(AG691="","",Assumptions!$B$4-AG691)</f>
        <v/>
      </c>
      <c r="AI691" s="5" t="s">
        <v>80</v>
      </c>
      <c r="AJ691" s="8"/>
      <c r="AK691" s="8">
        <v>0</v>
      </c>
      <c r="AL691" s="8">
        <v>790</v>
      </c>
      <c r="AM691" s="8">
        <v>0</v>
      </c>
      <c r="AN691" s="5" t="s">
        <v>63</v>
      </c>
      <c r="AO691" s="10">
        <v>85</v>
      </c>
      <c r="AP691" s="8">
        <v>27</v>
      </c>
      <c r="AQ691" s="9">
        <v>46297</v>
      </c>
      <c r="AR691" s="5" t="s">
        <v>51</v>
      </c>
      <c r="AS691" s="5" t="s">
        <v>91</v>
      </c>
    </row>
    <row r="692" spans="1:45" x14ac:dyDescent="0.35">
      <c r="A692" s="5" t="s">
        <v>3185</v>
      </c>
      <c r="B692" s="5" t="s">
        <v>3186</v>
      </c>
      <c r="C692" s="6" t="s">
        <v>3187</v>
      </c>
      <c r="D692" s="7">
        <v>88000</v>
      </c>
      <c r="E692" s="5" t="s">
        <v>48</v>
      </c>
      <c r="F692" s="5" t="s">
        <v>49</v>
      </c>
      <c r="G692" s="8"/>
      <c r="H692" s="8" t="str">
        <f>IF(F692="Bullet",MIN(G692,Assumptions!$B$6),"")</f>
        <v/>
      </c>
      <c r="I692" s="8">
        <v>2</v>
      </c>
      <c r="J692" s="8">
        <f>IF(F692="Monthly interest",MAX(0,Assumptions!$B$5-I692),"")</f>
        <v>1</v>
      </c>
      <c r="K692" s="7">
        <f t="shared" si="30"/>
        <v>2346</v>
      </c>
      <c r="L692" s="9">
        <v>46245</v>
      </c>
      <c r="M692" s="5" t="s">
        <v>69</v>
      </c>
      <c r="N692" s="5" t="s">
        <v>53</v>
      </c>
      <c r="O692" s="5" t="s">
        <v>71</v>
      </c>
      <c r="P692" s="5" t="s">
        <v>70</v>
      </c>
      <c r="Q692" s="5" t="s">
        <v>73</v>
      </c>
      <c r="R692" s="5" t="s">
        <v>74</v>
      </c>
      <c r="S692" s="5" t="s">
        <v>214</v>
      </c>
      <c r="T692" s="5" t="s">
        <v>63</v>
      </c>
      <c r="U692" s="5" t="s">
        <v>58</v>
      </c>
      <c r="V692" s="5" t="s">
        <v>215</v>
      </c>
      <c r="W692" s="5" t="s">
        <v>1057</v>
      </c>
      <c r="X692" s="5" t="s">
        <v>3126</v>
      </c>
      <c r="Y692" s="5" t="s">
        <v>3188</v>
      </c>
      <c r="Z692" s="9">
        <v>46153</v>
      </c>
      <c r="AA692" s="8">
        <v>12</v>
      </c>
      <c r="AB692" s="9">
        <f t="shared" si="31"/>
        <v>46518</v>
      </c>
      <c r="AC692" s="10">
        <v>16</v>
      </c>
      <c r="AD692" s="7">
        <f t="shared" si="32"/>
        <v>1173</v>
      </c>
      <c r="AE692" s="7">
        <f>IF(F692="Bullet",H692*AD692,MIN(MAX(I692,1),Assumptions!$B$6)*AD692)</f>
        <v>2346</v>
      </c>
      <c r="AF692" s="8">
        <f>IF(F692="Bullet",MAX(0,Assumptions!$B$4-AB692),MAX(0,Assumptions!$B$4-L692))</f>
        <v>53</v>
      </c>
      <c r="AG692" s="9">
        <v>46216</v>
      </c>
      <c r="AH692" s="8">
        <f>IF(AG692="","",Assumptions!$B$4-AG692)</f>
        <v>82</v>
      </c>
      <c r="AI692" s="5" t="s">
        <v>63</v>
      </c>
      <c r="AJ692" s="8">
        <v>2</v>
      </c>
      <c r="AK692" s="8">
        <v>1</v>
      </c>
      <c r="AL692" s="8">
        <v>803</v>
      </c>
      <c r="AM692" s="8">
        <v>5</v>
      </c>
      <c r="AN692" s="5" t="s">
        <v>63</v>
      </c>
      <c r="AO692" s="10">
        <v>74.8</v>
      </c>
      <c r="AP692" s="8">
        <v>41</v>
      </c>
      <c r="AQ692" s="9">
        <v>46292</v>
      </c>
      <c r="AR692" s="5" t="s">
        <v>51</v>
      </c>
      <c r="AS692" s="5" t="s">
        <v>81</v>
      </c>
    </row>
    <row r="693" spans="1:45" x14ac:dyDescent="0.35">
      <c r="A693" s="5" t="s">
        <v>3189</v>
      </c>
      <c r="B693" s="5" t="s">
        <v>1602</v>
      </c>
      <c r="C693" s="6" t="s">
        <v>3190</v>
      </c>
      <c r="D693" s="7">
        <v>230100</v>
      </c>
      <c r="E693" s="5" t="s">
        <v>48</v>
      </c>
      <c r="F693" s="5" t="s">
        <v>49</v>
      </c>
      <c r="G693" s="8"/>
      <c r="H693" s="8" t="str">
        <f>IF(F693="Bullet",MIN(G693,Assumptions!$B$6),"")</f>
        <v/>
      </c>
      <c r="I693" s="8">
        <v>2</v>
      </c>
      <c r="J693" s="8">
        <f>IF(F693="Monthly interest",MAX(0,Assumptions!$B$5-I693),"")</f>
        <v>1</v>
      </c>
      <c r="K693" s="7">
        <f t="shared" si="30"/>
        <v>5370</v>
      </c>
      <c r="L693" s="9">
        <v>46261</v>
      </c>
      <c r="M693" s="5" t="s">
        <v>69</v>
      </c>
      <c r="N693" s="5" t="s">
        <v>70</v>
      </c>
      <c r="O693" s="5" t="s">
        <v>71</v>
      </c>
      <c r="P693" s="5" t="s">
        <v>72</v>
      </c>
      <c r="Q693" s="5" t="s">
        <v>73</v>
      </c>
      <c r="R693" s="5" t="s">
        <v>74</v>
      </c>
      <c r="S693" s="5" t="s">
        <v>185</v>
      </c>
      <c r="T693" s="5" t="s">
        <v>57</v>
      </c>
      <c r="U693" s="5" t="s">
        <v>58</v>
      </c>
      <c r="V693" s="5" t="s">
        <v>186</v>
      </c>
      <c r="W693" s="5" t="s">
        <v>694</v>
      </c>
      <c r="X693" s="5" t="s">
        <v>843</v>
      </c>
      <c r="Y693" s="5" t="s">
        <v>3191</v>
      </c>
      <c r="Z693" s="9">
        <v>46049</v>
      </c>
      <c r="AA693" s="8">
        <v>24</v>
      </c>
      <c r="AB693" s="9">
        <f t="shared" si="31"/>
        <v>46779</v>
      </c>
      <c r="AC693" s="10">
        <v>14</v>
      </c>
      <c r="AD693" s="7">
        <f t="shared" si="32"/>
        <v>2685</v>
      </c>
      <c r="AE693" s="7">
        <f>IF(F693="Bullet",H693*AD693,MIN(MAX(I693,1),Assumptions!$B$6)*AD693)</f>
        <v>5370</v>
      </c>
      <c r="AF693" s="8">
        <f>IF(F693="Bullet",MAX(0,Assumptions!$B$4-AB693),MAX(0,Assumptions!$B$4-L693))</f>
        <v>37</v>
      </c>
      <c r="AG693" s="9">
        <v>46234</v>
      </c>
      <c r="AH693" s="8">
        <f>IF(AG693="","",Assumptions!$B$4-AG693)</f>
        <v>64</v>
      </c>
      <c r="AI693" s="5" t="s">
        <v>63</v>
      </c>
      <c r="AJ693" s="8">
        <v>2</v>
      </c>
      <c r="AK693" s="8">
        <v>0</v>
      </c>
      <c r="AL693" s="8">
        <v>748</v>
      </c>
      <c r="AM693" s="8">
        <v>0</v>
      </c>
      <c r="AN693" s="5" t="s">
        <v>63</v>
      </c>
      <c r="AO693" s="10">
        <v>55.8</v>
      </c>
      <c r="AP693" s="8">
        <v>31</v>
      </c>
      <c r="AQ693" s="9"/>
      <c r="AR693" s="5"/>
      <c r="AS693" s="5" t="s">
        <v>159</v>
      </c>
    </row>
    <row r="694" spans="1:45" x14ac:dyDescent="0.35">
      <c r="A694" s="5" t="s">
        <v>3192</v>
      </c>
      <c r="B694" s="5" t="s">
        <v>166</v>
      </c>
      <c r="C694" s="6" t="s">
        <v>3193</v>
      </c>
      <c r="D694" s="7">
        <v>101800</v>
      </c>
      <c r="E694" s="5" t="s">
        <v>48</v>
      </c>
      <c r="F694" s="5" t="s">
        <v>68</v>
      </c>
      <c r="G694" s="8">
        <v>6</v>
      </c>
      <c r="H694" s="8">
        <f>IF(F694="Bullet",MIN(G694,Assumptions!$B$6),"")</f>
        <v>2</v>
      </c>
      <c r="I694" s="8"/>
      <c r="J694" s="8" t="str">
        <f>IF(F694="Monthly interest",MAX(0,Assumptions!$B$5-I694),"")</f>
        <v/>
      </c>
      <c r="K694" s="7">
        <f t="shared" si="30"/>
        <v>6108</v>
      </c>
      <c r="L694" s="9">
        <v>46111</v>
      </c>
      <c r="M694" s="5" t="s">
        <v>116</v>
      </c>
      <c r="N694" s="5" t="s">
        <v>117</v>
      </c>
      <c r="O694" s="5" t="s">
        <v>461</v>
      </c>
      <c r="P694" s="5" t="s">
        <v>72</v>
      </c>
      <c r="Q694" s="5" t="s">
        <v>169</v>
      </c>
      <c r="R694" s="5" t="s">
        <v>170</v>
      </c>
      <c r="S694" s="5" t="s">
        <v>253</v>
      </c>
      <c r="T694" s="5" t="s">
        <v>57</v>
      </c>
      <c r="U694" s="5" t="s">
        <v>58</v>
      </c>
      <c r="V694" s="5" t="s">
        <v>87</v>
      </c>
      <c r="W694" s="5" t="s">
        <v>254</v>
      </c>
      <c r="X694" s="5" t="s">
        <v>3194</v>
      </c>
      <c r="Y694" s="5" t="s">
        <v>3195</v>
      </c>
      <c r="Z694" s="9">
        <v>46111</v>
      </c>
      <c r="AA694" s="8">
        <v>6</v>
      </c>
      <c r="AB694" s="9">
        <f t="shared" si="31"/>
        <v>46295</v>
      </c>
      <c r="AC694" s="10">
        <v>12</v>
      </c>
      <c r="AD694" s="7">
        <f t="shared" si="32"/>
        <v>1018</v>
      </c>
      <c r="AE694" s="7">
        <f>IF(F694="Bullet",H694*AD694,MIN(MAX(I694,1),Assumptions!$B$6)*AD694)</f>
        <v>2036</v>
      </c>
      <c r="AF694" s="8">
        <f>IF(F694="Bullet",MAX(0,Assumptions!$B$4-AB694),MAX(0,Assumptions!$B$4-L694))</f>
        <v>3</v>
      </c>
      <c r="AG694" s="9"/>
      <c r="AH694" s="8" t="str">
        <f>IF(AG694="","",Assumptions!$B$4-AG694)</f>
        <v/>
      </c>
      <c r="AI694" s="5" t="s">
        <v>80</v>
      </c>
      <c r="AJ694" s="8"/>
      <c r="AK694" s="8">
        <v>4</v>
      </c>
      <c r="AL694" s="8">
        <v>756</v>
      </c>
      <c r="AM694" s="8">
        <v>0</v>
      </c>
      <c r="AN694" s="5" t="s">
        <v>63</v>
      </c>
      <c r="AO694" s="10">
        <v>67.7</v>
      </c>
      <c r="AP694" s="8">
        <v>62</v>
      </c>
      <c r="AQ694" s="9">
        <v>46275</v>
      </c>
      <c r="AR694" s="5" t="s">
        <v>72</v>
      </c>
      <c r="AS694" s="5" t="s">
        <v>64</v>
      </c>
    </row>
    <row r="695" spans="1:45" x14ac:dyDescent="0.35">
      <c r="A695" s="5" t="s">
        <v>3196</v>
      </c>
      <c r="B695" s="5" t="s">
        <v>2648</v>
      </c>
      <c r="C695" s="6" t="s">
        <v>3197</v>
      </c>
      <c r="D695" s="7">
        <v>59300</v>
      </c>
      <c r="E695" s="5" t="s">
        <v>48</v>
      </c>
      <c r="F695" s="5" t="s">
        <v>68</v>
      </c>
      <c r="G695" s="8">
        <v>5</v>
      </c>
      <c r="H695" s="8">
        <f>IF(F695="Bullet",MIN(G695,Assumptions!$B$6),"")</f>
        <v>2</v>
      </c>
      <c r="I695" s="8"/>
      <c r="J695" s="8" t="str">
        <f>IF(F695="Monthly interest",MAX(0,Assumptions!$B$5-I695),"")</f>
        <v/>
      </c>
      <c r="K695" s="7">
        <f t="shared" si="30"/>
        <v>2965</v>
      </c>
      <c r="L695" s="9">
        <v>46121</v>
      </c>
      <c r="M695" s="5" t="s">
        <v>116</v>
      </c>
      <c r="N695" s="5" t="s">
        <v>117</v>
      </c>
      <c r="O695" s="5" t="s">
        <v>461</v>
      </c>
      <c r="P695" s="5" t="s">
        <v>72</v>
      </c>
      <c r="Q695" s="5" t="s">
        <v>169</v>
      </c>
      <c r="R695" s="5" t="s">
        <v>170</v>
      </c>
      <c r="S695" s="5" t="s">
        <v>75</v>
      </c>
      <c r="T695" s="5" t="s">
        <v>57</v>
      </c>
      <c r="U695" s="5" t="s">
        <v>58</v>
      </c>
      <c r="V695" s="5" t="s">
        <v>76</v>
      </c>
      <c r="W695" s="5" t="s">
        <v>140</v>
      </c>
      <c r="X695" s="5" t="s">
        <v>3198</v>
      </c>
      <c r="Y695" s="5" t="s">
        <v>3199</v>
      </c>
      <c r="Z695" s="9">
        <v>46121</v>
      </c>
      <c r="AA695" s="8">
        <v>6</v>
      </c>
      <c r="AB695" s="9">
        <f t="shared" si="31"/>
        <v>46304</v>
      </c>
      <c r="AC695" s="10">
        <v>12</v>
      </c>
      <c r="AD695" s="7">
        <f t="shared" si="32"/>
        <v>593</v>
      </c>
      <c r="AE695" s="7">
        <f>IF(F695="Bullet",H695*AD695,MIN(MAX(I695,1),Assumptions!$B$6)*AD695)</f>
        <v>1186</v>
      </c>
      <c r="AF695" s="8">
        <f>IF(F695="Bullet",MAX(0,Assumptions!$B$4-AB695),MAX(0,Assumptions!$B$4-L695))</f>
        <v>0</v>
      </c>
      <c r="AG695" s="9"/>
      <c r="AH695" s="8" t="str">
        <f>IF(AG695="","",Assumptions!$B$4-AG695)</f>
        <v/>
      </c>
      <c r="AI695" s="5" t="s">
        <v>80</v>
      </c>
      <c r="AJ695" s="8"/>
      <c r="AK695" s="8">
        <v>1</v>
      </c>
      <c r="AL695" s="8">
        <v>615</v>
      </c>
      <c r="AM695" s="8">
        <v>3</v>
      </c>
      <c r="AN695" s="5" t="s">
        <v>63</v>
      </c>
      <c r="AO695" s="10">
        <v>57.7</v>
      </c>
      <c r="AP695" s="8">
        <v>61</v>
      </c>
      <c r="AQ695" s="9"/>
      <c r="AR695" s="5"/>
      <c r="AS695" s="5" t="s">
        <v>159</v>
      </c>
    </row>
    <row r="696" spans="1:45" x14ac:dyDescent="0.35">
      <c r="A696" s="5" t="s">
        <v>3200</v>
      </c>
      <c r="B696" s="5" t="s">
        <v>3201</v>
      </c>
      <c r="C696" s="6" t="s">
        <v>3202</v>
      </c>
      <c r="D696" s="7">
        <v>159800</v>
      </c>
      <c r="E696" s="5" t="s">
        <v>48</v>
      </c>
      <c r="F696" s="5" t="s">
        <v>68</v>
      </c>
      <c r="G696" s="8">
        <v>2</v>
      </c>
      <c r="H696" s="8">
        <f>IF(F696="Bullet",MIN(G696,Assumptions!$B$6),"")</f>
        <v>2</v>
      </c>
      <c r="I696" s="8"/>
      <c r="J696" s="8" t="str">
        <f>IF(F696="Monthly interest",MAX(0,Assumptions!$B$5-I696),"")</f>
        <v/>
      </c>
      <c r="K696" s="7">
        <f t="shared" si="30"/>
        <v>3996</v>
      </c>
      <c r="L696" s="9">
        <v>46218</v>
      </c>
      <c r="M696" s="5" t="s">
        <v>50</v>
      </c>
      <c r="N696" s="5" t="s">
        <v>51</v>
      </c>
      <c r="O696" s="5" t="s">
        <v>71</v>
      </c>
      <c r="P696" s="5" t="s">
        <v>53</v>
      </c>
      <c r="Q696" s="5" t="s">
        <v>73</v>
      </c>
      <c r="R696" s="5" t="s">
        <v>74</v>
      </c>
      <c r="S696" s="5" t="s">
        <v>75</v>
      </c>
      <c r="T696" s="5" t="s">
        <v>57</v>
      </c>
      <c r="U696" s="5" t="s">
        <v>86</v>
      </c>
      <c r="V696" s="5" t="s">
        <v>76</v>
      </c>
      <c r="W696" s="5" t="s">
        <v>77</v>
      </c>
      <c r="X696" s="5" t="s">
        <v>2899</v>
      </c>
      <c r="Y696" s="5" t="s">
        <v>3203</v>
      </c>
      <c r="Z696" s="9">
        <v>46218</v>
      </c>
      <c r="AA696" s="8">
        <v>12</v>
      </c>
      <c r="AB696" s="9">
        <f t="shared" si="31"/>
        <v>46583</v>
      </c>
      <c r="AC696" s="10">
        <v>15</v>
      </c>
      <c r="AD696" s="7">
        <f t="shared" si="32"/>
        <v>1998</v>
      </c>
      <c r="AE696" s="7">
        <f>IF(F696="Bullet",H696*AD696,MIN(MAX(I696,1),Assumptions!$B$6)*AD696)</f>
        <v>3996</v>
      </c>
      <c r="AF696" s="8">
        <f>IF(F696="Bullet",MAX(0,Assumptions!$B$4-AB696),MAX(0,Assumptions!$B$4-L696))</f>
        <v>0</v>
      </c>
      <c r="AG696" s="9"/>
      <c r="AH696" s="8" t="str">
        <f>IF(AG696="","",Assumptions!$B$4-AG696)</f>
        <v/>
      </c>
      <c r="AI696" s="5" t="s">
        <v>80</v>
      </c>
      <c r="AJ696" s="8"/>
      <c r="AK696" s="8">
        <v>1</v>
      </c>
      <c r="AL696" s="8">
        <v>761</v>
      </c>
      <c r="AM696" s="8">
        <v>1</v>
      </c>
      <c r="AN696" s="5" t="s">
        <v>63</v>
      </c>
      <c r="AO696" s="10">
        <v>64.900000000000006</v>
      </c>
      <c r="AP696" s="8">
        <v>16</v>
      </c>
      <c r="AQ696" s="9">
        <v>46291</v>
      </c>
      <c r="AR696" s="5" t="s">
        <v>70</v>
      </c>
      <c r="AS696" s="5" t="s">
        <v>190</v>
      </c>
    </row>
    <row r="697" spans="1:45" x14ac:dyDescent="0.35">
      <c r="A697" s="5" t="s">
        <v>3204</v>
      </c>
      <c r="B697" s="5" t="s">
        <v>3205</v>
      </c>
      <c r="C697" s="6" t="s">
        <v>3206</v>
      </c>
      <c r="D697" s="7">
        <v>57200</v>
      </c>
      <c r="E697" s="5" t="s">
        <v>48</v>
      </c>
      <c r="F697" s="5" t="s">
        <v>68</v>
      </c>
      <c r="G697" s="8">
        <v>3</v>
      </c>
      <c r="H697" s="8">
        <f>IF(F697="Bullet",MIN(G697,Assumptions!$B$6),"")</f>
        <v>2</v>
      </c>
      <c r="I697" s="8"/>
      <c r="J697" s="8" t="str">
        <f>IF(F697="Monthly interest",MAX(0,Assumptions!$B$5-I697),"")</f>
        <v/>
      </c>
      <c r="K697" s="7">
        <f t="shared" si="30"/>
        <v>1860</v>
      </c>
      <c r="L697" s="9">
        <v>46190</v>
      </c>
      <c r="M697" s="5" t="s">
        <v>116</v>
      </c>
      <c r="N697" s="5" t="s">
        <v>117</v>
      </c>
      <c r="O697" s="5" t="s">
        <v>207</v>
      </c>
      <c r="P697" s="5" t="s">
        <v>72</v>
      </c>
      <c r="Q697" s="5" t="s">
        <v>73</v>
      </c>
      <c r="R697" s="5" t="s">
        <v>74</v>
      </c>
      <c r="S697" s="5" t="s">
        <v>75</v>
      </c>
      <c r="T697" s="5" t="s">
        <v>63</v>
      </c>
      <c r="U697" s="5" t="s">
        <v>86</v>
      </c>
      <c r="V697" s="5" t="s">
        <v>76</v>
      </c>
      <c r="W697" s="5" t="s">
        <v>444</v>
      </c>
      <c r="X697" s="5" t="s">
        <v>631</v>
      </c>
      <c r="Y697" s="5" t="s">
        <v>3207</v>
      </c>
      <c r="Z697" s="9">
        <v>46190</v>
      </c>
      <c r="AA697" s="8">
        <v>3</v>
      </c>
      <c r="AB697" s="9">
        <f t="shared" si="31"/>
        <v>46282</v>
      </c>
      <c r="AC697" s="10">
        <v>13</v>
      </c>
      <c r="AD697" s="7">
        <f t="shared" si="32"/>
        <v>620</v>
      </c>
      <c r="AE697" s="7">
        <f>IF(F697="Bullet",H697*AD697,MIN(MAX(I697,1),Assumptions!$B$6)*AD697)</f>
        <v>1240</v>
      </c>
      <c r="AF697" s="8">
        <f>IF(F697="Bullet",MAX(0,Assumptions!$B$4-AB697),MAX(0,Assumptions!$B$4-L697))</f>
        <v>16</v>
      </c>
      <c r="AG697" s="9"/>
      <c r="AH697" s="8" t="str">
        <f>IF(AG697="","",Assumptions!$B$4-AG697)</f>
        <v/>
      </c>
      <c r="AI697" s="5" t="s">
        <v>80</v>
      </c>
      <c r="AJ697" s="8"/>
      <c r="AK697" s="8">
        <v>2</v>
      </c>
      <c r="AL697" s="8">
        <v>649</v>
      </c>
      <c r="AM697" s="8">
        <v>1</v>
      </c>
      <c r="AN697" s="5" t="s">
        <v>63</v>
      </c>
      <c r="AO697" s="10">
        <v>82.3</v>
      </c>
      <c r="AP697" s="8">
        <v>72</v>
      </c>
      <c r="AQ697" s="9"/>
      <c r="AR697" s="5"/>
      <c r="AS697" s="5" t="s">
        <v>159</v>
      </c>
    </row>
    <row r="698" spans="1:45" x14ac:dyDescent="0.35">
      <c r="A698" s="5" t="s">
        <v>3208</v>
      </c>
      <c r="B698" s="5" t="s">
        <v>2710</v>
      </c>
      <c r="C698" s="6" t="s">
        <v>3209</v>
      </c>
      <c r="D698" s="7">
        <v>61400</v>
      </c>
      <c r="E698" s="5" t="s">
        <v>48</v>
      </c>
      <c r="F698" s="5" t="s">
        <v>49</v>
      </c>
      <c r="G698" s="8"/>
      <c r="H698" s="8" t="str">
        <f>IF(F698="Bullet",MIN(G698,Assumptions!$B$6),"")</f>
        <v/>
      </c>
      <c r="I698" s="8">
        <v>2</v>
      </c>
      <c r="J698" s="8">
        <f>IF(F698="Monthly interest",MAX(0,Assumptions!$B$5-I698),"")</f>
        <v>1</v>
      </c>
      <c r="K698" s="7">
        <f t="shared" si="30"/>
        <v>2046</v>
      </c>
      <c r="L698" s="9">
        <v>46258</v>
      </c>
      <c r="M698" s="5" t="s">
        <v>116</v>
      </c>
      <c r="N698" s="5" t="s">
        <v>117</v>
      </c>
      <c r="O698" s="5" t="s">
        <v>118</v>
      </c>
      <c r="P698" s="5" t="s">
        <v>72</v>
      </c>
      <c r="Q698" s="5" t="s">
        <v>119</v>
      </c>
      <c r="R698" s="5" t="s">
        <v>120</v>
      </c>
      <c r="S698" s="5" t="s">
        <v>75</v>
      </c>
      <c r="T698" s="5" t="s">
        <v>57</v>
      </c>
      <c r="U698" s="5" t="s">
        <v>86</v>
      </c>
      <c r="V698" s="5" t="s">
        <v>76</v>
      </c>
      <c r="W698" s="5" t="s">
        <v>146</v>
      </c>
      <c r="X698" s="5" t="s">
        <v>2191</v>
      </c>
      <c r="Y698" s="5" t="s">
        <v>3210</v>
      </c>
      <c r="Z698" s="9">
        <v>46197</v>
      </c>
      <c r="AA698" s="8">
        <v>12</v>
      </c>
      <c r="AB698" s="9">
        <f t="shared" si="31"/>
        <v>46562</v>
      </c>
      <c r="AC698" s="10">
        <v>20</v>
      </c>
      <c r="AD698" s="7">
        <f t="shared" si="32"/>
        <v>1023</v>
      </c>
      <c r="AE698" s="7">
        <f>IF(F698="Bullet",H698*AD698,MIN(MAX(I698,1),Assumptions!$B$6)*AD698)</f>
        <v>2046</v>
      </c>
      <c r="AF698" s="8">
        <f>IF(F698="Bullet",MAX(0,Assumptions!$B$4-AB698),MAX(0,Assumptions!$B$4-L698))</f>
        <v>40</v>
      </c>
      <c r="AG698" s="9">
        <v>46232</v>
      </c>
      <c r="AH698" s="8">
        <f>IF(AG698="","",Assumptions!$B$4-AG698)</f>
        <v>66</v>
      </c>
      <c r="AI698" s="5" t="s">
        <v>63</v>
      </c>
      <c r="AJ698" s="8">
        <v>2</v>
      </c>
      <c r="AK698" s="8">
        <v>0</v>
      </c>
      <c r="AL698" s="8">
        <v>689</v>
      </c>
      <c r="AM698" s="8">
        <v>1</v>
      </c>
      <c r="AN698" s="5" t="s">
        <v>57</v>
      </c>
      <c r="AO698" s="10">
        <v>75.900000000000006</v>
      </c>
      <c r="AP698" s="8">
        <v>52</v>
      </c>
      <c r="AQ698" s="9">
        <v>46277</v>
      </c>
      <c r="AR698" s="5" t="s">
        <v>70</v>
      </c>
      <c r="AS698" s="5" t="s">
        <v>81</v>
      </c>
    </row>
    <row r="699" spans="1:45" x14ac:dyDescent="0.35">
      <c r="A699" s="5" t="s">
        <v>3211</v>
      </c>
      <c r="B699" s="5" t="s">
        <v>3212</v>
      </c>
      <c r="C699" s="6" t="s">
        <v>3213</v>
      </c>
      <c r="D699" s="7">
        <v>74500</v>
      </c>
      <c r="E699" s="5" t="s">
        <v>48</v>
      </c>
      <c r="F699" s="5" t="s">
        <v>49</v>
      </c>
      <c r="G699" s="8"/>
      <c r="H699" s="8" t="str">
        <f>IF(F699="Bullet",MIN(G699,Assumptions!$B$6),"")</f>
        <v/>
      </c>
      <c r="I699" s="8">
        <v>1</v>
      </c>
      <c r="J699" s="8">
        <f>IF(F699="Monthly interest",MAX(0,Assumptions!$B$5-I699),"")</f>
        <v>2</v>
      </c>
      <c r="K699" s="7">
        <f t="shared" si="30"/>
        <v>993</v>
      </c>
      <c r="L699" s="9">
        <v>46286</v>
      </c>
      <c r="M699" s="5" t="s">
        <v>69</v>
      </c>
      <c r="N699" s="5" t="s">
        <v>53</v>
      </c>
      <c r="O699" s="5" t="s">
        <v>103</v>
      </c>
      <c r="P699" s="5" t="s">
        <v>70</v>
      </c>
      <c r="Q699" s="5" t="s">
        <v>54</v>
      </c>
      <c r="R699" s="5" t="s">
        <v>55</v>
      </c>
      <c r="S699" s="5" t="s">
        <v>75</v>
      </c>
      <c r="T699" s="5" t="s">
        <v>57</v>
      </c>
      <c r="U699" s="5" t="s">
        <v>58</v>
      </c>
      <c r="V699" s="5" t="s">
        <v>76</v>
      </c>
      <c r="W699" s="5" t="s">
        <v>105</v>
      </c>
      <c r="X699" s="5" t="s">
        <v>106</v>
      </c>
      <c r="Y699" s="5" t="s">
        <v>3214</v>
      </c>
      <c r="Z699" s="9">
        <v>46102</v>
      </c>
      <c r="AA699" s="8">
        <v>12</v>
      </c>
      <c r="AB699" s="9">
        <f t="shared" si="31"/>
        <v>46467</v>
      </c>
      <c r="AC699" s="10">
        <v>16</v>
      </c>
      <c r="AD699" s="7">
        <f t="shared" si="32"/>
        <v>993</v>
      </c>
      <c r="AE699" s="7">
        <f>IF(F699="Bullet",H699*AD699,MIN(MAX(I699,1),Assumptions!$B$6)*AD699)</f>
        <v>993</v>
      </c>
      <c r="AF699" s="8">
        <f>IF(F699="Bullet",MAX(0,Assumptions!$B$4-AB699),MAX(0,Assumptions!$B$4-L699))</f>
        <v>12</v>
      </c>
      <c r="AG699" s="9">
        <v>46257</v>
      </c>
      <c r="AH699" s="8">
        <f>IF(AG699="","",Assumptions!$B$4-AG699)</f>
        <v>41</v>
      </c>
      <c r="AI699" s="5" t="s">
        <v>63</v>
      </c>
      <c r="AJ699" s="8">
        <v>1</v>
      </c>
      <c r="AK699" s="8">
        <v>0</v>
      </c>
      <c r="AL699" s="8">
        <v>669</v>
      </c>
      <c r="AM699" s="8">
        <v>2</v>
      </c>
      <c r="AN699" s="5" t="s">
        <v>63</v>
      </c>
      <c r="AO699" s="10">
        <v>62.2</v>
      </c>
      <c r="AP699" s="8">
        <v>32</v>
      </c>
      <c r="AQ699" s="9">
        <v>46276</v>
      </c>
      <c r="AR699" s="5" t="s">
        <v>51</v>
      </c>
      <c r="AS699" s="5" t="s">
        <v>81</v>
      </c>
    </row>
    <row r="700" spans="1:45" x14ac:dyDescent="0.35">
      <c r="A700" s="5" t="s">
        <v>3215</v>
      </c>
      <c r="B700" s="5" t="s">
        <v>3216</v>
      </c>
      <c r="C700" s="6" t="s">
        <v>3217</v>
      </c>
      <c r="D700" s="7">
        <v>257600</v>
      </c>
      <c r="E700" s="5" t="s">
        <v>48</v>
      </c>
      <c r="F700" s="5" t="s">
        <v>49</v>
      </c>
      <c r="G700" s="8"/>
      <c r="H700" s="8" t="str">
        <f>IF(F700="Bullet",MIN(G700,Assumptions!$B$6),"")</f>
        <v/>
      </c>
      <c r="I700" s="8">
        <v>2</v>
      </c>
      <c r="J700" s="8">
        <f>IF(F700="Monthly interest",MAX(0,Assumptions!$B$5-I700),"")</f>
        <v>1</v>
      </c>
      <c r="K700" s="7">
        <f t="shared" si="30"/>
        <v>10304</v>
      </c>
      <c r="L700" s="9">
        <v>46255</v>
      </c>
      <c r="M700" s="5" t="s">
        <v>69</v>
      </c>
      <c r="N700" s="5" t="s">
        <v>70</v>
      </c>
      <c r="O700" s="5" t="s">
        <v>71</v>
      </c>
      <c r="P700" s="5" t="s">
        <v>72</v>
      </c>
      <c r="Q700" s="5" t="s">
        <v>73</v>
      </c>
      <c r="R700" s="5" t="s">
        <v>74</v>
      </c>
      <c r="S700" s="5" t="s">
        <v>75</v>
      </c>
      <c r="T700" s="5" t="s">
        <v>57</v>
      </c>
      <c r="U700" s="5" t="s">
        <v>86</v>
      </c>
      <c r="V700" s="5" t="s">
        <v>76</v>
      </c>
      <c r="W700" s="5" t="s">
        <v>140</v>
      </c>
      <c r="X700" s="5" t="s">
        <v>393</v>
      </c>
      <c r="Y700" s="5" t="s">
        <v>3218</v>
      </c>
      <c r="Z700" s="9">
        <v>46102</v>
      </c>
      <c r="AA700" s="8">
        <v>24</v>
      </c>
      <c r="AB700" s="9">
        <f t="shared" si="31"/>
        <v>46833</v>
      </c>
      <c r="AC700" s="10">
        <v>24</v>
      </c>
      <c r="AD700" s="7">
        <f t="shared" si="32"/>
        <v>5152</v>
      </c>
      <c r="AE700" s="7">
        <f>IF(F700="Bullet",H700*AD700,MIN(MAX(I700,1),Assumptions!$B$6)*AD700)</f>
        <v>10304</v>
      </c>
      <c r="AF700" s="8">
        <f>IF(F700="Bullet",MAX(0,Assumptions!$B$4-AB700),MAX(0,Assumptions!$B$4-L700))</f>
        <v>43</v>
      </c>
      <c r="AG700" s="9">
        <v>46227</v>
      </c>
      <c r="AH700" s="8">
        <f>IF(AG700="","",Assumptions!$B$4-AG700)</f>
        <v>71</v>
      </c>
      <c r="AI700" s="5" t="s">
        <v>63</v>
      </c>
      <c r="AJ700" s="8">
        <v>2</v>
      </c>
      <c r="AK700" s="8">
        <v>0</v>
      </c>
      <c r="AL700" s="8">
        <v>801</v>
      </c>
      <c r="AM700" s="8">
        <v>2</v>
      </c>
      <c r="AN700" s="5" t="s">
        <v>63</v>
      </c>
      <c r="AO700" s="10">
        <v>51.8</v>
      </c>
      <c r="AP700" s="8">
        <v>35</v>
      </c>
      <c r="AQ700" s="9">
        <v>46287</v>
      </c>
      <c r="AR700" s="5" t="s">
        <v>53</v>
      </c>
      <c r="AS700" s="5" t="s">
        <v>181</v>
      </c>
    </row>
    <row r="701" spans="1:45" x14ac:dyDescent="0.35">
      <c r="A701" s="5" t="s">
        <v>3219</v>
      </c>
      <c r="B701" s="5" t="s">
        <v>459</v>
      </c>
      <c r="C701" s="6" t="s">
        <v>3220</v>
      </c>
      <c r="D701" s="7">
        <v>125500</v>
      </c>
      <c r="E701" s="5" t="s">
        <v>48</v>
      </c>
      <c r="F701" s="5" t="s">
        <v>68</v>
      </c>
      <c r="G701" s="8">
        <v>3</v>
      </c>
      <c r="H701" s="8">
        <f>IF(F701="Bullet",MIN(G701,Assumptions!$B$6),"")</f>
        <v>2</v>
      </c>
      <c r="I701" s="8"/>
      <c r="J701" s="8" t="str">
        <f>IF(F701="Monthly interest",MAX(0,Assumptions!$B$5-I701),"")</f>
        <v/>
      </c>
      <c r="K701" s="7">
        <f t="shared" si="30"/>
        <v>5019</v>
      </c>
      <c r="L701" s="9">
        <v>46198</v>
      </c>
      <c r="M701" s="5" t="s">
        <v>116</v>
      </c>
      <c r="N701" s="5" t="s">
        <v>117</v>
      </c>
      <c r="O701" s="5" t="s">
        <v>207</v>
      </c>
      <c r="P701" s="5" t="s">
        <v>72</v>
      </c>
      <c r="Q701" s="5" t="s">
        <v>73</v>
      </c>
      <c r="R701" s="5" t="s">
        <v>74</v>
      </c>
      <c r="S701" s="5" t="s">
        <v>185</v>
      </c>
      <c r="T701" s="5" t="s">
        <v>57</v>
      </c>
      <c r="U701" s="5" t="s">
        <v>104</v>
      </c>
      <c r="V701" s="5" t="s">
        <v>200</v>
      </c>
      <c r="W701" s="5" t="s">
        <v>201</v>
      </c>
      <c r="X701" s="5" t="s">
        <v>3221</v>
      </c>
      <c r="Y701" s="5" t="s">
        <v>3222</v>
      </c>
      <c r="Z701" s="9">
        <v>46198</v>
      </c>
      <c r="AA701" s="8">
        <v>3</v>
      </c>
      <c r="AB701" s="9">
        <f t="shared" si="31"/>
        <v>46290</v>
      </c>
      <c r="AC701" s="10">
        <v>16</v>
      </c>
      <c r="AD701" s="7">
        <f t="shared" si="32"/>
        <v>1673</v>
      </c>
      <c r="AE701" s="7">
        <f>IF(F701="Bullet",H701*AD701,MIN(MAX(I701,1),Assumptions!$B$6)*AD701)</f>
        <v>3346</v>
      </c>
      <c r="AF701" s="8">
        <f>IF(F701="Bullet",MAX(0,Assumptions!$B$4-AB701),MAX(0,Assumptions!$B$4-L701))</f>
        <v>8</v>
      </c>
      <c r="AG701" s="9"/>
      <c r="AH701" s="8" t="str">
        <f>IF(AG701="","",Assumptions!$B$4-AG701)</f>
        <v/>
      </c>
      <c r="AI701" s="5" t="s">
        <v>80</v>
      </c>
      <c r="AJ701" s="8"/>
      <c r="AK701" s="8">
        <v>4</v>
      </c>
      <c r="AL701" s="8" t="s">
        <v>80</v>
      </c>
      <c r="AM701" s="8">
        <v>0</v>
      </c>
      <c r="AN701" s="5" t="s">
        <v>63</v>
      </c>
      <c r="AO701" s="10">
        <v>67.3</v>
      </c>
      <c r="AP701" s="8">
        <v>63</v>
      </c>
      <c r="AQ701" s="9">
        <v>46275</v>
      </c>
      <c r="AR701" s="5" t="s">
        <v>51</v>
      </c>
      <c r="AS701" s="5" t="s">
        <v>64</v>
      </c>
    </row>
    <row r="702" spans="1:45" x14ac:dyDescent="0.35">
      <c r="A702" s="5" t="s">
        <v>3223</v>
      </c>
      <c r="B702" s="5" t="s">
        <v>3224</v>
      </c>
      <c r="C702" s="6" t="s">
        <v>3225</v>
      </c>
      <c r="D702" s="7">
        <v>53700</v>
      </c>
      <c r="E702" s="5" t="s">
        <v>48</v>
      </c>
      <c r="F702" s="5" t="s">
        <v>68</v>
      </c>
      <c r="G702" s="8">
        <v>3</v>
      </c>
      <c r="H702" s="8">
        <f>IF(F702="Bullet",MIN(G702,Assumptions!$B$6),"")</f>
        <v>2</v>
      </c>
      <c r="I702" s="8"/>
      <c r="J702" s="8" t="str">
        <f>IF(F702="Monthly interest",MAX(0,Assumptions!$B$5-I702),"")</f>
        <v/>
      </c>
      <c r="K702" s="7">
        <f t="shared" si="30"/>
        <v>1611</v>
      </c>
      <c r="L702" s="9">
        <v>46192</v>
      </c>
      <c r="M702" s="5" t="s">
        <v>69</v>
      </c>
      <c r="N702" s="5" t="s">
        <v>53</v>
      </c>
      <c r="O702" s="5" t="s">
        <v>71</v>
      </c>
      <c r="P702" s="5" t="s">
        <v>70</v>
      </c>
      <c r="Q702" s="5" t="s">
        <v>73</v>
      </c>
      <c r="R702" s="5" t="s">
        <v>74</v>
      </c>
      <c r="S702" s="5" t="s">
        <v>75</v>
      </c>
      <c r="T702" s="5" t="s">
        <v>57</v>
      </c>
      <c r="U702" s="5" t="s">
        <v>104</v>
      </c>
      <c r="V702" s="5" t="s">
        <v>76</v>
      </c>
      <c r="W702" s="5" t="s">
        <v>547</v>
      </c>
      <c r="X702" s="5" t="s">
        <v>3226</v>
      </c>
      <c r="Y702" s="5" t="s">
        <v>3227</v>
      </c>
      <c r="Z702" s="9">
        <v>46192</v>
      </c>
      <c r="AA702" s="8">
        <v>6</v>
      </c>
      <c r="AB702" s="9">
        <f t="shared" si="31"/>
        <v>46375</v>
      </c>
      <c r="AC702" s="10">
        <v>12</v>
      </c>
      <c r="AD702" s="7">
        <f t="shared" si="32"/>
        <v>537</v>
      </c>
      <c r="AE702" s="7">
        <f>IF(F702="Bullet",H702*AD702,MIN(MAX(I702,1),Assumptions!$B$6)*AD702)</f>
        <v>1074</v>
      </c>
      <c r="AF702" s="8">
        <f>IF(F702="Bullet",MAX(0,Assumptions!$B$4-AB702),MAX(0,Assumptions!$B$4-L702))</f>
        <v>0</v>
      </c>
      <c r="AG702" s="9"/>
      <c r="AH702" s="8" t="str">
        <f>IF(AG702="","",Assumptions!$B$4-AG702)</f>
        <v/>
      </c>
      <c r="AI702" s="5" t="s">
        <v>80</v>
      </c>
      <c r="AJ702" s="8"/>
      <c r="AK702" s="8">
        <v>2</v>
      </c>
      <c r="AL702" s="8">
        <v>607</v>
      </c>
      <c r="AM702" s="8">
        <v>1</v>
      </c>
      <c r="AN702" s="5" t="s">
        <v>63</v>
      </c>
      <c r="AO702" s="10">
        <v>69.900000000000006</v>
      </c>
      <c r="AP702" s="8">
        <v>43</v>
      </c>
      <c r="AQ702" s="9">
        <v>46275</v>
      </c>
      <c r="AR702" s="5" t="s">
        <v>51</v>
      </c>
      <c r="AS702" s="5" t="s">
        <v>81</v>
      </c>
    </row>
    <row r="703" spans="1:45" x14ac:dyDescent="0.35">
      <c r="A703" s="5" t="s">
        <v>3228</v>
      </c>
      <c r="B703" s="5" t="s">
        <v>1937</v>
      </c>
      <c r="C703" s="6" t="s">
        <v>3229</v>
      </c>
      <c r="D703" s="7">
        <v>91300</v>
      </c>
      <c r="E703" s="5" t="s">
        <v>48</v>
      </c>
      <c r="F703" s="5" t="s">
        <v>68</v>
      </c>
      <c r="G703" s="8">
        <v>5</v>
      </c>
      <c r="H703" s="8">
        <f>IF(F703="Bullet",MIN(G703,Assumptions!$B$6),"")</f>
        <v>2</v>
      </c>
      <c r="I703" s="8"/>
      <c r="J703" s="8" t="str">
        <f>IF(F703="Monthly interest",MAX(0,Assumptions!$B$5-I703),"")</f>
        <v/>
      </c>
      <c r="K703" s="7">
        <f t="shared" si="30"/>
        <v>4945</v>
      </c>
      <c r="L703" s="9">
        <v>46136</v>
      </c>
      <c r="M703" s="5" t="s">
        <v>116</v>
      </c>
      <c r="N703" s="5" t="s">
        <v>117</v>
      </c>
      <c r="O703" s="5" t="s">
        <v>461</v>
      </c>
      <c r="P703" s="5" t="s">
        <v>72</v>
      </c>
      <c r="Q703" s="5" t="s">
        <v>169</v>
      </c>
      <c r="R703" s="5" t="s">
        <v>170</v>
      </c>
      <c r="S703" s="5" t="s">
        <v>85</v>
      </c>
      <c r="T703" s="5" t="s">
        <v>57</v>
      </c>
      <c r="U703" s="5" t="s">
        <v>58</v>
      </c>
      <c r="V703" s="5" t="s">
        <v>96</v>
      </c>
      <c r="W703" s="5" t="s">
        <v>819</v>
      </c>
      <c r="X703" s="5" t="s">
        <v>1459</v>
      </c>
      <c r="Y703" s="5" t="s">
        <v>3230</v>
      </c>
      <c r="Z703" s="9">
        <v>46136</v>
      </c>
      <c r="AA703" s="8">
        <v>12</v>
      </c>
      <c r="AB703" s="9">
        <f t="shared" si="31"/>
        <v>46501</v>
      </c>
      <c r="AC703" s="10">
        <v>13</v>
      </c>
      <c r="AD703" s="7">
        <f t="shared" si="32"/>
        <v>989</v>
      </c>
      <c r="AE703" s="7">
        <f>IF(F703="Bullet",H703*AD703,MIN(MAX(I703,1),Assumptions!$B$6)*AD703)</f>
        <v>1978</v>
      </c>
      <c r="AF703" s="8">
        <f>IF(F703="Bullet",MAX(0,Assumptions!$B$4-AB703),MAX(0,Assumptions!$B$4-L703))</f>
        <v>0</v>
      </c>
      <c r="AG703" s="9"/>
      <c r="AH703" s="8" t="str">
        <f>IF(AG703="","",Assumptions!$B$4-AG703)</f>
        <v/>
      </c>
      <c r="AI703" s="5" t="s">
        <v>80</v>
      </c>
      <c r="AJ703" s="8"/>
      <c r="AK703" s="8">
        <v>4</v>
      </c>
      <c r="AL703" s="8">
        <v>688</v>
      </c>
      <c r="AM703" s="8">
        <v>2</v>
      </c>
      <c r="AN703" s="5" t="s">
        <v>57</v>
      </c>
      <c r="AO703" s="10">
        <v>76.400000000000006</v>
      </c>
      <c r="AP703" s="8">
        <v>63</v>
      </c>
      <c r="AQ703" s="9">
        <v>46297</v>
      </c>
      <c r="AR703" s="5" t="s">
        <v>51</v>
      </c>
      <c r="AS703" s="5" t="s">
        <v>81</v>
      </c>
    </row>
    <row r="704" spans="1:45" x14ac:dyDescent="0.35">
      <c r="A704" s="5" t="s">
        <v>3231</v>
      </c>
      <c r="B704" s="5" t="s">
        <v>3232</v>
      </c>
      <c r="C704" s="6" t="s">
        <v>3233</v>
      </c>
      <c r="D704" s="7">
        <v>108800</v>
      </c>
      <c r="E704" s="5" t="s">
        <v>48</v>
      </c>
      <c r="F704" s="5" t="s">
        <v>68</v>
      </c>
      <c r="G704" s="8">
        <v>1</v>
      </c>
      <c r="H704" s="8">
        <f>IF(F704="Bullet",MIN(G704,Assumptions!$B$6),"")</f>
        <v>1</v>
      </c>
      <c r="I704" s="8"/>
      <c r="J704" s="8" t="str">
        <f>IF(F704="Monthly interest",MAX(0,Assumptions!$B$5-I704),"")</f>
        <v/>
      </c>
      <c r="K704" s="7">
        <f t="shared" si="30"/>
        <v>1451</v>
      </c>
      <c r="L704" s="9">
        <v>46261</v>
      </c>
      <c r="M704" s="5" t="s">
        <v>50</v>
      </c>
      <c r="N704" s="5" t="s">
        <v>53</v>
      </c>
      <c r="O704" s="5" t="s">
        <v>95</v>
      </c>
      <c r="P704" s="5" t="s">
        <v>70</v>
      </c>
      <c r="Q704" s="5" t="s">
        <v>73</v>
      </c>
      <c r="R704" s="5" t="s">
        <v>74</v>
      </c>
      <c r="S704" s="5" t="s">
        <v>56</v>
      </c>
      <c r="T704" s="5" t="s">
        <v>63</v>
      </c>
      <c r="U704" s="5" t="s">
        <v>86</v>
      </c>
      <c r="V704" s="5" t="s">
        <v>59</v>
      </c>
      <c r="W704" s="5" t="s">
        <v>60</v>
      </c>
      <c r="X704" s="5" t="s">
        <v>1660</v>
      </c>
      <c r="Y704" s="5" t="s">
        <v>3234</v>
      </c>
      <c r="Z704" s="9">
        <v>46261</v>
      </c>
      <c r="AA704" s="8">
        <v>6</v>
      </c>
      <c r="AB704" s="9">
        <f t="shared" si="31"/>
        <v>46445</v>
      </c>
      <c r="AC704" s="10">
        <v>16</v>
      </c>
      <c r="AD704" s="7">
        <f t="shared" si="32"/>
        <v>1451</v>
      </c>
      <c r="AE704" s="7">
        <f>IF(F704="Bullet",H704*AD704,MIN(MAX(I704,1),Assumptions!$B$6)*AD704)</f>
        <v>1451</v>
      </c>
      <c r="AF704" s="8">
        <f>IF(F704="Bullet",MAX(0,Assumptions!$B$4-AB704),MAX(0,Assumptions!$B$4-L704))</f>
        <v>0</v>
      </c>
      <c r="AG704" s="9"/>
      <c r="AH704" s="8" t="str">
        <f>IF(AG704="","",Assumptions!$B$4-AG704)</f>
        <v/>
      </c>
      <c r="AI704" s="5" t="s">
        <v>80</v>
      </c>
      <c r="AJ704" s="8"/>
      <c r="AK704" s="8">
        <v>0</v>
      </c>
      <c r="AL704" s="8">
        <v>752</v>
      </c>
      <c r="AM704" s="8">
        <v>2</v>
      </c>
      <c r="AN704" s="5" t="s">
        <v>63</v>
      </c>
      <c r="AO704" s="10">
        <v>69.7</v>
      </c>
      <c r="AP704" s="8">
        <v>6</v>
      </c>
      <c r="AQ704" s="9">
        <v>46280</v>
      </c>
      <c r="AR704" s="5" t="s">
        <v>51</v>
      </c>
      <c r="AS704" s="5" t="s">
        <v>64</v>
      </c>
    </row>
    <row r="705" spans="1:45" x14ac:dyDescent="0.35">
      <c r="A705" s="5" t="s">
        <v>3235</v>
      </c>
      <c r="B705" s="5" t="s">
        <v>3236</v>
      </c>
      <c r="C705" s="6" t="s">
        <v>3237</v>
      </c>
      <c r="D705" s="7">
        <v>69600</v>
      </c>
      <c r="E705" s="5" t="s">
        <v>48</v>
      </c>
      <c r="F705" s="5" t="s">
        <v>49</v>
      </c>
      <c r="G705" s="8"/>
      <c r="H705" s="8" t="str">
        <f>IF(F705="Bullet",MIN(G705,Assumptions!$B$6),"")</f>
        <v/>
      </c>
      <c r="I705" s="8">
        <v>1</v>
      </c>
      <c r="J705" s="8">
        <f>IF(F705="Monthly interest",MAX(0,Assumptions!$B$5-I705),"")</f>
        <v>2</v>
      </c>
      <c r="K705" s="7">
        <f t="shared" si="30"/>
        <v>1044</v>
      </c>
      <c r="L705" s="9">
        <v>46276</v>
      </c>
      <c r="M705" s="5" t="s">
        <v>50</v>
      </c>
      <c r="N705" s="5" t="s">
        <v>53</v>
      </c>
      <c r="O705" s="5" t="s">
        <v>132</v>
      </c>
      <c r="P705" s="5" t="s">
        <v>70</v>
      </c>
      <c r="Q705" s="5" t="s">
        <v>54</v>
      </c>
      <c r="R705" s="5" t="s">
        <v>55</v>
      </c>
      <c r="S705" s="5" t="s">
        <v>56</v>
      </c>
      <c r="T705" s="5" t="s">
        <v>63</v>
      </c>
      <c r="U705" s="5" t="s">
        <v>104</v>
      </c>
      <c r="V705" s="5" t="s">
        <v>59</v>
      </c>
      <c r="W705" s="5" t="s">
        <v>467</v>
      </c>
      <c r="X705" s="5" t="s">
        <v>3238</v>
      </c>
      <c r="Y705" s="5" t="s">
        <v>3239</v>
      </c>
      <c r="Z705" s="9">
        <v>46214</v>
      </c>
      <c r="AA705" s="8">
        <v>24</v>
      </c>
      <c r="AB705" s="9">
        <f t="shared" si="31"/>
        <v>46945</v>
      </c>
      <c r="AC705" s="10">
        <v>18</v>
      </c>
      <c r="AD705" s="7">
        <f t="shared" si="32"/>
        <v>1044</v>
      </c>
      <c r="AE705" s="7">
        <f>IF(F705="Bullet",H705*AD705,MIN(MAX(I705,1),Assumptions!$B$6)*AD705)</f>
        <v>1044</v>
      </c>
      <c r="AF705" s="8">
        <f>IF(F705="Bullet",MAX(0,Assumptions!$B$4-AB705),MAX(0,Assumptions!$B$4-L705))</f>
        <v>22</v>
      </c>
      <c r="AG705" s="9">
        <v>46247</v>
      </c>
      <c r="AH705" s="8">
        <f>IF(AG705="","",Assumptions!$B$4-AG705)</f>
        <v>51</v>
      </c>
      <c r="AI705" s="5" t="s">
        <v>57</v>
      </c>
      <c r="AJ705" s="8">
        <v>3</v>
      </c>
      <c r="AK705" s="8">
        <v>0</v>
      </c>
      <c r="AL705" s="8">
        <v>729</v>
      </c>
      <c r="AM705" s="8">
        <v>2</v>
      </c>
      <c r="AN705" s="5" t="s">
        <v>63</v>
      </c>
      <c r="AO705" s="10">
        <v>75.5</v>
      </c>
      <c r="AP705" s="8">
        <v>27</v>
      </c>
      <c r="AQ705" s="9">
        <v>46293</v>
      </c>
      <c r="AR705" s="5" t="s">
        <v>51</v>
      </c>
      <c r="AS705" s="5" t="s">
        <v>91</v>
      </c>
    </row>
    <row r="706" spans="1:45" x14ac:dyDescent="0.35">
      <c r="A706" s="5" t="s">
        <v>3240</v>
      </c>
      <c r="B706" s="5" t="s">
        <v>1055</v>
      </c>
      <c r="C706" s="6" t="s">
        <v>3241</v>
      </c>
      <c r="D706" s="7">
        <v>482500</v>
      </c>
      <c r="E706" s="5" t="s">
        <v>48</v>
      </c>
      <c r="F706" s="5" t="s">
        <v>49</v>
      </c>
      <c r="G706" s="8"/>
      <c r="H706" s="8" t="str">
        <f>IF(F706="Bullet",MIN(G706,Assumptions!$B$6),"")</f>
        <v/>
      </c>
      <c r="I706" s="8">
        <v>1</v>
      </c>
      <c r="J706" s="8">
        <f>IF(F706="Monthly interest",MAX(0,Assumptions!$B$5-I706),"")</f>
        <v>2</v>
      </c>
      <c r="K706" s="7">
        <f t="shared" ref="K706:K769" si="33">IF(F706="Bullet",G706*AD706,MAX(I706,1)*AD706)</f>
        <v>8846</v>
      </c>
      <c r="L706" s="9">
        <v>46284</v>
      </c>
      <c r="M706" s="5" t="s">
        <v>69</v>
      </c>
      <c r="N706" s="5" t="s">
        <v>51</v>
      </c>
      <c r="O706" s="5" t="s">
        <v>52</v>
      </c>
      <c r="P706" s="5" t="s">
        <v>53</v>
      </c>
      <c r="Q706" s="5" t="s">
        <v>54</v>
      </c>
      <c r="R706" s="5" t="s">
        <v>55</v>
      </c>
      <c r="S706" s="5" t="s">
        <v>214</v>
      </c>
      <c r="T706" s="5" t="s">
        <v>57</v>
      </c>
      <c r="U706" s="5" t="s">
        <v>86</v>
      </c>
      <c r="V706" s="5" t="s">
        <v>215</v>
      </c>
      <c r="W706" s="5" t="s">
        <v>232</v>
      </c>
      <c r="X706" s="5" t="s">
        <v>3242</v>
      </c>
      <c r="Y706" s="5" t="s">
        <v>3243</v>
      </c>
      <c r="Z706" s="9">
        <v>46072</v>
      </c>
      <c r="AA706" s="8">
        <v>24</v>
      </c>
      <c r="AB706" s="9">
        <f t="shared" ref="AB706:AB769" si="34">EDATE(Z706,AA706)</f>
        <v>46802</v>
      </c>
      <c r="AC706" s="10">
        <v>22</v>
      </c>
      <c r="AD706" s="7">
        <f t="shared" ref="AD706:AD769" si="35">ROUND(D706*AC706/100/12,0)</f>
        <v>8846</v>
      </c>
      <c r="AE706" s="7">
        <f>IF(F706="Bullet",H706*AD706,MIN(MAX(I706,1),Assumptions!$B$6)*AD706)</f>
        <v>8846</v>
      </c>
      <c r="AF706" s="8">
        <f>IF(F706="Bullet",MAX(0,Assumptions!$B$4-AB706),MAX(0,Assumptions!$B$4-L706))</f>
        <v>14</v>
      </c>
      <c r="AG706" s="9">
        <v>46253</v>
      </c>
      <c r="AH706" s="8">
        <f>IF(AG706="","",Assumptions!$B$4-AG706)</f>
        <v>45</v>
      </c>
      <c r="AI706" s="5" t="s">
        <v>57</v>
      </c>
      <c r="AJ706" s="8">
        <v>1</v>
      </c>
      <c r="AK706" s="8">
        <v>0</v>
      </c>
      <c r="AL706" s="8">
        <v>646</v>
      </c>
      <c r="AM706" s="8">
        <v>0</v>
      </c>
      <c r="AN706" s="5" t="s">
        <v>63</v>
      </c>
      <c r="AO706" s="10">
        <v>65.2</v>
      </c>
      <c r="AP706" s="8">
        <v>35</v>
      </c>
      <c r="AQ706" s="9">
        <v>46292</v>
      </c>
      <c r="AR706" s="5" t="s">
        <v>51</v>
      </c>
      <c r="AS706" s="5" t="s">
        <v>64</v>
      </c>
    </row>
    <row r="707" spans="1:45" x14ac:dyDescent="0.35">
      <c r="A707" s="5" t="s">
        <v>3244</v>
      </c>
      <c r="B707" s="5" t="s">
        <v>1369</v>
      </c>
      <c r="C707" s="6" t="s">
        <v>3245</v>
      </c>
      <c r="D707" s="7">
        <v>282200</v>
      </c>
      <c r="E707" s="5" t="s">
        <v>48</v>
      </c>
      <c r="F707" s="5" t="s">
        <v>68</v>
      </c>
      <c r="G707" s="8">
        <v>5</v>
      </c>
      <c r="H707" s="8">
        <f>IF(F707="Bullet",MIN(G707,Assumptions!$B$6),"")</f>
        <v>2</v>
      </c>
      <c r="I707" s="8"/>
      <c r="J707" s="8" t="str">
        <f>IF(F707="Monthly interest",MAX(0,Assumptions!$B$5-I707),"")</f>
        <v/>
      </c>
      <c r="K707" s="7">
        <f t="shared" si="33"/>
        <v>16460</v>
      </c>
      <c r="L707" s="9">
        <v>46125</v>
      </c>
      <c r="M707" s="5" t="s">
        <v>116</v>
      </c>
      <c r="N707" s="5" t="s">
        <v>117</v>
      </c>
      <c r="O707" s="5" t="s">
        <v>461</v>
      </c>
      <c r="P707" s="5" t="s">
        <v>72</v>
      </c>
      <c r="Q707" s="5" t="s">
        <v>169</v>
      </c>
      <c r="R707" s="5" t="s">
        <v>170</v>
      </c>
      <c r="S707" s="5" t="s">
        <v>185</v>
      </c>
      <c r="T707" s="5" t="s">
        <v>57</v>
      </c>
      <c r="U707" s="5" t="s">
        <v>104</v>
      </c>
      <c r="V707" s="5" t="s">
        <v>200</v>
      </c>
      <c r="W707" s="5" t="s">
        <v>433</v>
      </c>
      <c r="X707" s="5" t="s">
        <v>3246</v>
      </c>
      <c r="Y707" s="5" t="s">
        <v>3247</v>
      </c>
      <c r="Z707" s="9">
        <v>46125</v>
      </c>
      <c r="AA707" s="8">
        <v>6</v>
      </c>
      <c r="AB707" s="9">
        <f t="shared" si="34"/>
        <v>46308</v>
      </c>
      <c r="AC707" s="10">
        <v>14</v>
      </c>
      <c r="AD707" s="7">
        <f t="shared" si="35"/>
        <v>3292</v>
      </c>
      <c r="AE707" s="7">
        <f>IF(F707="Bullet",H707*AD707,MIN(MAX(I707,1),Assumptions!$B$6)*AD707)</f>
        <v>6584</v>
      </c>
      <c r="AF707" s="8">
        <f>IF(F707="Bullet",MAX(0,Assumptions!$B$4-AB707),MAX(0,Assumptions!$B$4-L707))</f>
        <v>0</v>
      </c>
      <c r="AG707" s="9"/>
      <c r="AH707" s="8" t="str">
        <f>IF(AG707="","",Assumptions!$B$4-AG707)</f>
        <v/>
      </c>
      <c r="AI707" s="5" t="s">
        <v>80</v>
      </c>
      <c r="AJ707" s="8"/>
      <c r="AK707" s="8">
        <v>4</v>
      </c>
      <c r="AL707" s="8">
        <v>625</v>
      </c>
      <c r="AM707" s="8">
        <v>3</v>
      </c>
      <c r="AN707" s="5" t="s">
        <v>57</v>
      </c>
      <c r="AO707" s="10">
        <v>79.3</v>
      </c>
      <c r="AP707" s="8">
        <v>83</v>
      </c>
      <c r="AQ707" s="9">
        <v>46294</v>
      </c>
      <c r="AR707" s="5" t="s">
        <v>70</v>
      </c>
      <c r="AS707" s="5" t="s">
        <v>81</v>
      </c>
    </row>
    <row r="708" spans="1:45" x14ac:dyDescent="0.35">
      <c r="A708" s="5" t="s">
        <v>3248</v>
      </c>
      <c r="B708" s="5" t="s">
        <v>198</v>
      </c>
      <c r="C708" s="6" t="s">
        <v>3249</v>
      </c>
      <c r="D708" s="7">
        <v>258300</v>
      </c>
      <c r="E708" s="5" t="s">
        <v>48</v>
      </c>
      <c r="F708" s="5" t="s">
        <v>49</v>
      </c>
      <c r="G708" s="8"/>
      <c r="H708" s="8" t="str">
        <f>IF(F708="Bullet",MIN(G708,Assumptions!$B$6),"")</f>
        <v/>
      </c>
      <c r="I708" s="8">
        <v>1</v>
      </c>
      <c r="J708" s="8">
        <f>IF(F708="Monthly interest",MAX(0,Assumptions!$B$5-I708),"")</f>
        <v>2</v>
      </c>
      <c r="K708" s="7">
        <f t="shared" si="33"/>
        <v>4736</v>
      </c>
      <c r="L708" s="9">
        <v>46281</v>
      </c>
      <c r="M708" s="5" t="s">
        <v>69</v>
      </c>
      <c r="N708" s="5" t="s">
        <v>53</v>
      </c>
      <c r="O708" s="5" t="s">
        <v>95</v>
      </c>
      <c r="P708" s="5" t="s">
        <v>70</v>
      </c>
      <c r="Q708" s="5" t="s">
        <v>54</v>
      </c>
      <c r="R708" s="5" t="s">
        <v>55</v>
      </c>
      <c r="S708" s="5" t="s">
        <v>185</v>
      </c>
      <c r="T708" s="5" t="s">
        <v>63</v>
      </c>
      <c r="U708" s="5" t="s">
        <v>58</v>
      </c>
      <c r="V708" s="5" t="s">
        <v>186</v>
      </c>
      <c r="W708" s="5" t="s">
        <v>694</v>
      </c>
      <c r="X708" s="5" t="s">
        <v>695</v>
      </c>
      <c r="Y708" s="5" t="s">
        <v>3250</v>
      </c>
      <c r="Z708" s="9">
        <v>46219</v>
      </c>
      <c r="AA708" s="8">
        <v>12</v>
      </c>
      <c r="AB708" s="9">
        <f t="shared" si="34"/>
        <v>46584</v>
      </c>
      <c r="AC708" s="10">
        <v>22</v>
      </c>
      <c r="AD708" s="7">
        <f t="shared" si="35"/>
        <v>4736</v>
      </c>
      <c r="AE708" s="7">
        <f>IF(F708="Bullet",H708*AD708,MIN(MAX(I708,1),Assumptions!$B$6)*AD708)</f>
        <v>4736</v>
      </c>
      <c r="AF708" s="8">
        <f>IF(F708="Bullet",MAX(0,Assumptions!$B$4-AB708),MAX(0,Assumptions!$B$4-L708))</f>
        <v>17</v>
      </c>
      <c r="AG708" s="9">
        <v>46251</v>
      </c>
      <c r="AH708" s="8">
        <f>IF(AG708="","",Assumptions!$B$4-AG708)</f>
        <v>47</v>
      </c>
      <c r="AI708" s="5" t="s">
        <v>63</v>
      </c>
      <c r="AJ708" s="8">
        <v>2</v>
      </c>
      <c r="AK708" s="8">
        <v>0</v>
      </c>
      <c r="AL708" s="8">
        <v>658</v>
      </c>
      <c r="AM708" s="8">
        <v>1</v>
      </c>
      <c r="AN708" s="5" t="s">
        <v>57</v>
      </c>
      <c r="AO708" s="10">
        <v>75.099999999999994</v>
      </c>
      <c r="AP708" s="8">
        <v>46</v>
      </c>
      <c r="AQ708" s="9">
        <v>46276</v>
      </c>
      <c r="AR708" s="5" t="s">
        <v>53</v>
      </c>
      <c r="AS708" s="5" t="s">
        <v>190</v>
      </c>
    </row>
    <row r="709" spans="1:45" x14ac:dyDescent="0.35">
      <c r="A709" s="5" t="s">
        <v>3251</v>
      </c>
      <c r="B709" s="5" t="s">
        <v>2745</v>
      </c>
      <c r="C709" s="6" t="s">
        <v>3252</v>
      </c>
      <c r="D709" s="7">
        <v>144100</v>
      </c>
      <c r="E709" s="5" t="s">
        <v>48</v>
      </c>
      <c r="F709" s="5" t="s">
        <v>68</v>
      </c>
      <c r="G709" s="8">
        <v>6</v>
      </c>
      <c r="H709" s="8">
        <f>IF(F709="Bullet",MIN(G709,Assumptions!$B$6),"")</f>
        <v>2</v>
      </c>
      <c r="I709" s="8"/>
      <c r="J709" s="8" t="str">
        <f>IF(F709="Monthly interest",MAX(0,Assumptions!$B$5-I709),"")</f>
        <v/>
      </c>
      <c r="K709" s="7">
        <f t="shared" si="33"/>
        <v>8646</v>
      </c>
      <c r="L709" s="9">
        <v>46100</v>
      </c>
      <c r="M709" s="5" t="s">
        <v>116</v>
      </c>
      <c r="N709" s="5" t="s">
        <v>117</v>
      </c>
      <c r="O709" s="5" t="s">
        <v>461</v>
      </c>
      <c r="P709" s="5" t="s">
        <v>72</v>
      </c>
      <c r="Q709" s="5" t="s">
        <v>169</v>
      </c>
      <c r="R709" s="5" t="s">
        <v>170</v>
      </c>
      <c r="S709" s="5" t="s">
        <v>185</v>
      </c>
      <c r="T709" s="5" t="s">
        <v>57</v>
      </c>
      <c r="U709" s="5" t="s">
        <v>86</v>
      </c>
      <c r="V709" s="5" t="s">
        <v>186</v>
      </c>
      <c r="W709" s="5" t="s">
        <v>329</v>
      </c>
      <c r="X709" s="5" t="s">
        <v>1604</v>
      </c>
      <c r="Y709" s="5" t="s">
        <v>3253</v>
      </c>
      <c r="Z709" s="9">
        <v>46100</v>
      </c>
      <c r="AA709" s="8">
        <v>6</v>
      </c>
      <c r="AB709" s="9">
        <f t="shared" si="34"/>
        <v>46284</v>
      </c>
      <c r="AC709" s="10">
        <v>12</v>
      </c>
      <c r="AD709" s="7">
        <f t="shared" si="35"/>
        <v>1441</v>
      </c>
      <c r="AE709" s="7">
        <f>IF(F709="Bullet",H709*AD709,MIN(MAX(I709,1),Assumptions!$B$6)*AD709)</f>
        <v>2882</v>
      </c>
      <c r="AF709" s="8">
        <f>IF(F709="Bullet",MAX(0,Assumptions!$B$4-AB709),MAX(0,Assumptions!$B$4-L709))</f>
        <v>14</v>
      </c>
      <c r="AG709" s="9"/>
      <c r="AH709" s="8" t="str">
        <f>IF(AG709="","",Assumptions!$B$4-AG709)</f>
        <v/>
      </c>
      <c r="AI709" s="5" t="s">
        <v>80</v>
      </c>
      <c r="AJ709" s="8"/>
      <c r="AK709" s="8">
        <v>0</v>
      </c>
      <c r="AL709" s="8" t="s">
        <v>80</v>
      </c>
      <c r="AM709" s="8">
        <v>1</v>
      </c>
      <c r="AN709" s="5" t="s">
        <v>63</v>
      </c>
      <c r="AO709" s="10">
        <v>81.2</v>
      </c>
      <c r="AP709" s="8">
        <v>53</v>
      </c>
      <c r="AQ709" s="9">
        <v>46290</v>
      </c>
      <c r="AR709" s="5" t="s">
        <v>70</v>
      </c>
      <c r="AS709" s="5" t="s">
        <v>91</v>
      </c>
    </row>
    <row r="710" spans="1:45" x14ac:dyDescent="0.35">
      <c r="A710" s="5" t="s">
        <v>3254</v>
      </c>
      <c r="B710" s="5" t="s">
        <v>380</v>
      </c>
      <c r="C710" s="6" t="s">
        <v>3255</v>
      </c>
      <c r="D710" s="7">
        <v>409900</v>
      </c>
      <c r="E710" s="5" t="s">
        <v>48</v>
      </c>
      <c r="F710" s="5" t="s">
        <v>68</v>
      </c>
      <c r="G710" s="8">
        <v>6</v>
      </c>
      <c r="H710" s="8">
        <f>IF(F710="Bullet",MIN(G710,Assumptions!$B$6),"")</f>
        <v>2</v>
      </c>
      <c r="I710" s="8"/>
      <c r="J710" s="8" t="str">
        <f>IF(F710="Monthly interest",MAX(0,Assumptions!$B$5-I710),"")</f>
        <v/>
      </c>
      <c r="K710" s="7">
        <f t="shared" si="33"/>
        <v>24594</v>
      </c>
      <c r="L710" s="9">
        <v>46111</v>
      </c>
      <c r="M710" s="5" t="s">
        <v>116</v>
      </c>
      <c r="N710" s="5" t="s">
        <v>117</v>
      </c>
      <c r="O710" s="5" t="s">
        <v>461</v>
      </c>
      <c r="P710" s="5" t="s">
        <v>72</v>
      </c>
      <c r="Q710" s="5" t="s">
        <v>169</v>
      </c>
      <c r="R710" s="5" t="s">
        <v>170</v>
      </c>
      <c r="S710" s="5" t="s">
        <v>75</v>
      </c>
      <c r="T710" s="5" t="s">
        <v>57</v>
      </c>
      <c r="U710" s="5" t="s">
        <v>104</v>
      </c>
      <c r="V710" s="5" t="s">
        <v>76</v>
      </c>
      <c r="W710" s="5" t="s">
        <v>444</v>
      </c>
      <c r="X710" s="5" t="s">
        <v>1228</v>
      </c>
      <c r="Y710" s="5" t="s">
        <v>3256</v>
      </c>
      <c r="Z710" s="9">
        <v>46111</v>
      </c>
      <c r="AA710" s="8">
        <v>6</v>
      </c>
      <c r="AB710" s="9">
        <f t="shared" si="34"/>
        <v>46295</v>
      </c>
      <c r="AC710" s="10">
        <v>12</v>
      </c>
      <c r="AD710" s="7">
        <f t="shared" si="35"/>
        <v>4099</v>
      </c>
      <c r="AE710" s="7">
        <f>IF(F710="Bullet",H710*AD710,MIN(MAX(I710,1),Assumptions!$B$6)*AD710)</f>
        <v>8198</v>
      </c>
      <c r="AF710" s="8">
        <f>IF(F710="Bullet",MAX(0,Assumptions!$B$4-AB710),MAX(0,Assumptions!$B$4-L710))</f>
        <v>3</v>
      </c>
      <c r="AG710" s="9"/>
      <c r="AH710" s="8" t="str">
        <f>IF(AG710="","",Assumptions!$B$4-AG710)</f>
        <v/>
      </c>
      <c r="AI710" s="5" t="s">
        <v>80</v>
      </c>
      <c r="AJ710" s="8"/>
      <c r="AK710" s="8">
        <v>2</v>
      </c>
      <c r="AL710" s="8">
        <v>682</v>
      </c>
      <c r="AM710" s="8">
        <v>1</v>
      </c>
      <c r="AN710" s="5" t="s">
        <v>63</v>
      </c>
      <c r="AO710" s="10">
        <v>74.400000000000006</v>
      </c>
      <c r="AP710" s="8">
        <v>69</v>
      </c>
      <c r="AQ710" s="9">
        <v>46295</v>
      </c>
      <c r="AR710" s="5" t="s">
        <v>70</v>
      </c>
      <c r="AS710" s="5" t="s">
        <v>81</v>
      </c>
    </row>
    <row r="711" spans="1:45" x14ac:dyDescent="0.35">
      <c r="A711" s="5" t="s">
        <v>3257</v>
      </c>
      <c r="B711" s="5" t="s">
        <v>3258</v>
      </c>
      <c r="C711" s="6" t="s">
        <v>3259</v>
      </c>
      <c r="D711" s="7">
        <v>105800</v>
      </c>
      <c r="E711" s="5" t="s">
        <v>48</v>
      </c>
      <c r="F711" s="5" t="s">
        <v>49</v>
      </c>
      <c r="G711" s="8"/>
      <c r="H711" s="8" t="str">
        <f>IF(F711="Bullet",MIN(G711,Assumptions!$B$6),"")</f>
        <v/>
      </c>
      <c r="I711" s="8">
        <v>1</v>
      </c>
      <c r="J711" s="8">
        <f>IF(F711="Monthly interest",MAX(0,Assumptions!$B$5-I711),"")</f>
        <v>2</v>
      </c>
      <c r="K711" s="7">
        <f t="shared" si="33"/>
        <v>1323</v>
      </c>
      <c r="L711" s="9">
        <v>46271</v>
      </c>
      <c r="M711" s="5" t="s">
        <v>50</v>
      </c>
      <c r="N711" s="5" t="s">
        <v>53</v>
      </c>
      <c r="O711" s="5" t="s">
        <v>103</v>
      </c>
      <c r="P711" s="5" t="s">
        <v>51</v>
      </c>
      <c r="Q711" s="5" t="s">
        <v>54</v>
      </c>
      <c r="R711" s="5" t="s">
        <v>55</v>
      </c>
      <c r="S711" s="5" t="s">
        <v>75</v>
      </c>
      <c r="T711" s="5" t="s">
        <v>57</v>
      </c>
      <c r="U711" s="5" t="s">
        <v>58</v>
      </c>
      <c r="V711" s="5" t="s">
        <v>76</v>
      </c>
      <c r="W711" s="5" t="s">
        <v>547</v>
      </c>
      <c r="X711" s="5" t="s">
        <v>2130</v>
      </c>
      <c r="Y711" s="5" t="s">
        <v>3260</v>
      </c>
      <c r="Z711" s="9">
        <v>46209</v>
      </c>
      <c r="AA711" s="8">
        <v>12</v>
      </c>
      <c r="AB711" s="9">
        <f t="shared" si="34"/>
        <v>46574</v>
      </c>
      <c r="AC711" s="10">
        <v>15</v>
      </c>
      <c r="AD711" s="7">
        <f t="shared" si="35"/>
        <v>1323</v>
      </c>
      <c r="AE711" s="7">
        <f>IF(F711="Bullet",H711*AD711,MIN(MAX(I711,1),Assumptions!$B$6)*AD711)</f>
        <v>1323</v>
      </c>
      <c r="AF711" s="8">
        <f>IF(F711="Bullet",MAX(0,Assumptions!$B$4-AB711),MAX(0,Assumptions!$B$4-L711))</f>
        <v>27</v>
      </c>
      <c r="AG711" s="9">
        <v>46243</v>
      </c>
      <c r="AH711" s="8">
        <f>IF(AG711="","",Assumptions!$B$4-AG711)</f>
        <v>55</v>
      </c>
      <c r="AI711" s="5" t="s">
        <v>63</v>
      </c>
      <c r="AJ711" s="8">
        <v>2</v>
      </c>
      <c r="AK711" s="8">
        <v>0</v>
      </c>
      <c r="AL711" s="8" t="s">
        <v>80</v>
      </c>
      <c r="AM711" s="8">
        <v>1</v>
      </c>
      <c r="AN711" s="5" t="s">
        <v>63</v>
      </c>
      <c r="AO711" s="10">
        <v>54.7</v>
      </c>
      <c r="AP711" s="8">
        <v>25</v>
      </c>
      <c r="AQ711" s="9">
        <v>46282</v>
      </c>
      <c r="AR711" s="5" t="s">
        <v>51</v>
      </c>
      <c r="AS711" s="5" t="s">
        <v>81</v>
      </c>
    </row>
    <row r="712" spans="1:45" x14ac:dyDescent="0.35">
      <c r="A712" s="5" t="s">
        <v>3261</v>
      </c>
      <c r="B712" s="5" t="s">
        <v>3262</v>
      </c>
      <c r="C712" s="6" t="s">
        <v>3263</v>
      </c>
      <c r="D712" s="7">
        <v>110000</v>
      </c>
      <c r="E712" s="5" t="s">
        <v>48</v>
      </c>
      <c r="F712" s="5" t="s">
        <v>68</v>
      </c>
      <c r="G712" s="8">
        <v>2</v>
      </c>
      <c r="H712" s="8">
        <f>IF(F712="Bullet",MIN(G712,Assumptions!$B$6),"")</f>
        <v>2</v>
      </c>
      <c r="I712" s="8"/>
      <c r="J712" s="8" t="str">
        <f>IF(F712="Monthly interest",MAX(0,Assumptions!$B$5-I712),"")</f>
        <v/>
      </c>
      <c r="K712" s="7">
        <f t="shared" si="33"/>
        <v>2566</v>
      </c>
      <c r="L712" s="9">
        <v>46229</v>
      </c>
      <c r="M712" s="5" t="s">
        <v>50</v>
      </c>
      <c r="N712" s="5" t="s">
        <v>53</v>
      </c>
      <c r="O712" s="5" t="s">
        <v>132</v>
      </c>
      <c r="P712" s="5" t="s">
        <v>51</v>
      </c>
      <c r="Q712" s="5" t="s">
        <v>73</v>
      </c>
      <c r="R712" s="5" t="s">
        <v>74</v>
      </c>
      <c r="S712" s="5" t="s">
        <v>75</v>
      </c>
      <c r="T712" s="5" t="s">
        <v>57</v>
      </c>
      <c r="U712" s="5" t="s">
        <v>58</v>
      </c>
      <c r="V712" s="5" t="s">
        <v>76</v>
      </c>
      <c r="W712" s="5" t="s">
        <v>547</v>
      </c>
      <c r="X712" s="5" t="s">
        <v>3226</v>
      </c>
      <c r="Y712" s="5" t="s">
        <v>3264</v>
      </c>
      <c r="Z712" s="9">
        <v>46229</v>
      </c>
      <c r="AA712" s="8">
        <v>3</v>
      </c>
      <c r="AB712" s="9">
        <f t="shared" si="34"/>
        <v>46321</v>
      </c>
      <c r="AC712" s="10">
        <v>14</v>
      </c>
      <c r="AD712" s="7">
        <f t="shared" si="35"/>
        <v>1283</v>
      </c>
      <c r="AE712" s="7">
        <f>IF(F712="Bullet",H712*AD712,MIN(MAX(I712,1),Assumptions!$B$6)*AD712)</f>
        <v>2566</v>
      </c>
      <c r="AF712" s="8">
        <f>IF(F712="Bullet",MAX(0,Assumptions!$B$4-AB712),MAX(0,Assumptions!$B$4-L712))</f>
        <v>0</v>
      </c>
      <c r="AG712" s="9"/>
      <c r="AH712" s="8" t="str">
        <f>IF(AG712="","",Assumptions!$B$4-AG712)</f>
        <v/>
      </c>
      <c r="AI712" s="5" t="s">
        <v>80</v>
      </c>
      <c r="AJ712" s="8"/>
      <c r="AK712" s="8">
        <v>0</v>
      </c>
      <c r="AL712" s="8">
        <v>752</v>
      </c>
      <c r="AM712" s="8">
        <v>0</v>
      </c>
      <c r="AN712" s="5" t="s">
        <v>63</v>
      </c>
      <c r="AO712" s="10">
        <v>75</v>
      </c>
      <c r="AP712" s="8">
        <v>22</v>
      </c>
      <c r="AQ712" s="9">
        <v>46285</v>
      </c>
      <c r="AR712" s="5" t="s">
        <v>51</v>
      </c>
      <c r="AS712" s="5" t="s">
        <v>91</v>
      </c>
    </row>
    <row r="713" spans="1:45" x14ac:dyDescent="0.35">
      <c r="A713" s="5" t="s">
        <v>3265</v>
      </c>
      <c r="B713" s="5" t="s">
        <v>3266</v>
      </c>
      <c r="C713" s="6" t="s">
        <v>3267</v>
      </c>
      <c r="D713" s="7">
        <v>297300</v>
      </c>
      <c r="E713" s="5" t="s">
        <v>48</v>
      </c>
      <c r="F713" s="5" t="s">
        <v>68</v>
      </c>
      <c r="G713" s="8">
        <v>3</v>
      </c>
      <c r="H713" s="8">
        <f>IF(F713="Bullet",MIN(G713,Assumptions!$B$6),"")</f>
        <v>2</v>
      </c>
      <c r="I713" s="8"/>
      <c r="J713" s="8" t="str">
        <f>IF(F713="Monthly interest",MAX(0,Assumptions!$B$5-I713),"")</f>
        <v/>
      </c>
      <c r="K713" s="7">
        <f t="shared" si="33"/>
        <v>8919</v>
      </c>
      <c r="L713" s="9">
        <v>46200</v>
      </c>
      <c r="M713" s="5" t="s">
        <v>69</v>
      </c>
      <c r="N713" s="5" t="s">
        <v>70</v>
      </c>
      <c r="O713" s="5" t="s">
        <v>71</v>
      </c>
      <c r="P713" s="5" t="s">
        <v>72</v>
      </c>
      <c r="Q713" s="5" t="s">
        <v>73</v>
      </c>
      <c r="R713" s="5" t="s">
        <v>74</v>
      </c>
      <c r="S713" s="5" t="s">
        <v>185</v>
      </c>
      <c r="T713" s="5" t="s">
        <v>57</v>
      </c>
      <c r="U713" s="5" t="s">
        <v>86</v>
      </c>
      <c r="V713" s="5" t="s">
        <v>186</v>
      </c>
      <c r="W713" s="5" t="s">
        <v>187</v>
      </c>
      <c r="X713" s="5" t="s">
        <v>2518</v>
      </c>
      <c r="Y713" s="5" t="s">
        <v>3268</v>
      </c>
      <c r="Z713" s="9">
        <v>46200</v>
      </c>
      <c r="AA713" s="8">
        <v>6</v>
      </c>
      <c r="AB713" s="9">
        <f t="shared" si="34"/>
        <v>46383</v>
      </c>
      <c r="AC713" s="10">
        <v>12</v>
      </c>
      <c r="AD713" s="7">
        <f t="shared" si="35"/>
        <v>2973</v>
      </c>
      <c r="AE713" s="7">
        <f>IF(F713="Bullet",H713*AD713,MIN(MAX(I713,1),Assumptions!$B$6)*AD713)</f>
        <v>5946</v>
      </c>
      <c r="AF713" s="8">
        <f>IF(F713="Bullet",MAX(0,Assumptions!$B$4-AB713),MAX(0,Assumptions!$B$4-L713))</f>
        <v>0</v>
      </c>
      <c r="AG713" s="9"/>
      <c r="AH713" s="8" t="str">
        <f>IF(AG713="","",Assumptions!$B$4-AG713)</f>
        <v/>
      </c>
      <c r="AI713" s="5" t="s">
        <v>80</v>
      </c>
      <c r="AJ713" s="8"/>
      <c r="AK713" s="8">
        <v>2</v>
      </c>
      <c r="AL713" s="8">
        <v>719</v>
      </c>
      <c r="AM713" s="8">
        <v>1</v>
      </c>
      <c r="AN713" s="5" t="s">
        <v>63</v>
      </c>
      <c r="AO713" s="10">
        <v>66.8</v>
      </c>
      <c r="AP713" s="8">
        <v>33</v>
      </c>
      <c r="AQ713" s="9">
        <v>46278</v>
      </c>
      <c r="AR713" s="5" t="s">
        <v>51</v>
      </c>
      <c r="AS713" s="5" t="s">
        <v>81</v>
      </c>
    </row>
    <row r="714" spans="1:45" x14ac:dyDescent="0.35">
      <c r="A714" s="5" t="s">
        <v>3269</v>
      </c>
      <c r="B714" s="5" t="s">
        <v>3270</v>
      </c>
      <c r="C714" s="6" t="s">
        <v>3271</v>
      </c>
      <c r="D714" s="7">
        <v>139200</v>
      </c>
      <c r="E714" s="5" t="s">
        <v>48</v>
      </c>
      <c r="F714" s="5" t="s">
        <v>68</v>
      </c>
      <c r="G714" s="8">
        <v>1</v>
      </c>
      <c r="H714" s="8">
        <f>IF(F714="Bullet",MIN(G714,Assumptions!$B$6),"")</f>
        <v>1</v>
      </c>
      <c r="I714" s="8"/>
      <c r="J714" s="8" t="str">
        <f>IF(F714="Monthly interest",MAX(0,Assumptions!$B$5-I714),"")</f>
        <v/>
      </c>
      <c r="K714" s="7">
        <f t="shared" si="33"/>
        <v>1508</v>
      </c>
      <c r="L714" s="9">
        <v>46247</v>
      </c>
      <c r="M714" s="5" t="s">
        <v>50</v>
      </c>
      <c r="N714" s="5" t="s">
        <v>51</v>
      </c>
      <c r="O714" s="5" t="s">
        <v>71</v>
      </c>
      <c r="P714" s="5" t="s">
        <v>53</v>
      </c>
      <c r="Q714" s="5" t="s">
        <v>73</v>
      </c>
      <c r="R714" s="5" t="s">
        <v>74</v>
      </c>
      <c r="S714" s="5" t="s">
        <v>85</v>
      </c>
      <c r="T714" s="5" t="s">
        <v>57</v>
      </c>
      <c r="U714" s="5" t="s">
        <v>58</v>
      </c>
      <c r="V714" s="5" t="s">
        <v>133</v>
      </c>
      <c r="W714" s="5" t="s">
        <v>317</v>
      </c>
      <c r="X714" s="5" t="s">
        <v>3272</v>
      </c>
      <c r="Y714" s="5" t="s">
        <v>3273</v>
      </c>
      <c r="Z714" s="9">
        <v>46247</v>
      </c>
      <c r="AA714" s="8">
        <v>6</v>
      </c>
      <c r="AB714" s="9">
        <f t="shared" si="34"/>
        <v>46431</v>
      </c>
      <c r="AC714" s="10">
        <v>13</v>
      </c>
      <c r="AD714" s="7">
        <f t="shared" si="35"/>
        <v>1508</v>
      </c>
      <c r="AE714" s="7">
        <f>IF(F714="Bullet",H714*AD714,MIN(MAX(I714,1),Assumptions!$B$6)*AD714)</f>
        <v>1508</v>
      </c>
      <c r="AF714" s="8">
        <f>IF(F714="Bullet",MAX(0,Assumptions!$B$4-AB714),MAX(0,Assumptions!$B$4-L714))</f>
        <v>0</v>
      </c>
      <c r="AG714" s="9"/>
      <c r="AH714" s="8" t="str">
        <f>IF(AG714="","",Assumptions!$B$4-AG714)</f>
        <v/>
      </c>
      <c r="AI714" s="5" t="s">
        <v>80</v>
      </c>
      <c r="AJ714" s="8"/>
      <c r="AK714" s="8">
        <v>0</v>
      </c>
      <c r="AL714" s="8">
        <v>716</v>
      </c>
      <c r="AM714" s="8">
        <v>1</v>
      </c>
      <c r="AN714" s="5" t="s">
        <v>63</v>
      </c>
      <c r="AO714" s="10">
        <v>65.599999999999994</v>
      </c>
      <c r="AP714" s="8">
        <v>9</v>
      </c>
      <c r="AQ714" s="9">
        <v>46291</v>
      </c>
      <c r="AR714" s="5" t="s">
        <v>51</v>
      </c>
      <c r="AS714" s="5" t="s">
        <v>190</v>
      </c>
    </row>
    <row r="715" spans="1:45" x14ac:dyDescent="0.35">
      <c r="A715" s="5" t="s">
        <v>3274</v>
      </c>
      <c r="B715" s="5" t="s">
        <v>3275</v>
      </c>
      <c r="C715" s="6" t="s">
        <v>3276</v>
      </c>
      <c r="D715" s="7">
        <v>38500</v>
      </c>
      <c r="E715" s="5" t="s">
        <v>48</v>
      </c>
      <c r="F715" s="5" t="s">
        <v>68</v>
      </c>
      <c r="G715" s="8">
        <v>4</v>
      </c>
      <c r="H715" s="8">
        <f>IF(F715="Bullet",MIN(G715,Assumptions!$B$6),"")</f>
        <v>2</v>
      </c>
      <c r="I715" s="8"/>
      <c r="J715" s="8" t="str">
        <f>IF(F715="Monthly interest",MAX(0,Assumptions!$B$5-I715),"")</f>
        <v/>
      </c>
      <c r="K715" s="7">
        <f t="shared" si="33"/>
        <v>1924</v>
      </c>
      <c r="L715" s="9">
        <v>46154</v>
      </c>
      <c r="M715" s="5" t="s">
        <v>69</v>
      </c>
      <c r="N715" s="5" t="s">
        <v>53</v>
      </c>
      <c r="O715" s="5" t="s">
        <v>152</v>
      </c>
      <c r="P715" s="5" t="s">
        <v>153</v>
      </c>
      <c r="Q715" s="5" t="s">
        <v>154</v>
      </c>
      <c r="R715" s="5" t="s">
        <v>155</v>
      </c>
      <c r="S715" s="5" t="s">
        <v>75</v>
      </c>
      <c r="T715" s="5" t="s">
        <v>63</v>
      </c>
      <c r="U715" s="5" t="s">
        <v>86</v>
      </c>
      <c r="V715" s="5" t="s">
        <v>76</v>
      </c>
      <c r="W715" s="5" t="s">
        <v>105</v>
      </c>
      <c r="X715" s="5" t="s">
        <v>565</v>
      </c>
      <c r="Y715" s="5" t="s">
        <v>3277</v>
      </c>
      <c r="Z715" s="9">
        <v>46154</v>
      </c>
      <c r="AA715" s="8">
        <v>3</v>
      </c>
      <c r="AB715" s="9">
        <f t="shared" si="34"/>
        <v>46246</v>
      </c>
      <c r="AC715" s="10">
        <v>15</v>
      </c>
      <c r="AD715" s="7">
        <f t="shared" si="35"/>
        <v>481</v>
      </c>
      <c r="AE715" s="7">
        <f>IF(F715="Bullet",H715*AD715,MIN(MAX(I715,1),Assumptions!$B$6)*AD715)</f>
        <v>962</v>
      </c>
      <c r="AF715" s="8">
        <f>IF(F715="Bullet",MAX(0,Assumptions!$B$4-AB715),MAX(0,Assumptions!$B$4-L715))</f>
        <v>52</v>
      </c>
      <c r="AG715" s="9"/>
      <c r="AH715" s="8" t="str">
        <f>IF(AG715="","",Assumptions!$B$4-AG715)</f>
        <v/>
      </c>
      <c r="AI715" s="5" t="s">
        <v>80</v>
      </c>
      <c r="AJ715" s="8"/>
      <c r="AK715" s="8">
        <v>1</v>
      </c>
      <c r="AL715" s="8">
        <v>782</v>
      </c>
      <c r="AM715" s="8">
        <v>0</v>
      </c>
      <c r="AN715" s="5" t="s">
        <v>63</v>
      </c>
      <c r="AO715" s="10">
        <v>58.9</v>
      </c>
      <c r="AP715" s="8">
        <v>32</v>
      </c>
      <c r="AQ715" s="9">
        <v>46274</v>
      </c>
      <c r="AR715" s="5" t="s">
        <v>72</v>
      </c>
      <c r="AS715" s="5" t="s">
        <v>190</v>
      </c>
    </row>
    <row r="716" spans="1:45" x14ac:dyDescent="0.35">
      <c r="A716" s="5" t="s">
        <v>3278</v>
      </c>
      <c r="B716" s="5" t="s">
        <v>3279</v>
      </c>
      <c r="C716" s="6" t="s">
        <v>3280</v>
      </c>
      <c r="D716" s="7">
        <v>127300</v>
      </c>
      <c r="E716" s="5" t="s">
        <v>48</v>
      </c>
      <c r="F716" s="5" t="s">
        <v>49</v>
      </c>
      <c r="G716" s="8"/>
      <c r="H716" s="8" t="str">
        <f>IF(F716="Bullet",MIN(G716,Assumptions!$B$6),"")</f>
        <v/>
      </c>
      <c r="I716" s="8">
        <v>2</v>
      </c>
      <c r="J716" s="8">
        <f>IF(F716="Monthly interest",MAX(0,Assumptions!$B$5-I716),"")</f>
        <v>1</v>
      </c>
      <c r="K716" s="7">
        <f t="shared" si="33"/>
        <v>4668</v>
      </c>
      <c r="L716" s="9">
        <v>46252</v>
      </c>
      <c r="M716" s="5" t="s">
        <v>116</v>
      </c>
      <c r="N716" s="5" t="s">
        <v>117</v>
      </c>
      <c r="O716" s="5" t="s">
        <v>118</v>
      </c>
      <c r="P716" s="5" t="s">
        <v>72</v>
      </c>
      <c r="Q716" s="5" t="s">
        <v>119</v>
      </c>
      <c r="R716" s="5" t="s">
        <v>120</v>
      </c>
      <c r="S716" s="5" t="s">
        <v>75</v>
      </c>
      <c r="T716" s="5" t="s">
        <v>57</v>
      </c>
      <c r="U716" s="5" t="s">
        <v>104</v>
      </c>
      <c r="V716" s="5" t="s">
        <v>76</v>
      </c>
      <c r="W716" s="5" t="s">
        <v>146</v>
      </c>
      <c r="X716" s="5" t="s">
        <v>1809</v>
      </c>
      <c r="Y716" s="5" t="s">
        <v>3281</v>
      </c>
      <c r="Z716" s="9">
        <v>46099</v>
      </c>
      <c r="AA716" s="8">
        <v>12</v>
      </c>
      <c r="AB716" s="9">
        <f t="shared" si="34"/>
        <v>46464</v>
      </c>
      <c r="AC716" s="10">
        <v>22</v>
      </c>
      <c r="AD716" s="7">
        <f t="shared" si="35"/>
        <v>2334</v>
      </c>
      <c r="AE716" s="7">
        <f>IF(F716="Bullet",H716*AD716,MIN(MAX(I716,1),Assumptions!$B$6)*AD716)</f>
        <v>4668</v>
      </c>
      <c r="AF716" s="8">
        <f>IF(F716="Bullet",MAX(0,Assumptions!$B$4-AB716),MAX(0,Assumptions!$B$4-L716))</f>
        <v>46</v>
      </c>
      <c r="AG716" s="9">
        <v>46224</v>
      </c>
      <c r="AH716" s="8">
        <f>IF(AG716="","",Assumptions!$B$4-AG716)</f>
        <v>74</v>
      </c>
      <c r="AI716" s="5" t="s">
        <v>57</v>
      </c>
      <c r="AJ716" s="8">
        <v>3</v>
      </c>
      <c r="AK716" s="8">
        <v>2</v>
      </c>
      <c r="AL716" s="8">
        <v>670</v>
      </c>
      <c r="AM716" s="8">
        <v>1</v>
      </c>
      <c r="AN716" s="5" t="s">
        <v>63</v>
      </c>
      <c r="AO716" s="10">
        <v>71.2</v>
      </c>
      <c r="AP716" s="8">
        <v>62</v>
      </c>
      <c r="AQ716" s="9">
        <v>46288</v>
      </c>
      <c r="AR716" s="5" t="s">
        <v>53</v>
      </c>
      <c r="AS716" s="5" t="s">
        <v>190</v>
      </c>
    </row>
    <row r="717" spans="1:45" x14ac:dyDescent="0.35">
      <c r="A717" s="5" t="s">
        <v>3282</v>
      </c>
      <c r="B717" s="5" t="s">
        <v>3283</v>
      </c>
      <c r="C717" s="6" t="s">
        <v>3284</v>
      </c>
      <c r="D717" s="7">
        <v>338700</v>
      </c>
      <c r="E717" s="5" t="s">
        <v>48</v>
      </c>
      <c r="F717" s="5" t="s">
        <v>49</v>
      </c>
      <c r="G717" s="8"/>
      <c r="H717" s="8" t="str">
        <f>IF(F717="Bullet",MIN(G717,Assumptions!$B$6),"")</f>
        <v/>
      </c>
      <c r="I717" s="8">
        <v>2</v>
      </c>
      <c r="J717" s="8">
        <f>IF(F717="Monthly interest",MAX(0,Assumptions!$B$5-I717),"")</f>
        <v>1</v>
      </c>
      <c r="K717" s="7">
        <f t="shared" si="33"/>
        <v>8468</v>
      </c>
      <c r="L717" s="9">
        <v>46244</v>
      </c>
      <c r="M717" s="5" t="s">
        <v>69</v>
      </c>
      <c r="N717" s="5" t="s">
        <v>70</v>
      </c>
      <c r="O717" s="5" t="s">
        <v>71</v>
      </c>
      <c r="P717" s="5" t="s">
        <v>72</v>
      </c>
      <c r="Q717" s="5" t="s">
        <v>73</v>
      </c>
      <c r="R717" s="5" t="s">
        <v>74</v>
      </c>
      <c r="S717" s="5" t="s">
        <v>75</v>
      </c>
      <c r="T717" s="5" t="s">
        <v>57</v>
      </c>
      <c r="U717" s="5" t="s">
        <v>58</v>
      </c>
      <c r="V717" s="5" t="s">
        <v>76</v>
      </c>
      <c r="W717" s="5" t="s">
        <v>146</v>
      </c>
      <c r="X717" s="5" t="s">
        <v>3285</v>
      </c>
      <c r="Y717" s="5" t="s">
        <v>3286</v>
      </c>
      <c r="Z717" s="9">
        <v>46091</v>
      </c>
      <c r="AA717" s="8">
        <v>24</v>
      </c>
      <c r="AB717" s="9">
        <f t="shared" si="34"/>
        <v>46822</v>
      </c>
      <c r="AC717" s="10">
        <v>15</v>
      </c>
      <c r="AD717" s="7">
        <f t="shared" si="35"/>
        <v>4234</v>
      </c>
      <c r="AE717" s="7">
        <f>IF(F717="Bullet",H717*AD717,MIN(MAX(I717,1),Assumptions!$B$6)*AD717)</f>
        <v>8468</v>
      </c>
      <c r="AF717" s="8">
        <f>IF(F717="Bullet",MAX(0,Assumptions!$B$4-AB717),MAX(0,Assumptions!$B$4-L717))</f>
        <v>54</v>
      </c>
      <c r="AG717" s="9">
        <v>46217</v>
      </c>
      <c r="AH717" s="8">
        <f>IF(AG717="","",Assumptions!$B$4-AG717)</f>
        <v>81</v>
      </c>
      <c r="AI717" s="5" t="s">
        <v>57</v>
      </c>
      <c r="AJ717" s="8">
        <v>2</v>
      </c>
      <c r="AK717" s="8">
        <v>1</v>
      </c>
      <c r="AL717" s="8" t="s">
        <v>80</v>
      </c>
      <c r="AM717" s="8">
        <v>2</v>
      </c>
      <c r="AN717" s="5" t="s">
        <v>63</v>
      </c>
      <c r="AO717" s="10">
        <v>71.5</v>
      </c>
      <c r="AP717" s="8">
        <v>44</v>
      </c>
      <c r="AQ717" s="9">
        <v>46278</v>
      </c>
      <c r="AR717" s="5" t="s">
        <v>53</v>
      </c>
      <c r="AS717" s="5" t="s">
        <v>81</v>
      </c>
    </row>
    <row r="718" spans="1:45" x14ac:dyDescent="0.35">
      <c r="A718" s="5" t="s">
        <v>3287</v>
      </c>
      <c r="B718" s="5" t="s">
        <v>3288</v>
      </c>
      <c r="C718" s="6" t="s">
        <v>3289</v>
      </c>
      <c r="D718" s="7">
        <v>202600</v>
      </c>
      <c r="E718" s="5" t="s">
        <v>48</v>
      </c>
      <c r="F718" s="5" t="s">
        <v>49</v>
      </c>
      <c r="G718" s="8"/>
      <c r="H718" s="8" t="str">
        <f>IF(F718="Bullet",MIN(G718,Assumptions!$B$6),"")</f>
        <v/>
      </c>
      <c r="I718" s="8">
        <v>2</v>
      </c>
      <c r="J718" s="8">
        <f>IF(F718="Monthly interest",MAX(0,Assumptions!$B$5-I718),"")</f>
        <v>1</v>
      </c>
      <c r="K718" s="7">
        <f t="shared" si="33"/>
        <v>5066</v>
      </c>
      <c r="L718" s="9">
        <v>46250</v>
      </c>
      <c r="M718" s="5" t="s">
        <v>116</v>
      </c>
      <c r="N718" s="5" t="s">
        <v>117</v>
      </c>
      <c r="O718" s="5" t="s">
        <v>118</v>
      </c>
      <c r="P718" s="5" t="s">
        <v>72</v>
      </c>
      <c r="Q718" s="5" t="s">
        <v>119</v>
      </c>
      <c r="R718" s="5" t="s">
        <v>120</v>
      </c>
      <c r="S718" s="5" t="s">
        <v>185</v>
      </c>
      <c r="T718" s="5" t="s">
        <v>57</v>
      </c>
      <c r="U718" s="5" t="s">
        <v>58</v>
      </c>
      <c r="V718" s="5" t="s">
        <v>200</v>
      </c>
      <c r="W718" s="5" t="s">
        <v>201</v>
      </c>
      <c r="X718" s="5" t="s">
        <v>428</v>
      </c>
      <c r="Y718" s="5" t="s">
        <v>3290</v>
      </c>
      <c r="Z718" s="9">
        <v>46097</v>
      </c>
      <c r="AA718" s="8">
        <v>12</v>
      </c>
      <c r="AB718" s="9">
        <f t="shared" si="34"/>
        <v>46462</v>
      </c>
      <c r="AC718" s="10">
        <v>15</v>
      </c>
      <c r="AD718" s="7">
        <f t="shared" si="35"/>
        <v>2533</v>
      </c>
      <c r="AE718" s="7">
        <f>IF(F718="Bullet",H718*AD718,MIN(MAX(I718,1),Assumptions!$B$6)*AD718)</f>
        <v>5066</v>
      </c>
      <c r="AF718" s="8">
        <f>IF(F718="Bullet",MAX(0,Assumptions!$B$4-AB718),MAX(0,Assumptions!$B$4-L718))</f>
        <v>48</v>
      </c>
      <c r="AG718" s="9">
        <v>46223</v>
      </c>
      <c r="AH718" s="8">
        <f>IF(AG718="","",Assumptions!$B$4-AG718)</f>
        <v>75</v>
      </c>
      <c r="AI718" s="5" t="s">
        <v>57</v>
      </c>
      <c r="AJ718" s="8">
        <v>4</v>
      </c>
      <c r="AK718" s="8">
        <v>0</v>
      </c>
      <c r="AL718" s="8">
        <v>744</v>
      </c>
      <c r="AM718" s="8">
        <v>1</v>
      </c>
      <c r="AN718" s="5" t="s">
        <v>63</v>
      </c>
      <c r="AO718" s="10">
        <v>88</v>
      </c>
      <c r="AP718" s="8">
        <v>62</v>
      </c>
      <c r="AQ718" s="9">
        <v>46290</v>
      </c>
      <c r="AR718" s="5" t="s">
        <v>53</v>
      </c>
      <c r="AS718" s="5" t="s">
        <v>91</v>
      </c>
    </row>
    <row r="719" spans="1:45" x14ac:dyDescent="0.35">
      <c r="A719" s="5" t="s">
        <v>3291</v>
      </c>
      <c r="B719" s="5" t="s">
        <v>3292</v>
      </c>
      <c r="C719" s="6" t="s">
        <v>3293</v>
      </c>
      <c r="D719" s="7">
        <v>91900</v>
      </c>
      <c r="E719" s="5" t="s">
        <v>48</v>
      </c>
      <c r="F719" s="5" t="s">
        <v>49</v>
      </c>
      <c r="G719" s="8"/>
      <c r="H719" s="8" t="str">
        <f>IF(F719="Bullet",MIN(G719,Assumptions!$B$6),"")</f>
        <v/>
      </c>
      <c r="I719" s="8">
        <v>1</v>
      </c>
      <c r="J719" s="8">
        <f>IF(F719="Monthly interest",MAX(0,Assumptions!$B$5-I719),"")</f>
        <v>2</v>
      </c>
      <c r="K719" s="7">
        <f t="shared" si="33"/>
        <v>1225</v>
      </c>
      <c r="L719" s="9">
        <v>46282</v>
      </c>
      <c r="M719" s="5" t="s">
        <v>50</v>
      </c>
      <c r="N719" s="5" t="s">
        <v>51</v>
      </c>
      <c r="O719" s="5" t="s">
        <v>52</v>
      </c>
      <c r="P719" s="5" t="s">
        <v>53</v>
      </c>
      <c r="Q719" s="5" t="s">
        <v>54</v>
      </c>
      <c r="R719" s="5" t="s">
        <v>55</v>
      </c>
      <c r="S719" s="5" t="s">
        <v>75</v>
      </c>
      <c r="T719" s="5" t="s">
        <v>57</v>
      </c>
      <c r="U719" s="5" t="s">
        <v>86</v>
      </c>
      <c r="V719" s="5" t="s">
        <v>76</v>
      </c>
      <c r="W719" s="5" t="s">
        <v>382</v>
      </c>
      <c r="X719" s="5" t="s">
        <v>2276</v>
      </c>
      <c r="Y719" s="5" t="s">
        <v>3294</v>
      </c>
      <c r="Z719" s="9">
        <v>46008</v>
      </c>
      <c r="AA719" s="8">
        <v>12</v>
      </c>
      <c r="AB719" s="9">
        <f t="shared" si="34"/>
        <v>46373</v>
      </c>
      <c r="AC719" s="10">
        <v>16</v>
      </c>
      <c r="AD719" s="7">
        <f t="shared" si="35"/>
        <v>1225</v>
      </c>
      <c r="AE719" s="7">
        <f>IF(F719="Bullet",H719*AD719,MIN(MAX(I719,1),Assumptions!$B$6)*AD719)</f>
        <v>1225</v>
      </c>
      <c r="AF719" s="8">
        <f>IF(F719="Bullet",MAX(0,Assumptions!$B$4-AB719),MAX(0,Assumptions!$B$4-L719))</f>
        <v>16</v>
      </c>
      <c r="AG719" s="9">
        <v>46251</v>
      </c>
      <c r="AH719" s="8">
        <f>IF(AG719="","",Assumptions!$B$4-AG719)</f>
        <v>47</v>
      </c>
      <c r="AI719" s="5" t="s">
        <v>63</v>
      </c>
      <c r="AJ719" s="8">
        <v>1</v>
      </c>
      <c r="AK719" s="8">
        <v>1</v>
      </c>
      <c r="AL719" s="8">
        <v>736</v>
      </c>
      <c r="AM719" s="8">
        <v>0</v>
      </c>
      <c r="AN719" s="5" t="s">
        <v>63</v>
      </c>
      <c r="AO719" s="10">
        <v>78.099999999999994</v>
      </c>
      <c r="AP719" s="8">
        <v>22</v>
      </c>
      <c r="AQ719" s="9">
        <v>46286</v>
      </c>
      <c r="AR719" s="5" t="s">
        <v>70</v>
      </c>
      <c r="AS719" s="5" t="s">
        <v>81</v>
      </c>
    </row>
    <row r="720" spans="1:45" x14ac:dyDescent="0.35">
      <c r="A720" s="5" t="s">
        <v>3295</v>
      </c>
      <c r="B720" s="5" t="s">
        <v>3296</v>
      </c>
      <c r="C720" s="6" t="s">
        <v>3297</v>
      </c>
      <c r="D720" s="7">
        <v>225700</v>
      </c>
      <c r="E720" s="5" t="s">
        <v>48</v>
      </c>
      <c r="F720" s="5" t="s">
        <v>49</v>
      </c>
      <c r="G720" s="8"/>
      <c r="H720" s="8" t="str">
        <f>IF(F720="Bullet",MIN(G720,Assumptions!$B$6),"")</f>
        <v/>
      </c>
      <c r="I720" s="8">
        <v>1</v>
      </c>
      <c r="J720" s="8">
        <f>IF(F720="Monthly interest",MAX(0,Assumptions!$B$5-I720),"")</f>
        <v>2</v>
      </c>
      <c r="K720" s="7">
        <f t="shared" si="33"/>
        <v>3009</v>
      </c>
      <c r="L720" s="9">
        <v>46282</v>
      </c>
      <c r="M720" s="5" t="s">
        <v>50</v>
      </c>
      <c r="N720" s="5" t="s">
        <v>53</v>
      </c>
      <c r="O720" s="5" t="s">
        <v>132</v>
      </c>
      <c r="P720" s="5" t="s">
        <v>51</v>
      </c>
      <c r="Q720" s="5" t="s">
        <v>54</v>
      </c>
      <c r="R720" s="5" t="s">
        <v>55</v>
      </c>
      <c r="S720" s="5" t="s">
        <v>75</v>
      </c>
      <c r="T720" s="5" t="s">
        <v>57</v>
      </c>
      <c r="U720" s="5" t="s">
        <v>58</v>
      </c>
      <c r="V720" s="5" t="s">
        <v>76</v>
      </c>
      <c r="W720" s="5" t="s">
        <v>444</v>
      </c>
      <c r="X720" s="5" t="s">
        <v>1752</v>
      </c>
      <c r="Y720" s="5" t="s">
        <v>3298</v>
      </c>
      <c r="Z720" s="9">
        <v>46129</v>
      </c>
      <c r="AA720" s="8">
        <v>12</v>
      </c>
      <c r="AB720" s="9">
        <f t="shared" si="34"/>
        <v>46494</v>
      </c>
      <c r="AC720" s="10">
        <v>16</v>
      </c>
      <c r="AD720" s="7">
        <f t="shared" si="35"/>
        <v>3009</v>
      </c>
      <c r="AE720" s="7">
        <f>IF(F720="Bullet",H720*AD720,MIN(MAX(I720,1),Assumptions!$B$6)*AD720)</f>
        <v>3009</v>
      </c>
      <c r="AF720" s="8">
        <f>IF(F720="Bullet",MAX(0,Assumptions!$B$4-AB720),MAX(0,Assumptions!$B$4-L720))</f>
        <v>16</v>
      </c>
      <c r="AG720" s="9">
        <v>46252</v>
      </c>
      <c r="AH720" s="8">
        <f>IF(AG720="","",Assumptions!$B$4-AG720)</f>
        <v>46</v>
      </c>
      <c r="AI720" s="5" t="s">
        <v>63</v>
      </c>
      <c r="AJ720" s="8">
        <v>1</v>
      </c>
      <c r="AK720" s="8">
        <v>1</v>
      </c>
      <c r="AL720" s="8">
        <v>709</v>
      </c>
      <c r="AM720" s="8">
        <v>1</v>
      </c>
      <c r="AN720" s="5" t="s">
        <v>63</v>
      </c>
      <c r="AO720" s="10">
        <v>52.7</v>
      </c>
      <c r="AP720" s="8">
        <v>28</v>
      </c>
      <c r="AQ720" s="9">
        <v>46283</v>
      </c>
      <c r="AR720" s="5" t="s">
        <v>51</v>
      </c>
      <c r="AS720" s="5" t="s">
        <v>91</v>
      </c>
    </row>
    <row r="721" spans="1:45" x14ac:dyDescent="0.35">
      <c r="A721" s="5" t="s">
        <v>3299</v>
      </c>
      <c r="B721" s="5" t="s">
        <v>3300</v>
      </c>
      <c r="C721" s="6" t="s">
        <v>3301</v>
      </c>
      <c r="D721" s="7">
        <v>36700</v>
      </c>
      <c r="E721" s="5" t="s">
        <v>48</v>
      </c>
      <c r="F721" s="5" t="s">
        <v>49</v>
      </c>
      <c r="G721" s="8"/>
      <c r="H721" s="8" t="str">
        <f>IF(F721="Bullet",MIN(G721,Assumptions!$B$6),"")</f>
        <v/>
      </c>
      <c r="I721" s="8">
        <v>1</v>
      </c>
      <c r="J721" s="8">
        <f>IF(F721="Monthly interest",MAX(0,Assumptions!$B$5-I721),"")</f>
        <v>2</v>
      </c>
      <c r="K721" s="7">
        <f t="shared" si="33"/>
        <v>612</v>
      </c>
      <c r="L721" s="9">
        <v>46293</v>
      </c>
      <c r="M721" s="5" t="s">
        <v>50</v>
      </c>
      <c r="N721" s="5" t="s">
        <v>53</v>
      </c>
      <c r="O721" s="5" t="s">
        <v>103</v>
      </c>
      <c r="P721" s="5" t="s">
        <v>153</v>
      </c>
      <c r="Q721" s="5" t="s">
        <v>154</v>
      </c>
      <c r="R721" s="5" t="s">
        <v>155</v>
      </c>
      <c r="S721" s="5" t="s">
        <v>56</v>
      </c>
      <c r="T721" s="5" t="s">
        <v>57</v>
      </c>
      <c r="U721" s="5" t="s">
        <v>104</v>
      </c>
      <c r="V721" s="5" t="s">
        <v>59</v>
      </c>
      <c r="W721" s="5" t="s">
        <v>126</v>
      </c>
      <c r="X721" s="5" t="s">
        <v>127</v>
      </c>
      <c r="Y721" s="5" t="s">
        <v>3302</v>
      </c>
      <c r="Z721" s="9">
        <v>46081</v>
      </c>
      <c r="AA721" s="8">
        <v>18</v>
      </c>
      <c r="AB721" s="9">
        <f t="shared" si="34"/>
        <v>46627</v>
      </c>
      <c r="AC721" s="10">
        <v>20</v>
      </c>
      <c r="AD721" s="7">
        <f t="shared" si="35"/>
        <v>612</v>
      </c>
      <c r="AE721" s="7">
        <f>IF(F721="Bullet",H721*AD721,MIN(MAX(I721,1),Assumptions!$B$6)*AD721)</f>
        <v>612</v>
      </c>
      <c r="AF721" s="8">
        <f>IF(F721="Bullet",MAX(0,Assumptions!$B$4-AB721),MAX(0,Assumptions!$B$4-L721))</f>
        <v>5</v>
      </c>
      <c r="AG721" s="9">
        <v>46265</v>
      </c>
      <c r="AH721" s="8">
        <f>IF(AG721="","",Assumptions!$B$4-AG721)</f>
        <v>33</v>
      </c>
      <c r="AI721" s="5" t="s">
        <v>63</v>
      </c>
      <c r="AJ721" s="8">
        <v>1</v>
      </c>
      <c r="AK721" s="8">
        <v>0</v>
      </c>
      <c r="AL721" s="8" t="s">
        <v>80</v>
      </c>
      <c r="AM721" s="8">
        <v>0</v>
      </c>
      <c r="AN721" s="5" t="s">
        <v>63</v>
      </c>
      <c r="AO721" s="10">
        <v>71.900000000000006</v>
      </c>
      <c r="AP721" s="8">
        <v>18</v>
      </c>
      <c r="AQ721" s="9">
        <v>46285</v>
      </c>
      <c r="AR721" s="5" t="s">
        <v>51</v>
      </c>
      <c r="AS721" s="5" t="s">
        <v>81</v>
      </c>
    </row>
    <row r="722" spans="1:45" x14ac:dyDescent="0.35">
      <c r="A722" s="5" t="s">
        <v>3303</v>
      </c>
      <c r="B722" s="5" t="s">
        <v>374</v>
      </c>
      <c r="C722" s="6" t="s">
        <v>3304</v>
      </c>
      <c r="D722" s="7">
        <v>161800</v>
      </c>
      <c r="E722" s="5" t="s">
        <v>48</v>
      </c>
      <c r="F722" s="5" t="s">
        <v>68</v>
      </c>
      <c r="G722" s="8">
        <v>3</v>
      </c>
      <c r="H722" s="8">
        <f>IF(F722="Bullet",MIN(G722,Assumptions!$B$6),"")</f>
        <v>2</v>
      </c>
      <c r="I722" s="8"/>
      <c r="J722" s="8" t="str">
        <f>IF(F722="Monthly interest",MAX(0,Assumptions!$B$5-I722),"")</f>
        <v/>
      </c>
      <c r="K722" s="7">
        <f t="shared" si="33"/>
        <v>5259</v>
      </c>
      <c r="L722" s="9">
        <v>46183</v>
      </c>
      <c r="M722" s="5" t="s">
        <v>50</v>
      </c>
      <c r="N722" s="5" t="s">
        <v>53</v>
      </c>
      <c r="O722" s="5" t="s">
        <v>71</v>
      </c>
      <c r="P722" s="5" t="s">
        <v>51</v>
      </c>
      <c r="Q722" s="5" t="s">
        <v>73</v>
      </c>
      <c r="R722" s="5" t="s">
        <v>74</v>
      </c>
      <c r="S722" s="5" t="s">
        <v>185</v>
      </c>
      <c r="T722" s="5" t="s">
        <v>57</v>
      </c>
      <c r="U722" s="5" t="s">
        <v>104</v>
      </c>
      <c r="V722" s="5" t="s">
        <v>200</v>
      </c>
      <c r="W722" s="5" t="s">
        <v>500</v>
      </c>
      <c r="X722" s="5" t="s">
        <v>1495</v>
      </c>
      <c r="Y722" s="5" t="s">
        <v>3305</v>
      </c>
      <c r="Z722" s="9">
        <v>46183</v>
      </c>
      <c r="AA722" s="8">
        <v>6</v>
      </c>
      <c r="AB722" s="9">
        <f t="shared" si="34"/>
        <v>46366</v>
      </c>
      <c r="AC722" s="10">
        <v>13</v>
      </c>
      <c r="AD722" s="7">
        <f t="shared" si="35"/>
        <v>1753</v>
      </c>
      <c r="AE722" s="7">
        <f>IF(F722="Bullet",H722*AD722,MIN(MAX(I722,1),Assumptions!$B$6)*AD722)</f>
        <v>3506</v>
      </c>
      <c r="AF722" s="8">
        <f>IF(F722="Bullet",MAX(0,Assumptions!$B$4-AB722),MAX(0,Assumptions!$B$4-L722))</f>
        <v>0</v>
      </c>
      <c r="AG722" s="9"/>
      <c r="AH722" s="8" t="str">
        <f>IF(AG722="","",Assumptions!$B$4-AG722)</f>
        <v/>
      </c>
      <c r="AI722" s="5" t="s">
        <v>80</v>
      </c>
      <c r="AJ722" s="8"/>
      <c r="AK722" s="8">
        <v>1</v>
      </c>
      <c r="AL722" s="8">
        <v>736</v>
      </c>
      <c r="AM722" s="8">
        <v>1</v>
      </c>
      <c r="AN722" s="5" t="s">
        <v>63</v>
      </c>
      <c r="AO722" s="10">
        <v>67</v>
      </c>
      <c r="AP722" s="8">
        <v>27</v>
      </c>
      <c r="AQ722" s="9">
        <v>46280</v>
      </c>
      <c r="AR722" s="5" t="s">
        <v>70</v>
      </c>
      <c r="AS722" s="5" t="s">
        <v>81</v>
      </c>
    </row>
    <row r="723" spans="1:45" x14ac:dyDescent="0.35">
      <c r="A723" s="5" t="s">
        <v>3306</v>
      </c>
      <c r="B723" s="5" t="s">
        <v>2841</v>
      </c>
      <c r="C723" s="6" t="s">
        <v>3307</v>
      </c>
      <c r="D723" s="7">
        <v>51900</v>
      </c>
      <c r="E723" s="5" t="s">
        <v>48</v>
      </c>
      <c r="F723" s="5" t="s">
        <v>49</v>
      </c>
      <c r="G723" s="8"/>
      <c r="H723" s="8" t="str">
        <f>IF(F723="Bullet",MIN(G723,Assumptions!$B$6),"")</f>
        <v/>
      </c>
      <c r="I723" s="8">
        <v>2</v>
      </c>
      <c r="J723" s="8">
        <f>IF(F723="Monthly interest",MAX(0,Assumptions!$B$5-I723),"")</f>
        <v>1</v>
      </c>
      <c r="K723" s="7">
        <f t="shared" si="33"/>
        <v>1904</v>
      </c>
      <c r="L723" s="9">
        <v>46241</v>
      </c>
      <c r="M723" s="5" t="s">
        <v>116</v>
      </c>
      <c r="N723" s="5" t="s">
        <v>117</v>
      </c>
      <c r="O723" s="5" t="s">
        <v>118</v>
      </c>
      <c r="P723" s="5" t="s">
        <v>72</v>
      </c>
      <c r="Q723" s="5" t="s">
        <v>119</v>
      </c>
      <c r="R723" s="5" t="s">
        <v>120</v>
      </c>
      <c r="S723" s="5" t="s">
        <v>56</v>
      </c>
      <c r="T723" s="5" t="s">
        <v>63</v>
      </c>
      <c r="U723" s="5" t="s">
        <v>86</v>
      </c>
      <c r="V723" s="5" t="s">
        <v>59</v>
      </c>
      <c r="W723" s="5" t="s">
        <v>323</v>
      </c>
      <c r="X723" s="5" t="s">
        <v>3308</v>
      </c>
      <c r="Y723" s="5" t="s">
        <v>3309</v>
      </c>
      <c r="Z723" s="9">
        <v>46060</v>
      </c>
      <c r="AA723" s="8">
        <v>12</v>
      </c>
      <c r="AB723" s="9">
        <f t="shared" si="34"/>
        <v>46425</v>
      </c>
      <c r="AC723" s="10">
        <v>22</v>
      </c>
      <c r="AD723" s="7">
        <f t="shared" si="35"/>
        <v>952</v>
      </c>
      <c r="AE723" s="7">
        <f>IF(F723="Bullet",H723*AD723,MIN(MAX(I723,1),Assumptions!$B$6)*AD723)</f>
        <v>1904</v>
      </c>
      <c r="AF723" s="8">
        <f>IF(F723="Bullet",MAX(0,Assumptions!$B$4-AB723),MAX(0,Assumptions!$B$4-L723))</f>
        <v>57</v>
      </c>
      <c r="AG723" s="9">
        <v>46212</v>
      </c>
      <c r="AH723" s="8">
        <f>IF(AG723="","",Assumptions!$B$4-AG723)</f>
        <v>86</v>
      </c>
      <c r="AI723" s="5" t="s">
        <v>57</v>
      </c>
      <c r="AJ723" s="8">
        <v>3</v>
      </c>
      <c r="AK723" s="8">
        <v>2</v>
      </c>
      <c r="AL723" s="8">
        <v>790</v>
      </c>
      <c r="AM723" s="8">
        <v>1</v>
      </c>
      <c r="AN723" s="5" t="s">
        <v>63</v>
      </c>
      <c r="AO723" s="10">
        <v>88</v>
      </c>
      <c r="AP723" s="8">
        <v>61</v>
      </c>
      <c r="AQ723" s="9"/>
      <c r="AR723" s="5"/>
      <c r="AS723" s="5" t="s">
        <v>159</v>
      </c>
    </row>
    <row r="724" spans="1:45" x14ac:dyDescent="0.35">
      <c r="A724" s="5" t="s">
        <v>3310</v>
      </c>
      <c r="B724" s="5" t="s">
        <v>3311</v>
      </c>
      <c r="C724" s="6" t="s">
        <v>3312</v>
      </c>
      <c r="D724" s="7">
        <v>104000</v>
      </c>
      <c r="E724" s="5" t="s">
        <v>48</v>
      </c>
      <c r="F724" s="5" t="s">
        <v>68</v>
      </c>
      <c r="G724" s="8">
        <v>1</v>
      </c>
      <c r="H724" s="8">
        <f>IF(F724="Bullet",MIN(G724,Assumptions!$B$6),"")</f>
        <v>1</v>
      </c>
      <c r="I724" s="8"/>
      <c r="J724" s="8" t="str">
        <f>IF(F724="Monthly interest",MAX(0,Assumptions!$B$5-I724),"")</f>
        <v/>
      </c>
      <c r="K724" s="7">
        <f t="shared" si="33"/>
        <v>1213</v>
      </c>
      <c r="L724" s="9">
        <v>46263</v>
      </c>
      <c r="M724" s="5" t="s">
        <v>50</v>
      </c>
      <c r="N724" s="5" t="s">
        <v>53</v>
      </c>
      <c r="O724" s="5" t="s">
        <v>103</v>
      </c>
      <c r="P724" s="5" t="s">
        <v>51</v>
      </c>
      <c r="Q724" s="5" t="s">
        <v>73</v>
      </c>
      <c r="R724" s="5" t="s">
        <v>74</v>
      </c>
      <c r="S724" s="5" t="s">
        <v>185</v>
      </c>
      <c r="T724" s="5" t="s">
        <v>57</v>
      </c>
      <c r="U724" s="5" t="s">
        <v>86</v>
      </c>
      <c r="V724" s="5" t="s">
        <v>186</v>
      </c>
      <c r="W724" s="5" t="s">
        <v>329</v>
      </c>
      <c r="X724" s="5" t="s">
        <v>3313</v>
      </c>
      <c r="Y724" s="5" t="s">
        <v>3314</v>
      </c>
      <c r="Z724" s="9">
        <v>46263</v>
      </c>
      <c r="AA724" s="8">
        <v>12</v>
      </c>
      <c r="AB724" s="9">
        <f t="shared" si="34"/>
        <v>46628</v>
      </c>
      <c r="AC724" s="10">
        <v>14</v>
      </c>
      <c r="AD724" s="7">
        <f t="shared" si="35"/>
        <v>1213</v>
      </c>
      <c r="AE724" s="7">
        <f>IF(F724="Bullet",H724*AD724,MIN(MAX(I724,1),Assumptions!$B$6)*AD724)</f>
        <v>1213</v>
      </c>
      <c r="AF724" s="8">
        <f>IF(F724="Bullet",MAX(0,Assumptions!$B$4-AB724),MAX(0,Assumptions!$B$4-L724))</f>
        <v>0</v>
      </c>
      <c r="AG724" s="9"/>
      <c r="AH724" s="8" t="str">
        <f>IF(AG724="","",Assumptions!$B$4-AG724)</f>
        <v/>
      </c>
      <c r="AI724" s="5" t="s">
        <v>80</v>
      </c>
      <c r="AJ724" s="8"/>
      <c r="AK724" s="8">
        <v>1</v>
      </c>
      <c r="AL724" s="8">
        <v>733</v>
      </c>
      <c r="AM724" s="8">
        <v>1</v>
      </c>
      <c r="AN724" s="5" t="s">
        <v>63</v>
      </c>
      <c r="AO724" s="10">
        <v>74.7</v>
      </c>
      <c r="AP724" s="8">
        <v>17</v>
      </c>
      <c r="AQ724" s="9">
        <v>46295</v>
      </c>
      <c r="AR724" s="5" t="s">
        <v>51</v>
      </c>
      <c r="AS724" s="5" t="s">
        <v>81</v>
      </c>
    </row>
    <row r="725" spans="1:45" x14ac:dyDescent="0.35">
      <c r="A725" s="5" t="s">
        <v>3315</v>
      </c>
      <c r="B725" s="5" t="s">
        <v>3316</v>
      </c>
      <c r="C725" s="6" t="s">
        <v>3317</v>
      </c>
      <c r="D725" s="7">
        <v>50700</v>
      </c>
      <c r="E725" s="5" t="s">
        <v>48</v>
      </c>
      <c r="F725" s="5" t="s">
        <v>68</v>
      </c>
      <c r="G725" s="8">
        <v>3</v>
      </c>
      <c r="H725" s="8">
        <f>IF(F725="Bullet",MIN(G725,Assumptions!$B$6),"")</f>
        <v>2</v>
      </c>
      <c r="I725" s="8"/>
      <c r="J725" s="8" t="str">
        <f>IF(F725="Monthly interest",MAX(0,Assumptions!$B$5-I725),"")</f>
        <v/>
      </c>
      <c r="K725" s="7">
        <f t="shared" si="33"/>
        <v>1776</v>
      </c>
      <c r="L725" s="9">
        <v>46183</v>
      </c>
      <c r="M725" s="5" t="s">
        <v>50</v>
      </c>
      <c r="N725" s="5" t="s">
        <v>53</v>
      </c>
      <c r="O725" s="5" t="s">
        <v>71</v>
      </c>
      <c r="P725" s="5" t="s">
        <v>51</v>
      </c>
      <c r="Q725" s="5" t="s">
        <v>73</v>
      </c>
      <c r="R725" s="5" t="s">
        <v>74</v>
      </c>
      <c r="S725" s="5" t="s">
        <v>56</v>
      </c>
      <c r="T725" s="5" t="s">
        <v>57</v>
      </c>
      <c r="U725" s="5" t="s">
        <v>58</v>
      </c>
      <c r="V725" s="5" t="s">
        <v>59</v>
      </c>
      <c r="W725" s="5" t="s">
        <v>156</v>
      </c>
      <c r="X725" s="5" t="s">
        <v>2809</v>
      </c>
      <c r="Y725" s="5" t="s">
        <v>3318</v>
      </c>
      <c r="Z725" s="9">
        <v>46183</v>
      </c>
      <c r="AA725" s="8">
        <v>6</v>
      </c>
      <c r="AB725" s="9">
        <f t="shared" si="34"/>
        <v>46366</v>
      </c>
      <c r="AC725" s="10">
        <v>14</v>
      </c>
      <c r="AD725" s="7">
        <f t="shared" si="35"/>
        <v>592</v>
      </c>
      <c r="AE725" s="7">
        <f>IF(F725="Bullet",H725*AD725,MIN(MAX(I725,1),Assumptions!$B$6)*AD725)</f>
        <v>1184</v>
      </c>
      <c r="AF725" s="8">
        <f>IF(F725="Bullet",MAX(0,Assumptions!$B$4-AB725),MAX(0,Assumptions!$B$4-L725))</f>
        <v>0</v>
      </c>
      <c r="AG725" s="9"/>
      <c r="AH725" s="8" t="str">
        <f>IF(AG725="","",Assumptions!$B$4-AG725)</f>
        <v/>
      </c>
      <c r="AI725" s="5" t="s">
        <v>80</v>
      </c>
      <c r="AJ725" s="8"/>
      <c r="AK725" s="8">
        <v>2</v>
      </c>
      <c r="AL725" s="8">
        <v>765</v>
      </c>
      <c r="AM725" s="8">
        <v>1</v>
      </c>
      <c r="AN725" s="5" t="s">
        <v>63</v>
      </c>
      <c r="AO725" s="10">
        <v>55.9</v>
      </c>
      <c r="AP725" s="8">
        <v>28</v>
      </c>
      <c r="AQ725" s="9">
        <v>46282</v>
      </c>
      <c r="AR725" s="5" t="s">
        <v>51</v>
      </c>
      <c r="AS725" s="5" t="s">
        <v>81</v>
      </c>
    </row>
    <row r="726" spans="1:45" x14ac:dyDescent="0.35">
      <c r="A726" s="5" t="s">
        <v>3319</v>
      </c>
      <c r="B726" s="5" t="s">
        <v>3320</v>
      </c>
      <c r="C726" s="6" t="s">
        <v>3321</v>
      </c>
      <c r="D726" s="7">
        <v>60600</v>
      </c>
      <c r="E726" s="5" t="s">
        <v>48</v>
      </c>
      <c r="F726" s="5" t="s">
        <v>68</v>
      </c>
      <c r="G726" s="8">
        <v>3</v>
      </c>
      <c r="H726" s="8">
        <f>IF(F726="Bullet",MIN(G726,Assumptions!$B$6),"")</f>
        <v>2</v>
      </c>
      <c r="I726" s="8"/>
      <c r="J726" s="8" t="str">
        <f>IF(F726="Monthly interest",MAX(0,Assumptions!$B$5-I726),"")</f>
        <v/>
      </c>
      <c r="K726" s="7">
        <f t="shared" si="33"/>
        <v>1971</v>
      </c>
      <c r="L726" s="9">
        <v>46199</v>
      </c>
      <c r="M726" s="5" t="s">
        <v>50</v>
      </c>
      <c r="N726" s="5" t="s">
        <v>53</v>
      </c>
      <c r="O726" s="5" t="s">
        <v>71</v>
      </c>
      <c r="P726" s="5" t="s">
        <v>70</v>
      </c>
      <c r="Q726" s="5" t="s">
        <v>73</v>
      </c>
      <c r="R726" s="5" t="s">
        <v>74</v>
      </c>
      <c r="S726" s="5" t="s">
        <v>75</v>
      </c>
      <c r="T726" s="5" t="s">
        <v>63</v>
      </c>
      <c r="U726" s="5" t="s">
        <v>58</v>
      </c>
      <c r="V726" s="5" t="s">
        <v>76</v>
      </c>
      <c r="W726" s="5" t="s">
        <v>444</v>
      </c>
      <c r="X726" s="5" t="s">
        <v>631</v>
      </c>
      <c r="Y726" s="5" t="s">
        <v>3322</v>
      </c>
      <c r="Z726" s="9">
        <v>46199</v>
      </c>
      <c r="AA726" s="8">
        <v>6</v>
      </c>
      <c r="AB726" s="9">
        <f t="shared" si="34"/>
        <v>46382</v>
      </c>
      <c r="AC726" s="10">
        <v>13</v>
      </c>
      <c r="AD726" s="7">
        <f t="shared" si="35"/>
        <v>657</v>
      </c>
      <c r="AE726" s="7">
        <f>IF(F726="Bullet",H726*AD726,MIN(MAX(I726,1),Assumptions!$B$6)*AD726)</f>
        <v>1314</v>
      </c>
      <c r="AF726" s="8">
        <f>IF(F726="Bullet",MAX(0,Assumptions!$B$4-AB726),MAX(0,Assumptions!$B$4-L726))</f>
        <v>0</v>
      </c>
      <c r="AG726" s="9"/>
      <c r="AH726" s="8" t="str">
        <f>IF(AG726="","",Assumptions!$B$4-AG726)</f>
        <v/>
      </c>
      <c r="AI726" s="5" t="s">
        <v>80</v>
      </c>
      <c r="AJ726" s="8"/>
      <c r="AK726" s="8">
        <v>0</v>
      </c>
      <c r="AL726" s="8">
        <v>711</v>
      </c>
      <c r="AM726" s="8">
        <v>1</v>
      </c>
      <c r="AN726" s="5" t="s">
        <v>63</v>
      </c>
      <c r="AO726" s="10">
        <v>72.599999999999994</v>
      </c>
      <c r="AP726" s="8">
        <v>23</v>
      </c>
      <c r="AQ726" s="9"/>
      <c r="AR726" s="5"/>
      <c r="AS726" s="5" t="s">
        <v>159</v>
      </c>
    </row>
    <row r="727" spans="1:45" x14ac:dyDescent="0.35">
      <c r="A727" s="5" t="s">
        <v>3323</v>
      </c>
      <c r="B727" s="5" t="s">
        <v>3324</v>
      </c>
      <c r="C727" s="6" t="s">
        <v>3325</v>
      </c>
      <c r="D727" s="7">
        <v>377700</v>
      </c>
      <c r="E727" s="5" t="s">
        <v>48</v>
      </c>
      <c r="F727" s="5" t="s">
        <v>68</v>
      </c>
      <c r="G727" s="8">
        <v>5</v>
      </c>
      <c r="H727" s="8">
        <f>IF(F727="Bullet",MIN(G727,Assumptions!$B$6),"")</f>
        <v>2</v>
      </c>
      <c r="I727" s="8"/>
      <c r="J727" s="8" t="str">
        <f>IF(F727="Monthly interest",MAX(0,Assumptions!$B$5-I727),"")</f>
        <v/>
      </c>
      <c r="K727" s="7">
        <f t="shared" si="33"/>
        <v>20460</v>
      </c>
      <c r="L727" s="9">
        <v>46125</v>
      </c>
      <c r="M727" s="5" t="s">
        <v>69</v>
      </c>
      <c r="N727" s="5" t="s">
        <v>53</v>
      </c>
      <c r="O727" s="5" t="s">
        <v>168</v>
      </c>
      <c r="P727" s="5" t="s">
        <v>70</v>
      </c>
      <c r="Q727" s="5" t="s">
        <v>169</v>
      </c>
      <c r="R727" s="5" t="s">
        <v>170</v>
      </c>
      <c r="S727" s="5" t="s">
        <v>85</v>
      </c>
      <c r="T727" s="5" t="s">
        <v>57</v>
      </c>
      <c r="U727" s="5" t="s">
        <v>104</v>
      </c>
      <c r="V727" s="5" t="s">
        <v>87</v>
      </c>
      <c r="W727" s="5" t="s">
        <v>88</v>
      </c>
      <c r="X727" s="5" t="s">
        <v>3326</v>
      </c>
      <c r="Y727" s="5" t="s">
        <v>3327</v>
      </c>
      <c r="Z727" s="9">
        <v>46125</v>
      </c>
      <c r="AA727" s="8">
        <v>6</v>
      </c>
      <c r="AB727" s="9">
        <f t="shared" si="34"/>
        <v>46308</v>
      </c>
      <c r="AC727" s="10">
        <v>13</v>
      </c>
      <c r="AD727" s="7">
        <f t="shared" si="35"/>
        <v>4092</v>
      </c>
      <c r="AE727" s="7">
        <f>IF(F727="Bullet",H727*AD727,MIN(MAX(I727,1),Assumptions!$B$6)*AD727)</f>
        <v>8184</v>
      </c>
      <c r="AF727" s="8">
        <f>IF(F727="Bullet",MAX(0,Assumptions!$B$4-AB727),MAX(0,Assumptions!$B$4-L727))</f>
        <v>0</v>
      </c>
      <c r="AG727" s="9"/>
      <c r="AH727" s="8" t="str">
        <f>IF(AG727="","",Assumptions!$B$4-AG727)</f>
        <v/>
      </c>
      <c r="AI727" s="5" t="s">
        <v>80</v>
      </c>
      <c r="AJ727" s="8"/>
      <c r="AK727" s="8">
        <v>3</v>
      </c>
      <c r="AL727" s="8">
        <v>866</v>
      </c>
      <c r="AM727" s="8">
        <v>1</v>
      </c>
      <c r="AN727" s="5" t="s">
        <v>63</v>
      </c>
      <c r="AO727" s="10">
        <v>64.599999999999994</v>
      </c>
      <c r="AP727" s="8">
        <v>39</v>
      </c>
      <c r="AQ727" s="9">
        <v>46295</v>
      </c>
      <c r="AR727" s="5" t="s">
        <v>51</v>
      </c>
      <c r="AS727" s="5" t="s">
        <v>64</v>
      </c>
    </row>
    <row r="728" spans="1:45" x14ac:dyDescent="0.35">
      <c r="A728" s="5" t="s">
        <v>3328</v>
      </c>
      <c r="B728" s="5" t="s">
        <v>3329</v>
      </c>
      <c r="C728" s="6" t="s">
        <v>3330</v>
      </c>
      <c r="D728" s="7">
        <v>76500</v>
      </c>
      <c r="E728" s="5" t="s">
        <v>48</v>
      </c>
      <c r="F728" s="5" t="s">
        <v>68</v>
      </c>
      <c r="G728" s="8">
        <v>5</v>
      </c>
      <c r="H728" s="8">
        <f>IF(F728="Bullet",MIN(G728,Assumptions!$B$6),"")</f>
        <v>2</v>
      </c>
      <c r="I728" s="8"/>
      <c r="J728" s="8" t="str">
        <f>IF(F728="Monthly interest",MAX(0,Assumptions!$B$5-I728),"")</f>
        <v/>
      </c>
      <c r="K728" s="7">
        <f t="shared" si="33"/>
        <v>4145</v>
      </c>
      <c r="L728" s="9">
        <v>46122</v>
      </c>
      <c r="M728" s="5" t="s">
        <v>116</v>
      </c>
      <c r="N728" s="5" t="s">
        <v>117</v>
      </c>
      <c r="O728" s="5" t="s">
        <v>461</v>
      </c>
      <c r="P728" s="5" t="s">
        <v>72</v>
      </c>
      <c r="Q728" s="5" t="s">
        <v>169</v>
      </c>
      <c r="R728" s="5" t="s">
        <v>170</v>
      </c>
      <c r="S728" s="5" t="s">
        <v>214</v>
      </c>
      <c r="T728" s="5" t="s">
        <v>57</v>
      </c>
      <c r="U728" s="5" t="s">
        <v>58</v>
      </c>
      <c r="V728" s="5" t="s">
        <v>215</v>
      </c>
      <c r="W728" s="5" t="s">
        <v>284</v>
      </c>
      <c r="X728" s="5" t="s">
        <v>3331</v>
      </c>
      <c r="Y728" s="5" t="s">
        <v>3332</v>
      </c>
      <c r="Z728" s="9">
        <v>46122</v>
      </c>
      <c r="AA728" s="8">
        <v>6</v>
      </c>
      <c r="AB728" s="9">
        <f t="shared" si="34"/>
        <v>46305</v>
      </c>
      <c r="AC728" s="10">
        <v>13</v>
      </c>
      <c r="AD728" s="7">
        <f t="shared" si="35"/>
        <v>829</v>
      </c>
      <c r="AE728" s="7">
        <f>IF(F728="Bullet",H728*AD728,MIN(MAX(I728,1),Assumptions!$B$6)*AD728)</f>
        <v>1658</v>
      </c>
      <c r="AF728" s="8">
        <f>IF(F728="Bullet",MAX(0,Assumptions!$B$4-AB728),MAX(0,Assumptions!$B$4-L728))</f>
        <v>0</v>
      </c>
      <c r="AG728" s="9"/>
      <c r="AH728" s="8" t="str">
        <f>IF(AG728="","",Assumptions!$B$4-AG728)</f>
        <v/>
      </c>
      <c r="AI728" s="5" t="s">
        <v>80</v>
      </c>
      <c r="AJ728" s="8"/>
      <c r="AK728" s="8">
        <v>0</v>
      </c>
      <c r="AL728" s="8">
        <v>607</v>
      </c>
      <c r="AM728" s="8">
        <v>2</v>
      </c>
      <c r="AN728" s="5" t="s">
        <v>63</v>
      </c>
      <c r="AO728" s="10">
        <v>73.400000000000006</v>
      </c>
      <c r="AP728" s="8">
        <v>54</v>
      </c>
      <c r="AQ728" s="9">
        <v>46281</v>
      </c>
      <c r="AR728" s="5" t="s">
        <v>70</v>
      </c>
      <c r="AS728" s="5" t="s">
        <v>81</v>
      </c>
    </row>
    <row r="729" spans="1:45" x14ac:dyDescent="0.35">
      <c r="A729" s="5" t="s">
        <v>3333</v>
      </c>
      <c r="B729" s="5" t="s">
        <v>3334</v>
      </c>
      <c r="C729" s="6" t="s">
        <v>3335</v>
      </c>
      <c r="D729" s="7">
        <v>71100</v>
      </c>
      <c r="E729" s="5" t="s">
        <v>48</v>
      </c>
      <c r="F729" s="5" t="s">
        <v>49</v>
      </c>
      <c r="G729" s="8"/>
      <c r="H729" s="8" t="str">
        <f>IF(F729="Bullet",MIN(G729,Assumptions!$B$6),"")</f>
        <v/>
      </c>
      <c r="I729" s="8">
        <v>2</v>
      </c>
      <c r="J729" s="8">
        <f>IF(F729="Monthly interest",MAX(0,Assumptions!$B$5-I729),"")</f>
        <v>1</v>
      </c>
      <c r="K729" s="7">
        <f t="shared" si="33"/>
        <v>2134</v>
      </c>
      <c r="L729" s="9">
        <v>46252</v>
      </c>
      <c r="M729" s="5" t="s">
        <v>116</v>
      </c>
      <c r="N729" s="5" t="s">
        <v>117</v>
      </c>
      <c r="O729" s="5" t="s">
        <v>118</v>
      </c>
      <c r="P729" s="5" t="s">
        <v>72</v>
      </c>
      <c r="Q729" s="5" t="s">
        <v>119</v>
      </c>
      <c r="R729" s="5" t="s">
        <v>120</v>
      </c>
      <c r="S729" s="5" t="s">
        <v>85</v>
      </c>
      <c r="T729" s="5" t="s">
        <v>57</v>
      </c>
      <c r="U729" s="5" t="s">
        <v>104</v>
      </c>
      <c r="V729" s="5" t="s">
        <v>96</v>
      </c>
      <c r="W729" s="5" t="s">
        <v>171</v>
      </c>
      <c r="X729" s="5" t="s">
        <v>2174</v>
      </c>
      <c r="Y729" s="5" t="s">
        <v>3336</v>
      </c>
      <c r="Z729" s="9">
        <v>46009</v>
      </c>
      <c r="AA729" s="8">
        <v>24</v>
      </c>
      <c r="AB729" s="9">
        <f t="shared" si="34"/>
        <v>46739</v>
      </c>
      <c r="AC729" s="10">
        <v>18</v>
      </c>
      <c r="AD729" s="7">
        <f t="shared" si="35"/>
        <v>1067</v>
      </c>
      <c r="AE729" s="7">
        <f>IF(F729="Bullet",H729*AD729,MIN(MAX(I729,1),Assumptions!$B$6)*AD729)</f>
        <v>2134</v>
      </c>
      <c r="AF729" s="8">
        <f>IF(F729="Bullet",MAX(0,Assumptions!$B$4-AB729),MAX(0,Assumptions!$B$4-L729))</f>
        <v>46</v>
      </c>
      <c r="AG729" s="9">
        <v>46226</v>
      </c>
      <c r="AH729" s="8">
        <f>IF(AG729="","",Assumptions!$B$4-AG729)</f>
        <v>72</v>
      </c>
      <c r="AI729" s="5" t="s">
        <v>63</v>
      </c>
      <c r="AJ729" s="8">
        <v>3</v>
      </c>
      <c r="AK729" s="8">
        <v>4</v>
      </c>
      <c r="AL729" s="8">
        <v>640</v>
      </c>
      <c r="AM729" s="8">
        <v>1</v>
      </c>
      <c r="AN729" s="5" t="s">
        <v>63</v>
      </c>
      <c r="AO729" s="10">
        <v>78.3</v>
      </c>
      <c r="AP729" s="8">
        <v>71</v>
      </c>
      <c r="AQ729" s="9">
        <v>46273</v>
      </c>
      <c r="AR729" s="5" t="s">
        <v>51</v>
      </c>
      <c r="AS729" s="5" t="s">
        <v>64</v>
      </c>
    </row>
    <row r="730" spans="1:45" x14ac:dyDescent="0.35">
      <c r="A730" s="5" t="s">
        <v>3337</v>
      </c>
      <c r="B730" s="5" t="s">
        <v>3338</v>
      </c>
      <c r="C730" s="6" t="s">
        <v>3339</v>
      </c>
      <c r="D730" s="7">
        <v>84200</v>
      </c>
      <c r="E730" s="5" t="s">
        <v>48</v>
      </c>
      <c r="F730" s="5" t="s">
        <v>68</v>
      </c>
      <c r="G730" s="8">
        <v>1</v>
      </c>
      <c r="H730" s="8">
        <f>IF(F730="Bullet",MIN(G730,Assumptions!$B$6),"")</f>
        <v>1</v>
      </c>
      <c r="I730" s="8"/>
      <c r="J730" s="8" t="str">
        <f>IF(F730="Monthly interest",MAX(0,Assumptions!$B$5-I730),"")</f>
        <v/>
      </c>
      <c r="K730" s="7">
        <f t="shared" si="33"/>
        <v>1053</v>
      </c>
      <c r="L730" s="9">
        <v>46245</v>
      </c>
      <c r="M730" s="5" t="s">
        <v>50</v>
      </c>
      <c r="N730" s="5" t="s">
        <v>51</v>
      </c>
      <c r="O730" s="5" t="s">
        <v>71</v>
      </c>
      <c r="P730" s="5" t="s">
        <v>53</v>
      </c>
      <c r="Q730" s="5" t="s">
        <v>73</v>
      </c>
      <c r="R730" s="5" t="s">
        <v>74</v>
      </c>
      <c r="S730" s="5" t="s">
        <v>75</v>
      </c>
      <c r="T730" s="5" t="s">
        <v>57</v>
      </c>
      <c r="U730" s="5" t="s">
        <v>86</v>
      </c>
      <c r="V730" s="5" t="s">
        <v>76</v>
      </c>
      <c r="W730" s="5" t="s">
        <v>140</v>
      </c>
      <c r="X730" s="5" t="s">
        <v>3198</v>
      </c>
      <c r="Y730" s="5" t="s">
        <v>3340</v>
      </c>
      <c r="Z730" s="9">
        <v>46245</v>
      </c>
      <c r="AA730" s="8">
        <v>6</v>
      </c>
      <c r="AB730" s="9">
        <f t="shared" si="34"/>
        <v>46429</v>
      </c>
      <c r="AC730" s="10">
        <v>15</v>
      </c>
      <c r="AD730" s="7">
        <f t="shared" si="35"/>
        <v>1053</v>
      </c>
      <c r="AE730" s="7">
        <f>IF(F730="Bullet",H730*AD730,MIN(MAX(I730,1),Assumptions!$B$6)*AD730)</f>
        <v>1053</v>
      </c>
      <c r="AF730" s="8">
        <f>IF(F730="Bullet",MAX(0,Assumptions!$B$4-AB730),MAX(0,Assumptions!$B$4-L730))</f>
        <v>0</v>
      </c>
      <c r="AG730" s="9"/>
      <c r="AH730" s="8" t="str">
        <f>IF(AG730="","",Assumptions!$B$4-AG730)</f>
        <v/>
      </c>
      <c r="AI730" s="5" t="s">
        <v>80</v>
      </c>
      <c r="AJ730" s="8"/>
      <c r="AK730" s="8">
        <v>1</v>
      </c>
      <c r="AL730" s="8">
        <v>681</v>
      </c>
      <c r="AM730" s="8">
        <v>1</v>
      </c>
      <c r="AN730" s="5" t="s">
        <v>57</v>
      </c>
      <c r="AO730" s="10">
        <v>64</v>
      </c>
      <c r="AP730" s="8">
        <v>26</v>
      </c>
      <c r="AQ730" s="9"/>
      <c r="AR730" s="5"/>
      <c r="AS730" s="5" t="s">
        <v>159</v>
      </c>
    </row>
    <row r="731" spans="1:45" x14ac:dyDescent="0.35">
      <c r="A731" s="5" t="s">
        <v>3341</v>
      </c>
      <c r="B731" s="5" t="s">
        <v>3342</v>
      </c>
      <c r="C731" s="6" t="s">
        <v>3343</v>
      </c>
      <c r="D731" s="7">
        <v>270500</v>
      </c>
      <c r="E731" s="5" t="s">
        <v>48</v>
      </c>
      <c r="F731" s="5" t="s">
        <v>49</v>
      </c>
      <c r="G731" s="8"/>
      <c r="H731" s="8" t="str">
        <f>IF(F731="Bullet",MIN(G731,Assumptions!$B$6),"")</f>
        <v/>
      </c>
      <c r="I731" s="8">
        <v>2</v>
      </c>
      <c r="J731" s="8">
        <f>IF(F731="Monthly interest",MAX(0,Assumptions!$B$5-I731),"")</f>
        <v>1</v>
      </c>
      <c r="K731" s="7">
        <f t="shared" si="33"/>
        <v>8116</v>
      </c>
      <c r="L731" s="9">
        <v>46249</v>
      </c>
      <c r="M731" s="5" t="s">
        <v>116</v>
      </c>
      <c r="N731" s="5" t="s">
        <v>117</v>
      </c>
      <c r="O731" s="5" t="s">
        <v>118</v>
      </c>
      <c r="P731" s="5" t="s">
        <v>72</v>
      </c>
      <c r="Q731" s="5" t="s">
        <v>119</v>
      </c>
      <c r="R731" s="5" t="s">
        <v>120</v>
      </c>
      <c r="S731" s="5" t="s">
        <v>185</v>
      </c>
      <c r="T731" s="5" t="s">
        <v>63</v>
      </c>
      <c r="U731" s="5" t="s">
        <v>86</v>
      </c>
      <c r="V731" s="5" t="s">
        <v>200</v>
      </c>
      <c r="W731" s="5" t="s">
        <v>201</v>
      </c>
      <c r="X731" s="5" t="s">
        <v>202</v>
      </c>
      <c r="Y731" s="5" t="s">
        <v>3344</v>
      </c>
      <c r="Z731" s="9">
        <v>46188</v>
      </c>
      <c r="AA731" s="8">
        <v>12</v>
      </c>
      <c r="AB731" s="9">
        <f t="shared" si="34"/>
        <v>46553</v>
      </c>
      <c r="AC731" s="10">
        <v>18</v>
      </c>
      <c r="AD731" s="7">
        <f t="shared" si="35"/>
        <v>4058</v>
      </c>
      <c r="AE731" s="7">
        <f>IF(F731="Bullet",H731*AD731,MIN(MAX(I731,1),Assumptions!$B$6)*AD731)</f>
        <v>8116</v>
      </c>
      <c r="AF731" s="8">
        <f>IF(F731="Bullet",MAX(0,Assumptions!$B$4-AB731),MAX(0,Assumptions!$B$4-L731))</f>
        <v>49</v>
      </c>
      <c r="AG731" s="9">
        <v>46220</v>
      </c>
      <c r="AH731" s="8">
        <f>IF(AG731="","",Assumptions!$B$4-AG731)</f>
        <v>78</v>
      </c>
      <c r="AI731" s="5" t="s">
        <v>63</v>
      </c>
      <c r="AJ731" s="8">
        <v>2</v>
      </c>
      <c r="AK731" s="8">
        <v>1</v>
      </c>
      <c r="AL731" s="8">
        <v>599</v>
      </c>
      <c r="AM731" s="8">
        <v>3</v>
      </c>
      <c r="AN731" s="5" t="s">
        <v>57</v>
      </c>
      <c r="AO731" s="10">
        <v>78</v>
      </c>
      <c r="AP731" s="8">
        <v>73</v>
      </c>
      <c r="AQ731" s="9">
        <v>46279</v>
      </c>
      <c r="AR731" s="5" t="s">
        <v>51</v>
      </c>
      <c r="AS731" s="5" t="s">
        <v>181</v>
      </c>
    </row>
    <row r="732" spans="1:45" x14ac:dyDescent="0.35">
      <c r="A732" s="5" t="s">
        <v>3345</v>
      </c>
      <c r="B732" s="5" t="s">
        <v>3346</v>
      </c>
      <c r="C732" s="6" t="s">
        <v>3347</v>
      </c>
      <c r="D732" s="7">
        <v>2001800</v>
      </c>
      <c r="E732" s="5" t="s">
        <v>48</v>
      </c>
      <c r="F732" s="5" t="s">
        <v>68</v>
      </c>
      <c r="G732" s="8">
        <v>5</v>
      </c>
      <c r="H732" s="8">
        <f>IF(F732="Bullet",MIN(G732,Assumptions!$B$6),"")</f>
        <v>2</v>
      </c>
      <c r="I732" s="8"/>
      <c r="J732" s="8" t="str">
        <f>IF(F732="Monthly interest",MAX(0,Assumptions!$B$5-I732),"")</f>
        <v/>
      </c>
      <c r="K732" s="7">
        <f t="shared" si="33"/>
        <v>108430</v>
      </c>
      <c r="L732" s="9">
        <v>46121</v>
      </c>
      <c r="M732" s="5" t="s">
        <v>116</v>
      </c>
      <c r="N732" s="5" t="s">
        <v>117</v>
      </c>
      <c r="O732" s="5" t="s">
        <v>461</v>
      </c>
      <c r="P732" s="5" t="s">
        <v>72</v>
      </c>
      <c r="Q732" s="5" t="s">
        <v>169</v>
      </c>
      <c r="R732" s="5" t="s">
        <v>170</v>
      </c>
      <c r="S732" s="5" t="s">
        <v>85</v>
      </c>
      <c r="T732" s="5" t="s">
        <v>63</v>
      </c>
      <c r="U732" s="5" t="s">
        <v>58</v>
      </c>
      <c r="V732" s="5" t="s">
        <v>96</v>
      </c>
      <c r="W732" s="5" t="s">
        <v>171</v>
      </c>
      <c r="X732" s="5" t="s">
        <v>3348</v>
      </c>
      <c r="Y732" s="5" t="s">
        <v>3349</v>
      </c>
      <c r="Z732" s="9">
        <v>46121</v>
      </c>
      <c r="AA732" s="8">
        <v>6</v>
      </c>
      <c r="AB732" s="9">
        <f t="shared" si="34"/>
        <v>46304</v>
      </c>
      <c r="AC732" s="10">
        <v>13</v>
      </c>
      <c r="AD732" s="7">
        <f t="shared" si="35"/>
        <v>21686</v>
      </c>
      <c r="AE732" s="7">
        <f>IF(F732="Bullet",H732*AD732,MIN(MAX(I732,1),Assumptions!$B$6)*AD732)</f>
        <v>43372</v>
      </c>
      <c r="AF732" s="8">
        <f>IF(F732="Bullet",MAX(0,Assumptions!$B$4-AB732),MAX(0,Assumptions!$B$4-L732))</f>
        <v>0</v>
      </c>
      <c r="AG732" s="9"/>
      <c r="AH732" s="8" t="str">
        <f>IF(AG732="","",Assumptions!$B$4-AG732)</f>
        <v/>
      </c>
      <c r="AI732" s="5" t="s">
        <v>80</v>
      </c>
      <c r="AJ732" s="8"/>
      <c r="AK732" s="8">
        <v>1</v>
      </c>
      <c r="AL732" s="8">
        <v>688</v>
      </c>
      <c r="AM732" s="8">
        <v>2</v>
      </c>
      <c r="AN732" s="5" t="s">
        <v>57</v>
      </c>
      <c r="AO732" s="10">
        <v>57</v>
      </c>
      <c r="AP732" s="8">
        <v>57</v>
      </c>
      <c r="AQ732" s="9">
        <v>46295</v>
      </c>
      <c r="AR732" s="5" t="s">
        <v>70</v>
      </c>
      <c r="AS732" s="5" t="s">
        <v>91</v>
      </c>
    </row>
    <row r="733" spans="1:45" x14ac:dyDescent="0.35">
      <c r="A733" s="5" t="s">
        <v>3350</v>
      </c>
      <c r="B733" s="5" t="s">
        <v>3351</v>
      </c>
      <c r="C733" s="6" t="s">
        <v>3352</v>
      </c>
      <c r="D733" s="7">
        <v>148800</v>
      </c>
      <c r="E733" s="5" t="s">
        <v>48</v>
      </c>
      <c r="F733" s="5" t="s">
        <v>49</v>
      </c>
      <c r="G733" s="8"/>
      <c r="H733" s="8" t="str">
        <f>IF(F733="Bullet",MIN(G733,Assumptions!$B$6),"")</f>
        <v/>
      </c>
      <c r="I733" s="8">
        <v>1</v>
      </c>
      <c r="J733" s="8">
        <f>IF(F733="Monthly interest",MAX(0,Assumptions!$B$5-I733),"")</f>
        <v>2</v>
      </c>
      <c r="K733" s="7">
        <f t="shared" si="33"/>
        <v>1860</v>
      </c>
      <c r="L733" s="9">
        <v>46286</v>
      </c>
      <c r="M733" s="5" t="s">
        <v>69</v>
      </c>
      <c r="N733" s="5" t="s">
        <v>51</v>
      </c>
      <c r="O733" s="5" t="s">
        <v>52</v>
      </c>
      <c r="P733" s="5" t="s">
        <v>53</v>
      </c>
      <c r="Q733" s="5" t="s">
        <v>54</v>
      </c>
      <c r="R733" s="5" t="s">
        <v>55</v>
      </c>
      <c r="S733" s="5" t="s">
        <v>56</v>
      </c>
      <c r="T733" s="5" t="s">
        <v>57</v>
      </c>
      <c r="U733" s="5" t="s">
        <v>104</v>
      </c>
      <c r="V733" s="5" t="s">
        <v>59</v>
      </c>
      <c r="W733" s="5" t="s">
        <v>418</v>
      </c>
      <c r="X733" s="5" t="s">
        <v>2170</v>
      </c>
      <c r="Y733" s="5" t="s">
        <v>3353</v>
      </c>
      <c r="Z733" s="9">
        <v>46194</v>
      </c>
      <c r="AA733" s="8">
        <v>18</v>
      </c>
      <c r="AB733" s="9">
        <f t="shared" si="34"/>
        <v>46742</v>
      </c>
      <c r="AC733" s="10">
        <v>15</v>
      </c>
      <c r="AD733" s="7">
        <f t="shared" si="35"/>
        <v>1860</v>
      </c>
      <c r="AE733" s="7">
        <f>IF(F733="Bullet",H733*AD733,MIN(MAX(I733,1),Assumptions!$B$6)*AD733)</f>
        <v>1860</v>
      </c>
      <c r="AF733" s="8">
        <f>IF(F733="Bullet",MAX(0,Assumptions!$B$4-AB733),MAX(0,Assumptions!$B$4-L733))</f>
        <v>12</v>
      </c>
      <c r="AG733" s="9">
        <v>46257</v>
      </c>
      <c r="AH733" s="8">
        <f>IF(AG733="","",Assumptions!$B$4-AG733)</f>
        <v>41</v>
      </c>
      <c r="AI733" s="5" t="s">
        <v>63</v>
      </c>
      <c r="AJ733" s="8">
        <v>1</v>
      </c>
      <c r="AK733" s="8">
        <v>0</v>
      </c>
      <c r="AL733" s="8">
        <v>546</v>
      </c>
      <c r="AM733" s="8">
        <v>1</v>
      </c>
      <c r="AN733" s="5" t="s">
        <v>63</v>
      </c>
      <c r="AO733" s="10">
        <v>61.1</v>
      </c>
      <c r="AP733" s="8">
        <v>38</v>
      </c>
      <c r="AQ733" s="9"/>
      <c r="AR733" s="5"/>
      <c r="AS733" s="5" t="s">
        <v>159</v>
      </c>
    </row>
    <row r="734" spans="1:45" x14ac:dyDescent="0.35">
      <c r="A734" s="5" t="s">
        <v>3354</v>
      </c>
      <c r="B734" s="5" t="s">
        <v>2533</v>
      </c>
      <c r="C734" s="6" t="s">
        <v>3355</v>
      </c>
      <c r="D734" s="7">
        <v>168600</v>
      </c>
      <c r="E734" s="5" t="s">
        <v>48</v>
      </c>
      <c r="F734" s="5" t="s">
        <v>49</v>
      </c>
      <c r="G734" s="8"/>
      <c r="H734" s="8" t="str">
        <f>IF(F734="Bullet",MIN(G734,Assumptions!$B$6),"")</f>
        <v/>
      </c>
      <c r="I734" s="8">
        <v>2</v>
      </c>
      <c r="J734" s="8">
        <f>IF(F734="Monthly interest",MAX(0,Assumptions!$B$5-I734),"")</f>
        <v>1</v>
      </c>
      <c r="K734" s="7">
        <f t="shared" si="33"/>
        <v>5058</v>
      </c>
      <c r="L734" s="9">
        <v>46247</v>
      </c>
      <c r="M734" s="5" t="s">
        <v>116</v>
      </c>
      <c r="N734" s="5" t="s">
        <v>117</v>
      </c>
      <c r="O734" s="5" t="s">
        <v>118</v>
      </c>
      <c r="P734" s="5" t="s">
        <v>72</v>
      </c>
      <c r="Q734" s="5" t="s">
        <v>119</v>
      </c>
      <c r="R734" s="5" t="s">
        <v>120</v>
      </c>
      <c r="S734" s="5" t="s">
        <v>85</v>
      </c>
      <c r="T734" s="5" t="s">
        <v>57</v>
      </c>
      <c r="U734" s="5" t="s">
        <v>86</v>
      </c>
      <c r="V734" s="5" t="s">
        <v>133</v>
      </c>
      <c r="W734" s="5" t="s">
        <v>594</v>
      </c>
      <c r="X734" s="5" t="s">
        <v>724</v>
      </c>
      <c r="Y734" s="5" t="s">
        <v>3356</v>
      </c>
      <c r="Z734" s="9">
        <v>46066</v>
      </c>
      <c r="AA734" s="8">
        <v>12</v>
      </c>
      <c r="AB734" s="9">
        <f t="shared" si="34"/>
        <v>46431</v>
      </c>
      <c r="AC734" s="10">
        <v>18</v>
      </c>
      <c r="AD734" s="7">
        <f t="shared" si="35"/>
        <v>2529</v>
      </c>
      <c r="AE734" s="7">
        <f>IF(F734="Bullet",H734*AD734,MIN(MAX(I734,1),Assumptions!$B$6)*AD734)</f>
        <v>5058</v>
      </c>
      <c r="AF734" s="8">
        <f>IF(F734="Bullet",MAX(0,Assumptions!$B$4-AB734),MAX(0,Assumptions!$B$4-L734))</f>
        <v>51</v>
      </c>
      <c r="AG734" s="9">
        <v>46219</v>
      </c>
      <c r="AH734" s="8">
        <f>IF(AG734="","",Assumptions!$B$4-AG734)</f>
        <v>79</v>
      </c>
      <c r="AI734" s="5" t="s">
        <v>63</v>
      </c>
      <c r="AJ734" s="8">
        <v>2</v>
      </c>
      <c r="AK734" s="8">
        <v>0</v>
      </c>
      <c r="AL734" s="8">
        <v>719</v>
      </c>
      <c r="AM734" s="8">
        <v>0</v>
      </c>
      <c r="AN734" s="5" t="s">
        <v>57</v>
      </c>
      <c r="AO734" s="10">
        <v>58.6</v>
      </c>
      <c r="AP734" s="8">
        <v>51</v>
      </c>
      <c r="AQ734" s="9">
        <v>46279</v>
      </c>
      <c r="AR734" s="5" t="s">
        <v>51</v>
      </c>
      <c r="AS734" s="5" t="s">
        <v>190</v>
      </c>
    </row>
    <row r="735" spans="1:45" x14ac:dyDescent="0.35">
      <c r="A735" s="5" t="s">
        <v>3357</v>
      </c>
      <c r="B735" s="5" t="s">
        <v>3358</v>
      </c>
      <c r="C735" s="6" t="s">
        <v>3359</v>
      </c>
      <c r="D735" s="7">
        <v>83600</v>
      </c>
      <c r="E735" s="5" t="s">
        <v>48</v>
      </c>
      <c r="F735" s="5" t="s">
        <v>68</v>
      </c>
      <c r="G735" s="8">
        <v>2</v>
      </c>
      <c r="H735" s="8">
        <f>IF(F735="Bullet",MIN(G735,Assumptions!$B$6),"")</f>
        <v>2</v>
      </c>
      <c r="I735" s="8"/>
      <c r="J735" s="8" t="str">
        <f>IF(F735="Monthly interest",MAX(0,Assumptions!$B$5-I735),"")</f>
        <v/>
      </c>
      <c r="K735" s="7">
        <f t="shared" si="33"/>
        <v>2230</v>
      </c>
      <c r="L735" s="9">
        <v>46225</v>
      </c>
      <c r="M735" s="5" t="s">
        <v>50</v>
      </c>
      <c r="N735" s="5" t="s">
        <v>51</v>
      </c>
      <c r="O735" s="5" t="s">
        <v>71</v>
      </c>
      <c r="P735" s="5" t="s">
        <v>53</v>
      </c>
      <c r="Q735" s="5" t="s">
        <v>73</v>
      </c>
      <c r="R735" s="5" t="s">
        <v>74</v>
      </c>
      <c r="S735" s="5" t="s">
        <v>85</v>
      </c>
      <c r="T735" s="5" t="s">
        <v>57</v>
      </c>
      <c r="U735" s="5" t="s">
        <v>86</v>
      </c>
      <c r="V735" s="5" t="s">
        <v>96</v>
      </c>
      <c r="W735" s="5" t="s">
        <v>97</v>
      </c>
      <c r="X735" s="5" t="s">
        <v>3118</v>
      </c>
      <c r="Y735" s="5" t="s">
        <v>3360</v>
      </c>
      <c r="Z735" s="9">
        <v>46225</v>
      </c>
      <c r="AA735" s="8">
        <v>6</v>
      </c>
      <c r="AB735" s="9">
        <f t="shared" si="34"/>
        <v>46409</v>
      </c>
      <c r="AC735" s="10">
        <v>16</v>
      </c>
      <c r="AD735" s="7">
        <f t="shared" si="35"/>
        <v>1115</v>
      </c>
      <c r="AE735" s="7">
        <f>IF(F735="Bullet",H735*AD735,MIN(MAX(I735,1),Assumptions!$B$6)*AD735)</f>
        <v>2230</v>
      </c>
      <c r="AF735" s="8">
        <f>IF(F735="Bullet",MAX(0,Assumptions!$B$4-AB735),MAX(0,Assumptions!$B$4-L735))</f>
        <v>0</v>
      </c>
      <c r="AG735" s="9"/>
      <c r="AH735" s="8" t="str">
        <f>IF(AG735="","",Assumptions!$B$4-AG735)</f>
        <v/>
      </c>
      <c r="AI735" s="5" t="s">
        <v>80</v>
      </c>
      <c r="AJ735" s="8"/>
      <c r="AK735" s="8">
        <v>2</v>
      </c>
      <c r="AL735" s="8">
        <v>741</v>
      </c>
      <c r="AM735" s="8">
        <v>4</v>
      </c>
      <c r="AN735" s="5" t="s">
        <v>63</v>
      </c>
      <c r="AO735" s="10">
        <v>75.2</v>
      </c>
      <c r="AP735" s="8">
        <v>23</v>
      </c>
      <c r="AQ735" s="9">
        <v>46279</v>
      </c>
      <c r="AR735" s="5" t="s">
        <v>51</v>
      </c>
      <c r="AS735" s="5" t="s">
        <v>181</v>
      </c>
    </row>
    <row r="736" spans="1:45" x14ac:dyDescent="0.35">
      <c r="A736" s="5" t="s">
        <v>3361</v>
      </c>
      <c r="B736" s="5" t="s">
        <v>3362</v>
      </c>
      <c r="C736" s="6" t="s">
        <v>3363</v>
      </c>
      <c r="D736" s="7">
        <v>152700</v>
      </c>
      <c r="E736" s="5" t="s">
        <v>48</v>
      </c>
      <c r="F736" s="5" t="s">
        <v>68</v>
      </c>
      <c r="G736" s="8">
        <v>4</v>
      </c>
      <c r="H736" s="8">
        <f>IF(F736="Bullet",MIN(G736,Assumptions!$B$6),"")</f>
        <v>2</v>
      </c>
      <c r="I736" s="8"/>
      <c r="J736" s="8" t="str">
        <f>IF(F736="Monthly interest",MAX(0,Assumptions!$B$5-I736),"")</f>
        <v/>
      </c>
      <c r="K736" s="7">
        <f t="shared" si="33"/>
        <v>6108</v>
      </c>
      <c r="L736" s="9">
        <v>46161</v>
      </c>
      <c r="M736" s="5" t="s">
        <v>116</v>
      </c>
      <c r="N736" s="5" t="s">
        <v>117</v>
      </c>
      <c r="O736" s="5" t="s">
        <v>207</v>
      </c>
      <c r="P736" s="5" t="s">
        <v>72</v>
      </c>
      <c r="Q736" s="5" t="s">
        <v>73</v>
      </c>
      <c r="R736" s="5" t="s">
        <v>74</v>
      </c>
      <c r="S736" s="5" t="s">
        <v>253</v>
      </c>
      <c r="T736" s="5" t="s">
        <v>57</v>
      </c>
      <c r="U736" s="5" t="s">
        <v>58</v>
      </c>
      <c r="V736" s="5" t="s">
        <v>76</v>
      </c>
      <c r="W736" s="5" t="s">
        <v>547</v>
      </c>
      <c r="X736" s="5" t="s">
        <v>2125</v>
      </c>
      <c r="Y736" s="5" t="s">
        <v>3364</v>
      </c>
      <c r="Z736" s="9">
        <v>46161</v>
      </c>
      <c r="AA736" s="8">
        <v>6</v>
      </c>
      <c r="AB736" s="9">
        <f t="shared" si="34"/>
        <v>46345</v>
      </c>
      <c r="AC736" s="10">
        <v>12</v>
      </c>
      <c r="AD736" s="7">
        <f t="shared" si="35"/>
        <v>1527</v>
      </c>
      <c r="AE736" s="7">
        <f>IF(F736="Bullet",H736*AD736,MIN(MAX(I736,1),Assumptions!$B$6)*AD736)</f>
        <v>3054</v>
      </c>
      <c r="AF736" s="8">
        <f>IF(F736="Bullet",MAX(0,Assumptions!$B$4-AB736),MAX(0,Assumptions!$B$4-L736))</f>
        <v>0</v>
      </c>
      <c r="AG736" s="9"/>
      <c r="AH736" s="8" t="str">
        <f>IF(AG736="","",Assumptions!$B$4-AG736)</f>
        <v/>
      </c>
      <c r="AI736" s="5" t="s">
        <v>80</v>
      </c>
      <c r="AJ736" s="8"/>
      <c r="AK736" s="8">
        <v>2</v>
      </c>
      <c r="AL736" s="8">
        <v>592</v>
      </c>
      <c r="AM736" s="8">
        <v>0</v>
      </c>
      <c r="AN736" s="5" t="s">
        <v>57</v>
      </c>
      <c r="AO736" s="10">
        <v>88</v>
      </c>
      <c r="AP736" s="8">
        <v>71</v>
      </c>
      <c r="AQ736" s="9">
        <v>46285</v>
      </c>
      <c r="AR736" s="5" t="s">
        <v>53</v>
      </c>
      <c r="AS736" s="5" t="s">
        <v>190</v>
      </c>
    </row>
    <row r="737" spans="1:45" x14ac:dyDescent="0.35">
      <c r="A737" s="5" t="s">
        <v>3365</v>
      </c>
      <c r="B737" s="5" t="s">
        <v>1586</v>
      </c>
      <c r="C737" s="6" t="s">
        <v>3366</v>
      </c>
      <c r="D737" s="7">
        <v>61200</v>
      </c>
      <c r="E737" s="5" t="s">
        <v>48</v>
      </c>
      <c r="F737" s="5" t="s">
        <v>68</v>
      </c>
      <c r="G737" s="8">
        <v>5</v>
      </c>
      <c r="H737" s="8">
        <f>IF(F737="Bullet",MIN(G737,Assumptions!$B$6),"")</f>
        <v>2</v>
      </c>
      <c r="I737" s="8"/>
      <c r="J737" s="8" t="str">
        <f>IF(F737="Monthly interest",MAX(0,Assumptions!$B$5-I737),"")</f>
        <v/>
      </c>
      <c r="K737" s="7">
        <f t="shared" si="33"/>
        <v>3825</v>
      </c>
      <c r="L737" s="9">
        <v>46126</v>
      </c>
      <c r="M737" s="5" t="s">
        <v>69</v>
      </c>
      <c r="N737" s="5" t="s">
        <v>53</v>
      </c>
      <c r="O737" s="5" t="s">
        <v>168</v>
      </c>
      <c r="P737" s="5" t="s">
        <v>70</v>
      </c>
      <c r="Q737" s="5" t="s">
        <v>169</v>
      </c>
      <c r="R737" s="5" t="s">
        <v>170</v>
      </c>
      <c r="S737" s="5" t="s">
        <v>75</v>
      </c>
      <c r="T737" s="5" t="s">
        <v>57</v>
      </c>
      <c r="U737" s="5" t="s">
        <v>86</v>
      </c>
      <c r="V737" s="5" t="s">
        <v>76</v>
      </c>
      <c r="W737" s="5" t="s">
        <v>382</v>
      </c>
      <c r="X737" s="5" t="s">
        <v>2454</v>
      </c>
      <c r="Y737" s="5" t="s">
        <v>3367</v>
      </c>
      <c r="Z737" s="9">
        <v>46126</v>
      </c>
      <c r="AA737" s="8">
        <v>12</v>
      </c>
      <c r="AB737" s="9">
        <f t="shared" si="34"/>
        <v>46491</v>
      </c>
      <c r="AC737" s="10">
        <v>15</v>
      </c>
      <c r="AD737" s="7">
        <f t="shared" si="35"/>
        <v>765</v>
      </c>
      <c r="AE737" s="7">
        <f>IF(F737="Bullet",H737*AD737,MIN(MAX(I737,1),Assumptions!$B$6)*AD737)</f>
        <v>1530</v>
      </c>
      <c r="AF737" s="8">
        <f>IF(F737="Bullet",MAX(0,Assumptions!$B$4-AB737),MAX(0,Assumptions!$B$4-L737))</f>
        <v>0</v>
      </c>
      <c r="AG737" s="9"/>
      <c r="AH737" s="8" t="str">
        <f>IF(AG737="","",Assumptions!$B$4-AG737)</f>
        <v/>
      </c>
      <c r="AI737" s="5" t="s">
        <v>80</v>
      </c>
      <c r="AJ737" s="8"/>
      <c r="AK737" s="8">
        <v>1</v>
      </c>
      <c r="AL737" s="8" t="s">
        <v>80</v>
      </c>
      <c r="AM737" s="8">
        <v>0</v>
      </c>
      <c r="AN737" s="5" t="s">
        <v>63</v>
      </c>
      <c r="AO737" s="10">
        <v>75.599999999999994</v>
      </c>
      <c r="AP737" s="8">
        <v>36</v>
      </c>
      <c r="AQ737" s="9"/>
      <c r="AR737" s="5"/>
      <c r="AS737" s="5" t="s">
        <v>159</v>
      </c>
    </row>
    <row r="738" spans="1:45" x14ac:dyDescent="0.35">
      <c r="A738" s="5" t="s">
        <v>3368</v>
      </c>
      <c r="B738" s="5" t="s">
        <v>649</v>
      </c>
      <c r="C738" s="6" t="s">
        <v>3369</v>
      </c>
      <c r="D738" s="7">
        <v>121300</v>
      </c>
      <c r="E738" s="5" t="s">
        <v>48</v>
      </c>
      <c r="F738" s="5" t="s">
        <v>68</v>
      </c>
      <c r="G738" s="8">
        <v>2</v>
      </c>
      <c r="H738" s="8">
        <f>IF(F738="Bullet",MIN(G738,Assumptions!$B$6),"")</f>
        <v>2</v>
      </c>
      <c r="I738" s="8"/>
      <c r="J738" s="8" t="str">
        <f>IF(F738="Monthly interest",MAX(0,Assumptions!$B$5-I738),"")</f>
        <v/>
      </c>
      <c r="K738" s="7">
        <f t="shared" si="33"/>
        <v>3032</v>
      </c>
      <c r="L738" s="9">
        <v>46222</v>
      </c>
      <c r="M738" s="5" t="s">
        <v>50</v>
      </c>
      <c r="N738" s="5" t="s">
        <v>70</v>
      </c>
      <c r="O738" s="5" t="s">
        <v>271</v>
      </c>
      <c r="P738" s="5" t="s">
        <v>72</v>
      </c>
      <c r="Q738" s="5" t="s">
        <v>73</v>
      </c>
      <c r="R738" s="5" t="s">
        <v>74</v>
      </c>
      <c r="S738" s="5" t="s">
        <v>56</v>
      </c>
      <c r="T738" s="5" t="s">
        <v>57</v>
      </c>
      <c r="U738" s="5" t="s">
        <v>86</v>
      </c>
      <c r="V738" s="5" t="s">
        <v>59</v>
      </c>
      <c r="W738" s="5" t="s">
        <v>156</v>
      </c>
      <c r="X738" s="5" t="s">
        <v>2781</v>
      </c>
      <c r="Y738" s="5" t="s">
        <v>3370</v>
      </c>
      <c r="Z738" s="9">
        <v>46222</v>
      </c>
      <c r="AA738" s="8">
        <v>12</v>
      </c>
      <c r="AB738" s="9">
        <f t="shared" si="34"/>
        <v>46587</v>
      </c>
      <c r="AC738" s="10">
        <v>15</v>
      </c>
      <c r="AD738" s="7">
        <f t="shared" si="35"/>
        <v>1516</v>
      </c>
      <c r="AE738" s="7">
        <f>IF(F738="Bullet",H738*AD738,MIN(MAX(I738,1),Assumptions!$B$6)*AD738)</f>
        <v>3032</v>
      </c>
      <c r="AF738" s="8">
        <f>IF(F738="Bullet",MAX(0,Assumptions!$B$4-AB738),MAX(0,Assumptions!$B$4-L738))</f>
        <v>0</v>
      </c>
      <c r="AG738" s="9"/>
      <c r="AH738" s="8" t="str">
        <f>IF(AG738="","",Assumptions!$B$4-AG738)</f>
        <v/>
      </c>
      <c r="AI738" s="5" t="s">
        <v>80</v>
      </c>
      <c r="AJ738" s="8"/>
      <c r="AK738" s="8">
        <v>0</v>
      </c>
      <c r="AL738" s="8" t="s">
        <v>80</v>
      </c>
      <c r="AM738" s="8">
        <v>0</v>
      </c>
      <c r="AN738" s="5" t="s">
        <v>63</v>
      </c>
      <c r="AO738" s="10">
        <v>68.400000000000006</v>
      </c>
      <c r="AP738" s="8">
        <v>17</v>
      </c>
      <c r="AQ738" s="9">
        <v>46294</v>
      </c>
      <c r="AR738" s="5" t="s">
        <v>70</v>
      </c>
      <c r="AS738" s="5" t="s">
        <v>274</v>
      </c>
    </row>
    <row r="739" spans="1:45" x14ac:dyDescent="0.35">
      <c r="A739" s="5" t="s">
        <v>3371</v>
      </c>
      <c r="B739" s="5" t="s">
        <v>2979</v>
      </c>
      <c r="C739" s="6" t="s">
        <v>3372</v>
      </c>
      <c r="D739" s="7">
        <v>80800</v>
      </c>
      <c r="E739" s="5" t="s">
        <v>48</v>
      </c>
      <c r="F739" s="5" t="s">
        <v>68</v>
      </c>
      <c r="G739" s="8">
        <v>6</v>
      </c>
      <c r="H739" s="8">
        <f>IF(F739="Bullet",MIN(G739,Assumptions!$B$6),"")</f>
        <v>2</v>
      </c>
      <c r="I739" s="8"/>
      <c r="J739" s="8" t="str">
        <f>IF(F739="Monthly interest",MAX(0,Assumptions!$B$5-I739),"")</f>
        <v/>
      </c>
      <c r="K739" s="7">
        <f t="shared" si="33"/>
        <v>7272</v>
      </c>
      <c r="L739" s="9">
        <v>46102</v>
      </c>
      <c r="M739" s="5" t="s">
        <v>116</v>
      </c>
      <c r="N739" s="5" t="s">
        <v>117</v>
      </c>
      <c r="O739" s="5" t="s">
        <v>461</v>
      </c>
      <c r="P739" s="5" t="s">
        <v>72</v>
      </c>
      <c r="Q739" s="5" t="s">
        <v>169</v>
      </c>
      <c r="R739" s="5" t="s">
        <v>170</v>
      </c>
      <c r="S739" s="5" t="s">
        <v>85</v>
      </c>
      <c r="T739" s="5" t="s">
        <v>57</v>
      </c>
      <c r="U739" s="5" t="s">
        <v>58</v>
      </c>
      <c r="V739" s="5" t="s">
        <v>177</v>
      </c>
      <c r="W739" s="5" t="s">
        <v>208</v>
      </c>
      <c r="X739" s="5" t="s">
        <v>2414</v>
      </c>
      <c r="Y739" s="5" t="s">
        <v>3373</v>
      </c>
      <c r="Z739" s="9">
        <v>46102</v>
      </c>
      <c r="AA739" s="8">
        <v>6</v>
      </c>
      <c r="AB739" s="9">
        <f t="shared" si="34"/>
        <v>46286</v>
      </c>
      <c r="AC739" s="10">
        <v>18</v>
      </c>
      <c r="AD739" s="7">
        <f t="shared" si="35"/>
        <v>1212</v>
      </c>
      <c r="AE739" s="7">
        <f>IF(F739="Bullet",H739*AD739,MIN(MAX(I739,1),Assumptions!$B$6)*AD739)</f>
        <v>2424</v>
      </c>
      <c r="AF739" s="8">
        <f>IF(F739="Bullet",MAX(0,Assumptions!$B$4-AB739),MAX(0,Assumptions!$B$4-L739))</f>
        <v>12</v>
      </c>
      <c r="AG739" s="9"/>
      <c r="AH739" s="8" t="str">
        <f>IF(AG739="","",Assumptions!$B$4-AG739)</f>
        <v/>
      </c>
      <c r="AI739" s="5" t="s">
        <v>80</v>
      </c>
      <c r="AJ739" s="8"/>
      <c r="AK739" s="8">
        <v>1</v>
      </c>
      <c r="AL739" s="8">
        <v>697</v>
      </c>
      <c r="AM739" s="8">
        <v>0</v>
      </c>
      <c r="AN739" s="5" t="s">
        <v>57</v>
      </c>
      <c r="AO739" s="10">
        <v>56.9</v>
      </c>
      <c r="AP739" s="8">
        <v>62</v>
      </c>
      <c r="AQ739" s="9">
        <v>46287</v>
      </c>
      <c r="AR739" s="5" t="s">
        <v>70</v>
      </c>
      <c r="AS739" s="5" t="s">
        <v>91</v>
      </c>
    </row>
    <row r="740" spans="1:45" x14ac:dyDescent="0.35">
      <c r="A740" s="5" t="s">
        <v>3374</v>
      </c>
      <c r="B740" s="5" t="s">
        <v>3375</v>
      </c>
      <c r="C740" s="6" t="s">
        <v>3376</v>
      </c>
      <c r="D740" s="7">
        <v>205400</v>
      </c>
      <c r="E740" s="5" t="s">
        <v>48</v>
      </c>
      <c r="F740" s="5" t="s">
        <v>68</v>
      </c>
      <c r="G740" s="8">
        <v>2</v>
      </c>
      <c r="H740" s="8">
        <f>IF(F740="Bullet",MIN(G740,Assumptions!$B$6),"")</f>
        <v>2</v>
      </c>
      <c r="I740" s="8"/>
      <c r="J740" s="8" t="str">
        <f>IF(F740="Monthly interest",MAX(0,Assumptions!$B$5-I740),"")</f>
        <v/>
      </c>
      <c r="K740" s="7">
        <f t="shared" si="33"/>
        <v>4450</v>
      </c>
      <c r="L740" s="9">
        <v>46216</v>
      </c>
      <c r="M740" s="5" t="s">
        <v>116</v>
      </c>
      <c r="N740" s="5" t="s">
        <v>117</v>
      </c>
      <c r="O740" s="5" t="s">
        <v>207</v>
      </c>
      <c r="P740" s="5" t="s">
        <v>72</v>
      </c>
      <c r="Q740" s="5" t="s">
        <v>73</v>
      </c>
      <c r="R740" s="5" t="s">
        <v>74</v>
      </c>
      <c r="S740" s="5" t="s">
        <v>56</v>
      </c>
      <c r="T740" s="5" t="s">
        <v>57</v>
      </c>
      <c r="U740" s="5" t="s">
        <v>58</v>
      </c>
      <c r="V740" s="5" t="s">
        <v>59</v>
      </c>
      <c r="W740" s="5" t="s">
        <v>418</v>
      </c>
      <c r="X740" s="5" t="s">
        <v>2483</v>
      </c>
      <c r="Y740" s="5" t="s">
        <v>3377</v>
      </c>
      <c r="Z740" s="9">
        <v>46216</v>
      </c>
      <c r="AA740" s="8">
        <v>6</v>
      </c>
      <c r="AB740" s="9">
        <f t="shared" si="34"/>
        <v>46400</v>
      </c>
      <c r="AC740" s="10">
        <v>13</v>
      </c>
      <c r="AD740" s="7">
        <f t="shared" si="35"/>
        <v>2225</v>
      </c>
      <c r="AE740" s="7">
        <f>IF(F740="Bullet",H740*AD740,MIN(MAX(I740,1),Assumptions!$B$6)*AD740)</f>
        <v>4450</v>
      </c>
      <c r="AF740" s="8">
        <f>IF(F740="Bullet",MAX(0,Assumptions!$B$4-AB740),MAX(0,Assumptions!$B$4-L740))</f>
        <v>0</v>
      </c>
      <c r="AG740" s="9"/>
      <c r="AH740" s="8" t="str">
        <f>IF(AG740="","",Assumptions!$B$4-AG740)</f>
        <v/>
      </c>
      <c r="AI740" s="5" t="s">
        <v>80</v>
      </c>
      <c r="AJ740" s="8"/>
      <c r="AK740" s="8">
        <v>1</v>
      </c>
      <c r="AL740" s="8">
        <v>508</v>
      </c>
      <c r="AM740" s="8">
        <v>1</v>
      </c>
      <c r="AN740" s="5" t="s">
        <v>57</v>
      </c>
      <c r="AO740" s="10">
        <v>66.5</v>
      </c>
      <c r="AP740" s="8">
        <v>48</v>
      </c>
      <c r="AQ740" s="9">
        <v>46294</v>
      </c>
      <c r="AR740" s="5" t="s">
        <v>70</v>
      </c>
      <c r="AS740" s="5" t="s">
        <v>181</v>
      </c>
    </row>
    <row r="741" spans="1:45" x14ac:dyDescent="0.35">
      <c r="A741" s="5" t="s">
        <v>3378</v>
      </c>
      <c r="B741" s="5" t="s">
        <v>3379</v>
      </c>
      <c r="C741" s="6" t="s">
        <v>3380</v>
      </c>
      <c r="D741" s="7">
        <v>55000</v>
      </c>
      <c r="E741" s="5" t="s">
        <v>48</v>
      </c>
      <c r="F741" s="5" t="s">
        <v>49</v>
      </c>
      <c r="G741" s="8"/>
      <c r="H741" s="8" t="str">
        <f>IF(F741="Bullet",MIN(G741,Assumptions!$B$6),"")</f>
        <v/>
      </c>
      <c r="I741" s="8">
        <v>2</v>
      </c>
      <c r="J741" s="8">
        <f>IF(F741="Monthly interest",MAX(0,Assumptions!$B$5-I741),"")</f>
        <v>1</v>
      </c>
      <c r="K741" s="7">
        <f t="shared" si="33"/>
        <v>1834</v>
      </c>
      <c r="L741" s="9">
        <v>46240</v>
      </c>
      <c r="M741" s="5" t="s">
        <v>116</v>
      </c>
      <c r="N741" s="5" t="s">
        <v>117</v>
      </c>
      <c r="O741" s="5" t="s">
        <v>118</v>
      </c>
      <c r="P741" s="5" t="s">
        <v>72</v>
      </c>
      <c r="Q741" s="5" t="s">
        <v>119</v>
      </c>
      <c r="R741" s="5" t="s">
        <v>120</v>
      </c>
      <c r="S741" s="5" t="s">
        <v>56</v>
      </c>
      <c r="T741" s="5" t="s">
        <v>63</v>
      </c>
      <c r="U741" s="5" t="s">
        <v>104</v>
      </c>
      <c r="V741" s="5" t="s">
        <v>59</v>
      </c>
      <c r="W741" s="5" t="s">
        <v>418</v>
      </c>
      <c r="X741" s="5" t="s">
        <v>2170</v>
      </c>
      <c r="Y741" s="5" t="s">
        <v>3381</v>
      </c>
      <c r="Z741" s="9">
        <v>46028</v>
      </c>
      <c r="AA741" s="8">
        <v>12</v>
      </c>
      <c r="AB741" s="9">
        <f t="shared" si="34"/>
        <v>46393</v>
      </c>
      <c r="AC741" s="10">
        <v>20</v>
      </c>
      <c r="AD741" s="7">
        <f t="shared" si="35"/>
        <v>917</v>
      </c>
      <c r="AE741" s="7">
        <f>IF(F741="Bullet",H741*AD741,MIN(MAX(I741,1),Assumptions!$B$6)*AD741)</f>
        <v>1834</v>
      </c>
      <c r="AF741" s="8">
        <f>IF(F741="Bullet",MAX(0,Assumptions!$B$4-AB741),MAX(0,Assumptions!$B$4-L741))</f>
        <v>58</v>
      </c>
      <c r="AG741" s="9">
        <v>46212</v>
      </c>
      <c r="AH741" s="8">
        <f>IF(AG741="","",Assumptions!$B$4-AG741)</f>
        <v>86</v>
      </c>
      <c r="AI741" s="5" t="s">
        <v>63</v>
      </c>
      <c r="AJ741" s="8">
        <v>2</v>
      </c>
      <c r="AK741" s="8">
        <v>0</v>
      </c>
      <c r="AL741" s="8">
        <v>774</v>
      </c>
      <c r="AM741" s="8">
        <v>2</v>
      </c>
      <c r="AN741" s="5" t="s">
        <v>63</v>
      </c>
      <c r="AO741" s="10">
        <v>81.900000000000006</v>
      </c>
      <c r="AP741" s="8">
        <v>50</v>
      </c>
      <c r="AQ741" s="9">
        <v>46277</v>
      </c>
      <c r="AR741" s="5" t="s">
        <v>70</v>
      </c>
      <c r="AS741" s="5" t="s">
        <v>91</v>
      </c>
    </row>
    <row r="742" spans="1:45" x14ac:dyDescent="0.35">
      <c r="A742" s="5" t="s">
        <v>3382</v>
      </c>
      <c r="B742" s="5" t="s">
        <v>3383</v>
      </c>
      <c r="C742" s="6" t="s">
        <v>3384</v>
      </c>
      <c r="D742" s="7">
        <v>130800</v>
      </c>
      <c r="E742" s="5" t="s">
        <v>48</v>
      </c>
      <c r="F742" s="5" t="s">
        <v>68</v>
      </c>
      <c r="G742" s="8">
        <v>6</v>
      </c>
      <c r="H742" s="8">
        <f>IF(F742="Bullet",MIN(G742,Assumptions!$B$6),"")</f>
        <v>2</v>
      </c>
      <c r="I742" s="8"/>
      <c r="J742" s="8" t="str">
        <f>IF(F742="Monthly interest",MAX(0,Assumptions!$B$5-I742),"")</f>
        <v/>
      </c>
      <c r="K742" s="7">
        <f t="shared" si="33"/>
        <v>9810</v>
      </c>
      <c r="L742" s="9">
        <v>46098</v>
      </c>
      <c r="M742" s="5" t="s">
        <v>116</v>
      </c>
      <c r="N742" s="5" t="s">
        <v>117</v>
      </c>
      <c r="O742" s="5" t="s">
        <v>461</v>
      </c>
      <c r="P742" s="5" t="s">
        <v>72</v>
      </c>
      <c r="Q742" s="5" t="s">
        <v>169</v>
      </c>
      <c r="R742" s="5" t="s">
        <v>170</v>
      </c>
      <c r="S742" s="5" t="s">
        <v>56</v>
      </c>
      <c r="T742" s="5" t="s">
        <v>57</v>
      </c>
      <c r="U742" s="5" t="s">
        <v>86</v>
      </c>
      <c r="V742" s="5" t="s">
        <v>59</v>
      </c>
      <c r="W742" s="5" t="s">
        <v>194</v>
      </c>
      <c r="X742" s="5" t="s">
        <v>2879</v>
      </c>
      <c r="Y742" s="5" t="s">
        <v>3385</v>
      </c>
      <c r="Z742" s="9">
        <v>46098</v>
      </c>
      <c r="AA742" s="8">
        <v>6</v>
      </c>
      <c r="AB742" s="9">
        <f t="shared" si="34"/>
        <v>46282</v>
      </c>
      <c r="AC742" s="10">
        <v>15</v>
      </c>
      <c r="AD742" s="7">
        <f t="shared" si="35"/>
        <v>1635</v>
      </c>
      <c r="AE742" s="7">
        <f>IF(F742="Bullet",H742*AD742,MIN(MAX(I742,1),Assumptions!$B$6)*AD742)</f>
        <v>3270</v>
      </c>
      <c r="AF742" s="8">
        <f>IF(F742="Bullet",MAX(0,Assumptions!$B$4-AB742),MAX(0,Assumptions!$B$4-L742))</f>
        <v>16</v>
      </c>
      <c r="AG742" s="9"/>
      <c r="AH742" s="8" t="str">
        <f>IF(AG742="","",Assumptions!$B$4-AG742)</f>
        <v/>
      </c>
      <c r="AI742" s="5" t="s">
        <v>80</v>
      </c>
      <c r="AJ742" s="8"/>
      <c r="AK742" s="8">
        <v>1</v>
      </c>
      <c r="AL742" s="8">
        <v>728</v>
      </c>
      <c r="AM742" s="8">
        <v>0</v>
      </c>
      <c r="AN742" s="5" t="s">
        <v>63</v>
      </c>
      <c r="AO742" s="10">
        <v>76.099999999999994</v>
      </c>
      <c r="AP742" s="8">
        <v>51</v>
      </c>
      <c r="AQ742" s="9">
        <v>46278</v>
      </c>
      <c r="AR742" s="5" t="s">
        <v>51</v>
      </c>
      <c r="AS742" s="5" t="s">
        <v>81</v>
      </c>
    </row>
    <row r="743" spans="1:45" x14ac:dyDescent="0.35">
      <c r="A743" s="5" t="s">
        <v>3386</v>
      </c>
      <c r="B743" s="5" t="s">
        <v>3149</v>
      </c>
      <c r="C743" s="6" t="s">
        <v>3387</v>
      </c>
      <c r="D743" s="7">
        <v>111800</v>
      </c>
      <c r="E743" s="5" t="s">
        <v>48</v>
      </c>
      <c r="F743" s="5" t="s">
        <v>49</v>
      </c>
      <c r="G743" s="8"/>
      <c r="H743" s="8" t="str">
        <f>IF(F743="Bullet",MIN(G743,Assumptions!$B$6),"")</f>
        <v/>
      </c>
      <c r="I743" s="8">
        <v>1</v>
      </c>
      <c r="J743" s="8">
        <f>IF(F743="Monthly interest",MAX(0,Assumptions!$B$5-I743),"")</f>
        <v>2</v>
      </c>
      <c r="K743" s="7">
        <f t="shared" si="33"/>
        <v>1304</v>
      </c>
      <c r="L743" s="9">
        <v>46298</v>
      </c>
      <c r="M743" s="5" t="s">
        <v>50</v>
      </c>
      <c r="N743" s="5" t="s">
        <v>51</v>
      </c>
      <c r="O743" s="5" t="s">
        <v>52</v>
      </c>
      <c r="P743" s="5" t="s">
        <v>53</v>
      </c>
      <c r="Q743" s="5" t="s">
        <v>54</v>
      </c>
      <c r="R743" s="5" t="s">
        <v>55</v>
      </c>
      <c r="S743" s="5" t="s">
        <v>185</v>
      </c>
      <c r="T743" s="5" t="s">
        <v>57</v>
      </c>
      <c r="U743" s="5" t="s">
        <v>58</v>
      </c>
      <c r="V743" s="5" t="s">
        <v>186</v>
      </c>
      <c r="W743" s="5" t="s">
        <v>694</v>
      </c>
      <c r="X743" s="5" t="s">
        <v>773</v>
      </c>
      <c r="Y743" s="5" t="s">
        <v>3388</v>
      </c>
      <c r="Z743" s="9">
        <v>46237</v>
      </c>
      <c r="AA743" s="8">
        <v>12</v>
      </c>
      <c r="AB743" s="9">
        <f t="shared" si="34"/>
        <v>46602</v>
      </c>
      <c r="AC743" s="10">
        <v>14</v>
      </c>
      <c r="AD743" s="7">
        <f t="shared" si="35"/>
        <v>1304</v>
      </c>
      <c r="AE743" s="7">
        <f>IF(F743="Bullet",H743*AD743,MIN(MAX(I743,1),Assumptions!$B$6)*AD743)</f>
        <v>1304</v>
      </c>
      <c r="AF743" s="8">
        <f>IF(F743="Bullet",MAX(0,Assumptions!$B$4-AB743),MAX(0,Assumptions!$B$4-L743))</f>
        <v>0</v>
      </c>
      <c r="AG743" s="9">
        <v>46271</v>
      </c>
      <c r="AH743" s="8">
        <f>IF(AG743="","",Assumptions!$B$4-AG743)</f>
        <v>27</v>
      </c>
      <c r="AI743" s="5" t="s">
        <v>63</v>
      </c>
      <c r="AJ743" s="8">
        <v>2</v>
      </c>
      <c r="AK743" s="8">
        <v>0</v>
      </c>
      <c r="AL743" s="8">
        <v>741</v>
      </c>
      <c r="AM743" s="8">
        <v>1</v>
      </c>
      <c r="AN743" s="5" t="s">
        <v>63</v>
      </c>
      <c r="AO743" s="10">
        <v>68.599999999999994</v>
      </c>
      <c r="AP743" s="8">
        <v>22</v>
      </c>
      <c r="AQ743" s="9">
        <v>46293</v>
      </c>
      <c r="AR743" s="5" t="s">
        <v>51</v>
      </c>
      <c r="AS743" s="5" t="s">
        <v>274</v>
      </c>
    </row>
    <row r="744" spans="1:45" x14ac:dyDescent="0.35">
      <c r="A744" s="5" t="s">
        <v>3389</v>
      </c>
      <c r="B744" s="5" t="s">
        <v>304</v>
      </c>
      <c r="C744" s="6" t="s">
        <v>3390</v>
      </c>
      <c r="D744" s="7">
        <v>210400</v>
      </c>
      <c r="E744" s="5" t="s">
        <v>48</v>
      </c>
      <c r="F744" s="5" t="s">
        <v>49</v>
      </c>
      <c r="G744" s="8"/>
      <c r="H744" s="8" t="str">
        <f>IF(F744="Bullet",MIN(G744,Assumptions!$B$6),"")</f>
        <v/>
      </c>
      <c r="I744" s="8">
        <v>1</v>
      </c>
      <c r="J744" s="8">
        <f>IF(F744="Monthly interest",MAX(0,Assumptions!$B$5-I744),"")</f>
        <v>2</v>
      </c>
      <c r="K744" s="7">
        <f t="shared" si="33"/>
        <v>3156</v>
      </c>
      <c r="L744" s="9">
        <v>46291</v>
      </c>
      <c r="M744" s="5" t="s">
        <v>50</v>
      </c>
      <c r="N744" s="5" t="s">
        <v>53</v>
      </c>
      <c r="O744" s="5" t="s">
        <v>103</v>
      </c>
      <c r="P744" s="5" t="s">
        <v>51</v>
      </c>
      <c r="Q744" s="5" t="s">
        <v>54</v>
      </c>
      <c r="R744" s="5" t="s">
        <v>55</v>
      </c>
      <c r="S744" s="5" t="s">
        <v>75</v>
      </c>
      <c r="T744" s="5" t="s">
        <v>57</v>
      </c>
      <c r="U744" s="5" t="s">
        <v>104</v>
      </c>
      <c r="V744" s="5" t="s">
        <v>76</v>
      </c>
      <c r="W744" s="5" t="s">
        <v>140</v>
      </c>
      <c r="X744" s="5" t="s">
        <v>3391</v>
      </c>
      <c r="Y744" s="5" t="s">
        <v>3392</v>
      </c>
      <c r="Z744" s="9">
        <v>46017</v>
      </c>
      <c r="AA744" s="8">
        <v>18</v>
      </c>
      <c r="AB744" s="9">
        <f t="shared" si="34"/>
        <v>46564</v>
      </c>
      <c r="AC744" s="10">
        <v>18</v>
      </c>
      <c r="AD744" s="7">
        <f t="shared" si="35"/>
        <v>3156</v>
      </c>
      <c r="AE744" s="7">
        <f>IF(F744="Bullet",H744*AD744,MIN(MAX(I744,1),Assumptions!$B$6)*AD744)</f>
        <v>3156</v>
      </c>
      <c r="AF744" s="8">
        <f>IF(F744="Bullet",MAX(0,Assumptions!$B$4-AB744),MAX(0,Assumptions!$B$4-L744))</f>
        <v>7</v>
      </c>
      <c r="AG744" s="9">
        <v>46260</v>
      </c>
      <c r="AH744" s="8">
        <f>IF(AG744="","",Assumptions!$B$4-AG744)</f>
        <v>38</v>
      </c>
      <c r="AI744" s="5" t="s">
        <v>57</v>
      </c>
      <c r="AJ744" s="8">
        <v>2</v>
      </c>
      <c r="AK744" s="8">
        <v>1</v>
      </c>
      <c r="AL744" s="8">
        <v>749</v>
      </c>
      <c r="AM744" s="8">
        <v>0</v>
      </c>
      <c r="AN744" s="5" t="s">
        <v>63</v>
      </c>
      <c r="AO744" s="10">
        <v>40</v>
      </c>
      <c r="AP744" s="8">
        <v>24</v>
      </c>
      <c r="AQ744" s="9">
        <v>46289</v>
      </c>
      <c r="AR744" s="5" t="s">
        <v>51</v>
      </c>
      <c r="AS744" s="5" t="s">
        <v>81</v>
      </c>
    </row>
    <row r="745" spans="1:45" x14ac:dyDescent="0.35">
      <c r="A745" s="5" t="s">
        <v>3393</v>
      </c>
      <c r="B745" s="5" t="s">
        <v>3270</v>
      </c>
      <c r="C745" s="6" t="s">
        <v>3394</v>
      </c>
      <c r="D745" s="7">
        <v>1803000</v>
      </c>
      <c r="E745" s="5" t="s">
        <v>48</v>
      </c>
      <c r="F745" s="5" t="s">
        <v>49</v>
      </c>
      <c r="G745" s="8"/>
      <c r="H745" s="8" t="str">
        <f>IF(F745="Bullet",MIN(G745,Assumptions!$B$6),"")</f>
        <v/>
      </c>
      <c r="I745" s="8">
        <v>1</v>
      </c>
      <c r="J745" s="8">
        <f>IF(F745="Monthly interest",MAX(0,Assumptions!$B$5-I745),"")</f>
        <v>2</v>
      </c>
      <c r="K745" s="7">
        <f t="shared" si="33"/>
        <v>22538</v>
      </c>
      <c r="L745" s="9">
        <v>46273</v>
      </c>
      <c r="M745" s="5" t="s">
        <v>116</v>
      </c>
      <c r="N745" s="5" t="s">
        <v>117</v>
      </c>
      <c r="O745" s="5" t="s">
        <v>118</v>
      </c>
      <c r="P745" s="5" t="s">
        <v>72</v>
      </c>
      <c r="Q745" s="5" t="s">
        <v>119</v>
      </c>
      <c r="R745" s="5" t="s">
        <v>120</v>
      </c>
      <c r="S745" s="5" t="s">
        <v>85</v>
      </c>
      <c r="T745" s="5" t="s">
        <v>57</v>
      </c>
      <c r="U745" s="5" t="s">
        <v>58</v>
      </c>
      <c r="V745" s="5" t="s">
        <v>177</v>
      </c>
      <c r="W745" s="5" t="s">
        <v>208</v>
      </c>
      <c r="X745" s="5" t="s">
        <v>1314</v>
      </c>
      <c r="Y745" s="5" t="s">
        <v>3395</v>
      </c>
      <c r="Z745" s="9">
        <v>46211</v>
      </c>
      <c r="AA745" s="8">
        <v>12</v>
      </c>
      <c r="AB745" s="9">
        <f t="shared" si="34"/>
        <v>46576</v>
      </c>
      <c r="AC745" s="10">
        <v>15</v>
      </c>
      <c r="AD745" s="7">
        <f t="shared" si="35"/>
        <v>22538</v>
      </c>
      <c r="AE745" s="7">
        <f>IF(F745="Bullet",H745*AD745,MIN(MAX(I745,1),Assumptions!$B$6)*AD745)</f>
        <v>22538</v>
      </c>
      <c r="AF745" s="8">
        <f>IF(F745="Bullet",MAX(0,Assumptions!$B$4-AB745),MAX(0,Assumptions!$B$4-L745))</f>
        <v>25</v>
      </c>
      <c r="AG745" s="9">
        <v>46243</v>
      </c>
      <c r="AH745" s="8">
        <f>IF(AG745="","",Assumptions!$B$4-AG745)</f>
        <v>55</v>
      </c>
      <c r="AI745" s="5" t="s">
        <v>63</v>
      </c>
      <c r="AJ745" s="8">
        <v>1</v>
      </c>
      <c r="AK745" s="8">
        <v>3</v>
      </c>
      <c r="AL745" s="8" t="s">
        <v>80</v>
      </c>
      <c r="AM745" s="8">
        <v>0</v>
      </c>
      <c r="AN745" s="5" t="s">
        <v>63</v>
      </c>
      <c r="AO745" s="10">
        <v>60.7</v>
      </c>
      <c r="AP745" s="8">
        <v>49</v>
      </c>
      <c r="AQ745" s="9">
        <v>46282</v>
      </c>
      <c r="AR745" s="5" t="s">
        <v>51</v>
      </c>
      <c r="AS745" s="5" t="s">
        <v>91</v>
      </c>
    </row>
    <row r="746" spans="1:45" x14ac:dyDescent="0.35">
      <c r="A746" s="5" t="s">
        <v>3396</v>
      </c>
      <c r="B746" s="5" t="s">
        <v>1444</v>
      </c>
      <c r="C746" s="6" t="s">
        <v>3397</v>
      </c>
      <c r="D746" s="7">
        <v>230100</v>
      </c>
      <c r="E746" s="5" t="s">
        <v>48</v>
      </c>
      <c r="F746" s="5" t="s">
        <v>49</v>
      </c>
      <c r="G746" s="8"/>
      <c r="H746" s="8" t="str">
        <f>IF(F746="Bullet",MIN(G746,Assumptions!$B$6),"")</f>
        <v/>
      </c>
      <c r="I746" s="8">
        <v>2</v>
      </c>
      <c r="J746" s="8">
        <f>IF(F746="Monthly interest",MAX(0,Assumptions!$B$5-I746),"")</f>
        <v>1</v>
      </c>
      <c r="K746" s="7">
        <f t="shared" si="33"/>
        <v>5370</v>
      </c>
      <c r="L746" s="9">
        <v>46241</v>
      </c>
      <c r="M746" s="5" t="s">
        <v>116</v>
      </c>
      <c r="N746" s="5" t="s">
        <v>117</v>
      </c>
      <c r="O746" s="5" t="s">
        <v>118</v>
      </c>
      <c r="P746" s="5" t="s">
        <v>72</v>
      </c>
      <c r="Q746" s="5" t="s">
        <v>119</v>
      </c>
      <c r="R746" s="5" t="s">
        <v>120</v>
      </c>
      <c r="S746" s="5" t="s">
        <v>185</v>
      </c>
      <c r="T746" s="5" t="s">
        <v>57</v>
      </c>
      <c r="U746" s="5" t="s">
        <v>104</v>
      </c>
      <c r="V746" s="5" t="s">
        <v>186</v>
      </c>
      <c r="W746" s="5" t="s">
        <v>376</v>
      </c>
      <c r="X746" s="5" t="s">
        <v>2747</v>
      </c>
      <c r="Y746" s="5" t="s">
        <v>3398</v>
      </c>
      <c r="Z746" s="9">
        <v>46060</v>
      </c>
      <c r="AA746" s="8">
        <v>18</v>
      </c>
      <c r="AB746" s="9">
        <f t="shared" si="34"/>
        <v>46606</v>
      </c>
      <c r="AC746" s="10">
        <v>14</v>
      </c>
      <c r="AD746" s="7">
        <f t="shared" si="35"/>
        <v>2685</v>
      </c>
      <c r="AE746" s="7">
        <f>IF(F746="Bullet",H746*AD746,MIN(MAX(I746,1),Assumptions!$B$6)*AD746)</f>
        <v>5370</v>
      </c>
      <c r="AF746" s="8">
        <f>IF(F746="Bullet",MAX(0,Assumptions!$B$4-AB746),MAX(0,Assumptions!$B$4-L746))</f>
        <v>57</v>
      </c>
      <c r="AG746" s="9">
        <v>46210</v>
      </c>
      <c r="AH746" s="8">
        <f>IF(AG746="","",Assumptions!$B$4-AG746)</f>
        <v>88</v>
      </c>
      <c r="AI746" s="5" t="s">
        <v>63</v>
      </c>
      <c r="AJ746" s="8">
        <v>2</v>
      </c>
      <c r="AK746" s="8">
        <v>1</v>
      </c>
      <c r="AL746" s="8" t="s">
        <v>80</v>
      </c>
      <c r="AM746" s="8">
        <v>1</v>
      </c>
      <c r="AN746" s="5" t="s">
        <v>63</v>
      </c>
      <c r="AO746" s="10">
        <v>67.7</v>
      </c>
      <c r="AP746" s="8">
        <v>53</v>
      </c>
      <c r="AQ746" s="9">
        <v>46282</v>
      </c>
      <c r="AR746" s="5" t="s">
        <v>72</v>
      </c>
      <c r="AS746" s="5" t="s">
        <v>64</v>
      </c>
    </row>
    <row r="747" spans="1:45" x14ac:dyDescent="0.35">
      <c r="A747" s="5" t="s">
        <v>3399</v>
      </c>
      <c r="B747" s="5" t="s">
        <v>498</v>
      </c>
      <c r="C747" s="6" t="s">
        <v>3400</v>
      </c>
      <c r="D747" s="7">
        <v>171800</v>
      </c>
      <c r="E747" s="5" t="s">
        <v>48</v>
      </c>
      <c r="F747" s="5" t="s">
        <v>68</v>
      </c>
      <c r="G747" s="8">
        <v>6</v>
      </c>
      <c r="H747" s="8">
        <f>IF(F747="Bullet",MIN(G747,Assumptions!$B$6),"")</f>
        <v>2</v>
      </c>
      <c r="I747" s="8"/>
      <c r="J747" s="8" t="str">
        <f>IF(F747="Monthly interest",MAX(0,Assumptions!$B$5-I747),"")</f>
        <v/>
      </c>
      <c r="K747" s="7">
        <f t="shared" si="33"/>
        <v>11166</v>
      </c>
      <c r="L747" s="9">
        <v>46111</v>
      </c>
      <c r="M747" s="5" t="s">
        <v>116</v>
      </c>
      <c r="N747" s="5" t="s">
        <v>117</v>
      </c>
      <c r="O747" s="5" t="s">
        <v>461</v>
      </c>
      <c r="P747" s="5" t="s">
        <v>72</v>
      </c>
      <c r="Q747" s="5" t="s">
        <v>169</v>
      </c>
      <c r="R747" s="5" t="s">
        <v>170</v>
      </c>
      <c r="S747" s="5" t="s">
        <v>185</v>
      </c>
      <c r="T747" s="5" t="s">
        <v>57</v>
      </c>
      <c r="U747" s="5" t="s">
        <v>86</v>
      </c>
      <c r="V747" s="5" t="s">
        <v>200</v>
      </c>
      <c r="W747" s="5" t="s">
        <v>201</v>
      </c>
      <c r="X747" s="5" t="s">
        <v>3401</v>
      </c>
      <c r="Y747" s="5" t="s">
        <v>3402</v>
      </c>
      <c r="Z747" s="9">
        <v>46111</v>
      </c>
      <c r="AA747" s="8">
        <v>6</v>
      </c>
      <c r="AB747" s="9">
        <f t="shared" si="34"/>
        <v>46295</v>
      </c>
      <c r="AC747" s="10">
        <v>13</v>
      </c>
      <c r="AD747" s="7">
        <f t="shared" si="35"/>
        <v>1861</v>
      </c>
      <c r="AE747" s="7">
        <f>IF(F747="Bullet",H747*AD747,MIN(MAX(I747,1),Assumptions!$B$6)*AD747)</f>
        <v>3722</v>
      </c>
      <c r="AF747" s="8">
        <f>IF(F747="Bullet",MAX(0,Assumptions!$B$4-AB747),MAX(0,Assumptions!$B$4-L747))</f>
        <v>3</v>
      </c>
      <c r="AG747" s="9"/>
      <c r="AH747" s="8" t="str">
        <f>IF(AG747="","",Assumptions!$B$4-AG747)</f>
        <v/>
      </c>
      <c r="AI747" s="5" t="s">
        <v>80</v>
      </c>
      <c r="AJ747" s="8"/>
      <c r="AK747" s="8">
        <v>3</v>
      </c>
      <c r="AL747" s="8">
        <v>756</v>
      </c>
      <c r="AM747" s="8">
        <v>0</v>
      </c>
      <c r="AN747" s="5" t="s">
        <v>63</v>
      </c>
      <c r="AO747" s="10">
        <v>61.1</v>
      </c>
      <c r="AP747" s="8">
        <v>57</v>
      </c>
      <c r="AQ747" s="9">
        <v>46286</v>
      </c>
      <c r="AR747" s="5" t="s">
        <v>72</v>
      </c>
      <c r="AS747" s="5" t="s">
        <v>64</v>
      </c>
    </row>
    <row r="748" spans="1:45" x14ac:dyDescent="0.35">
      <c r="A748" s="5" t="s">
        <v>3403</v>
      </c>
      <c r="B748" s="5" t="s">
        <v>3404</v>
      </c>
      <c r="C748" s="6" t="s">
        <v>3405</v>
      </c>
      <c r="D748" s="7">
        <v>56900</v>
      </c>
      <c r="E748" s="5" t="s">
        <v>48</v>
      </c>
      <c r="F748" s="5" t="s">
        <v>68</v>
      </c>
      <c r="G748" s="8">
        <v>4</v>
      </c>
      <c r="H748" s="8">
        <f>IF(F748="Bullet",MIN(G748,Assumptions!$B$6),"")</f>
        <v>2</v>
      </c>
      <c r="I748" s="8"/>
      <c r="J748" s="8" t="str">
        <f>IF(F748="Monthly interest",MAX(0,Assumptions!$B$5-I748),"")</f>
        <v/>
      </c>
      <c r="K748" s="7">
        <f t="shared" si="33"/>
        <v>3416</v>
      </c>
      <c r="L748" s="9">
        <v>46170</v>
      </c>
      <c r="M748" s="5" t="s">
        <v>69</v>
      </c>
      <c r="N748" s="5" t="s">
        <v>53</v>
      </c>
      <c r="O748" s="5" t="s">
        <v>71</v>
      </c>
      <c r="P748" s="5" t="s">
        <v>70</v>
      </c>
      <c r="Q748" s="5" t="s">
        <v>73</v>
      </c>
      <c r="R748" s="5" t="s">
        <v>74</v>
      </c>
      <c r="S748" s="5" t="s">
        <v>214</v>
      </c>
      <c r="T748" s="5" t="s">
        <v>57</v>
      </c>
      <c r="U748" s="5" t="s">
        <v>104</v>
      </c>
      <c r="V748" s="5" t="s">
        <v>215</v>
      </c>
      <c r="W748" s="5" t="s">
        <v>232</v>
      </c>
      <c r="X748" s="5" t="s">
        <v>3406</v>
      </c>
      <c r="Y748" s="5" t="s">
        <v>3407</v>
      </c>
      <c r="Z748" s="9">
        <v>46170</v>
      </c>
      <c r="AA748" s="8">
        <v>6</v>
      </c>
      <c r="AB748" s="9">
        <f t="shared" si="34"/>
        <v>46354</v>
      </c>
      <c r="AC748" s="10">
        <v>18</v>
      </c>
      <c r="AD748" s="7">
        <f t="shared" si="35"/>
        <v>854</v>
      </c>
      <c r="AE748" s="7">
        <f>IF(F748="Bullet",H748*AD748,MIN(MAX(I748,1),Assumptions!$B$6)*AD748)</f>
        <v>1708</v>
      </c>
      <c r="AF748" s="8">
        <f>IF(F748="Bullet",MAX(0,Assumptions!$B$4-AB748),MAX(0,Assumptions!$B$4-L748))</f>
        <v>0</v>
      </c>
      <c r="AG748" s="9"/>
      <c r="AH748" s="8" t="str">
        <f>IF(AG748="","",Assumptions!$B$4-AG748)</f>
        <v/>
      </c>
      <c r="AI748" s="5" t="s">
        <v>80</v>
      </c>
      <c r="AJ748" s="8"/>
      <c r="AK748" s="8">
        <v>2</v>
      </c>
      <c r="AL748" s="8" t="s">
        <v>80</v>
      </c>
      <c r="AM748" s="8">
        <v>1</v>
      </c>
      <c r="AN748" s="5" t="s">
        <v>57</v>
      </c>
      <c r="AO748" s="10">
        <v>70.8</v>
      </c>
      <c r="AP748" s="8">
        <v>46</v>
      </c>
      <c r="AQ748" s="9"/>
      <c r="AR748" s="5"/>
      <c r="AS748" s="5" t="s">
        <v>159</v>
      </c>
    </row>
    <row r="749" spans="1:45" x14ac:dyDescent="0.35">
      <c r="A749" s="5" t="s">
        <v>3408</v>
      </c>
      <c r="B749" s="5" t="s">
        <v>3409</v>
      </c>
      <c r="C749" s="6" t="s">
        <v>3410</v>
      </c>
      <c r="D749" s="7">
        <v>213100</v>
      </c>
      <c r="E749" s="5" t="s">
        <v>48</v>
      </c>
      <c r="F749" s="5" t="s">
        <v>49</v>
      </c>
      <c r="G749" s="8"/>
      <c r="H749" s="8" t="str">
        <f>IF(F749="Bullet",MIN(G749,Assumptions!$B$6),"")</f>
        <v/>
      </c>
      <c r="I749" s="8">
        <v>2</v>
      </c>
      <c r="J749" s="8">
        <f>IF(F749="Monthly interest",MAX(0,Assumptions!$B$5-I749),"")</f>
        <v>1</v>
      </c>
      <c r="K749" s="7">
        <f t="shared" si="33"/>
        <v>7104</v>
      </c>
      <c r="L749" s="9">
        <v>46249</v>
      </c>
      <c r="M749" s="5" t="s">
        <v>116</v>
      </c>
      <c r="N749" s="5" t="s">
        <v>117</v>
      </c>
      <c r="O749" s="5" t="s">
        <v>118</v>
      </c>
      <c r="P749" s="5" t="s">
        <v>72</v>
      </c>
      <c r="Q749" s="5" t="s">
        <v>119</v>
      </c>
      <c r="R749" s="5" t="s">
        <v>120</v>
      </c>
      <c r="S749" s="5" t="s">
        <v>185</v>
      </c>
      <c r="T749" s="5" t="s">
        <v>57</v>
      </c>
      <c r="U749" s="5" t="s">
        <v>104</v>
      </c>
      <c r="V749" s="5" t="s">
        <v>186</v>
      </c>
      <c r="W749" s="5" t="s">
        <v>329</v>
      </c>
      <c r="X749" s="5" t="s">
        <v>330</v>
      </c>
      <c r="Y749" s="5" t="s">
        <v>3411</v>
      </c>
      <c r="Z749" s="9">
        <v>46188</v>
      </c>
      <c r="AA749" s="8">
        <v>12</v>
      </c>
      <c r="AB749" s="9">
        <f t="shared" si="34"/>
        <v>46553</v>
      </c>
      <c r="AC749" s="10">
        <v>20</v>
      </c>
      <c r="AD749" s="7">
        <f t="shared" si="35"/>
        <v>3552</v>
      </c>
      <c r="AE749" s="7">
        <f>IF(F749="Bullet",H749*AD749,MIN(MAX(I749,1),Assumptions!$B$6)*AD749)</f>
        <v>7104</v>
      </c>
      <c r="AF749" s="8">
        <f>IF(F749="Bullet",MAX(0,Assumptions!$B$4-AB749),MAX(0,Assumptions!$B$4-L749))</f>
        <v>49</v>
      </c>
      <c r="AG749" s="9">
        <v>46218</v>
      </c>
      <c r="AH749" s="8">
        <f>IF(AG749="","",Assumptions!$B$4-AG749)</f>
        <v>80</v>
      </c>
      <c r="AI749" s="5" t="s">
        <v>63</v>
      </c>
      <c r="AJ749" s="8">
        <v>3</v>
      </c>
      <c r="AK749" s="8">
        <v>1</v>
      </c>
      <c r="AL749" s="8">
        <v>752</v>
      </c>
      <c r="AM749" s="8">
        <v>1</v>
      </c>
      <c r="AN749" s="5" t="s">
        <v>63</v>
      </c>
      <c r="AO749" s="10">
        <v>86.5</v>
      </c>
      <c r="AP749" s="8">
        <v>66</v>
      </c>
      <c r="AQ749" s="9"/>
      <c r="AR749" s="5"/>
      <c r="AS749" s="5" t="s">
        <v>159</v>
      </c>
    </row>
    <row r="750" spans="1:45" x14ac:dyDescent="0.35">
      <c r="A750" s="5" t="s">
        <v>3412</v>
      </c>
      <c r="B750" s="5" t="s">
        <v>3413</v>
      </c>
      <c r="C750" s="6" t="s">
        <v>3414</v>
      </c>
      <c r="D750" s="7">
        <v>51800</v>
      </c>
      <c r="E750" s="5" t="s">
        <v>48</v>
      </c>
      <c r="F750" s="5" t="s">
        <v>49</v>
      </c>
      <c r="G750" s="8"/>
      <c r="H750" s="8" t="str">
        <f>IF(F750="Bullet",MIN(G750,Assumptions!$B$6),"")</f>
        <v/>
      </c>
      <c r="I750" s="8">
        <v>2</v>
      </c>
      <c r="J750" s="8">
        <f>IF(F750="Monthly interest",MAX(0,Assumptions!$B$5-I750),"")</f>
        <v>1</v>
      </c>
      <c r="K750" s="7">
        <f t="shared" si="33"/>
        <v>1296</v>
      </c>
      <c r="L750" s="9">
        <v>46258</v>
      </c>
      <c r="M750" s="5" t="s">
        <v>116</v>
      </c>
      <c r="N750" s="5" t="s">
        <v>117</v>
      </c>
      <c r="O750" s="5" t="s">
        <v>118</v>
      </c>
      <c r="P750" s="5" t="s">
        <v>72</v>
      </c>
      <c r="Q750" s="5" t="s">
        <v>119</v>
      </c>
      <c r="R750" s="5" t="s">
        <v>120</v>
      </c>
      <c r="S750" s="5" t="s">
        <v>56</v>
      </c>
      <c r="T750" s="5" t="s">
        <v>57</v>
      </c>
      <c r="U750" s="5" t="s">
        <v>86</v>
      </c>
      <c r="V750" s="5" t="s">
        <v>59</v>
      </c>
      <c r="W750" s="5" t="s">
        <v>467</v>
      </c>
      <c r="X750" s="5" t="s">
        <v>1111</v>
      </c>
      <c r="Y750" s="5" t="s">
        <v>3415</v>
      </c>
      <c r="Z750" s="9">
        <v>46077</v>
      </c>
      <c r="AA750" s="8">
        <v>12</v>
      </c>
      <c r="AB750" s="9">
        <f t="shared" si="34"/>
        <v>46442</v>
      </c>
      <c r="AC750" s="10">
        <v>15</v>
      </c>
      <c r="AD750" s="7">
        <f t="shared" si="35"/>
        <v>648</v>
      </c>
      <c r="AE750" s="7">
        <f>IF(F750="Bullet",H750*AD750,MIN(MAX(I750,1),Assumptions!$B$6)*AD750)</f>
        <v>1296</v>
      </c>
      <c r="AF750" s="8">
        <f>IF(F750="Bullet",MAX(0,Assumptions!$B$4-AB750),MAX(0,Assumptions!$B$4-L750))</f>
        <v>40</v>
      </c>
      <c r="AG750" s="9">
        <v>46229</v>
      </c>
      <c r="AH750" s="8">
        <f>IF(AG750="","",Assumptions!$B$4-AG750)</f>
        <v>69</v>
      </c>
      <c r="AI750" s="5" t="s">
        <v>63</v>
      </c>
      <c r="AJ750" s="8">
        <v>2</v>
      </c>
      <c r="AK750" s="8">
        <v>0</v>
      </c>
      <c r="AL750" s="8">
        <v>715</v>
      </c>
      <c r="AM750" s="8">
        <v>0</v>
      </c>
      <c r="AN750" s="5" t="s">
        <v>63</v>
      </c>
      <c r="AO750" s="10">
        <v>88</v>
      </c>
      <c r="AP750" s="8">
        <v>55</v>
      </c>
      <c r="AQ750" s="9">
        <v>46286</v>
      </c>
      <c r="AR750" s="5" t="s">
        <v>70</v>
      </c>
      <c r="AS750" s="5" t="s">
        <v>81</v>
      </c>
    </row>
    <row r="751" spans="1:45" x14ac:dyDescent="0.35">
      <c r="A751" s="5" t="s">
        <v>3416</v>
      </c>
      <c r="B751" s="5" t="s">
        <v>3417</v>
      </c>
      <c r="C751" s="6" t="s">
        <v>3418</v>
      </c>
      <c r="D751" s="7">
        <v>35400</v>
      </c>
      <c r="E751" s="5" t="s">
        <v>48</v>
      </c>
      <c r="F751" s="5" t="s">
        <v>68</v>
      </c>
      <c r="G751" s="8">
        <v>5</v>
      </c>
      <c r="H751" s="8">
        <f>IF(F751="Bullet",MIN(G751,Assumptions!$B$6),"")</f>
        <v>2</v>
      </c>
      <c r="I751" s="8"/>
      <c r="J751" s="8" t="str">
        <f>IF(F751="Monthly interest",MAX(0,Assumptions!$B$5-I751),"")</f>
        <v/>
      </c>
      <c r="K751" s="7">
        <f t="shared" si="33"/>
        <v>1920</v>
      </c>
      <c r="L751" s="9">
        <v>46138</v>
      </c>
      <c r="M751" s="5" t="s">
        <v>69</v>
      </c>
      <c r="N751" s="5" t="s">
        <v>53</v>
      </c>
      <c r="O751" s="5" t="s">
        <v>168</v>
      </c>
      <c r="P751" s="5" t="s">
        <v>70</v>
      </c>
      <c r="Q751" s="5" t="s">
        <v>169</v>
      </c>
      <c r="R751" s="5" t="s">
        <v>170</v>
      </c>
      <c r="S751" s="5" t="s">
        <v>75</v>
      </c>
      <c r="T751" s="5" t="s">
        <v>57</v>
      </c>
      <c r="U751" s="5" t="s">
        <v>86</v>
      </c>
      <c r="V751" s="5" t="s">
        <v>76</v>
      </c>
      <c r="W751" s="5" t="s">
        <v>547</v>
      </c>
      <c r="X751" s="5" t="s">
        <v>3419</v>
      </c>
      <c r="Y751" s="5" t="s">
        <v>3420</v>
      </c>
      <c r="Z751" s="9">
        <v>46138</v>
      </c>
      <c r="AA751" s="8">
        <v>6</v>
      </c>
      <c r="AB751" s="9">
        <f t="shared" si="34"/>
        <v>46321</v>
      </c>
      <c r="AC751" s="10">
        <v>13</v>
      </c>
      <c r="AD751" s="7">
        <f t="shared" si="35"/>
        <v>384</v>
      </c>
      <c r="AE751" s="7">
        <f>IF(F751="Bullet",H751*AD751,MIN(MAX(I751,1),Assumptions!$B$6)*AD751)</f>
        <v>768</v>
      </c>
      <c r="AF751" s="8">
        <f>IF(F751="Bullet",MAX(0,Assumptions!$B$4-AB751),MAX(0,Assumptions!$B$4-L751))</f>
        <v>0</v>
      </c>
      <c r="AG751" s="9"/>
      <c r="AH751" s="8" t="str">
        <f>IF(AG751="","",Assumptions!$B$4-AG751)</f>
        <v/>
      </c>
      <c r="AI751" s="5" t="s">
        <v>80</v>
      </c>
      <c r="AJ751" s="8"/>
      <c r="AK751" s="8">
        <v>3</v>
      </c>
      <c r="AL751" s="8">
        <v>744</v>
      </c>
      <c r="AM751" s="8">
        <v>0</v>
      </c>
      <c r="AN751" s="5" t="s">
        <v>63</v>
      </c>
      <c r="AO751" s="10">
        <v>61.2</v>
      </c>
      <c r="AP751" s="8">
        <v>45</v>
      </c>
      <c r="AQ751" s="9">
        <v>46296</v>
      </c>
      <c r="AR751" s="5" t="s">
        <v>70</v>
      </c>
      <c r="AS751" s="5" t="s">
        <v>64</v>
      </c>
    </row>
    <row r="752" spans="1:45" x14ac:dyDescent="0.35">
      <c r="A752" s="5" t="s">
        <v>3421</v>
      </c>
      <c r="B752" s="5" t="s">
        <v>3422</v>
      </c>
      <c r="C752" s="6" t="s">
        <v>3423</v>
      </c>
      <c r="D752" s="7">
        <v>32600</v>
      </c>
      <c r="E752" s="5" t="s">
        <v>48</v>
      </c>
      <c r="F752" s="5" t="s">
        <v>49</v>
      </c>
      <c r="G752" s="8"/>
      <c r="H752" s="8" t="str">
        <f>IF(F752="Bullet",MIN(G752,Assumptions!$B$6),"")</f>
        <v/>
      </c>
      <c r="I752" s="8">
        <v>1</v>
      </c>
      <c r="J752" s="8">
        <f>IF(F752="Monthly interest",MAX(0,Assumptions!$B$5-I752),"")</f>
        <v>2</v>
      </c>
      <c r="K752" s="7">
        <f t="shared" si="33"/>
        <v>408</v>
      </c>
      <c r="L752" s="9">
        <v>46276</v>
      </c>
      <c r="M752" s="5" t="s">
        <v>69</v>
      </c>
      <c r="N752" s="5" t="s">
        <v>51</v>
      </c>
      <c r="O752" s="5" t="s">
        <v>152</v>
      </c>
      <c r="P752" s="5" t="s">
        <v>53</v>
      </c>
      <c r="Q752" s="5" t="s">
        <v>154</v>
      </c>
      <c r="R752" s="5" t="s">
        <v>155</v>
      </c>
      <c r="S752" s="5" t="s">
        <v>75</v>
      </c>
      <c r="T752" s="5" t="s">
        <v>57</v>
      </c>
      <c r="U752" s="5" t="s">
        <v>104</v>
      </c>
      <c r="V752" s="5" t="s">
        <v>76</v>
      </c>
      <c r="W752" s="5" t="s">
        <v>547</v>
      </c>
      <c r="X752" s="5" t="s">
        <v>1519</v>
      </c>
      <c r="Y752" s="5" t="s">
        <v>3424</v>
      </c>
      <c r="Z752" s="9">
        <v>46092</v>
      </c>
      <c r="AA752" s="8">
        <v>12</v>
      </c>
      <c r="AB752" s="9">
        <f t="shared" si="34"/>
        <v>46457</v>
      </c>
      <c r="AC752" s="10">
        <v>15</v>
      </c>
      <c r="AD752" s="7">
        <f t="shared" si="35"/>
        <v>408</v>
      </c>
      <c r="AE752" s="7">
        <f>IF(F752="Bullet",H752*AD752,MIN(MAX(I752,1),Assumptions!$B$6)*AD752)</f>
        <v>408</v>
      </c>
      <c r="AF752" s="8">
        <f>IF(F752="Bullet",MAX(0,Assumptions!$B$4-AB752),MAX(0,Assumptions!$B$4-L752))</f>
        <v>22</v>
      </c>
      <c r="AG752" s="9">
        <v>46247</v>
      </c>
      <c r="AH752" s="8">
        <f>IF(AG752="","",Assumptions!$B$4-AG752)</f>
        <v>51</v>
      </c>
      <c r="AI752" s="5" t="s">
        <v>57</v>
      </c>
      <c r="AJ752" s="8">
        <v>1</v>
      </c>
      <c r="AK752" s="8">
        <v>0</v>
      </c>
      <c r="AL752" s="8" t="s">
        <v>80</v>
      </c>
      <c r="AM752" s="8">
        <v>0</v>
      </c>
      <c r="AN752" s="5" t="s">
        <v>57</v>
      </c>
      <c r="AO752" s="10">
        <v>66.400000000000006</v>
      </c>
      <c r="AP752" s="8">
        <v>36</v>
      </c>
      <c r="AQ752" s="9"/>
      <c r="AR752" s="5"/>
      <c r="AS752" s="5" t="s">
        <v>159</v>
      </c>
    </row>
    <row r="753" spans="1:45" x14ac:dyDescent="0.35">
      <c r="A753" s="5" t="s">
        <v>3425</v>
      </c>
      <c r="B753" s="5" t="s">
        <v>1440</v>
      </c>
      <c r="C753" s="6" t="s">
        <v>3426</v>
      </c>
      <c r="D753" s="7">
        <v>89800</v>
      </c>
      <c r="E753" s="5" t="s">
        <v>48</v>
      </c>
      <c r="F753" s="5" t="s">
        <v>49</v>
      </c>
      <c r="G753" s="8"/>
      <c r="H753" s="8" t="str">
        <f>IF(F753="Bullet",MIN(G753,Assumptions!$B$6),"")</f>
        <v/>
      </c>
      <c r="I753" s="8">
        <v>2</v>
      </c>
      <c r="J753" s="8">
        <f>IF(F753="Monthly interest",MAX(0,Assumptions!$B$5-I753),"")</f>
        <v>1</v>
      </c>
      <c r="K753" s="7">
        <f t="shared" si="33"/>
        <v>2994</v>
      </c>
      <c r="L753" s="9">
        <v>46242</v>
      </c>
      <c r="M753" s="5" t="s">
        <v>69</v>
      </c>
      <c r="N753" s="5" t="s">
        <v>53</v>
      </c>
      <c r="O753" s="5" t="s">
        <v>71</v>
      </c>
      <c r="P753" s="5" t="s">
        <v>70</v>
      </c>
      <c r="Q753" s="5" t="s">
        <v>73</v>
      </c>
      <c r="R753" s="5" t="s">
        <v>74</v>
      </c>
      <c r="S753" s="5" t="s">
        <v>185</v>
      </c>
      <c r="T753" s="5" t="s">
        <v>57</v>
      </c>
      <c r="U753" s="5" t="s">
        <v>58</v>
      </c>
      <c r="V753" s="5" t="s">
        <v>186</v>
      </c>
      <c r="W753" s="5" t="s">
        <v>329</v>
      </c>
      <c r="X753" s="5" t="s">
        <v>2232</v>
      </c>
      <c r="Y753" s="5" t="s">
        <v>3427</v>
      </c>
      <c r="Z753" s="9">
        <v>46089</v>
      </c>
      <c r="AA753" s="8">
        <v>24</v>
      </c>
      <c r="AB753" s="9">
        <f t="shared" si="34"/>
        <v>46820</v>
      </c>
      <c r="AC753" s="10">
        <v>20</v>
      </c>
      <c r="AD753" s="7">
        <f t="shared" si="35"/>
        <v>1497</v>
      </c>
      <c r="AE753" s="7">
        <f>IF(F753="Bullet",H753*AD753,MIN(MAX(I753,1),Assumptions!$B$6)*AD753)</f>
        <v>2994</v>
      </c>
      <c r="AF753" s="8">
        <f>IF(F753="Bullet",MAX(0,Assumptions!$B$4-AB753),MAX(0,Assumptions!$B$4-L753))</f>
        <v>56</v>
      </c>
      <c r="AG753" s="9">
        <v>46216</v>
      </c>
      <c r="AH753" s="8">
        <f>IF(AG753="","",Assumptions!$B$4-AG753)</f>
        <v>82</v>
      </c>
      <c r="AI753" s="5" t="s">
        <v>57</v>
      </c>
      <c r="AJ753" s="8">
        <v>3</v>
      </c>
      <c r="AK753" s="8">
        <v>0</v>
      </c>
      <c r="AL753" s="8">
        <v>810</v>
      </c>
      <c r="AM753" s="8">
        <v>3</v>
      </c>
      <c r="AN753" s="5" t="s">
        <v>63</v>
      </c>
      <c r="AO753" s="10">
        <v>71.7</v>
      </c>
      <c r="AP753" s="8">
        <v>35</v>
      </c>
      <c r="AQ753" s="9">
        <v>46278</v>
      </c>
      <c r="AR753" s="5" t="s">
        <v>70</v>
      </c>
      <c r="AS753" s="5" t="s">
        <v>81</v>
      </c>
    </row>
    <row r="754" spans="1:45" x14ac:dyDescent="0.35">
      <c r="A754" s="5" t="s">
        <v>3428</v>
      </c>
      <c r="B754" s="5" t="s">
        <v>3429</v>
      </c>
      <c r="C754" s="6" t="s">
        <v>3430</v>
      </c>
      <c r="D754" s="7">
        <v>32000</v>
      </c>
      <c r="E754" s="5" t="s">
        <v>48</v>
      </c>
      <c r="F754" s="5" t="s">
        <v>68</v>
      </c>
      <c r="G754" s="8">
        <v>3</v>
      </c>
      <c r="H754" s="8">
        <f>IF(F754="Bullet",MIN(G754,Assumptions!$B$6),"")</f>
        <v>2</v>
      </c>
      <c r="I754" s="8"/>
      <c r="J754" s="8" t="str">
        <f>IF(F754="Monthly interest",MAX(0,Assumptions!$B$5-I754),"")</f>
        <v/>
      </c>
      <c r="K754" s="7">
        <f t="shared" si="33"/>
        <v>960</v>
      </c>
      <c r="L754" s="9">
        <v>46192</v>
      </c>
      <c r="M754" s="5" t="s">
        <v>69</v>
      </c>
      <c r="N754" s="5" t="s">
        <v>53</v>
      </c>
      <c r="O754" s="5" t="s">
        <v>152</v>
      </c>
      <c r="P754" s="5" t="s">
        <v>153</v>
      </c>
      <c r="Q754" s="5" t="s">
        <v>154</v>
      </c>
      <c r="R754" s="5" t="s">
        <v>155</v>
      </c>
      <c r="S754" s="5" t="s">
        <v>56</v>
      </c>
      <c r="T754" s="5" t="s">
        <v>63</v>
      </c>
      <c r="U754" s="5" t="s">
        <v>86</v>
      </c>
      <c r="V754" s="5" t="s">
        <v>59</v>
      </c>
      <c r="W754" s="5" t="s">
        <v>467</v>
      </c>
      <c r="X754" s="5" t="s">
        <v>3431</v>
      </c>
      <c r="Y754" s="5" t="s">
        <v>3432</v>
      </c>
      <c r="Z754" s="9">
        <v>46192</v>
      </c>
      <c r="AA754" s="8">
        <v>6</v>
      </c>
      <c r="AB754" s="9">
        <f t="shared" si="34"/>
        <v>46375</v>
      </c>
      <c r="AC754" s="10">
        <v>12</v>
      </c>
      <c r="AD754" s="7">
        <f t="shared" si="35"/>
        <v>320</v>
      </c>
      <c r="AE754" s="7">
        <f>IF(F754="Bullet",H754*AD754,MIN(MAX(I754,1),Assumptions!$B$6)*AD754)</f>
        <v>640</v>
      </c>
      <c r="AF754" s="8">
        <f>IF(F754="Bullet",MAX(0,Assumptions!$B$4-AB754),MAX(0,Assumptions!$B$4-L754))</f>
        <v>0</v>
      </c>
      <c r="AG754" s="9"/>
      <c r="AH754" s="8" t="str">
        <f>IF(AG754="","",Assumptions!$B$4-AG754)</f>
        <v/>
      </c>
      <c r="AI754" s="5" t="s">
        <v>80</v>
      </c>
      <c r="AJ754" s="8"/>
      <c r="AK754" s="8">
        <v>0</v>
      </c>
      <c r="AL754" s="8">
        <v>636</v>
      </c>
      <c r="AM754" s="8">
        <v>2</v>
      </c>
      <c r="AN754" s="5" t="s">
        <v>63</v>
      </c>
      <c r="AO754" s="10">
        <v>78.400000000000006</v>
      </c>
      <c r="AP754" s="8">
        <v>32</v>
      </c>
      <c r="AQ754" s="9">
        <v>46285</v>
      </c>
      <c r="AR754" s="5" t="s">
        <v>70</v>
      </c>
      <c r="AS754" s="5" t="s">
        <v>64</v>
      </c>
    </row>
    <row r="755" spans="1:45" x14ac:dyDescent="0.35">
      <c r="A755" s="5" t="s">
        <v>3433</v>
      </c>
      <c r="B755" s="5" t="s">
        <v>3434</v>
      </c>
      <c r="C755" s="6" t="s">
        <v>3435</v>
      </c>
      <c r="D755" s="7">
        <v>230800</v>
      </c>
      <c r="E755" s="5" t="s">
        <v>48</v>
      </c>
      <c r="F755" s="5" t="s">
        <v>68</v>
      </c>
      <c r="G755" s="8">
        <v>1</v>
      </c>
      <c r="H755" s="8">
        <f>IF(F755="Bullet",MIN(G755,Assumptions!$B$6),"")</f>
        <v>1</v>
      </c>
      <c r="I755" s="8"/>
      <c r="J755" s="8" t="str">
        <f>IF(F755="Monthly interest",MAX(0,Assumptions!$B$5-I755),"")</f>
        <v/>
      </c>
      <c r="K755" s="7">
        <f t="shared" si="33"/>
        <v>2308</v>
      </c>
      <c r="L755" s="9">
        <v>46262</v>
      </c>
      <c r="M755" s="5" t="s">
        <v>50</v>
      </c>
      <c r="N755" s="5" t="s">
        <v>51</v>
      </c>
      <c r="O755" s="5" t="s">
        <v>71</v>
      </c>
      <c r="P755" s="5" t="s">
        <v>53</v>
      </c>
      <c r="Q755" s="5" t="s">
        <v>73</v>
      </c>
      <c r="R755" s="5" t="s">
        <v>74</v>
      </c>
      <c r="S755" s="5" t="s">
        <v>85</v>
      </c>
      <c r="T755" s="5" t="s">
        <v>57</v>
      </c>
      <c r="U755" s="5" t="s">
        <v>104</v>
      </c>
      <c r="V755" s="5" t="s">
        <v>133</v>
      </c>
      <c r="W755" s="5" t="s">
        <v>317</v>
      </c>
      <c r="X755" s="5" t="s">
        <v>3436</v>
      </c>
      <c r="Y755" s="5" t="s">
        <v>3437</v>
      </c>
      <c r="Z755" s="9">
        <v>46262</v>
      </c>
      <c r="AA755" s="8">
        <v>12</v>
      </c>
      <c r="AB755" s="9">
        <f t="shared" si="34"/>
        <v>46627</v>
      </c>
      <c r="AC755" s="10">
        <v>12</v>
      </c>
      <c r="AD755" s="7">
        <f t="shared" si="35"/>
        <v>2308</v>
      </c>
      <c r="AE755" s="7">
        <f>IF(F755="Bullet",H755*AD755,MIN(MAX(I755,1),Assumptions!$B$6)*AD755)</f>
        <v>2308</v>
      </c>
      <c r="AF755" s="8">
        <f>IF(F755="Bullet",MAX(0,Assumptions!$B$4-AB755),MAX(0,Assumptions!$B$4-L755))</f>
        <v>0</v>
      </c>
      <c r="AG755" s="9"/>
      <c r="AH755" s="8" t="str">
        <f>IF(AG755="","",Assumptions!$B$4-AG755)</f>
        <v/>
      </c>
      <c r="AI755" s="5" t="s">
        <v>80</v>
      </c>
      <c r="AJ755" s="8"/>
      <c r="AK755" s="8">
        <v>0</v>
      </c>
      <c r="AL755" s="8">
        <v>781</v>
      </c>
      <c r="AM755" s="8">
        <v>1</v>
      </c>
      <c r="AN755" s="5" t="s">
        <v>63</v>
      </c>
      <c r="AO755" s="10">
        <v>65.7</v>
      </c>
      <c r="AP755" s="8">
        <v>6</v>
      </c>
      <c r="AQ755" s="9">
        <v>46297</v>
      </c>
      <c r="AR755" s="5" t="s">
        <v>70</v>
      </c>
      <c r="AS755" s="5" t="s">
        <v>91</v>
      </c>
    </row>
    <row r="756" spans="1:45" x14ac:dyDescent="0.35">
      <c r="A756" s="5" t="s">
        <v>3438</v>
      </c>
      <c r="B756" s="5" t="s">
        <v>3439</v>
      </c>
      <c r="C756" s="6" t="s">
        <v>3440</v>
      </c>
      <c r="D756" s="7">
        <v>378100</v>
      </c>
      <c r="E756" s="5" t="s">
        <v>48</v>
      </c>
      <c r="F756" s="5" t="s">
        <v>49</v>
      </c>
      <c r="G756" s="8"/>
      <c r="H756" s="8" t="str">
        <f>IF(F756="Bullet",MIN(G756,Assumptions!$B$6),"")</f>
        <v/>
      </c>
      <c r="I756" s="8">
        <v>1</v>
      </c>
      <c r="J756" s="8">
        <f>IF(F756="Monthly interest",MAX(0,Assumptions!$B$5-I756),"")</f>
        <v>2</v>
      </c>
      <c r="K756" s="7">
        <f t="shared" si="33"/>
        <v>4411</v>
      </c>
      <c r="L756" s="9">
        <v>46293</v>
      </c>
      <c r="M756" s="5" t="s">
        <v>50</v>
      </c>
      <c r="N756" s="5" t="s">
        <v>51</v>
      </c>
      <c r="O756" s="5" t="s">
        <v>52</v>
      </c>
      <c r="P756" s="5" t="s">
        <v>53</v>
      </c>
      <c r="Q756" s="5" t="s">
        <v>54</v>
      </c>
      <c r="R756" s="5" t="s">
        <v>55</v>
      </c>
      <c r="S756" s="5" t="s">
        <v>56</v>
      </c>
      <c r="T756" s="5" t="s">
        <v>57</v>
      </c>
      <c r="U756" s="5" t="s">
        <v>104</v>
      </c>
      <c r="V756" s="5" t="s">
        <v>59</v>
      </c>
      <c r="W756" s="5" t="s">
        <v>323</v>
      </c>
      <c r="X756" s="5" t="s">
        <v>1485</v>
      </c>
      <c r="Y756" s="5" t="s">
        <v>3441</v>
      </c>
      <c r="Z756" s="9">
        <v>46201</v>
      </c>
      <c r="AA756" s="8">
        <v>18</v>
      </c>
      <c r="AB756" s="9">
        <f t="shared" si="34"/>
        <v>46749</v>
      </c>
      <c r="AC756" s="10">
        <v>14</v>
      </c>
      <c r="AD756" s="7">
        <f t="shared" si="35"/>
        <v>4411</v>
      </c>
      <c r="AE756" s="7">
        <f>IF(F756="Bullet",H756*AD756,MIN(MAX(I756,1),Assumptions!$B$6)*AD756)</f>
        <v>4411</v>
      </c>
      <c r="AF756" s="8">
        <f>IF(F756="Bullet",MAX(0,Assumptions!$B$4-AB756),MAX(0,Assumptions!$B$4-L756))</f>
        <v>5</v>
      </c>
      <c r="AG756" s="9">
        <v>46265</v>
      </c>
      <c r="AH756" s="8">
        <f>IF(AG756="","",Assumptions!$B$4-AG756)</f>
        <v>33</v>
      </c>
      <c r="AI756" s="5" t="s">
        <v>57</v>
      </c>
      <c r="AJ756" s="8">
        <v>1</v>
      </c>
      <c r="AK756" s="8">
        <v>0</v>
      </c>
      <c r="AL756" s="8">
        <v>797</v>
      </c>
      <c r="AM756" s="8">
        <v>1</v>
      </c>
      <c r="AN756" s="5" t="s">
        <v>63</v>
      </c>
      <c r="AO756" s="10">
        <v>56.4</v>
      </c>
      <c r="AP756" s="8">
        <v>13</v>
      </c>
      <c r="AQ756" s="9">
        <v>46284</v>
      </c>
      <c r="AR756" s="5" t="s">
        <v>51</v>
      </c>
      <c r="AS756" s="5" t="s">
        <v>64</v>
      </c>
    </row>
    <row r="757" spans="1:45" x14ac:dyDescent="0.35">
      <c r="A757" s="5" t="s">
        <v>3442</v>
      </c>
      <c r="B757" s="5" t="s">
        <v>2346</v>
      </c>
      <c r="C757" s="6" t="s">
        <v>3443</v>
      </c>
      <c r="D757" s="7">
        <v>193300</v>
      </c>
      <c r="E757" s="5" t="s">
        <v>48</v>
      </c>
      <c r="F757" s="5" t="s">
        <v>49</v>
      </c>
      <c r="G757" s="8"/>
      <c r="H757" s="8" t="str">
        <f>IF(F757="Bullet",MIN(G757,Assumptions!$B$6),"")</f>
        <v/>
      </c>
      <c r="I757" s="8">
        <v>1</v>
      </c>
      <c r="J757" s="8">
        <f>IF(F757="Monthly interest",MAX(0,Assumptions!$B$5-I757),"")</f>
        <v>2</v>
      </c>
      <c r="K757" s="7">
        <f t="shared" si="33"/>
        <v>2900</v>
      </c>
      <c r="L757" s="9">
        <v>46270</v>
      </c>
      <c r="M757" s="5" t="s">
        <v>50</v>
      </c>
      <c r="N757" s="5" t="s">
        <v>53</v>
      </c>
      <c r="O757" s="5" t="s">
        <v>103</v>
      </c>
      <c r="P757" s="5" t="s">
        <v>51</v>
      </c>
      <c r="Q757" s="5" t="s">
        <v>54</v>
      </c>
      <c r="R757" s="5" t="s">
        <v>55</v>
      </c>
      <c r="S757" s="5" t="s">
        <v>185</v>
      </c>
      <c r="T757" s="5" t="s">
        <v>57</v>
      </c>
      <c r="U757" s="5" t="s">
        <v>104</v>
      </c>
      <c r="V757" s="5" t="s">
        <v>186</v>
      </c>
      <c r="W757" s="5" t="s">
        <v>694</v>
      </c>
      <c r="X757" s="5" t="s">
        <v>843</v>
      </c>
      <c r="Y757" s="5" t="s">
        <v>3444</v>
      </c>
      <c r="Z757" s="9">
        <v>46178</v>
      </c>
      <c r="AA757" s="8">
        <v>12</v>
      </c>
      <c r="AB757" s="9">
        <f t="shared" si="34"/>
        <v>46543</v>
      </c>
      <c r="AC757" s="10">
        <v>18</v>
      </c>
      <c r="AD757" s="7">
        <f t="shared" si="35"/>
        <v>2900</v>
      </c>
      <c r="AE757" s="7">
        <f>IF(F757="Bullet",H757*AD757,MIN(MAX(I757,1),Assumptions!$B$6)*AD757)</f>
        <v>2900</v>
      </c>
      <c r="AF757" s="8">
        <f>IF(F757="Bullet",MAX(0,Assumptions!$B$4-AB757),MAX(0,Assumptions!$B$4-L757))</f>
        <v>28</v>
      </c>
      <c r="AG757" s="9">
        <v>46244</v>
      </c>
      <c r="AH757" s="8">
        <f>IF(AG757="","",Assumptions!$B$4-AG757)</f>
        <v>54</v>
      </c>
      <c r="AI757" s="5" t="s">
        <v>63</v>
      </c>
      <c r="AJ757" s="8">
        <v>2</v>
      </c>
      <c r="AK757" s="8">
        <v>0</v>
      </c>
      <c r="AL757" s="8">
        <v>724</v>
      </c>
      <c r="AM757" s="8">
        <v>0</v>
      </c>
      <c r="AN757" s="5" t="s">
        <v>63</v>
      </c>
      <c r="AO757" s="10">
        <v>67.7</v>
      </c>
      <c r="AP757" s="8">
        <v>30</v>
      </c>
      <c r="AQ757" s="9">
        <v>46281</v>
      </c>
      <c r="AR757" s="5" t="s">
        <v>51</v>
      </c>
      <c r="AS757" s="5" t="s">
        <v>81</v>
      </c>
    </row>
    <row r="758" spans="1:45" x14ac:dyDescent="0.35">
      <c r="A758" s="5" t="s">
        <v>3445</v>
      </c>
      <c r="B758" s="5" t="s">
        <v>3446</v>
      </c>
      <c r="C758" s="6" t="s">
        <v>3447</v>
      </c>
      <c r="D758" s="7">
        <v>87000</v>
      </c>
      <c r="E758" s="5" t="s">
        <v>48</v>
      </c>
      <c r="F758" s="5" t="s">
        <v>49</v>
      </c>
      <c r="G758" s="8"/>
      <c r="H758" s="8" t="str">
        <f>IF(F758="Bullet",MIN(G758,Assumptions!$B$6),"")</f>
        <v/>
      </c>
      <c r="I758" s="8">
        <v>1</v>
      </c>
      <c r="J758" s="8">
        <f>IF(F758="Monthly interest",MAX(0,Assumptions!$B$5-I758),"")</f>
        <v>2</v>
      </c>
      <c r="K758" s="7">
        <f t="shared" si="33"/>
        <v>1450</v>
      </c>
      <c r="L758" s="9">
        <v>46276</v>
      </c>
      <c r="M758" s="5" t="s">
        <v>69</v>
      </c>
      <c r="N758" s="5" t="s">
        <v>53</v>
      </c>
      <c r="O758" s="5" t="s">
        <v>103</v>
      </c>
      <c r="P758" s="5" t="s">
        <v>70</v>
      </c>
      <c r="Q758" s="5" t="s">
        <v>54</v>
      </c>
      <c r="R758" s="5" t="s">
        <v>55</v>
      </c>
      <c r="S758" s="5" t="s">
        <v>85</v>
      </c>
      <c r="T758" s="5" t="s">
        <v>57</v>
      </c>
      <c r="U758" s="5" t="s">
        <v>86</v>
      </c>
      <c r="V758" s="5" t="s">
        <v>96</v>
      </c>
      <c r="W758" s="5" t="s">
        <v>171</v>
      </c>
      <c r="X758" s="5" t="s">
        <v>3448</v>
      </c>
      <c r="Y758" s="5" t="s">
        <v>3449</v>
      </c>
      <c r="Z758" s="9">
        <v>46123</v>
      </c>
      <c r="AA758" s="8">
        <v>18</v>
      </c>
      <c r="AB758" s="9">
        <f t="shared" si="34"/>
        <v>46671</v>
      </c>
      <c r="AC758" s="10">
        <v>20</v>
      </c>
      <c r="AD758" s="7">
        <f t="shared" si="35"/>
        <v>1450</v>
      </c>
      <c r="AE758" s="7">
        <f>IF(F758="Bullet",H758*AD758,MIN(MAX(I758,1),Assumptions!$B$6)*AD758)</f>
        <v>1450</v>
      </c>
      <c r="AF758" s="8">
        <f>IF(F758="Bullet",MAX(0,Assumptions!$B$4-AB758),MAX(0,Assumptions!$B$4-L758))</f>
        <v>22</v>
      </c>
      <c r="AG758" s="9">
        <v>46249</v>
      </c>
      <c r="AH758" s="8">
        <f>IF(AG758="","",Assumptions!$B$4-AG758)</f>
        <v>49</v>
      </c>
      <c r="AI758" s="5" t="s">
        <v>57</v>
      </c>
      <c r="AJ758" s="8">
        <v>1</v>
      </c>
      <c r="AK758" s="8">
        <v>0</v>
      </c>
      <c r="AL758" s="8">
        <v>720</v>
      </c>
      <c r="AM758" s="8">
        <v>2</v>
      </c>
      <c r="AN758" s="5" t="s">
        <v>63</v>
      </c>
      <c r="AO758" s="10">
        <v>75.8</v>
      </c>
      <c r="AP758" s="8">
        <v>31</v>
      </c>
      <c r="AQ758" s="9">
        <v>46287</v>
      </c>
      <c r="AR758" s="5" t="s">
        <v>51</v>
      </c>
      <c r="AS758" s="5" t="s">
        <v>81</v>
      </c>
    </row>
    <row r="759" spans="1:45" x14ac:dyDescent="0.35">
      <c r="A759" s="5" t="s">
        <v>3450</v>
      </c>
      <c r="B759" s="5" t="s">
        <v>687</v>
      </c>
      <c r="C759" s="6" t="s">
        <v>3451</v>
      </c>
      <c r="D759" s="7">
        <v>168100</v>
      </c>
      <c r="E759" s="5" t="s">
        <v>48</v>
      </c>
      <c r="F759" s="5" t="s">
        <v>49</v>
      </c>
      <c r="G759" s="8"/>
      <c r="H759" s="8" t="str">
        <f>IF(F759="Bullet",MIN(G759,Assumptions!$B$6),"")</f>
        <v/>
      </c>
      <c r="I759" s="8">
        <v>2</v>
      </c>
      <c r="J759" s="8">
        <f>IF(F759="Monthly interest",MAX(0,Assumptions!$B$5-I759),"")</f>
        <v>1</v>
      </c>
      <c r="K759" s="7">
        <f t="shared" si="33"/>
        <v>6724</v>
      </c>
      <c r="L759" s="9">
        <v>46254</v>
      </c>
      <c r="M759" s="5" t="s">
        <v>116</v>
      </c>
      <c r="N759" s="5" t="s">
        <v>117</v>
      </c>
      <c r="O759" s="5" t="s">
        <v>118</v>
      </c>
      <c r="P759" s="5" t="s">
        <v>72</v>
      </c>
      <c r="Q759" s="5" t="s">
        <v>119</v>
      </c>
      <c r="R759" s="5" t="s">
        <v>120</v>
      </c>
      <c r="S759" s="5" t="s">
        <v>185</v>
      </c>
      <c r="T759" s="5" t="s">
        <v>57</v>
      </c>
      <c r="U759" s="5" t="s">
        <v>58</v>
      </c>
      <c r="V759" s="5" t="s">
        <v>186</v>
      </c>
      <c r="W759" s="5" t="s">
        <v>376</v>
      </c>
      <c r="X759" s="5" t="s">
        <v>3135</v>
      </c>
      <c r="Y759" s="5" t="s">
        <v>3452</v>
      </c>
      <c r="Z759" s="9">
        <v>46011</v>
      </c>
      <c r="AA759" s="8">
        <v>24</v>
      </c>
      <c r="AB759" s="9">
        <f t="shared" si="34"/>
        <v>46741</v>
      </c>
      <c r="AC759" s="10">
        <v>24</v>
      </c>
      <c r="AD759" s="7">
        <f t="shared" si="35"/>
        <v>3362</v>
      </c>
      <c r="AE759" s="7">
        <f>IF(F759="Bullet",H759*AD759,MIN(MAX(I759,1),Assumptions!$B$6)*AD759)</f>
        <v>6724</v>
      </c>
      <c r="AF759" s="8">
        <f>IF(F759="Bullet",MAX(0,Assumptions!$B$4-AB759),MAX(0,Assumptions!$B$4-L759))</f>
        <v>44</v>
      </c>
      <c r="AG759" s="9">
        <v>46224</v>
      </c>
      <c r="AH759" s="8">
        <f>IF(AG759="","",Assumptions!$B$4-AG759)</f>
        <v>74</v>
      </c>
      <c r="AI759" s="5" t="s">
        <v>63</v>
      </c>
      <c r="AJ759" s="8">
        <v>3</v>
      </c>
      <c r="AK759" s="8">
        <v>3</v>
      </c>
      <c r="AL759" s="8">
        <v>778</v>
      </c>
      <c r="AM759" s="8">
        <v>1</v>
      </c>
      <c r="AN759" s="5" t="s">
        <v>63</v>
      </c>
      <c r="AO759" s="10">
        <v>88</v>
      </c>
      <c r="AP759" s="8">
        <v>65</v>
      </c>
      <c r="AQ759" s="9">
        <v>46288</v>
      </c>
      <c r="AR759" s="5" t="s">
        <v>53</v>
      </c>
      <c r="AS759" s="5" t="s">
        <v>81</v>
      </c>
    </row>
    <row r="760" spans="1:45" x14ac:dyDescent="0.35">
      <c r="A760" s="5" t="s">
        <v>3453</v>
      </c>
      <c r="B760" s="5" t="s">
        <v>3236</v>
      </c>
      <c r="C760" s="6" t="s">
        <v>3454</v>
      </c>
      <c r="D760" s="7">
        <v>37700</v>
      </c>
      <c r="E760" s="5" t="s">
        <v>48</v>
      </c>
      <c r="F760" s="5" t="s">
        <v>49</v>
      </c>
      <c r="G760" s="8"/>
      <c r="H760" s="8" t="str">
        <f>IF(F760="Bullet",MIN(G760,Assumptions!$B$6),"")</f>
        <v/>
      </c>
      <c r="I760" s="8">
        <v>2</v>
      </c>
      <c r="J760" s="8">
        <f>IF(F760="Monthly interest",MAX(0,Assumptions!$B$5-I760),"")</f>
        <v>1</v>
      </c>
      <c r="K760" s="7">
        <f t="shared" si="33"/>
        <v>880</v>
      </c>
      <c r="L760" s="9">
        <v>46257</v>
      </c>
      <c r="M760" s="5" t="s">
        <v>116</v>
      </c>
      <c r="N760" s="5" t="s">
        <v>117</v>
      </c>
      <c r="O760" s="5" t="s">
        <v>450</v>
      </c>
      <c r="P760" s="5" t="s">
        <v>72</v>
      </c>
      <c r="Q760" s="5" t="s">
        <v>154</v>
      </c>
      <c r="R760" s="5" t="s">
        <v>155</v>
      </c>
      <c r="S760" s="5" t="s">
        <v>56</v>
      </c>
      <c r="T760" s="5" t="s">
        <v>57</v>
      </c>
      <c r="U760" s="5" t="s">
        <v>58</v>
      </c>
      <c r="V760" s="5" t="s">
        <v>59</v>
      </c>
      <c r="W760" s="5" t="s">
        <v>467</v>
      </c>
      <c r="X760" s="5" t="s">
        <v>2556</v>
      </c>
      <c r="Y760" s="5" t="s">
        <v>3455</v>
      </c>
      <c r="Z760" s="9">
        <v>46076</v>
      </c>
      <c r="AA760" s="8">
        <v>24</v>
      </c>
      <c r="AB760" s="9">
        <f t="shared" si="34"/>
        <v>46806</v>
      </c>
      <c r="AC760" s="10">
        <v>14</v>
      </c>
      <c r="AD760" s="7">
        <f t="shared" si="35"/>
        <v>440</v>
      </c>
      <c r="AE760" s="7">
        <f>IF(F760="Bullet",H760*AD760,MIN(MAX(I760,1),Assumptions!$B$6)*AD760)</f>
        <v>880</v>
      </c>
      <c r="AF760" s="8">
        <f>IF(F760="Bullet",MAX(0,Assumptions!$B$4-AB760),MAX(0,Assumptions!$B$4-L760))</f>
        <v>41</v>
      </c>
      <c r="AG760" s="9">
        <v>46228</v>
      </c>
      <c r="AH760" s="8">
        <f>IF(AG760="","",Assumptions!$B$4-AG760)</f>
        <v>70</v>
      </c>
      <c r="AI760" s="5" t="s">
        <v>63</v>
      </c>
      <c r="AJ760" s="8">
        <v>2</v>
      </c>
      <c r="AK760" s="8">
        <v>0</v>
      </c>
      <c r="AL760" s="8">
        <v>689</v>
      </c>
      <c r="AM760" s="8">
        <v>0</v>
      </c>
      <c r="AN760" s="5" t="s">
        <v>63</v>
      </c>
      <c r="AO760" s="10">
        <v>84.7</v>
      </c>
      <c r="AP760" s="8">
        <v>60</v>
      </c>
      <c r="AQ760" s="9"/>
      <c r="AR760" s="5"/>
      <c r="AS760" s="5" t="s">
        <v>159</v>
      </c>
    </row>
    <row r="761" spans="1:45" x14ac:dyDescent="0.35">
      <c r="A761" s="5" t="s">
        <v>3456</v>
      </c>
      <c r="B761" s="5" t="s">
        <v>3457</v>
      </c>
      <c r="C761" s="6" t="s">
        <v>3458</v>
      </c>
      <c r="D761" s="7">
        <v>297000</v>
      </c>
      <c r="E761" s="5" t="s">
        <v>48</v>
      </c>
      <c r="F761" s="5" t="s">
        <v>49</v>
      </c>
      <c r="G761" s="8"/>
      <c r="H761" s="8" t="str">
        <f>IF(F761="Bullet",MIN(G761,Assumptions!$B$6),"")</f>
        <v/>
      </c>
      <c r="I761" s="8">
        <v>2</v>
      </c>
      <c r="J761" s="8">
        <f>IF(F761="Monthly interest",MAX(0,Assumptions!$B$5-I761),"")</f>
        <v>1</v>
      </c>
      <c r="K761" s="7">
        <f t="shared" si="33"/>
        <v>8910</v>
      </c>
      <c r="L761" s="9">
        <v>46248</v>
      </c>
      <c r="M761" s="5" t="s">
        <v>69</v>
      </c>
      <c r="N761" s="5" t="s">
        <v>70</v>
      </c>
      <c r="O761" s="5" t="s">
        <v>71</v>
      </c>
      <c r="P761" s="5" t="s">
        <v>72</v>
      </c>
      <c r="Q761" s="5" t="s">
        <v>73</v>
      </c>
      <c r="R761" s="5" t="s">
        <v>74</v>
      </c>
      <c r="S761" s="5" t="s">
        <v>253</v>
      </c>
      <c r="T761" s="5" t="s">
        <v>57</v>
      </c>
      <c r="U761" s="5" t="s">
        <v>86</v>
      </c>
      <c r="V761" s="5" t="s">
        <v>200</v>
      </c>
      <c r="W761" s="5" t="s">
        <v>767</v>
      </c>
      <c r="X761" s="5" t="s">
        <v>3459</v>
      </c>
      <c r="Y761" s="5" t="s">
        <v>3460</v>
      </c>
      <c r="Z761" s="9">
        <v>46067</v>
      </c>
      <c r="AA761" s="8">
        <v>18</v>
      </c>
      <c r="AB761" s="9">
        <f t="shared" si="34"/>
        <v>46613</v>
      </c>
      <c r="AC761" s="10">
        <v>18</v>
      </c>
      <c r="AD761" s="7">
        <f t="shared" si="35"/>
        <v>4455</v>
      </c>
      <c r="AE761" s="7">
        <f>IF(F761="Bullet",H761*AD761,MIN(MAX(I761,1),Assumptions!$B$6)*AD761)</f>
        <v>8910</v>
      </c>
      <c r="AF761" s="8">
        <f>IF(F761="Bullet",MAX(0,Assumptions!$B$4-AB761),MAX(0,Assumptions!$B$4-L761))</f>
        <v>50</v>
      </c>
      <c r="AG761" s="9">
        <v>46221</v>
      </c>
      <c r="AH761" s="8">
        <f>IF(AG761="","",Assumptions!$B$4-AG761)</f>
        <v>77</v>
      </c>
      <c r="AI761" s="5" t="s">
        <v>57</v>
      </c>
      <c r="AJ761" s="8">
        <v>2</v>
      </c>
      <c r="AK761" s="8">
        <v>0</v>
      </c>
      <c r="AL761" s="8">
        <v>621</v>
      </c>
      <c r="AM761" s="8">
        <v>0</v>
      </c>
      <c r="AN761" s="5" t="s">
        <v>63</v>
      </c>
      <c r="AO761" s="10">
        <v>67.2</v>
      </c>
      <c r="AP761" s="8">
        <v>45</v>
      </c>
      <c r="AQ761" s="9">
        <v>46284</v>
      </c>
      <c r="AR761" s="5" t="s">
        <v>70</v>
      </c>
      <c r="AS761" s="5" t="s">
        <v>190</v>
      </c>
    </row>
    <row r="762" spans="1:45" x14ac:dyDescent="0.35">
      <c r="A762" s="5" t="s">
        <v>3461</v>
      </c>
      <c r="B762" s="5" t="s">
        <v>3462</v>
      </c>
      <c r="C762" s="6" t="s">
        <v>3463</v>
      </c>
      <c r="D762" s="7">
        <v>135400</v>
      </c>
      <c r="E762" s="5" t="s">
        <v>48</v>
      </c>
      <c r="F762" s="5" t="s">
        <v>68</v>
      </c>
      <c r="G762" s="8">
        <v>3</v>
      </c>
      <c r="H762" s="8">
        <f>IF(F762="Bullet",MIN(G762,Assumptions!$B$6),"")</f>
        <v>2</v>
      </c>
      <c r="I762" s="8"/>
      <c r="J762" s="8" t="str">
        <f>IF(F762="Monthly interest",MAX(0,Assumptions!$B$5-I762),"")</f>
        <v/>
      </c>
      <c r="K762" s="7">
        <f t="shared" si="33"/>
        <v>4062</v>
      </c>
      <c r="L762" s="9">
        <v>46189</v>
      </c>
      <c r="M762" s="5" t="s">
        <v>50</v>
      </c>
      <c r="N762" s="5" t="s">
        <v>70</v>
      </c>
      <c r="O762" s="5" t="s">
        <v>295</v>
      </c>
      <c r="P762" s="5" t="s">
        <v>72</v>
      </c>
      <c r="Q762" s="5" t="s">
        <v>73</v>
      </c>
      <c r="R762" s="5" t="s">
        <v>74</v>
      </c>
      <c r="S762" s="5" t="s">
        <v>214</v>
      </c>
      <c r="T762" s="5" t="s">
        <v>57</v>
      </c>
      <c r="U762" s="5" t="s">
        <v>104</v>
      </c>
      <c r="V762" s="5" t="s">
        <v>215</v>
      </c>
      <c r="W762" s="5" t="s">
        <v>242</v>
      </c>
      <c r="X762" s="5" t="s">
        <v>1627</v>
      </c>
      <c r="Y762" s="5" t="s">
        <v>3464</v>
      </c>
      <c r="Z762" s="9">
        <v>46189</v>
      </c>
      <c r="AA762" s="8">
        <v>12</v>
      </c>
      <c r="AB762" s="9">
        <f t="shared" si="34"/>
        <v>46554</v>
      </c>
      <c r="AC762" s="10">
        <v>12</v>
      </c>
      <c r="AD762" s="7">
        <f t="shared" si="35"/>
        <v>1354</v>
      </c>
      <c r="AE762" s="7">
        <f>IF(F762="Bullet",H762*AD762,MIN(MAX(I762,1),Assumptions!$B$6)*AD762)</f>
        <v>2708</v>
      </c>
      <c r="AF762" s="8">
        <f>IF(F762="Bullet",MAX(0,Assumptions!$B$4-AB762),MAX(0,Assumptions!$B$4-L762))</f>
        <v>0</v>
      </c>
      <c r="AG762" s="9"/>
      <c r="AH762" s="8" t="str">
        <f>IF(AG762="","",Assumptions!$B$4-AG762)</f>
        <v/>
      </c>
      <c r="AI762" s="5" t="s">
        <v>80</v>
      </c>
      <c r="AJ762" s="8"/>
      <c r="AK762" s="8">
        <v>1</v>
      </c>
      <c r="AL762" s="8">
        <v>731</v>
      </c>
      <c r="AM762" s="8">
        <v>1</v>
      </c>
      <c r="AN762" s="5" t="s">
        <v>63</v>
      </c>
      <c r="AO762" s="10">
        <v>65.5</v>
      </c>
      <c r="AP762" s="8">
        <v>24</v>
      </c>
      <c r="AQ762" s="9">
        <v>46280</v>
      </c>
      <c r="AR762" s="5" t="s">
        <v>53</v>
      </c>
      <c r="AS762" s="5" t="s">
        <v>91</v>
      </c>
    </row>
    <row r="763" spans="1:45" x14ac:dyDescent="0.35">
      <c r="A763" s="5" t="s">
        <v>3465</v>
      </c>
      <c r="B763" s="5" t="s">
        <v>3466</v>
      </c>
      <c r="C763" s="6" t="s">
        <v>3467</v>
      </c>
      <c r="D763" s="7">
        <v>162700</v>
      </c>
      <c r="E763" s="5" t="s">
        <v>48</v>
      </c>
      <c r="F763" s="5" t="s">
        <v>49</v>
      </c>
      <c r="G763" s="8"/>
      <c r="H763" s="8" t="str">
        <f>IF(F763="Bullet",MIN(G763,Assumptions!$B$6),"")</f>
        <v/>
      </c>
      <c r="I763" s="8">
        <v>1</v>
      </c>
      <c r="J763" s="8">
        <f>IF(F763="Monthly interest",MAX(0,Assumptions!$B$5-I763),"")</f>
        <v>2</v>
      </c>
      <c r="K763" s="7">
        <f t="shared" si="33"/>
        <v>3254</v>
      </c>
      <c r="L763" s="9">
        <v>46286</v>
      </c>
      <c r="M763" s="5" t="s">
        <v>50</v>
      </c>
      <c r="N763" s="5" t="s">
        <v>51</v>
      </c>
      <c r="O763" s="5" t="s">
        <v>52</v>
      </c>
      <c r="P763" s="5" t="s">
        <v>53</v>
      </c>
      <c r="Q763" s="5" t="s">
        <v>54</v>
      </c>
      <c r="R763" s="5" t="s">
        <v>55</v>
      </c>
      <c r="S763" s="5" t="s">
        <v>185</v>
      </c>
      <c r="T763" s="5" t="s">
        <v>57</v>
      </c>
      <c r="U763" s="5" t="s">
        <v>104</v>
      </c>
      <c r="V763" s="5" t="s">
        <v>186</v>
      </c>
      <c r="W763" s="5" t="s">
        <v>329</v>
      </c>
      <c r="X763" s="5" t="s">
        <v>2466</v>
      </c>
      <c r="Y763" s="5" t="s">
        <v>3468</v>
      </c>
      <c r="Z763" s="9">
        <v>46012</v>
      </c>
      <c r="AA763" s="8">
        <v>24</v>
      </c>
      <c r="AB763" s="9">
        <f t="shared" si="34"/>
        <v>46742</v>
      </c>
      <c r="AC763" s="10">
        <v>24</v>
      </c>
      <c r="AD763" s="7">
        <f t="shared" si="35"/>
        <v>3254</v>
      </c>
      <c r="AE763" s="7">
        <f>IF(F763="Bullet",H763*AD763,MIN(MAX(I763,1),Assumptions!$B$6)*AD763)</f>
        <v>3254</v>
      </c>
      <c r="AF763" s="8">
        <f>IF(F763="Bullet",MAX(0,Assumptions!$B$4-AB763),MAX(0,Assumptions!$B$4-L763))</f>
        <v>12</v>
      </c>
      <c r="AG763" s="9">
        <v>46256</v>
      </c>
      <c r="AH763" s="8">
        <f>IF(AG763="","",Assumptions!$B$4-AG763)</f>
        <v>42</v>
      </c>
      <c r="AI763" s="5" t="s">
        <v>63</v>
      </c>
      <c r="AJ763" s="8">
        <v>1</v>
      </c>
      <c r="AK763" s="8">
        <v>0</v>
      </c>
      <c r="AL763" s="8">
        <v>748</v>
      </c>
      <c r="AM763" s="8">
        <v>1</v>
      </c>
      <c r="AN763" s="5" t="s">
        <v>63</v>
      </c>
      <c r="AO763" s="10">
        <v>65.2</v>
      </c>
      <c r="AP763" s="8">
        <v>20</v>
      </c>
      <c r="AQ763" s="9">
        <v>46289</v>
      </c>
      <c r="AR763" s="5" t="s">
        <v>51</v>
      </c>
      <c r="AS763" s="5" t="s">
        <v>64</v>
      </c>
    </row>
    <row r="764" spans="1:45" x14ac:dyDescent="0.35">
      <c r="A764" s="5" t="s">
        <v>3469</v>
      </c>
      <c r="B764" s="5" t="s">
        <v>3470</v>
      </c>
      <c r="C764" s="6" t="s">
        <v>3471</v>
      </c>
      <c r="D764" s="7">
        <v>79500</v>
      </c>
      <c r="E764" s="5" t="s">
        <v>48</v>
      </c>
      <c r="F764" s="5" t="s">
        <v>68</v>
      </c>
      <c r="G764" s="8">
        <v>2</v>
      </c>
      <c r="H764" s="8">
        <f>IF(F764="Bullet",MIN(G764,Assumptions!$B$6),"")</f>
        <v>2</v>
      </c>
      <c r="I764" s="8"/>
      <c r="J764" s="8" t="str">
        <f>IF(F764="Monthly interest",MAX(0,Assumptions!$B$5-I764),"")</f>
        <v/>
      </c>
      <c r="K764" s="7">
        <f t="shared" si="33"/>
        <v>1722</v>
      </c>
      <c r="L764" s="9">
        <v>46233</v>
      </c>
      <c r="M764" s="5" t="s">
        <v>50</v>
      </c>
      <c r="N764" s="5" t="s">
        <v>51</v>
      </c>
      <c r="O764" s="5" t="s">
        <v>71</v>
      </c>
      <c r="P764" s="5" t="s">
        <v>53</v>
      </c>
      <c r="Q764" s="5" t="s">
        <v>73</v>
      </c>
      <c r="R764" s="5" t="s">
        <v>74</v>
      </c>
      <c r="S764" s="5" t="s">
        <v>85</v>
      </c>
      <c r="T764" s="5" t="s">
        <v>57</v>
      </c>
      <c r="U764" s="5" t="s">
        <v>58</v>
      </c>
      <c r="V764" s="5" t="s">
        <v>96</v>
      </c>
      <c r="W764" s="5" t="s">
        <v>97</v>
      </c>
      <c r="X764" s="5" t="s">
        <v>838</v>
      </c>
      <c r="Y764" s="5" t="s">
        <v>3472</v>
      </c>
      <c r="Z764" s="9">
        <v>46233</v>
      </c>
      <c r="AA764" s="8">
        <v>3</v>
      </c>
      <c r="AB764" s="9">
        <f t="shared" si="34"/>
        <v>46325</v>
      </c>
      <c r="AC764" s="10">
        <v>13</v>
      </c>
      <c r="AD764" s="7">
        <f t="shared" si="35"/>
        <v>861</v>
      </c>
      <c r="AE764" s="7">
        <f>IF(F764="Bullet",H764*AD764,MIN(MAX(I764,1),Assumptions!$B$6)*AD764)</f>
        <v>1722</v>
      </c>
      <c r="AF764" s="8">
        <f>IF(F764="Bullet",MAX(0,Assumptions!$B$4-AB764),MAX(0,Assumptions!$B$4-L764))</f>
        <v>0</v>
      </c>
      <c r="AG764" s="9"/>
      <c r="AH764" s="8" t="str">
        <f>IF(AG764="","",Assumptions!$B$4-AG764)</f>
        <v/>
      </c>
      <c r="AI764" s="5" t="s">
        <v>80</v>
      </c>
      <c r="AJ764" s="8"/>
      <c r="AK764" s="8">
        <v>0</v>
      </c>
      <c r="AL764" s="8">
        <v>768</v>
      </c>
      <c r="AM764" s="8">
        <v>2</v>
      </c>
      <c r="AN764" s="5" t="s">
        <v>63</v>
      </c>
      <c r="AO764" s="10">
        <v>68.7</v>
      </c>
      <c r="AP764" s="8">
        <v>19</v>
      </c>
      <c r="AQ764" s="9">
        <v>46283</v>
      </c>
      <c r="AR764" s="5" t="s">
        <v>53</v>
      </c>
      <c r="AS764" s="5" t="s">
        <v>81</v>
      </c>
    </row>
    <row r="765" spans="1:45" x14ac:dyDescent="0.35">
      <c r="A765" s="5" t="s">
        <v>3473</v>
      </c>
      <c r="B765" s="5" t="s">
        <v>3474</v>
      </c>
      <c r="C765" s="6" t="s">
        <v>3475</v>
      </c>
      <c r="D765" s="7">
        <v>20600</v>
      </c>
      <c r="E765" s="5" t="s">
        <v>48</v>
      </c>
      <c r="F765" s="5" t="s">
        <v>68</v>
      </c>
      <c r="G765" s="8">
        <v>3</v>
      </c>
      <c r="H765" s="8">
        <f>IF(F765="Bullet",MIN(G765,Assumptions!$B$6),"")</f>
        <v>2</v>
      </c>
      <c r="I765" s="8"/>
      <c r="J765" s="8" t="str">
        <f>IF(F765="Monthly interest",MAX(0,Assumptions!$B$5-I765),"")</f>
        <v/>
      </c>
      <c r="K765" s="7">
        <f t="shared" si="33"/>
        <v>825</v>
      </c>
      <c r="L765" s="9">
        <v>46199</v>
      </c>
      <c r="M765" s="5" t="s">
        <v>50</v>
      </c>
      <c r="N765" s="5" t="s">
        <v>53</v>
      </c>
      <c r="O765" s="5" t="s">
        <v>152</v>
      </c>
      <c r="P765" s="5" t="s">
        <v>153</v>
      </c>
      <c r="Q765" s="5" t="s">
        <v>154</v>
      </c>
      <c r="R765" s="5" t="s">
        <v>155</v>
      </c>
      <c r="S765" s="5" t="s">
        <v>185</v>
      </c>
      <c r="T765" s="5" t="s">
        <v>57</v>
      </c>
      <c r="U765" s="5" t="s">
        <v>58</v>
      </c>
      <c r="V765" s="5" t="s">
        <v>200</v>
      </c>
      <c r="W765" s="5" t="s">
        <v>433</v>
      </c>
      <c r="X765" s="5" t="s">
        <v>1347</v>
      </c>
      <c r="Y765" s="5" t="s">
        <v>3476</v>
      </c>
      <c r="Z765" s="9">
        <v>46199</v>
      </c>
      <c r="AA765" s="8">
        <v>6</v>
      </c>
      <c r="AB765" s="9">
        <f t="shared" si="34"/>
        <v>46382</v>
      </c>
      <c r="AC765" s="10">
        <v>16</v>
      </c>
      <c r="AD765" s="7">
        <f t="shared" si="35"/>
        <v>275</v>
      </c>
      <c r="AE765" s="7">
        <f>IF(F765="Bullet",H765*AD765,MIN(MAX(I765,1),Assumptions!$B$6)*AD765)</f>
        <v>550</v>
      </c>
      <c r="AF765" s="8">
        <f>IF(F765="Bullet",MAX(0,Assumptions!$B$4-AB765),MAX(0,Assumptions!$B$4-L765))</f>
        <v>0</v>
      </c>
      <c r="AG765" s="9"/>
      <c r="AH765" s="8" t="str">
        <f>IF(AG765="","",Assumptions!$B$4-AG765)</f>
        <v/>
      </c>
      <c r="AI765" s="5" t="s">
        <v>80</v>
      </c>
      <c r="AJ765" s="8"/>
      <c r="AK765" s="8">
        <v>1</v>
      </c>
      <c r="AL765" s="8">
        <v>742</v>
      </c>
      <c r="AM765" s="8">
        <v>1</v>
      </c>
      <c r="AN765" s="5" t="s">
        <v>63</v>
      </c>
      <c r="AO765" s="10">
        <v>74.400000000000006</v>
      </c>
      <c r="AP765" s="8">
        <v>20</v>
      </c>
      <c r="AQ765" s="9">
        <v>46274</v>
      </c>
      <c r="AR765" s="5" t="s">
        <v>51</v>
      </c>
      <c r="AS765" s="5" t="s">
        <v>64</v>
      </c>
    </row>
    <row r="766" spans="1:45" x14ac:dyDescent="0.35">
      <c r="A766" s="5" t="s">
        <v>3477</v>
      </c>
      <c r="B766" s="5" t="s">
        <v>3478</v>
      </c>
      <c r="C766" s="6" t="s">
        <v>3479</v>
      </c>
      <c r="D766" s="7">
        <v>28900</v>
      </c>
      <c r="E766" s="5" t="s">
        <v>48</v>
      </c>
      <c r="F766" s="5" t="s">
        <v>68</v>
      </c>
      <c r="G766" s="8">
        <v>6</v>
      </c>
      <c r="H766" s="8">
        <f>IF(F766="Bullet",MIN(G766,Assumptions!$B$6),"")</f>
        <v>2</v>
      </c>
      <c r="I766" s="8"/>
      <c r="J766" s="8" t="str">
        <f>IF(F766="Monthly interest",MAX(0,Assumptions!$B$5-I766),"")</f>
        <v/>
      </c>
      <c r="K766" s="7">
        <f t="shared" si="33"/>
        <v>2310</v>
      </c>
      <c r="L766" s="9">
        <v>46112</v>
      </c>
      <c r="M766" s="5" t="s">
        <v>116</v>
      </c>
      <c r="N766" s="5" t="s">
        <v>117</v>
      </c>
      <c r="O766" s="5" t="s">
        <v>461</v>
      </c>
      <c r="P766" s="5" t="s">
        <v>72</v>
      </c>
      <c r="Q766" s="5" t="s">
        <v>169</v>
      </c>
      <c r="R766" s="5" t="s">
        <v>170</v>
      </c>
      <c r="S766" s="5" t="s">
        <v>56</v>
      </c>
      <c r="T766" s="5" t="s">
        <v>57</v>
      </c>
      <c r="U766" s="5" t="s">
        <v>86</v>
      </c>
      <c r="V766" s="5" t="s">
        <v>59</v>
      </c>
      <c r="W766" s="5" t="s">
        <v>126</v>
      </c>
      <c r="X766" s="5" t="s">
        <v>423</v>
      </c>
      <c r="Y766" s="5" t="s">
        <v>3480</v>
      </c>
      <c r="Z766" s="9">
        <v>46112</v>
      </c>
      <c r="AA766" s="8">
        <v>6</v>
      </c>
      <c r="AB766" s="9">
        <f t="shared" si="34"/>
        <v>46295</v>
      </c>
      <c r="AC766" s="10">
        <v>16</v>
      </c>
      <c r="AD766" s="7">
        <f t="shared" si="35"/>
        <v>385</v>
      </c>
      <c r="AE766" s="7">
        <f>IF(F766="Bullet",H766*AD766,MIN(MAX(I766,1),Assumptions!$B$6)*AD766)</f>
        <v>770</v>
      </c>
      <c r="AF766" s="8">
        <f>IF(F766="Bullet",MAX(0,Assumptions!$B$4-AB766),MAX(0,Assumptions!$B$4-L766))</f>
        <v>3</v>
      </c>
      <c r="AG766" s="9"/>
      <c r="AH766" s="8" t="str">
        <f>IF(AG766="","",Assumptions!$B$4-AG766)</f>
        <v/>
      </c>
      <c r="AI766" s="5" t="s">
        <v>80</v>
      </c>
      <c r="AJ766" s="8"/>
      <c r="AK766" s="8">
        <v>0</v>
      </c>
      <c r="AL766" s="8">
        <v>693</v>
      </c>
      <c r="AM766" s="8">
        <v>1</v>
      </c>
      <c r="AN766" s="5" t="s">
        <v>63</v>
      </c>
      <c r="AO766" s="10">
        <v>77.099999999999994</v>
      </c>
      <c r="AP766" s="8">
        <v>58</v>
      </c>
      <c r="AQ766" s="9">
        <v>46274</v>
      </c>
      <c r="AR766" s="5" t="s">
        <v>70</v>
      </c>
      <c r="AS766" s="5" t="s">
        <v>81</v>
      </c>
    </row>
    <row r="767" spans="1:45" x14ac:dyDescent="0.35">
      <c r="A767" s="5" t="s">
        <v>3481</v>
      </c>
      <c r="B767" s="5" t="s">
        <v>3482</v>
      </c>
      <c r="C767" s="6" t="s">
        <v>3483</v>
      </c>
      <c r="D767" s="7">
        <v>33100</v>
      </c>
      <c r="E767" s="5" t="s">
        <v>48</v>
      </c>
      <c r="F767" s="5" t="s">
        <v>49</v>
      </c>
      <c r="G767" s="8"/>
      <c r="H767" s="8" t="str">
        <f>IF(F767="Bullet",MIN(G767,Assumptions!$B$6),"")</f>
        <v/>
      </c>
      <c r="I767" s="8">
        <v>1</v>
      </c>
      <c r="J767" s="8">
        <f>IF(F767="Monthly interest",MAX(0,Assumptions!$B$5-I767),"")</f>
        <v>2</v>
      </c>
      <c r="K767" s="7">
        <f t="shared" si="33"/>
        <v>662</v>
      </c>
      <c r="L767" s="9">
        <v>46270</v>
      </c>
      <c r="M767" s="5" t="s">
        <v>50</v>
      </c>
      <c r="N767" s="5" t="s">
        <v>51</v>
      </c>
      <c r="O767" s="5" t="s">
        <v>152</v>
      </c>
      <c r="P767" s="5" t="s">
        <v>53</v>
      </c>
      <c r="Q767" s="5" t="s">
        <v>154</v>
      </c>
      <c r="R767" s="5" t="s">
        <v>155</v>
      </c>
      <c r="S767" s="5" t="s">
        <v>85</v>
      </c>
      <c r="T767" s="5" t="s">
        <v>57</v>
      </c>
      <c r="U767" s="5" t="s">
        <v>86</v>
      </c>
      <c r="V767" s="5" t="s">
        <v>96</v>
      </c>
      <c r="W767" s="5" t="s">
        <v>265</v>
      </c>
      <c r="X767" s="5" t="s">
        <v>1773</v>
      </c>
      <c r="Y767" s="5" t="s">
        <v>3484</v>
      </c>
      <c r="Z767" s="9">
        <v>46208</v>
      </c>
      <c r="AA767" s="8">
        <v>24</v>
      </c>
      <c r="AB767" s="9">
        <f t="shared" si="34"/>
        <v>46939</v>
      </c>
      <c r="AC767" s="10">
        <v>24</v>
      </c>
      <c r="AD767" s="7">
        <f t="shared" si="35"/>
        <v>662</v>
      </c>
      <c r="AE767" s="7">
        <f>IF(F767="Bullet",H767*AD767,MIN(MAX(I767,1),Assumptions!$B$6)*AD767)</f>
        <v>662</v>
      </c>
      <c r="AF767" s="8">
        <f>IF(F767="Bullet",MAX(0,Assumptions!$B$4-AB767),MAX(0,Assumptions!$B$4-L767))</f>
        <v>28</v>
      </c>
      <c r="AG767" s="9">
        <v>46240</v>
      </c>
      <c r="AH767" s="8">
        <f>IF(AG767="","",Assumptions!$B$4-AG767)</f>
        <v>58</v>
      </c>
      <c r="AI767" s="5" t="s">
        <v>57</v>
      </c>
      <c r="AJ767" s="8">
        <v>1</v>
      </c>
      <c r="AK767" s="8">
        <v>0</v>
      </c>
      <c r="AL767" s="8">
        <v>778</v>
      </c>
      <c r="AM767" s="8">
        <v>1</v>
      </c>
      <c r="AN767" s="5" t="s">
        <v>63</v>
      </c>
      <c r="AO767" s="10">
        <v>73.8</v>
      </c>
      <c r="AP767" s="8">
        <v>21</v>
      </c>
      <c r="AQ767" s="9">
        <v>46283</v>
      </c>
      <c r="AR767" s="5" t="s">
        <v>53</v>
      </c>
      <c r="AS767" s="5" t="s">
        <v>190</v>
      </c>
    </row>
    <row r="768" spans="1:45" x14ac:dyDescent="0.35">
      <c r="A768" s="5" t="s">
        <v>3485</v>
      </c>
      <c r="B768" s="5" t="s">
        <v>3486</v>
      </c>
      <c r="C768" s="6" t="s">
        <v>3487</v>
      </c>
      <c r="D768" s="7">
        <v>239400</v>
      </c>
      <c r="E768" s="5" t="s">
        <v>48</v>
      </c>
      <c r="F768" s="5" t="s">
        <v>68</v>
      </c>
      <c r="G768" s="8">
        <v>4</v>
      </c>
      <c r="H768" s="8">
        <f>IF(F768="Bullet",MIN(G768,Assumptions!$B$6),"")</f>
        <v>2</v>
      </c>
      <c r="I768" s="8"/>
      <c r="J768" s="8" t="str">
        <f>IF(F768="Monthly interest",MAX(0,Assumptions!$B$5-I768),"")</f>
        <v/>
      </c>
      <c r="K768" s="7">
        <f t="shared" si="33"/>
        <v>12768</v>
      </c>
      <c r="L768" s="9">
        <v>46171</v>
      </c>
      <c r="M768" s="5" t="s">
        <v>50</v>
      </c>
      <c r="N768" s="5" t="s">
        <v>53</v>
      </c>
      <c r="O768" s="5" t="s">
        <v>71</v>
      </c>
      <c r="P768" s="5" t="s">
        <v>70</v>
      </c>
      <c r="Q768" s="5" t="s">
        <v>73</v>
      </c>
      <c r="R768" s="5" t="s">
        <v>74</v>
      </c>
      <c r="S768" s="5" t="s">
        <v>214</v>
      </c>
      <c r="T768" s="5" t="s">
        <v>63</v>
      </c>
      <c r="U768" s="5" t="s">
        <v>86</v>
      </c>
      <c r="V768" s="5" t="s">
        <v>215</v>
      </c>
      <c r="W768" s="5" t="s">
        <v>1057</v>
      </c>
      <c r="X768" s="5" t="s">
        <v>3126</v>
      </c>
      <c r="Y768" s="5" t="s">
        <v>3488</v>
      </c>
      <c r="Z768" s="9">
        <v>46171</v>
      </c>
      <c r="AA768" s="8">
        <v>12</v>
      </c>
      <c r="AB768" s="9">
        <f t="shared" si="34"/>
        <v>46536</v>
      </c>
      <c r="AC768" s="10">
        <v>16</v>
      </c>
      <c r="AD768" s="7">
        <f t="shared" si="35"/>
        <v>3192</v>
      </c>
      <c r="AE768" s="7">
        <f>IF(F768="Bullet",H768*AD768,MIN(MAX(I768,1),Assumptions!$B$6)*AD768)</f>
        <v>6384</v>
      </c>
      <c r="AF768" s="8">
        <f>IF(F768="Bullet",MAX(0,Assumptions!$B$4-AB768),MAX(0,Assumptions!$B$4-L768))</f>
        <v>0</v>
      </c>
      <c r="AG768" s="9"/>
      <c r="AH768" s="8" t="str">
        <f>IF(AG768="","",Assumptions!$B$4-AG768)</f>
        <v/>
      </c>
      <c r="AI768" s="5" t="s">
        <v>80</v>
      </c>
      <c r="AJ768" s="8"/>
      <c r="AK768" s="8">
        <v>1</v>
      </c>
      <c r="AL768" s="8">
        <v>766</v>
      </c>
      <c r="AM768" s="8">
        <v>0</v>
      </c>
      <c r="AN768" s="5" t="s">
        <v>63</v>
      </c>
      <c r="AO768" s="10">
        <v>78.2</v>
      </c>
      <c r="AP768" s="8">
        <v>20</v>
      </c>
      <c r="AQ768" s="9"/>
      <c r="AR768" s="5"/>
      <c r="AS768" s="5" t="s">
        <v>159</v>
      </c>
    </row>
    <row r="769" spans="1:45" x14ac:dyDescent="0.35">
      <c r="A769" s="5" t="s">
        <v>3489</v>
      </c>
      <c r="B769" s="5" t="s">
        <v>3490</v>
      </c>
      <c r="C769" s="6" t="s">
        <v>3491</v>
      </c>
      <c r="D769" s="7">
        <v>139300</v>
      </c>
      <c r="E769" s="5" t="s">
        <v>48</v>
      </c>
      <c r="F769" s="5" t="s">
        <v>49</v>
      </c>
      <c r="G769" s="8"/>
      <c r="H769" s="8" t="str">
        <f>IF(F769="Bullet",MIN(G769,Assumptions!$B$6),"")</f>
        <v/>
      </c>
      <c r="I769" s="8">
        <v>1</v>
      </c>
      <c r="J769" s="8">
        <f>IF(F769="Monthly interest",MAX(0,Assumptions!$B$5-I769),"")</f>
        <v>2</v>
      </c>
      <c r="K769" s="7">
        <f t="shared" si="33"/>
        <v>2090</v>
      </c>
      <c r="L769" s="9">
        <v>46287</v>
      </c>
      <c r="M769" s="5" t="s">
        <v>69</v>
      </c>
      <c r="N769" s="5" t="s">
        <v>53</v>
      </c>
      <c r="O769" s="5" t="s">
        <v>103</v>
      </c>
      <c r="P769" s="5" t="s">
        <v>70</v>
      </c>
      <c r="Q769" s="5" t="s">
        <v>54</v>
      </c>
      <c r="R769" s="5" t="s">
        <v>55</v>
      </c>
      <c r="S769" s="5" t="s">
        <v>214</v>
      </c>
      <c r="T769" s="5" t="s">
        <v>63</v>
      </c>
      <c r="U769" s="5" t="s">
        <v>86</v>
      </c>
      <c r="V769" s="5" t="s">
        <v>215</v>
      </c>
      <c r="W769" s="5" t="s">
        <v>232</v>
      </c>
      <c r="X769" s="5" t="s">
        <v>532</v>
      </c>
      <c r="Y769" s="5" t="s">
        <v>3492</v>
      </c>
      <c r="Z769" s="9">
        <v>46225</v>
      </c>
      <c r="AA769" s="8">
        <v>12</v>
      </c>
      <c r="AB769" s="9">
        <f t="shared" si="34"/>
        <v>46590</v>
      </c>
      <c r="AC769" s="10">
        <v>18</v>
      </c>
      <c r="AD769" s="7">
        <f t="shared" si="35"/>
        <v>2090</v>
      </c>
      <c r="AE769" s="7">
        <f>IF(F769="Bullet",H769*AD769,MIN(MAX(I769,1),Assumptions!$B$6)*AD769)</f>
        <v>2090</v>
      </c>
      <c r="AF769" s="8">
        <f>IF(F769="Bullet",MAX(0,Assumptions!$B$4-AB769),MAX(0,Assumptions!$B$4-L769))</f>
        <v>11</v>
      </c>
      <c r="AG769" s="9">
        <v>46261</v>
      </c>
      <c r="AH769" s="8">
        <f>IF(AG769="","",Assumptions!$B$4-AG769)</f>
        <v>37</v>
      </c>
      <c r="AI769" s="5" t="s">
        <v>63</v>
      </c>
      <c r="AJ769" s="8">
        <v>2</v>
      </c>
      <c r="AK769" s="8">
        <v>1</v>
      </c>
      <c r="AL769" s="8">
        <v>706</v>
      </c>
      <c r="AM769" s="8">
        <v>2</v>
      </c>
      <c r="AN769" s="5" t="s">
        <v>63</v>
      </c>
      <c r="AO769" s="10">
        <v>80.5</v>
      </c>
      <c r="AP769" s="8">
        <v>45</v>
      </c>
      <c r="AQ769" s="9">
        <v>46291</v>
      </c>
      <c r="AR769" s="5" t="s">
        <v>51</v>
      </c>
      <c r="AS769" s="5" t="s">
        <v>81</v>
      </c>
    </row>
    <row r="770" spans="1:45" x14ac:dyDescent="0.35">
      <c r="A770" s="5" t="s">
        <v>3493</v>
      </c>
      <c r="B770" s="5" t="s">
        <v>1470</v>
      </c>
      <c r="C770" s="6" t="s">
        <v>3494</v>
      </c>
      <c r="D770" s="7">
        <v>147100</v>
      </c>
      <c r="E770" s="5" t="s">
        <v>48</v>
      </c>
      <c r="F770" s="5" t="s">
        <v>49</v>
      </c>
      <c r="G770" s="8"/>
      <c r="H770" s="8" t="str">
        <f>IF(F770="Bullet",MIN(G770,Assumptions!$B$6),"")</f>
        <v/>
      </c>
      <c r="I770" s="8">
        <v>2</v>
      </c>
      <c r="J770" s="8">
        <f>IF(F770="Monthly interest",MAX(0,Assumptions!$B$5-I770),"")</f>
        <v>1</v>
      </c>
      <c r="K770" s="7">
        <f t="shared" ref="K770:K833" si="36">IF(F770="Bullet",G770*AD770,MAX(I770,1)*AD770)</f>
        <v>3922</v>
      </c>
      <c r="L770" s="9">
        <v>46256</v>
      </c>
      <c r="M770" s="5" t="s">
        <v>69</v>
      </c>
      <c r="N770" s="5" t="s">
        <v>53</v>
      </c>
      <c r="O770" s="5" t="s">
        <v>71</v>
      </c>
      <c r="P770" s="5" t="s">
        <v>70</v>
      </c>
      <c r="Q770" s="5" t="s">
        <v>73</v>
      </c>
      <c r="R770" s="5" t="s">
        <v>74</v>
      </c>
      <c r="S770" s="5" t="s">
        <v>56</v>
      </c>
      <c r="T770" s="5" t="s">
        <v>63</v>
      </c>
      <c r="U770" s="5" t="s">
        <v>58</v>
      </c>
      <c r="V770" s="5" t="s">
        <v>59</v>
      </c>
      <c r="W770" s="5" t="s">
        <v>60</v>
      </c>
      <c r="X770" s="5" t="s">
        <v>1595</v>
      </c>
      <c r="Y770" s="5" t="s">
        <v>3495</v>
      </c>
      <c r="Z770" s="9">
        <v>46164</v>
      </c>
      <c r="AA770" s="8">
        <v>12</v>
      </c>
      <c r="AB770" s="9">
        <f t="shared" ref="AB770:AB833" si="37">EDATE(Z770,AA770)</f>
        <v>46529</v>
      </c>
      <c r="AC770" s="10">
        <v>16</v>
      </c>
      <c r="AD770" s="7">
        <f t="shared" ref="AD770:AD833" si="38">ROUND(D770*AC770/100/12,0)</f>
        <v>1961</v>
      </c>
      <c r="AE770" s="7">
        <f>IF(F770="Bullet",H770*AD770,MIN(MAX(I770,1),Assumptions!$B$6)*AD770)</f>
        <v>3922</v>
      </c>
      <c r="AF770" s="8">
        <f>IF(F770="Bullet",MAX(0,Assumptions!$B$4-AB770),MAX(0,Assumptions!$B$4-L770))</f>
        <v>42</v>
      </c>
      <c r="AG770" s="9">
        <v>46227</v>
      </c>
      <c r="AH770" s="8">
        <f>IF(AG770="","",Assumptions!$B$4-AG770)</f>
        <v>71</v>
      </c>
      <c r="AI770" s="5" t="s">
        <v>57</v>
      </c>
      <c r="AJ770" s="8">
        <v>3</v>
      </c>
      <c r="AK770" s="8">
        <v>0</v>
      </c>
      <c r="AL770" s="8">
        <v>709</v>
      </c>
      <c r="AM770" s="8">
        <v>2</v>
      </c>
      <c r="AN770" s="5" t="s">
        <v>63</v>
      </c>
      <c r="AO770" s="10">
        <v>71</v>
      </c>
      <c r="AP770" s="8">
        <v>43</v>
      </c>
      <c r="AQ770" s="9">
        <v>46290</v>
      </c>
      <c r="AR770" s="5" t="s">
        <v>70</v>
      </c>
      <c r="AS770" s="5" t="s">
        <v>81</v>
      </c>
    </row>
    <row r="771" spans="1:45" x14ac:dyDescent="0.35">
      <c r="A771" s="5" t="s">
        <v>3496</v>
      </c>
      <c r="B771" s="5" t="s">
        <v>2154</v>
      </c>
      <c r="C771" s="6" t="s">
        <v>3497</v>
      </c>
      <c r="D771" s="7">
        <v>98100</v>
      </c>
      <c r="E771" s="5" t="s">
        <v>48</v>
      </c>
      <c r="F771" s="5" t="s">
        <v>49</v>
      </c>
      <c r="G771" s="8"/>
      <c r="H771" s="8" t="str">
        <f>IF(F771="Bullet",MIN(G771,Assumptions!$B$6),"")</f>
        <v/>
      </c>
      <c r="I771" s="8">
        <v>2</v>
      </c>
      <c r="J771" s="8">
        <f>IF(F771="Monthly interest",MAX(0,Assumptions!$B$5-I771),"")</f>
        <v>1</v>
      </c>
      <c r="K771" s="7">
        <f t="shared" si="36"/>
        <v>2290</v>
      </c>
      <c r="L771" s="9">
        <v>46258</v>
      </c>
      <c r="M771" s="5" t="s">
        <v>69</v>
      </c>
      <c r="N771" s="5" t="s">
        <v>53</v>
      </c>
      <c r="O771" s="5" t="s">
        <v>71</v>
      </c>
      <c r="P771" s="5" t="s">
        <v>70</v>
      </c>
      <c r="Q771" s="5" t="s">
        <v>73</v>
      </c>
      <c r="R771" s="5" t="s">
        <v>74</v>
      </c>
      <c r="S771" s="5" t="s">
        <v>214</v>
      </c>
      <c r="T771" s="5" t="s">
        <v>57</v>
      </c>
      <c r="U771" s="5" t="s">
        <v>58</v>
      </c>
      <c r="V771" s="5" t="s">
        <v>215</v>
      </c>
      <c r="W771" s="5" t="s">
        <v>232</v>
      </c>
      <c r="X771" s="5" t="s">
        <v>3498</v>
      </c>
      <c r="Y771" s="5" t="s">
        <v>3499</v>
      </c>
      <c r="Z771" s="9">
        <v>46166</v>
      </c>
      <c r="AA771" s="8">
        <v>18</v>
      </c>
      <c r="AB771" s="9">
        <f t="shared" si="37"/>
        <v>46715</v>
      </c>
      <c r="AC771" s="10">
        <v>14</v>
      </c>
      <c r="AD771" s="7">
        <f t="shared" si="38"/>
        <v>1145</v>
      </c>
      <c r="AE771" s="7">
        <f>IF(F771="Bullet",H771*AD771,MIN(MAX(I771,1),Assumptions!$B$6)*AD771)</f>
        <v>2290</v>
      </c>
      <c r="AF771" s="8">
        <f>IF(F771="Bullet",MAX(0,Assumptions!$B$4-AB771),MAX(0,Assumptions!$B$4-L771))</f>
        <v>40</v>
      </c>
      <c r="AG771" s="9">
        <v>46230</v>
      </c>
      <c r="AH771" s="8">
        <f>IF(AG771="","",Assumptions!$B$4-AG771)</f>
        <v>68</v>
      </c>
      <c r="AI771" s="5" t="s">
        <v>63</v>
      </c>
      <c r="AJ771" s="8">
        <v>2</v>
      </c>
      <c r="AK771" s="8">
        <v>1</v>
      </c>
      <c r="AL771" s="8">
        <v>775</v>
      </c>
      <c r="AM771" s="8">
        <v>2</v>
      </c>
      <c r="AN771" s="5" t="s">
        <v>63</v>
      </c>
      <c r="AO771" s="10">
        <v>61.6</v>
      </c>
      <c r="AP771" s="8">
        <v>40</v>
      </c>
      <c r="AQ771" s="9">
        <v>46296</v>
      </c>
      <c r="AR771" s="5" t="s">
        <v>51</v>
      </c>
      <c r="AS771" s="5" t="s">
        <v>91</v>
      </c>
    </row>
    <row r="772" spans="1:45" x14ac:dyDescent="0.35">
      <c r="A772" s="5" t="s">
        <v>3500</v>
      </c>
      <c r="B772" s="5" t="s">
        <v>3501</v>
      </c>
      <c r="C772" s="6" t="s">
        <v>3502</v>
      </c>
      <c r="D772" s="7">
        <v>347800</v>
      </c>
      <c r="E772" s="5" t="s">
        <v>48</v>
      </c>
      <c r="F772" s="5" t="s">
        <v>68</v>
      </c>
      <c r="G772" s="8">
        <v>3</v>
      </c>
      <c r="H772" s="8">
        <f>IF(F772="Bullet",MIN(G772,Assumptions!$B$6),"")</f>
        <v>2</v>
      </c>
      <c r="I772" s="8"/>
      <c r="J772" s="8" t="str">
        <f>IF(F772="Monthly interest",MAX(0,Assumptions!$B$5-I772),"")</f>
        <v/>
      </c>
      <c r="K772" s="7">
        <f t="shared" si="36"/>
        <v>10434</v>
      </c>
      <c r="L772" s="9">
        <v>46182</v>
      </c>
      <c r="M772" s="5" t="s">
        <v>116</v>
      </c>
      <c r="N772" s="5" t="s">
        <v>117</v>
      </c>
      <c r="O772" s="5" t="s">
        <v>207</v>
      </c>
      <c r="P772" s="5" t="s">
        <v>72</v>
      </c>
      <c r="Q772" s="5" t="s">
        <v>73</v>
      </c>
      <c r="R772" s="5" t="s">
        <v>74</v>
      </c>
      <c r="S772" s="5" t="s">
        <v>214</v>
      </c>
      <c r="T772" s="5" t="s">
        <v>57</v>
      </c>
      <c r="U772" s="5" t="s">
        <v>86</v>
      </c>
      <c r="V772" s="5" t="s">
        <v>215</v>
      </c>
      <c r="W772" s="5" t="s">
        <v>232</v>
      </c>
      <c r="X772" s="5" t="s">
        <v>3503</v>
      </c>
      <c r="Y772" s="5" t="s">
        <v>3504</v>
      </c>
      <c r="Z772" s="9">
        <v>46182</v>
      </c>
      <c r="AA772" s="8">
        <v>3</v>
      </c>
      <c r="AB772" s="9">
        <f t="shared" si="37"/>
        <v>46274</v>
      </c>
      <c r="AC772" s="10">
        <v>12</v>
      </c>
      <c r="AD772" s="7">
        <f t="shared" si="38"/>
        <v>3478</v>
      </c>
      <c r="AE772" s="7">
        <f>IF(F772="Bullet",H772*AD772,MIN(MAX(I772,1),Assumptions!$B$6)*AD772)</f>
        <v>6956</v>
      </c>
      <c r="AF772" s="8">
        <f>IF(F772="Bullet",MAX(0,Assumptions!$B$4-AB772),MAX(0,Assumptions!$B$4-L772))</f>
        <v>24</v>
      </c>
      <c r="AG772" s="9"/>
      <c r="AH772" s="8" t="str">
        <f>IF(AG772="","",Assumptions!$B$4-AG772)</f>
        <v/>
      </c>
      <c r="AI772" s="5" t="s">
        <v>80</v>
      </c>
      <c r="AJ772" s="8"/>
      <c r="AK772" s="8">
        <v>1</v>
      </c>
      <c r="AL772" s="8">
        <v>729</v>
      </c>
      <c r="AM772" s="8">
        <v>1</v>
      </c>
      <c r="AN772" s="5" t="s">
        <v>63</v>
      </c>
      <c r="AO772" s="10">
        <v>88</v>
      </c>
      <c r="AP772" s="8">
        <v>48</v>
      </c>
      <c r="AQ772" s="9">
        <v>46279</v>
      </c>
      <c r="AR772" s="5" t="s">
        <v>53</v>
      </c>
      <c r="AS772" s="5" t="s">
        <v>91</v>
      </c>
    </row>
    <row r="773" spans="1:45" x14ac:dyDescent="0.35">
      <c r="A773" s="5" t="s">
        <v>3505</v>
      </c>
      <c r="B773" s="5" t="s">
        <v>3506</v>
      </c>
      <c r="C773" s="6" t="s">
        <v>3507</v>
      </c>
      <c r="D773" s="7">
        <v>68200</v>
      </c>
      <c r="E773" s="5" t="s">
        <v>48</v>
      </c>
      <c r="F773" s="5" t="s">
        <v>68</v>
      </c>
      <c r="G773" s="8">
        <v>5</v>
      </c>
      <c r="H773" s="8">
        <f>IF(F773="Bullet",MIN(G773,Assumptions!$B$6),"")</f>
        <v>2</v>
      </c>
      <c r="I773" s="8"/>
      <c r="J773" s="8" t="str">
        <f>IF(F773="Monthly interest",MAX(0,Assumptions!$B$5-I773),"")</f>
        <v/>
      </c>
      <c r="K773" s="7">
        <f t="shared" si="36"/>
        <v>3980</v>
      </c>
      <c r="L773" s="9">
        <v>46145</v>
      </c>
      <c r="M773" s="5" t="s">
        <v>50</v>
      </c>
      <c r="N773" s="5" t="s">
        <v>53</v>
      </c>
      <c r="O773" s="5" t="s">
        <v>168</v>
      </c>
      <c r="P773" s="5" t="s">
        <v>51</v>
      </c>
      <c r="Q773" s="5" t="s">
        <v>169</v>
      </c>
      <c r="R773" s="5" t="s">
        <v>170</v>
      </c>
      <c r="S773" s="5" t="s">
        <v>185</v>
      </c>
      <c r="T773" s="5" t="s">
        <v>57</v>
      </c>
      <c r="U773" s="5" t="s">
        <v>58</v>
      </c>
      <c r="V773" s="5" t="s">
        <v>200</v>
      </c>
      <c r="W773" s="5" t="s">
        <v>500</v>
      </c>
      <c r="X773" s="5" t="s">
        <v>965</v>
      </c>
      <c r="Y773" s="5" t="s">
        <v>3508</v>
      </c>
      <c r="Z773" s="9">
        <v>46145</v>
      </c>
      <c r="AA773" s="8">
        <v>6</v>
      </c>
      <c r="AB773" s="9">
        <f t="shared" si="37"/>
        <v>46329</v>
      </c>
      <c r="AC773" s="10">
        <v>14</v>
      </c>
      <c r="AD773" s="7">
        <f t="shared" si="38"/>
        <v>796</v>
      </c>
      <c r="AE773" s="7">
        <f>IF(F773="Bullet",H773*AD773,MIN(MAX(I773,1),Assumptions!$B$6)*AD773)</f>
        <v>1592</v>
      </c>
      <c r="AF773" s="8">
        <f>IF(F773="Bullet",MAX(0,Assumptions!$B$4-AB773),MAX(0,Assumptions!$B$4-L773))</f>
        <v>0</v>
      </c>
      <c r="AG773" s="9"/>
      <c r="AH773" s="8" t="str">
        <f>IF(AG773="","",Assumptions!$B$4-AG773)</f>
        <v/>
      </c>
      <c r="AI773" s="5" t="s">
        <v>80</v>
      </c>
      <c r="AJ773" s="8"/>
      <c r="AK773" s="8">
        <v>1</v>
      </c>
      <c r="AL773" s="8">
        <v>732</v>
      </c>
      <c r="AM773" s="8">
        <v>0</v>
      </c>
      <c r="AN773" s="5" t="s">
        <v>63</v>
      </c>
      <c r="AO773" s="10">
        <v>73.400000000000006</v>
      </c>
      <c r="AP773" s="8">
        <v>24</v>
      </c>
      <c r="AQ773" s="9">
        <v>46286</v>
      </c>
      <c r="AR773" s="5" t="s">
        <v>51</v>
      </c>
      <c r="AS773" s="5" t="s">
        <v>91</v>
      </c>
    </row>
    <row r="774" spans="1:45" x14ac:dyDescent="0.35">
      <c r="A774" s="5" t="s">
        <v>3509</v>
      </c>
      <c r="B774" s="5" t="s">
        <v>3510</v>
      </c>
      <c r="C774" s="6" t="s">
        <v>3511</v>
      </c>
      <c r="D774" s="7">
        <v>38200</v>
      </c>
      <c r="E774" s="5" t="s">
        <v>48</v>
      </c>
      <c r="F774" s="5" t="s">
        <v>68</v>
      </c>
      <c r="G774" s="8">
        <v>2</v>
      </c>
      <c r="H774" s="8">
        <f>IF(F774="Bullet",MIN(G774,Assumptions!$B$6),"")</f>
        <v>2</v>
      </c>
      <c r="I774" s="8"/>
      <c r="J774" s="8" t="str">
        <f>IF(F774="Monthly interest",MAX(0,Assumptions!$B$5-I774),"")</f>
        <v/>
      </c>
      <c r="K774" s="7">
        <f t="shared" si="36"/>
        <v>892</v>
      </c>
      <c r="L774" s="9">
        <v>46230</v>
      </c>
      <c r="M774" s="5" t="s">
        <v>50</v>
      </c>
      <c r="N774" s="5" t="s">
        <v>53</v>
      </c>
      <c r="O774" s="5" t="s">
        <v>152</v>
      </c>
      <c r="P774" s="5" t="s">
        <v>153</v>
      </c>
      <c r="Q774" s="5" t="s">
        <v>154</v>
      </c>
      <c r="R774" s="5" t="s">
        <v>155</v>
      </c>
      <c r="S774" s="5" t="s">
        <v>185</v>
      </c>
      <c r="T774" s="5" t="s">
        <v>57</v>
      </c>
      <c r="U774" s="5" t="s">
        <v>104</v>
      </c>
      <c r="V774" s="5" t="s">
        <v>200</v>
      </c>
      <c r="W774" s="5" t="s">
        <v>500</v>
      </c>
      <c r="X774" s="5" t="s">
        <v>570</v>
      </c>
      <c r="Y774" s="5" t="s">
        <v>3512</v>
      </c>
      <c r="Z774" s="9">
        <v>46230</v>
      </c>
      <c r="AA774" s="8">
        <v>6</v>
      </c>
      <c r="AB774" s="9">
        <f t="shared" si="37"/>
        <v>46414</v>
      </c>
      <c r="AC774" s="10">
        <v>14</v>
      </c>
      <c r="AD774" s="7">
        <f t="shared" si="38"/>
        <v>446</v>
      </c>
      <c r="AE774" s="7">
        <f>IF(F774="Bullet",H774*AD774,MIN(MAX(I774,1),Assumptions!$B$6)*AD774)</f>
        <v>892</v>
      </c>
      <c r="AF774" s="8">
        <f>IF(F774="Bullet",MAX(0,Assumptions!$B$4-AB774),MAX(0,Assumptions!$B$4-L774))</f>
        <v>0</v>
      </c>
      <c r="AG774" s="9"/>
      <c r="AH774" s="8" t="str">
        <f>IF(AG774="","",Assumptions!$B$4-AG774)</f>
        <v/>
      </c>
      <c r="AI774" s="5" t="s">
        <v>80</v>
      </c>
      <c r="AJ774" s="8"/>
      <c r="AK774" s="8">
        <v>0</v>
      </c>
      <c r="AL774" s="8">
        <v>858</v>
      </c>
      <c r="AM774" s="8">
        <v>3</v>
      </c>
      <c r="AN774" s="5" t="s">
        <v>63</v>
      </c>
      <c r="AO774" s="10">
        <v>79.2</v>
      </c>
      <c r="AP774" s="8">
        <v>10</v>
      </c>
      <c r="AQ774" s="9">
        <v>46276</v>
      </c>
      <c r="AR774" s="5" t="s">
        <v>70</v>
      </c>
      <c r="AS774" s="5" t="s">
        <v>181</v>
      </c>
    </row>
    <row r="775" spans="1:45" x14ac:dyDescent="0.35">
      <c r="A775" s="5" t="s">
        <v>3513</v>
      </c>
      <c r="B775" s="5" t="s">
        <v>3514</v>
      </c>
      <c r="C775" s="6" t="s">
        <v>3515</v>
      </c>
      <c r="D775" s="7">
        <v>218600</v>
      </c>
      <c r="E775" s="5" t="s">
        <v>48</v>
      </c>
      <c r="F775" s="5" t="s">
        <v>68</v>
      </c>
      <c r="G775" s="8">
        <v>1</v>
      </c>
      <c r="H775" s="8">
        <f>IF(F775="Bullet",MIN(G775,Assumptions!$B$6),"")</f>
        <v>1</v>
      </c>
      <c r="I775" s="8"/>
      <c r="J775" s="8" t="str">
        <f>IF(F775="Monthly interest",MAX(0,Assumptions!$B$5-I775),"")</f>
        <v/>
      </c>
      <c r="K775" s="7">
        <f t="shared" si="36"/>
        <v>2733</v>
      </c>
      <c r="L775" s="9">
        <v>46252</v>
      </c>
      <c r="M775" s="5" t="s">
        <v>50</v>
      </c>
      <c r="N775" s="5" t="s">
        <v>51</v>
      </c>
      <c r="O775" s="5" t="s">
        <v>71</v>
      </c>
      <c r="P775" s="5" t="s">
        <v>53</v>
      </c>
      <c r="Q775" s="5" t="s">
        <v>73</v>
      </c>
      <c r="R775" s="5" t="s">
        <v>74</v>
      </c>
      <c r="S775" s="5" t="s">
        <v>185</v>
      </c>
      <c r="T775" s="5" t="s">
        <v>57</v>
      </c>
      <c r="U775" s="5" t="s">
        <v>86</v>
      </c>
      <c r="V775" s="5" t="s">
        <v>186</v>
      </c>
      <c r="W775" s="5" t="s">
        <v>376</v>
      </c>
      <c r="X775" s="5" t="s">
        <v>1010</v>
      </c>
      <c r="Y775" s="5" t="s">
        <v>3516</v>
      </c>
      <c r="Z775" s="9">
        <v>46252</v>
      </c>
      <c r="AA775" s="8">
        <v>12</v>
      </c>
      <c r="AB775" s="9">
        <f t="shared" si="37"/>
        <v>46617</v>
      </c>
      <c r="AC775" s="10">
        <v>15</v>
      </c>
      <c r="AD775" s="7">
        <f t="shared" si="38"/>
        <v>2733</v>
      </c>
      <c r="AE775" s="7">
        <f>IF(F775="Bullet",H775*AD775,MIN(MAX(I775,1),Assumptions!$B$6)*AD775)</f>
        <v>2733</v>
      </c>
      <c r="AF775" s="8">
        <f>IF(F775="Bullet",MAX(0,Assumptions!$B$4-AB775),MAX(0,Assumptions!$B$4-L775))</f>
        <v>0</v>
      </c>
      <c r="AG775" s="9"/>
      <c r="AH775" s="8" t="str">
        <f>IF(AG775="","",Assumptions!$B$4-AG775)</f>
        <v/>
      </c>
      <c r="AI775" s="5" t="s">
        <v>80</v>
      </c>
      <c r="AJ775" s="8"/>
      <c r="AK775" s="8">
        <v>0</v>
      </c>
      <c r="AL775" s="8">
        <v>734</v>
      </c>
      <c r="AM775" s="8">
        <v>2</v>
      </c>
      <c r="AN775" s="5" t="s">
        <v>63</v>
      </c>
      <c r="AO775" s="10">
        <v>70.599999999999994</v>
      </c>
      <c r="AP775" s="8">
        <v>11</v>
      </c>
      <c r="AQ775" s="9">
        <v>46285</v>
      </c>
      <c r="AR775" s="5" t="s">
        <v>53</v>
      </c>
      <c r="AS775" s="5" t="s">
        <v>91</v>
      </c>
    </row>
    <row r="776" spans="1:45" x14ac:dyDescent="0.35">
      <c r="A776" s="5" t="s">
        <v>3517</v>
      </c>
      <c r="B776" s="5" t="s">
        <v>3518</v>
      </c>
      <c r="C776" s="6" t="s">
        <v>3519</v>
      </c>
      <c r="D776" s="7">
        <v>19300</v>
      </c>
      <c r="E776" s="5" t="s">
        <v>48</v>
      </c>
      <c r="F776" s="5" t="s">
        <v>68</v>
      </c>
      <c r="G776" s="8">
        <v>6</v>
      </c>
      <c r="H776" s="8">
        <f>IF(F776="Bullet",MIN(G776,Assumptions!$B$6),"")</f>
        <v>2</v>
      </c>
      <c r="I776" s="8"/>
      <c r="J776" s="8" t="str">
        <f>IF(F776="Monthly interest",MAX(0,Assumptions!$B$5-I776),"")</f>
        <v/>
      </c>
      <c r="K776" s="7">
        <f t="shared" si="36"/>
        <v>1254</v>
      </c>
      <c r="L776" s="9">
        <v>46099</v>
      </c>
      <c r="M776" s="5" t="s">
        <v>69</v>
      </c>
      <c r="N776" s="5" t="s">
        <v>53</v>
      </c>
      <c r="O776" s="5" t="s">
        <v>168</v>
      </c>
      <c r="P776" s="5" t="s">
        <v>70</v>
      </c>
      <c r="Q776" s="5" t="s">
        <v>169</v>
      </c>
      <c r="R776" s="5" t="s">
        <v>170</v>
      </c>
      <c r="S776" s="5" t="s">
        <v>75</v>
      </c>
      <c r="T776" s="5" t="s">
        <v>57</v>
      </c>
      <c r="U776" s="5" t="s">
        <v>86</v>
      </c>
      <c r="V776" s="5" t="s">
        <v>76</v>
      </c>
      <c r="W776" s="5" t="s">
        <v>105</v>
      </c>
      <c r="X776" s="5" t="s">
        <v>2976</v>
      </c>
      <c r="Y776" s="5" t="s">
        <v>3520</v>
      </c>
      <c r="Z776" s="9">
        <v>46099</v>
      </c>
      <c r="AA776" s="8">
        <v>6</v>
      </c>
      <c r="AB776" s="9">
        <f t="shared" si="37"/>
        <v>46283</v>
      </c>
      <c r="AC776" s="10">
        <v>13</v>
      </c>
      <c r="AD776" s="7">
        <f t="shared" si="38"/>
        <v>209</v>
      </c>
      <c r="AE776" s="7">
        <f>IF(F776="Bullet",H776*AD776,MIN(MAX(I776,1),Assumptions!$B$6)*AD776)</f>
        <v>418</v>
      </c>
      <c r="AF776" s="8">
        <f>IF(F776="Bullet",MAX(0,Assumptions!$B$4-AB776),MAX(0,Assumptions!$B$4-L776))</f>
        <v>15</v>
      </c>
      <c r="AG776" s="9"/>
      <c r="AH776" s="8" t="str">
        <f>IF(AG776="","",Assumptions!$B$4-AG776)</f>
        <v/>
      </c>
      <c r="AI776" s="5" t="s">
        <v>80</v>
      </c>
      <c r="AJ776" s="8"/>
      <c r="AK776" s="8">
        <v>1</v>
      </c>
      <c r="AL776" s="8">
        <v>764</v>
      </c>
      <c r="AM776" s="8">
        <v>2</v>
      </c>
      <c r="AN776" s="5" t="s">
        <v>63</v>
      </c>
      <c r="AO776" s="10">
        <v>48.2</v>
      </c>
      <c r="AP776" s="8">
        <v>45</v>
      </c>
      <c r="AQ776" s="9">
        <v>46281</v>
      </c>
      <c r="AR776" s="5" t="s">
        <v>51</v>
      </c>
      <c r="AS776" s="5" t="s">
        <v>181</v>
      </c>
    </row>
    <row r="777" spans="1:45" x14ac:dyDescent="0.35">
      <c r="A777" s="5" t="s">
        <v>3521</v>
      </c>
      <c r="B777" s="5" t="s">
        <v>3522</v>
      </c>
      <c r="C777" s="6" t="s">
        <v>3523</v>
      </c>
      <c r="D777" s="7">
        <v>575300</v>
      </c>
      <c r="E777" s="5" t="s">
        <v>48</v>
      </c>
      <c r="F777" s="5" t="s">
        <v>68</v>
      </c>
      <c r="G777" s="8">
        <v>5</v>
      </c>
      <c r="H777" s="8">
        <f>IF(F777="Bullet",MIN(G777,Assumptions!$B$6),"")</f>
        <v>2</v>
      </c>
      <c r="I777" s="8"/>
      <c r="J777" s="8" t="str">
        <f>IF(F777="Monthly interest",MAX(0,Assumptions!$B$5-I777),"")</f>
        <v/>
      </c>
      <c r="K777" s="7">
        <f t="shared" si="36"/>
        <v>33560</v>
      </c>
      <c r="L777" s="9">
        <v>46128</v>
      </c>
      <c r="M777" s="5" t="s">
        <v>69</v>
      </c>
      <c r="N777" s="5" t="s">
        <v>53</v>
      </c>
      <c r="O777" s="5" t="s">
        <v>168</v>
      </c>
      <c r="P777" s="5" t="s">
        <v>70</v>
      </c>
      <c r="Q777" s="5" t="s">
        <v>169</v>
      </c>
      <c r="R777" s="5" t="s">
        <v>170</v>
      </c>
      <c r="S777" s="5" t="s">
        <v>214</v>
      </c>
      <c r="T777" s="5" t="s">
        <v>63</v>
      </c>
      <c r="U777" s="5" t="s">
        <v>86</v>
      </c>
      <c r="V777" s="5" t="s">
        <v>215</v>
      </c>
      <c r="W777" s="5" t="s">
        <v>242</v>
      </c>
      <c r="X777" s="5" t="s">
        <v>2135</v>
      </c>
      <c r="Y777" s="5" t="s">
        <v>3524</v>
      </c>
      <c r="Z777" s="9">
        <v>46128</v>
      </c>
      <c r="AA777" s="8">
        <v>12</v>
      </c>
      <c r="AB777" s="9">
        <f t="shared" si="37"/>
        <v>46493</v>
      </c>
      <c r="AC777" s="10">
        <v>14</v>
      </c>
      <c r="AD777" s="7">
        <f t="shared" si="38"/>
        <v>6712</v>
      </c>
      <c r="AE777" s="7">
        <f>IF(F777="Bullet",H777*AD777,MIN(MAX(I777,1),Assumptions!$B$6)*AD777)</f>
        <v>13424</v>
      </c>
      <c r="AF777" s="8">
        <f>IF(F777="Bullet",MAX(0,Assumptions!$B$4-AB777),MAX(0,Assumptions!$B$4-L777))</f>
        <v>0</v>
      </c>
      <c r="AG777" s="9"/>
      <c r="AH777" s="8" t="str">
        <f>IF(AG777="","",Assumptions!$B$4-AG777)</f>
        <v/>
      </c>
      <c r="AI777" s="5" t="s">
        <v>80</v>
      </c>
      <c r="AJ777" s="8"/>
      <c r="AK777" s="8">
        <v>2</v>
      </c>
      <c r="AL777" s="8">
        <v>763</v>
      </c>
      <c r="AM777" s="8">
        <v>0</v>
      </c>
      <c r="AN777" s="5" t="s">
        <v>63</v>
      </c>
      <c r="AO777" s="10">
        <v>71</v>
      </c>
      <c r="AP777" s="8">
        <v>41</v>
      </c>
      <c r="AQ777" s="9">
        <v>46294</v>
      </c>
      <c r="AR777" s="5" t="s">
        <v>51</v>
      </c>
      <c r="AS777" s="5" t="s">
        <v>81</v>
      </c>
    </row>
    <row r="778" spans="1:45" x14ac:dyDescent="0.35">
      <c r="A778" s="5" t="s">
        <v>3525</v>
      </c>
      <c r="B778" s="5" t="s">
        <v>1379</v>
      </c>
      <c r="C778" s="6" t="s">
        <v>3526</v>
      </c>
      <c r="D778" s="7">
        <v>68100</v>
      </c>
      <c r="E778" s="5" t="s">
        <v>48</v>
      </c>
      <c r="F778" s="5" t="s">
        <v>49</v>
      </c>
      <c r="G778" s="8"/>
      <c r="H778" s="8" t="str">
        <f>IF(F778="Bullet",MIN(G778,Assumptions!$B$6),"")</f>
        <v/>
      </c>
      <c r="I778" s="8">
        <v>2</v>
      </c>
      <c r="J778" s="8">
        <f>IF(F778="Monthly interest",MAX(0,Assumptions!$B$5-I778),"")</f>
        <v>1</v>
      </c>
      <c r="K778" s="7">
        <f t="shared" si="36"/>
        <v>2498</v>
      </c>
      <c r="L778" s="9">
        <v>46262</v>
      </c>
      <c r="M778" s="5" t="s">
        <v>116</v>
      </c>
      <c r="N778" s="5" t="s">
        <v>117</v>
      </c>
      <c r="O778" s="5" t="s">
        <v>118</v>
      </c>
      <c r="P778" s="5" t="s">
        <v>72</v>
      </c>
      <c r="Q778" s="5" t="s">
        <v>119</v>
      </c>
      <c r="R778" s="5" t="s">
        <v>120</v>
      </c>
      <c r="S778" s="5" t="s">
        <v>75</v>
      </c>
      <c r="T778" s="5" t="s">
        <v>57</v>
      </c>
      <c r="U778" s="5" t="s">
        <v>86</v>
      </c>
      <c r="V778" s="5" t="s">
        <v>76</v>
      </c>
      <c r="W778" s="5" t="s">
        <v>77</v>
      </c>
      <c r="X778" s="5" t="s">
        <v>78</v>
      </c>
      <c r="Y778" s="5" t="s">
        <v>3527</v>
      </c>
      <c r="Z778" s="9">
        <v>45989</v>
      </c>
      <c r="AA778" s="8">
        <v>12</v>
      </c>
      <c r="AB778" s="9">
        <f t="shared" si="37"/>
        <v>46354</v>
      </c>
      <c r="AC778" s="10">
        <v>22</v>
      </c>
      <c r="AD778" s="7">
        <f t="shared" si="38"/>
        <v>1249</v>
      </c>
      <c r="AE778" s="7">
        <f>IF(F778="Bullet",H778*AD778,MIN(MAX(I778,1),Assumptions!$B$6)*AD778)</f>
        <v>2498</v>
      </c>
      <c r="AF778" s="8">
        <f>IF(F778="Bullet",MAX(0,Assumptions!$B$4-AB778),MAX(0,Assumptions!$B$4-L778))</f>
        <v>36</v>
      </c>
      <c r="AG778" s="9">
        <v>46231</v>
      </c>
      <c r="AH778" s="8">
        <f>IF(AG778="","",Assumptions!$B$4-AG778)</f>
        <v>67</v>
      </c>
      <c r="AI778" s="5" t="s">
        <v>57</v>
      </c>
      <c r="AJ778" s="8">
        <v>2</v>
      </c>
      <c r="AK778" s="8">
        <v>1</v>
      </c>
      <c r="AL778" s="8">
        <v>687</v>
      </c>
      <c r="AM778" s="8">
        <v>2</v>
      </c>
      <c r="AN778" s="5" t="s">
        <v>63</v>
      </c>
      <c r="AO778" s="10">
        <v>81.3</v>
      </c>
      <c r="AP778" s="8">
        <v>52</v>
      </c>
      <c r="AQ778" s="9">
        <v>46278</v>
      </c>
      <c r="AR778" s="5" t="s">
        <v>70</v>
      </c>
      <c r="AS778" s="5" t="s">
        <v>81</v>
      </c>
    </row>
    <row r="779" spans="1:45" x14ac:dyDescent="0.35">
      <c r="A779" s="5" t="s">
        <v>3528</v>
      </c>
      <c r="B779" s="5" t="s">
        <v>841</v>
      </c>
      <c r="C779" s="6" t="s">
        <v>3529</v>
      </c>
      <c r="D779" s="7">
        <v>126300</v>
      </c>
      <c r="E779" s="5" t="s">
        <v>48</v>
      </c>
      <c r="F779" s="5" t="s">
        <v>49</v>
      </c>
      <c r="G779" s="8"/>
      <c r="H779" s="8" t="str">
        <f>IF(F779="Bullet",MIN(G779,Assumptions!$B$6),"")</f>
        <v/>
      </c>
      <c r="I779" s="8">
        <v>2</v>
      </c>
      <c r="J779" s="8">
        <f>IF(F779="Monthly interest",MAX(0,Assumptions!$B$5-I779),"")</f>
        <v>1</v>
      </c>
      <c r="K779" s="7">
        <f t="shared" si="36"/>
        <v>3790</v>
      </c>
      <c r="L779" s="9">
        <v>46244</v>
      </c>
      <c r="M779" s="5" t="s">
        <v>116</v>
      </c>
      <c r="N779" s="5" t="s">
        <v>117</v>
      </c>
      <c r="O779" s="5" t="s">
        <v>118</v>
      </c>
      <c r="P779" s="5" t="s">
        <v>72</v>
      </c>
      <c r="Q779" s="5" t="s">
        <v>119</v>
      </c>
      <c r="R779" s="5" t="s">
        <v>120</v>
      </c>
      <c r="S779" s="5" t="s">
        <v>185</v>
      </c>
      <c r="T779" s="5" t="s">
        <v>57</v>
      </c>
      <c r="U779" s="5" t="s">
        <v>104</v>
      </c>
      <c r="V779" s="5" t="s">
        <v>200</v>
      </c>
      <c r="W779" s="5" t="s">
        <v>1332</v>
      </c>
      <c r="X779" s="5" t="s">
        <v>1822</v>
      </c>
      <c r="Y779" s="5" t="s">
        <v>3530</v>
      </c>
      <c r="Z779" s="9">
        <v>46183</v>
      </c>
      <c r="AA779" s="8">
        <v>12</v>
      </c>
      <c r="AB779" s="9">
        <f t="shared" si="37"/>
        <v>46548</v>
      </c>
      <c r="AC779" s="10">
        <v>18</v>
      </c>
      <c r="AD779" s="7">
        <f t="shared" si="38"/>
        <v>1895</v>
      </c>
      <c r="AE779" s="7">
        <f>IF(F779="Bullet",H779*AD779,MIN(MAX(I779,1),Assumptions!$B$6)*AD779)</f>
        <v>3790</v>
      </c>
      <c r="AF779" s="8">
        <f>IF(F779="Bullet",MAX(0,Assumptions!$B$4-AB779),MAX(0,Assumptions!$B$4-L779))</f>
        <v>54</v>
      </c>
      <c r="AG779" s="9">
        <v>46213</v>
      </c>
      <c r="AH779" s="8">
        <f>IF(AG779="","",Assumptions!$B$4-AG779)</f>
        <v>85</v>
      </c>
      <c r="AI779" s="5" t="s">
        <v>63</v>
      </c>
      <c r="AJ779" s="8">
        <v>2</v>
      </c>
      <c r="AK779" s="8">
        <v>1</v>
      </c>
      <c r="AL779" s="8" t="s">
        <v>80</v>
      </c>
      <c r="AM779" s="8">
        <v>1</v>
      </c>
      <c r="AN779" s="5" t="s">
        <v>63</v>
      </c>
      <c r="AO779" s="10">
        <v>73.7</v>
      </c>
      <c r="AP779" s="8">
        <v>52</v>
      </c>
      <c r="AQ779" s="9">
        <v>46282</v>
      </c>
      <c r="AR779" s="5" t="s">
        <v>70</v>
      </c>
      <c r="AS779" s="5" t="s">
        <v>64</v>
      </c>
    </row>
    <row r="780" spans="1:45" x14ac:dyDescent="0.35">
      <c r="A780" s="5" t="s">
        <v>3531</v>
      </c>
      <c r="B780" s="5" t="s">
        <v>3532</v>
      </c>
      <c r="C780" s="6" t="s">
        <v>3533</v>
      </c>
      <c r="D780" s="7">
        <v>260800</v>
      </c>
      <c r="E780" s="5" t="s">
        <v>48</v>
      </c>
      <c r="F780" s="5" t="s">
        <v>68</v>
      </c>
      <c r="G780" s="8">
        <v>3</v>
      </c>
      <c r="H780" s="8">
        <f>IF(F780="Bullet",MIN(G780,Assumptions!$B$6),"")</f>
        <v>2</v>
      </c>
      <c r="I780" s="8"/>
      <c r="J780" s="8" t="str">
        <f>IF(F780="Monthly interest",MAX(0,Assumptions!$B$5-I780),"")</f>
        <v/>
      </c>
      <c r="K780" s="7">
        <f t="shared" si="36"/>
        <v>9780</v>
      </c>
      <c r="L780" s="9">
        <v>46187</v>
      </c>
      <c r="M780" s="5" t="s">
        <v>50</v>
      </c>
      <c r="N780" s="5" t="s">
        <v>70</v>
      </c>
      <c r="O780" s="5" t="s">
        <v>295</v>
      </c>
      <c r="P780" s="5" t="s">
        <v>72</v>
      </c>
      <c r="Q780" s="5" t="s">
        <v>73</v>
      </c>
      <c r="R780" s="5" t="s">
        <v>74</v>
      </c>
      <c r="S780" s="5" t="s">
        <v>85</v>
      </c>
      <c r="T780" s="5" t="s">
        <v>57</v>
      </c>
      <c r="U780" s="5" t="s">
        <v>104</v>
      </c>
      <c r="V780" s="5" t="s">
        <v>553</v>
      </c>
      <c r="W780" s="5" t="s">
        <v>554</v>
      </c>
      <c r="X780" s="5" t="s">
        <v>3534</v>
      </c>
      <c r="Y780" s="5" t="s">
        <v>3535</v>
      </c>
      <c r="Z780" s="9">
        <v>46187</v>
      </c>
      <c r="AA780" s="8">
        <v>6</v>
      </c>
      <c r="AB780" s="9">
        <f t="shared" si="37"/>
        <v>46370</v>
      </c>
      <c r="AC780" s="10">
        <v>15</v>
      </c>
      <c r="AD780" s="7">
        <f t="shared" si="38"/>
        <v>3260</v>
      </c>
      <c r="AE780" s="7">
        <f>IF(F780="Bullet",H780*AD780,MIN(MAX(I780,1),Assumptions!$B$6)*AD780)</f>
        <v>6520</v>
      </c>
      <c r="AF780" s="8">
        <f>IF(F780="Bullet",MAX(0,Assumptions!$B$4-AB780),MAX(0,Assumptions!$B$4-L780))</f>
        <v>0</v>
      </c>
      <c r="AG780" s="9"/>
      <c r="AH780" s="8" t="str">
        <f>IF(AG780="","",Assumptions!$B$4-AG780)</f>
        <v/>
      </c>
      <c r="AI780" s="5" t="s">
        <v>80</v>
      </c>
      <c r="AJ780" s="8"/>
      <c r="AK780" s="8">
        <v>0</v>
      </c>
      <c r="AL780" s="8" t="s">
        <v>80</v>
      </c>
      <c r="AM780" s="8">
        <v>0</v>
      </c>
      <c r="AN780" s="5" t="s">
        <v>63</v>
      </c>
      <c r="AO780" s="10">
        <v>73.7</v>
      </c>
      <c r="AP780" s="8">
        <v>26</v>
      </c>
      <c r="AQ780" s="9">
        <v>46290</v>
      </c>
      <c r="AR780" s="5" t="s">
        <v>53</v>
      </c>
      <c r="AS780" s="5" t="s">
        <v>91</v>
      </c>
    </row>
    <row r="781" spans="1:45" x14ac:dyDescent="0.35">
      <c r="A781" s="5" t="s">
        <v>3536</v>
      </c>
      <c r="B781" s="5" t="s">
        <v>2656</v>
      </c>
      <c r="C781" s="6" t="s">
        <v>3537</v>
      </c>
      <c r="D781" s="7">
        <v>32800</v>
      </c>
      <c r="E781" s="5" t="s">
        <v>48</v>
      </c>
      <c r="F781" s="5" t="s">
        <v>49</v>
      </c>
      <c r="G781" s="8"/>
      <c r="H781" s="8" t="str">
        <f>IF(F781="Bullet",MIN(G781,Assumptions!$B$6),"")</f>
        <v/>
      </c>
      <c r="I781" s="8">
        <v>1</v>
      </c>
      <c r="J781" s="8">
        <f>IF(F781="Monthly interest",MAX(0,Assumptions!$B$5-I781),"")</f>
        <v>2</v>
      </c>
      <c r="K781" s="7">
        <f t="shared" si="36"/>
        <v>437</v>
      </c>
      <c r="L781" s="9">
        <v>46284</v>
      </c>
      <c r="M781" s="5" t="s">
        <v>69</v>
      </c>
      <c r="N781" s="5" t="s">
        <v>53</v>
      </c>
      <c r="O781" s="5" t="s">
        <v>103</v>
      </c>
      <c r="P781" s="5" t="s">
        <v>153</v>
      </c>
      <c r="Q781" s="5" t="s">
        <v>154</v>
      </c>
      <c r="R781" s="5" t="s">
        <v>155</v>
      </c>
      <c r="S781" s="5" t="s">
        <v>85</v>
      </c>
      <c r="T781" s="5" t="s">
        <v>57</v>
      </c>
      <c r="U781" s="5" t="s">
        <v>58</v>
      </c>
      <c r="V781" s="5" t="s">
        <v>177</v>
      </c>
      <c r="W781" s="5" t="s">
        <v>345</v>
      </c>
      <c r="X781" s="5" t="s">
        <v>1068</v>
      </c>
      <c r="Y781" s="5" t="s">
        <v>3538</v>
      </c>
      <c r="Z781" s="9">
        <v>46131</v>
      </c>
      <c r="AA781" s="8">
        <v>18</v>
      </c>
      <c r="AB781" s="9">
        <f t="shared" si="37"/>
        <v>46679</v>
      </c>
      <c r="AC781" s="10">
        <v>16</v>
      </c>
      <c r="AD781" s="7">
        <f t="shared" si="38"/>
        <v>437</v>
      </c>
      <c r="AE781" s="7">
        <f>IF(F781="Bullet",H781*AD781,MIN(MAX(I781,1),Assumptions!$B$6)*AD781)</f>
        <v>437</v>
      </c>
      <c r="AF781" s="8">
        <f>IF(F781="Bullet",MAX(0,Assumptions!$B$4-AB781),MAX(0,Assumptions!$B$4-L781))</f>
        <v>14</v>
      </c>
      <c r="AG781" s="9">
        <v>46256</v>
      </c>
      <c r="AH781" s="8">
        <f>IF(AG781="","",Assumptions!$B$4-AG781)</f>
        <v>42</v>
      </c>
      <c r="AI781" s="5" t="s">
        <v>57</v>
      </c>
      <c r="AJ781" s="8">
        <v>1</v>
      </c>
      <c r="AK781" s="8">
        <v>2</v>
      </c>
      <c r="AL781" s="8">
        <v>720</v>
      </c>
      <c r="AM781" s="8">
        <v>2</v>
      </c>
      <c r="AN781" s="5" t="s">
        <v>63</v>
      </c>
      <c r="AO781" s="10">
        <v>68.599999999999994</v>
      </c>
      <c r="AP781" s="8">
        <v>33</v>
      </c>
      <c r="AQ781" s="9">
        <v>46287</v>
      </c>
      <c r="AR781" s="5" t="s">
        <v>51</v>
      </c>
      <c r="AS781" s="5" t="s">
        <v>81</v>
      </c>
    </row>
    <row r="782" spans="1:45" x14ac:dyDescent="0.35">
      <c r="A782" s="5" t="s">
        <v>3539</v>
      </c>
      <c r="B782" s="5" t="s">
        <v>1607</v>
      </c>
      <c r="C782" s="6" t="s">
        <v>3540</v>
      </c>
      <c r="D782" s="7">
        <v>152300</v>
      </c>
      <c r="E782" s="5" t="s">
        <v>48</v>
      </c>
      <c r="F782" s="5" t="s">
        <v>49</v>
      </c>
      <c r="G782" s="8"/>
      <c r="H782" s="8" t="str">
        <f>IF(F782="Bullet",MIN(G782,Assumptions!$B$6),"")</f>
        <v/>
      </c>
      <c r="I782" s="8">
        <v>2</v>
      </c>
      <c r="J782" s="8">
        <f>IF(F782="Monthly interest",MAX(0,Assumptions!$B$5-I782),"")</f>
        <v>1</v>
      </c>
      <c r="K782" s="7">
        <f t="shared" si="36"/>
        <v>3808</v>
      </c>
      <c r="L782" s="9">
        <v>46259</v>
      </c>
      <c r="M782" s="5" t="s">
        <v>116</v>
      </c>
      <c r="N782" s="5" t="s">
        <v>117</v>
      </c>
      <c r="O782" s="5" t="s">
        <v>118</v>
      </c>
      <c r="P782" s="5" t="s">
        <v>72</v>
      </c>
      <c r="Q782" s="5" t="s">
        <v>119</v>
      </c>
      <c r="R782" s="5" t="s">
        <v>120</v>
      </c>
      <c r="S782" s="5" t="s">
        <v>85</v>
      </c>
      <c r="T782" s="5" t="s">
        <v>57</v>
      </c>
      <c r="U782" s="5" t="s">
        <v>104</v>
      </c>
      <c r="V782" s="5" t="s">
        <v>96</v>
      </c>
      <c r="W782" s="5" t="s">
        <v>265</v>
      </c>
      <c r="X782" s="5" t="s">
        <v>2847</v>
      </c>
      <c r="Y782" s="5" t="s">
        <v>3541</v>
      </c>
      <c r="Z782" s="9">
        <v>46016</v>
      </c>
      <c r="AA782" s="8">
        <v>18</v>
      </c>
      <c r="AB782" s="9">
        <f t="shared" si="37"/>
        <v>46563</v>
      </c>
      <c r="AC782" s="10">
        <v>15</v>
      </c>
      <c r="AD782" s="7">
        <f t="shared" si="38"/>
        <v>1904</v>
      </c>
      <c r="AE782" s="7">
        <f>IF(F782="Bullet",H782*AD782,MIN(MAX(I782,1),Assumptions!$B$6)*AD782)</f>
        <v>3808</v>
      </c>
      <c r="AF782" s="8">
        <f>IF(F782="Bullet",MAX(0,Assumptions!$B$4-AB782),MAX(0,Assumptions!$B$4-L782))</f>
        <v>39</v>
      </c>
      <c r="AG782" s="9">
        <v>46233</v>
      </c>
      <c r="AH782" s="8">
        <f>IF(AG782="","",Assumptions!$B$4-AG782)</f>
        <v>65</v>
      </c>
      <c r="AI782" s="5" t="s">
        <v>63</v>
      </c>
      <c r="AJ782" s="8">
        <v>2</v>
      </c>
      <c r="AK782" s="8">
        <v>0</v>
      </c>
      <c r="AL782" s="8">
        <v>602</v>
      </c>
      <c r="AM782" s="8">
        <v>1</v>
      </c>
      <c r="AN782" s="5" t="s">
        <v>63</v>
      </c>
      <c r="AO782" s="10">
        <v>64.5</v>
      </c>
      <c r="AP782" s="8">
        <v>54</v>
      </c>
      <c r="AQ782" s="9">
        <v>46287</v>
      </c>
      <c r="AR782" s="5" t="s">
        <v>51</v>
      </c>
      <c r="AS782" s="5" t="s">
        <v>81</v>
      </c>
    </row>
    <row r="783" spans="1:45" x14ac:dyDescent="0.35">
      <c r="A783" s="5" t="s">
        <v>3542</v>
      </c>
      <c r="B783" s="5" t="s">
        <v>3543</v>
      </c>
      <c r="C783" s="6" t="s">
        <v>3544</v>
      </c>
      <c r="D783" s="7">
        <v>77400</v>
      </c>
      <c r="E783" s="5" t="s">
        <v>48</v>
      </c>
      <c r="F783" s="5" t="s">
        <v>49</v>
      </c>
      <c r="G783" s="8"/>
      <c r="H783" s="8" t="str">
        <f>IF(F783="Bullet",MIN(G783,Assumptions!$B$6),"")</f>
        <v/>
      </c>
      <c r="I783" s="8">
        <v>2</v>
      </c>
      <c r="J783" s="8">
        <f>IF(F783="Monthly interest",MAX(0,Assumptions!$B$5-I783),"")</f>
        <v>1</v>
      </c>
      <c r="K783" s="7">
        <f t="shared" si="36"/>
        <v>2322</v>
      </c>
      <c r="L783" s="9">
        <v>46251</v>
      </c>
      <c r="M783" s="5" t="s">
        <v>116</v>
      </c>
      <c r="N783" s="5" t="s">
        <v>117</v>
      </c>
      <c r="O783" s="5" t="s">
        <v>118</v>
      </c>
      <c r="P783" s="5" t="s">
        <v>72</v>
      </c>
      <c r="Q783" s="5" t="s">
        <v>119</v>
      </c>
      <c r="R783" s="5" t="s">
        <v>120</v>
      </c>
      <c r="S783" s="5" t="s">
        <v>214</v>
      </c>
      <c r="T783" s="5" t="s">
        <v>57</v>
      </c>
      <c r="U783" s="5" t="s">
        <v>58</v>
      </c>
      <c r="V783" s="5" t="s">
        <v>215</v>
      </c>
      <c r="W783" s="5" t="s">
        <v>242</v>
      </c>
      <c r="X783" s="5" t="s">
        <v>1215</v>
      </c>
      <c r="Y783" s="5" t="s">
        <v>3545</v>
      </c>
      <c r="Z783" s="9">
        <v>46039</v>
      </c>
      <c r="AA783" s="8">
        <v>18</v>
      </c>
      <c r="AB783" s="9">
        <f t="shared" si="37"/>
        <v>46585</v>
      </c>
      <c r="AC783" s="10">
        <v>18</v>
      </c>
      <c r="AD783" s="7">
        <f t="shared" si="38"/>
        <v>1161</v>
      </c>
      <c r="AE783" s="7">
        <f>IF(F783="Bullet",H783*AD783,MIN(MAX(I783,1),Assumptions!$B$6)*AD783)</f>
        <v>2322</v>
      </c>
      <c r="AF783" s="8">
        <f>IF(F783="Bullet",MAX(0,Assumptions!$B$4-AB783),MAX(0,Assumptions!$B$4-L783))</f>
        <v>47</v>
      </c>
      <c r="AG783" s="9">
        <v>46221</v>
      </c>
      <c r="AH783" s="8">
        <f>IF(AG783="","",Assumptions!$B$4-AG783)</f>
        <v>77</v>
      </c>
      <c r="AI783" s="5" t="s">
        <v>63</v>
      </c>
      <c r="AJ783" s="8">
        <v>2</v>
      </c>
      <c r="AK783" s="8">
        <v>1</v>
      </c>
      <c r="AL783" s="8">
        <v>699</v>
      </c>
      <c r="AM783" s="8">
        <v>2</v>
      </c>
      <c r="AN783" s="5" t="s">
        <v>63</v>
      </c>
      <c r="AO783" s="10">
        <v>73.3</v>
      </c>
      <c r="AP783" s="8">
        <v>50</v>
      </c>
      <c r="AQ783" s="9">
        <v>46278</v>
      </c>
      <c r="AR783" s="5" t="s">
        <v>51</v>
      </c>
      <c r="AS783" s="5" t="s">
        <v>81</v>
      </c>
    </row>
    <row r="784" spans="1:45" x14ac:dyDescent="0.35">
      <c r="A784" s="5" t="s">
        <v>3546</v>
      </c>
      <c r="B784" s="5" t="s">
        <v>471</v>
      </c>
      <c r="C784" s="6" t="s">
        <v>3547</v>
      </c>
      <c r="D784" s="7">
        <v>64100</v>
      </c>
      <c r="E784" s="5" t="s">
        <v>48</v>
      </c>
      <c r="F784" s="5" t="s">
        <v>49</v>
      </c>
      <c r="G784" s="8"/>
      <c r="H784" s="8" t="str">
        <f>IF(F784="Bullet",MIN(G784,Assumptions!$B$6),"")</f>
        <v/>
      </c>
      <c r="I784" s="8">
        <v>2</v>
      </c>
      <c r="J784" s="8">
        <f>IF(F784="Monthly interest",MAX(0,Assumptions!$B$5-I784),"")</f>
        <v>1</v>
      </c>
      <c r="K784" s="7">
        <f t="shared" si="36"/>
        <v>1924</v>
      </c>
      <c r="L784" s="9">
        <v>46253</v>
      </c>
      <c r="M784" s="5" t="s">
        <v>69</v>
      </c>
      <c r="N784" s="5" t="s">
        <v>53</v>
      </c>
      <c r="O784" s="5" t="s">
        <v>71</v>
      </c>
      <c r="P784" s="5" t="s">
        <v>70</v>
      </c>
      <c r="Q784" s="5" t="s">
        <v>73</v>
      </c>
      <c r="R784" s="5" t="s">
        <v>74</v>
      </c>
      <c r="S784" s="5" t="s">
        <v>85</v>
      </c>
      <c r="T784" s="5" t="s">
        <v>57</v>
      </c>
      <c r="U784" s="5" t="s">
        <v>86</v>
      </c>
      <c r="V784" s="5" t="s">
        <v>177</v>
      </c>
      <c r="W784" s="5" t="s">
        <v>345</v>
      </c>
      <c r="X784" s="5" t="s">
        <v>346</v>
      </c>
      <c r="Y784" s="5" t="s">
        <v>3548</v>
      </c>
      <c r="Z784" s="9">
        <v>46100</v>
      </c>
      <c r="AA784" s="8">
        <v>12</v>
      </c>
      <c r="AB784" s="9">
        <f t="shared" si="37"/>
        <v>46465</v>
      </c>
      <c r="AC784" s="10">
        <v>18</v>
      </c>
      <c r="AD784" s="7">
        <f t="shared" si="38"/>
        <v>962</v>
      </c>
      <c r="AE784" s="7">
        <f>IF(F784="Bullet",H784*AD784,MIN(MAX(I784,1),Assumptions!$B$6)*AD784)</f>
        <v>1924</v>
      </c>
      <c r="AF784" s="8">
        <f>IF(F784="Bullet",MAX(0,Assumptions!$B$4-AB784),MAX(0,Assumptions!$B$4-L784))</f>
        <v>45</v>
      </c>
      <c r="AG784" s="9">
        <v>46225</v>
      </c>
      <c r="AH784" s="8">
        <f>IF(AG784="","",Assumptions!$B$4-AG784)</f>
        <v>73</v>
      </c>
      <c r="AI784" s="5" t="s">
        <v>57</v>
      </c>
      <c r="AJ784" s="8">
        <v>3</v>
      </c>
      <c r="AK784" s="8">
        <v>1</v>
      </c>
      <c r="AL784" s="8">
        <v>799</v>
      </c>
      <c r="AM784" s="8">
        <v>0</v>
      </c>
      <c r="AN784" s="5" t="s">
        <v>63</v>
      </c>
      <c r="AO784" s="10">
        <v>62.8</v>
      </c>
      <c r="AP784" s="8">
        <v>41</v>
      </c>
      <c r="AQ784" s="9">
        <v>46285</v>
      </c>
      <c r="AR784" s="5" t="s">
        <v>51</v>
      </c>
      <c r="AS784" s="5" t="s">
        <v>91</v>
      </c>
    </row>
    <row r="785" spans="1:45" x14ac:dyDescent="0.35">
      <c r="A785" s="5" t="s">
        <v>3549</v>
      </c>
      <c r="B785" s="5" t="s">
        <v>1466</v>
      </c>
      <c r="C785" s="6" t="s">
        <v>3550</v>
      </c>
      <c r="D785" s="7">
        <v>61700</v>
      </c>
      <c r="E785" s="5" t="s">
        <v>48</v>
      </c>
      <c r="F785" s="5" t="s">
        <v>49</v>
      </c>
      <c r="G785" s="8"/>
      <c r="H785" s="8" t="str">
        <f>IF(F785="Bullet",MIN(G785,Assumptions!$B$6),"")</f>
        <v/>
      </c>
      <c r="I785" s="8">
        <v>1</v>
      </c>
      <c r="J785" s="8">
        <f>IF(F785="Monthly interest",MAX(0,Assumptions!$B$5-I785),"")</f>
        <v>2</v>
      </c>
      <c r="K785" s="7">
        <f t="shared" si="36"/>
        <v>1131</v>
      </c>
      <c r="L785" s="9">
        <v>46282</v>
      </c>
      <c r="M785" s="5" t="s">
        <v>50</v>
      </c>
      <c r="N785" s="5" t="s">
        <v>51</v>
      </c>
      <c r="O785" s="5" t="s">
        <v>52</v>
      </c>
      <c r="P785" s="5" t="s">
        <v>53</v>
      </c>
      <c r="Q785" s="5" t="s">
        <v>54</v>
      </c>
      <c r="R785" s="5" t="s">
        <v>55</v>
      </c>
      <c r="S785" s="5" t="s">
        <v>253</v>
      </c>
      <c r="T785" s="5" t="s">
        <v>57</v>
      </c>
      <c r="U785" s="5" t="s">
        <v>86</v>
      </c>
      <c r="V785" s="5" t="s">
        <v>76</v>
      </c>
      <c r="W785" s="5" t="s">
        <v>146</v>
      </c>
      <c r="X785" s="5" t="s">
        <v>2191</v>
      </c>
      <c r="Y785" s="5" t="s">
        <v>3551</v>
      </c>
      <c r="Z785" s="9">
        <v>46070</v>
      </c>
      <c r="AA785" s="8">
        <v>18</v>
      </c>
      <c r="AB785" s="9">
        <f t="shared" si="37"/>
        <v>46616</v>
      </c>
      <c r="AC785" s="10">
        <v>22</v>
      </c>
      <c r="AD785" s="7">
        <f t="shared" si="38"/>
        <v>1131</v>
      </c>
      <c r="AE785" s="7">
        <f>IF(F785="Bullet",H785*AD785,MIN(MAX(I785,1),Assumptions!$B$6)*AD785)</f>
        <v>1131</v>
      </c>
      <c r="AF785" s="8">
        <f>IF(F785="Bullet",MAX(0,Assumptions!$B$4-AB785),MAX(0,Assumptions!$B$4-L785))</f>
        <v>16</v>
      </c>
      <c r="AG785" s="9">
        <v>46252</v>
      </c>
      <c r="AH785" s="8">
        <f>IF(AG785="","",Assumptions!$B$4-AG785)</f>
        <v>46</v>
      </c>
      <c r="AI785" s="5" t="s">
        <v>63</v>
      </c>
      <c r="AJ785" s="8">
        <v>1</v>
      </c>
      <c r="AK785" s="8">
        <v>0</v>
      </c>
      <c r="AL785" s="8">
        <v>768</v>
      </c>
      <c r="AM785" s="8">
        <v>0</v>
      </c>
      <c r="AN785" s="5" t="s">
        <v>63</v>
      </c>
      <c r="AO785" s="10">
        <v>79.400000000000006</v>
      </c>
      <c r="AP785" s="8">
        <v>13</v>
      </c>
      <c r="AQ785" s="9">
        <v>46292</v>
      </c>
      <c r="AR785" s="5" t="s">
        <v>51</v>
      </c>
      <c r="AS785" s="5" t="s">
        <v>64</v>
      </c>
    </row>
    <row r="786" spans="1:45" x14ac:dyDescent="0.35">
      <c r="A786" s="5" t="s">
        <v>3552</v>
      </c>
      <c r="B786" s="5" t="s">
        <v>3553</v>
      </c>
      <c r="C786" s="6" t="s">
        <v>3554</v>
      </c>
      <c r="D786" s="7">
        <v>35200</v>
      </c>
      <c r="E786" s="5" t="s">
        <v>48</v>
      </c>
      <c r="F786" s="5" t="s">
        <v>49</v>
      </c>
      <c r="G786" s="8"/>
      <c r="H786" s="8" t="str">
        <f>IF(F786="Bullet",MIN(G786,Assumptions!$B$6),"")</f>
        <v/>
      </c>
      <c r="I786" s="8">
        <v>2</v>
      </c>
      <c r="J786" s="8">
        <f>IF(F786="Monthly interest",MAX(0,Assumptions!$B$5-I786),"")</f>
        <v>1</v>
      </c>
      <c r="K786" s="7">
        <f t="shared" si="36"/>
        <v>1174</v>
      </c>
      <c r="L786" s="9">
        <v>46250</v>
      </c>
      <c r="M786" s="5" t="s">
        <v>116</v>
      </c>
      <c r="N786" s="5" t="s">
        <v>117</v>
      </c>
      <c r="O786" s="5" t="s">
        <v>450</v>
      </c>
      <c r="P786" s="5" t="s">
        <v>72</v>
      </c>
      <c r="Q786" s="5" t="s">
        <v>154</v>
      </c>
      <c r="R786" s="5" t="s">
        <v>155</v>
      </c>
      <c r="S786" s="5" t="s">
        <v>253</v>
      </c>
      <c r="T786" s="5" t="s">
        <v>57</v>
      </c>
      <c r="U786" s="5" t="s">
        <v>58</v>
      </c>
      <c r="V786" s="5" t="s">
        <v>200</v>
      </c>
      <c r="W786" s="5" t="s">
        <v>1332</v>
      </c>
      <c r="X786" s="5" t="s">
        <v>3066</v>
      </c>
      <c r="Y786" s="5" t="s">
        <v>3555</v>
      </c>
      <c r="Z786" s="9">
        <v>46007</v>
      </c>
      <c r="AA786" s="8">
        <v>18</v>
      </c>
      <c r="AB786" s="9">
        <f t="shared" si="37"/>
        <v>46554</v>
      </c>
      <c r="AC786" s="10">
        <v>20</v>
      </c>
      <c r="AD786" s="7">
        <f t="shared" si="38"/>
        <v>587</v>
      </c>
      <c r="AE786" s="7">
        <f>IF(F786="Bullet",H786*AD786,MIN(MAX(I786,1),Assumptions!$B$6)*AD786)</f>
        <v>1174</v>
      </c>
      <c r="AF786" s="8">
        <f>IF(F786="Bullet",MAX(0,Assumptions!$B$4-AB786),MAX(0,Assumptions!$B$4-L786))</f>
        <v>48</v>
      </c>
      <c r="AG786" s="9">
        <v>46219</v>
      </c>
      <c r="AH786" s="8">
        <f>IF(AG786="","",Assumptions!$B$4-AG786)</f>
        <v>79</v>
      </c>
      <c r="AI786" s="5" t="s">
        <v>57</v>
      </c>
      <c r="AJ786" s="8">
        <v>4</v>
      </c>
      <c r="AK786" s="8">
        <v>1</v>
      </c>
      <c r="AL786" s="8">
        <v>671</v>
      </c>
      <c r="AM786" s="8">
        <v>1</v>
      </c>
      <c r="AN786" s="5" t="s">
        <v>57</v>
      </c>
      <c r="AO786" s="10">
        <v>63.8</v>
      </c>
      <c r="AP786" s="8">
        <v>73</v>
      </c>
      <c r="AQ786" s="9">
        <v>46289</v>
      </c>
      <c r="AR786" s="5" t="s">
        <v>51</v>
      </c>
      <c r="AS786" s="5" t="s">
        <v>64</v>
      </c>
    </row>
    <row r="787" spans="1:45" x14ac:dyDescent="0.35">
      <c r="A787" s="5" t="s">
        <v>3556</v>
      </c>
      <c r="B787" s="5" t="s">
        <v>3557</v>
      </c>
      <c r="C787" s="6" t="s">
        <v>3558</v>
      </c>
      <c r="D787" s="7">
        <v>125100</v>
      </c>
      <c r="E787" s="5" t="s">
        <v>48</v>
      </c>
      <c r="F787" s="5" t="s">
        <v>68</v>
      </c>
      <c r="G787" s="8">
        <v>3</v>
      </c>
      <c r="H787" s="8">
        <f>IF(F787="Bullet",MIN(G787,Assumptions!$B$6),"")</f>
        <v>2</v>
      </c>
      <c r="I787" s="8"/>
      <c r="J787" s="8" t="str">
        <f>IF(F787="Monthly interest",MAX(0,Assumptions!$B$5-I787),"")</f>
        <v/>
      </c>
      <c r="K787" s="7">
        <f t="shared" si="36"/>
        <v>3753</v>
      </c>
      <c r="L787" s="9">
        <v>46202</v>
      </c>
      <c r="M787" s="5" t="s">
        <v>50</v>
      </c>
      <c r="N787" s="5" t="s">
        <v>70</v>
      </c>
      <c r="O787" s="5" t="s">
        <v>531</v>
      </c>
      <c r="P787" s="5" t="s">
        <v>72</v>
      </c>
      <c r="Q787" s="5" t="s">
        <v>73</v>
      </c>
      <c r="R787" s="5" t="s">
        <v>74</v>
      </c>
      <c r="S787" s="5" t="s">
        <v>56</v>
      </c>
      <c r="T787" s="5" t="s">
        <v>57</v>
      </c>
      <c r="U787" s="5" t="s">
        <v>58</v>
      </c>
      <c r="V787" s="5" t="s">
        <v>59</v>
      </c>
      <c r="W787" s="5" t="s">
        <v>126</v>
      </c>
      <c r="X787" s="5" t="s">
        <v>1424</v>
      </c>
      <c r="Y787" s="5" t="s">
        <v>3559</v>
      </c>
      <c r="Z787" s="9">
        <v>46202</v>
      </c>
      <c r="AA787" s="8">
        <v>6</v>
      </c>
      <c r="AB787" s="9">
        <f t="shared" si="37"/>
        <v>46385</v>
      </c>
      <c r="AC787" s="10">
        <v>12</v>
      </c>
      <c r="AD787" s="7">
        <f t="shared" si="38"/>
        <v>1251</v>
      </c>
      <c r="AE787" s="7">
        <f>IF(F787="Bullet",H787*AD787,MIN(MAX(I787,1),Assumptions!$B$6)*AD787)</f>
        <v>2502</v>
      </c>
      <c r="AF787" s="8">
        <f>IF(F787="Bullet",MAX(0,Assumptions!$B$4-AB787),MAX(0,Assumptions!$B$4-L787))</f>
        <v>0</v>
      </c>
      <c r="AG787" s="9"/>
      <c r="AH787" s="8" t="str">
        <f>IF(AG787="","",Assumptions!$B$4-AG787)</f>
        <v/>
      </c>
      <c r="AI787" s="5" t="s">
        <v>80</v>
      </c>
      <c r="AJ787" s="8"/>
      <c r="AK787" s="8">
        <v>0</v>
      </c>
      <c r="AL787" s="8">
        <v>695</v>
      </c>
      <c r="AM787" s="8">
        <v>1</v>
      </c>
      <c r="AN787" s="5" t="s">
        <v>63</v>
      </c>
      <c r="AO787" s="10">
        <v>73.3</v>
      </c>
      <c r="AP787" s="8">
        <v>22</v>
      </c>
      <c r="AQ787" s="9">
        <v>46285</v>
      </c>
      <c r="AR787" s="5" t="s">
        <v>53</v>
      </c>
      <c r="AS787" s="5" t="s">
        <v>81</v>
      </c>
    </row>
    <row r="788" spans="1:45" x14ac:dyDescent="0.35">
      <c r="A788" s="5" t="s">
        <v>3560</v>
      </c>
      <c r="B788" s="5" t="s">
        <v>3040</v>
      </c>
      <c r="C788" s="6" t="s">
        <v>3561</v>
      </c>
      <c r="D788" s="7">
        <v>237800</v>
      </c>
      <c r="E788" s="5" t="s">
        <v>48</v>
      </c>
      <c r="F788" s="5" t="s">
        <v>49</v>
      </c>
      <c r="G788" s="8"/>
      <c r="H788" s="8" t="str">
        <f>IF(F788="Bullet",MIN(G788,Assumptions!$B$6),"")</f>
        <v/>
      </c>
      <c r="I788" s="8">
        <v>2</v>
      </c>
      <c r="J788" s="8">
        <f>IF(F788="Monthly interest",MAX(0,Assumptions!$B$5-I788),"")</f>
        <v>1</v>
      </c>
      <c r="K788" s="7">
        <f t="shared" si="36"/>
        <v>5548</v>
      </c>
      <c r="L788" s="9">
        <v>46255</v>
      </c>
      <c r="M788" s="5" t="s">
        <v>116</v>
      </c>
      <c r="N788" s="5" t="s">
        <v>117</v>
      </c>
      <c r="O788" s="5" t="s">
        <v>118</v>
      </c>
      <c r="P788" s="5" t="s">
        <v>72</v>
      </c>
      <c r="Q788" s="5" t="s">
        <v>119</v>
      </c>
      <c r="R788" s="5" t="s">
        <v>120</v>
      </c>
      <c r="S788" s="5" t="s">
        <v>56</v>
      </c>
      <c r="T788" s="5" t="s">
        <v>57</v>
      </c>
      <c r="U788" s="5" t="s">
        <v>58</v>
      </c>
      <c r="V788" s="5" t="s">
        <v>59</v>
      </c>
      <c r="W788" s="5" t="s">
        <v>467</v>
      </c>
      <c r="X788" s="5" t="s">
        <v>2556</v>
      </c>
      <c r="Y788" s="5" t="s">
        <v>3562</v>
      </c>
      <c r="Z788" s="9">
        <v>46194</v>
      </c>
      <c r="AA788" s="8">
        <v>18</v>
      </c>
      <c r="AB788" s="9">
        <f t="shared" si="37"/>
        <v>46742</v>
      </c>
      <c r="AC788" s="10">
        <v>14</v>
      </c>
      <c r="AD788" s="7">
        <f t="shared" si="38"/>
        <v>2774</v>
      </c>
      <c r="AE788" s="7">
        <f>IF(F788="Bullet",H788*AD788,MIN(MAX(I788,1),Assumptions!$B$6)*AD788)</f>
        <v>5548</v>
      </c>
      <c r="AF788" s="8">
        <f>IF(F788="Bullet",MAX(0,Assumptions!$B$4-AB788),MAX(0,Assumptions!$B$4-L788))</f>
        <v>43</v>
      </c>
      <c r="AG788" s="9">
        <v>46226</v>
      </c>
      <c r="AH788" s="8">
        <f>IF(AG788="","",Assumptions!$B$4-AG788)</f>
        <v>72</v>
      </c>
      <c r="AI788" s="5" t="s">
        <v>63</v>
      </c>
      <c r="AJ788" s="8">
        <v>2</v>
      </c>
      <c r="AK788" s="8">
        <v>0</v>
      </c>
      <c r="AL788" s="8">
        <v>636</v>
      </c>
      <c r="AM788" s="8">
        <v>0</v>
      </c>
      <c r="AN788" s="5" t="s">
        <v>63</v>
      </c>
      <c r="AO788" s="10">
        <v>68</v>
      </c>
      <c r="AP788" s="8">
        <v>48</v>
      </c>
      <c r="AQ788" s="9">
        <v>46295</v>
      </c>
      <c r="AR788" s="5" t="s">
        <v>51</v>
      </c>
      <c r="AS788" s="5" t="s">
        <v>274</v>
      </c>
    </row>
    <row r="789" spans="1:45" x14ac:dyDescent="0.35">
      <c r="A789" s="5" t="s">
        <v>3563</v>
      </c>
      <c r="B789" s="5" t="s">
        <v>855</v>
      </c>
      <c r="C789" s="6" t="s">
        <v>3564</v>
      </c>
      <c r="D789" s="7">
        <v>31600</v>
      </c>
      <c r="E789" s="5" t="s">
        <v>48</v>
      </c>
      <c r="F789" s="5" t="s">
        <v>68</v>
      </c>
      <c r="G789" s="8">
        <v>1</v>
      </c>
      <c r="H789" s="8">
        <f>IF(F789="Bullet",MIN(G789,Assumptions!$B$6),"")</f>
        <v>1</v>
      </c>
      <c r="I789" s="8"/>
      <c r="J789" s="8" t="str">
        <f>IF(F789="Monthly interest",MAX(0,Assumptions!$B$5-I789),"")</f>
        <v/>
      </c>
      <c r="K789" s="7">
        <f t="shared" si="36"/>
        <v>474</v>
      </c>
      <c r="L789" s="9">
        <v>46258</v>
      </c>
      <c r="M789" s="5" t="s">
        <v>69</v>
      </c>
      <c r="N789" s="5" t="s">
        <v>51</v>
      </c>
      <c r="O789" s="5" t="s">
        <v>152</v>
      </c>
      <c r="P789" s="5" t="s">
        <v>53</v>
      </c>
      <c r="Q789" s="5" t="s">
        <v>154</v>
      </c>
      <c r="R789" s="5" t="s">
        <v>155</v>
      </c>
      <c r="S789" s="5" t="s">
        <v>253</v>
      </c>
      <c r="T789" s="5" t="s">
        <v>57</v>
      </c>
      <c r="U789" s="5" t="s">
        <v>104</v>
      </c>
      <c r="V789" s="5" t="s">
        <v>215</v>
      </c>
      <c r="W789" s="5" t="s">
        <v>278</v>
      </c>
      <c r="X789" s="5" t="s">
        <v>3565</v>
      </c>
      <c r="Y789" s="5" t="s">
        <v>3566</v>
      </c>
      <c r="Z789" s="9">
        <v>46258</v>
      </c>
      <c r="AA789" s="8">
        <v>12</v>
      </c>
      <c r="AB789" s="9">
        <f t="shared" si="37"/>
        <v>46623</v>
      </c>
      <c r="AC789" s="10">
        <v>18</v>
      </c>
      <c r="AD789" s="7">
        <f t="shared" si="38"/>
        <v>474</v>
      </c>
      <c r="AE789" s="7">
        <f>IF(F789="Bullet",H789*AD789,MIN(MAX(I789,1),Assumptions!$B$6)*AD789)</f>
        <v>474</v>
      </c>
      <c r="AF789" s="8">
        <f>IF(F789="Bullet",MAX(0,Assumptions!$B$4-AB789),MAX(0,Assumptions!$B$4-L789))</f>
        <v>0</v>
      </c>
      <c r="AG789" s="9"/>
      <c r="AH789" s="8" t="str">
        <f>IF(AG789="","",Assumptions!$B$4-AG789)</f>
        <v/>
      </c>
      <c r="AI789" s="5" t="s">
        <v>80</v>
      </c>
      <c r="AJ789" s="8"/>
      <c r="AK789" s="8">
        <v>0</v>
      </c>
      <c r="AL789" s="8">
        <v>691</v>
      </c>
      <c r="AM789" s="8">
        <v>0</v>
      </c>
      <c r="AN789" s="5" t="s">
        <v>57</v>
      </c>
      <c r="AO789" s="10">
        <v>88</v>
      </c>
      <c r="AP789" s="8">
        <v>34</v>
      </c>
      <c r="AQ789" s="9">
        <v>46281</v>
      </c>
      <c r="AR789" s="5" t="s">
        <v>70</v>
      </c>
      <c r="AS789" s="5" t="s">
        <v>91</v>
      </c>
    </row>
    <row r="790" spans="1:45" x14ac:dyDescent="0.35">
      <c r="A790" s="5" t="s">
        <v>3567</v>
      </c>
      <c r="B790" s="5" t="s">
        <v>3568</v>
      </c>
      <c r="C790" s="6" t="s">
        <v>3569</v>
      </c>
      <c r="D790" s="7">
        <v>693300</v>
      </c>
      <c r="E790" s="5" t="s">
        <v>48</v>
      </c>
      <c r="F790" s="5" t="s">
        <v>68</v>
      </c>
      <c r="G790" s="8">
        <v>2</v>
      </c>
      <c r="H790" s="8">
        <f>IF(F790="Bullet",MIN(G790,Assumptions!$B$6),"")</f>
        <v>2</v>
      </c>
      <c r="I790" s="8"/>
      <c r="J790" s="8" t="str">
        <f>IF(F790="Monthly interest",MAX(0,Assumptions!$B$5-I790),"")</f>
        <v/>
      </c>
      <c r="K790" s="7">
        <f t="shared" si="36"/>
        <v>13866</v>
      </c>
      <c r="L790" s="9">
        <v>46216</v>
      </c>
      <c r="M790" s="5" t="s">
        <v>50</v>
      </c>
      <c r="N790" s="5" t="s">
        <v>51</v>
      </c>
      <c r="O790" s="5" t="s">
        <v>71</v>
      </c>
      <c r="P790" s="5" t="s">
        <v>53</v>
      </c>
      <c r="Q790" s="5" t="s">
        <v>73</v>
      </c>
      <c r="R790" s="5" t="s">
        <v>74</v>
      </c>
      <c r="S790" s="5" t="s">
        <v>56</v>
      </c>
      <c r="T790" s="5" t="s">
        <v>57</v>
      </c>
      <c r="U790" s="5" t="s">
        <v>58</v>
      </c>
      <c r="V790" s="5" t="s">
        <v>59</v>
      </c>
      <c r="W790" s="5" t="s">
        <v>126</v>
      </c>
      <c r="X790" s="5" t="s">
        <v>127</v>
      </c>
      <c r="Y790" s="5" t="s">
        <v>3570</v>
      </c>
      <c r="Z790" s="9">
        <v>46216</v>
      </c>
      <c r="AA790" s="8">
        <v>6</v>
      </c>
      <c r="AB790" s="9">
        <f t="shared" si="37"/>
        <v>46400</v>
      </c>
      <c r="AC790" s="10">
        <v>12</v>
      </c>
      <c r="AD790" s="7">
        <f t="shared" si="38"/>
        <v>6933</v>
      </c>
      <c r="AE790" s="7">
        <f>IF(F790="Bullet",H790*AD790,MIN(MAX(I790,1),Assumptions!$B$6)*AD790)</f>
        <v>13866</v>
      </c>
      <c r="AF790" s="8">
        <f>IF(F790="Bullet",MAX(0,Assumptions!$B$4-AB790),MAX(0,Assumptions!$B$4-L790))</f>
        <v>0</v>
      </c>
      <c r="AG790" s="9"/>
      <c r="AH790" s="8" t="str">
        <f>IF(AG790="","",Assumptions!$B$4-AG790)</f>
        <v/>
      </c>
      <c r="AI790" s="5" t="s">
        <v>80</v>
      </c>
      <c r="AJ790" s="8"/>
      <c r="AK790" s="8">
        <v>3</v>
      </c>
      <c r="AL790" s="8">
        <v>711</v>
      </c>
      <c r="AM790" s="8">
        <v>0</v>
      </c>
      <c r="AN790" s="5" t="s">
        <v>63</v>
      </c>
      <c r="AO790" s="10">
        <v>65.8</v>
      </c>
      <c r="AP790" s="8">
        <v>26</v>
      </c>
      <c r="AQ790" s="9">
        <v>46283</v>
      </c>
      <c r="AR790" s="5" t="s">
        <v>51</v>
      </c>
      <c r="AS790" s="5" t="s">
        <v>190</v>
      </c>
    </row>
    <row r="791" spans="1:45" x14ac:dyDescent="0.35">
      <c r="A791" s="5" t="s">
        <v>3571</v>
      </c>
      <c r="B791" s="5" t="s">
        <v>3329</v>
      </c>
      <c r="C791" s="6" t="s">
        <v>3572</v>
      </c>
      <c r="D791" s="7">
        <v>201600</v>
      </c>
      <c r="E791" s="5" t="s">
        <v>48</v>
      </c>
      <c r="F791" s="5" t="s">
        <v>49</v>
      </c>
      <c r="G791" s="8"/>
      <c r="H791" s="8" t="str">
        <f>IF(F791="Bullet",MIN(G791,Assumptions!$B$6),"")</f>
        <v/>
      </c>
      <c r="I791" s="8">
        <v>1</v>
      </c>
      <c r="J791" s="8">
        <f>IF(F791="Monthly interest",MAX(0,Assumptions!$B$5-I791),"")</f>
        <v>2</v>
      </c>
      <c r="K791" s="7">
        <f t="shared" si="36"/>
        <v>2520</v>
      </c>
      <c r="L791" s="9">
        <v>46272</v>
      </c>
      <c r="M791" s="5" t="s">
        <v>69</v>
      </c>
      <c r="N791" s="5" t="s">
        <v>51</v>
      </c>
      <c r="O791" s="5" t="s">
        <v>52</v>
      </c>
      <c r="P791" s="5" t="s">
        <v>53</v>
      </c>
      <c r="Q791" s="5" t="s">
        <v>54</v>
      </c>
      <c r="R791" s="5" t="s">
        <v>55</v>
      </c>
      <c r="S791" s="5" t="s">
        <v>214</v>
      </c>
      <c r="T791" s="5" t="s">
        <v>57</v>
      </c>
      <c r="U791" s="5" t="s">
        <v>86</v>
      </c>
      <c r="V791" s="5" t="s">
        <v>215</v>
      </c>
      <c r="W791" s="5" t="s">
        <v>232</v>
      </c>
      <c r="X791" s="5" t="s">
        <v>3573</v>
      </c>
      <c r="Y791" s="5" t="s">
        <v>3574</v>
      </c>
      <c r="Z791" s="9">
        <v>46060</v>
      </c>
      <c r="AA791" s="8">
        <v>12</v>
      </c>
      <c r="AB791" s="9">
        <f t="shared" si="37"/>
        <v>46425</v>
      </c>
      <c r="AC791" s="10">
        <v>15</v>
      </c>
      <c r="AD791" s="7">
        <f t="shared" si="38"/>
        <v>2520</v>
      </c>
      <c r="AE791" s="7">
        <f>IF(F791="Bullet",H791*AD791,MIN(MAX(I791,1),Assumptions!$B$6)*AD791)</f>
        <v>2520</v>
      </c>
      <c r="AF791" s="8">
        <f>IF(F791="Bullet",MAX(0,Assumptions!$B$4-AB791),MAX(0,Assumptions!$B$4-L791))</f>
        <v>26</v>
      </c>
      <c r="AG791" s="9">
        <v>46246</v>
      </c>
      <c r="AH791" s="8">
        <f>IF(AG791="","",Assumptions!$B$4-AG791)</f>
        <v>52</v>
      </c>
      <c r="AI791" s="5" t="s">
        <v>63</v>
      </c>
      <c r="AJ791" s="8">
        <v>2</v>
      </c>
      <c r="AK791" s="8">
        <v>1</v>
      </c>
      <c r="AL791" s="8">
        <v>620</v>
      </c>
      <c r="AM791" s="8">
        <v>0</v>
      </c>
      <c r="AN791" s="5" t="s">
        <v>63</v>
      </c>
      <c r="AO791" s="10">
        <v>79.900000000000006</v>
      </c>
      <c r="AP791" s="8">
        <v>40</v>
      </c>
      <c r="AQ791" s="9">
        <v>46277</v>
      </c>
      <c r="AR791" s="5" t="s">
        <v>53</v>
      </c>
      <c r="AS791" s="5" t="s">
        <v>81</v>
      </c>
    </row>
    <row r="792" spans="1:45" x14ac:dyDescent="0.35">
      <c r="A792" s="5" t="s">
        <v>3575</v>
      </c>
      <c r="B792" s="5" t="s">
        <v>2706</v>
      </c>
      <c r="C792" s="6" t="s">
        <v>3576</v>
      </c>
      <c r="D792" s="7">
        <v>66000</v>
      </c>
      <c r="E792" s="5" t="s">
        <v>48</v>
      </c>
      <c r="F792" s="5" t="s">
        <v>49</v>
      </c>
      <c r="G792" s="8"/>
      <c r="H792" s="8" t="str">
        <f>IF(F792="Bullet",MIN(G792,Assumptions!$B$6),"")</f>
        <v/>
      </c>
      <c r="I792" s="8">
        <v>2</v>
      </c>
      <c r="J792" s="8">
        <f>IF(F792="Monthly interest",MAX(0,Assumptions!$B$5-I792),"")</f>
        <v>1</v>
      </c>
      <c r="K792" s="7">
        <f t="shared" si="36"/>
        <v>1540</v>
      </c>
      <c r="L792" s="9">
        <v>46268</v>
      </c>
      <c r="M792" s="5" t="s">
        <v>69</v>
      </c>
      <c r="N792" s="5" t="s">
        <v>53</v>
      </c>
      <c r="O792" s="5" t="s">
        <v>71</v>
      </c>
      <c r="P792" s="5" t="s">
        <v>70</v>
      </c>
      <c r="Q792" s="5" t="s">
        <v>73</v>
      </c>
      <c r="R792" s="5" t="s">
        <v>74</v>
      </c>
      <c r="S792" s="5" t="s">
        <v>185</v>
      </c>
      <c r="T792" s="5" t="s">
        <v>57</v>
      </c>
      <c r="U792" s="5" t="s">
        <v>104</v>
      </c>
      <c r="V792" s="5" t="s">
        <v>200</v>
      </c>
      <c r="W792" s="5" t="s">
        <v>767</v>
      </c>
      <c r="X792" s="5" t="s">
        <v>3577</v>
      </c>
      <c r="Y792" s="5" t="s">
        <v>3578</v>
      </c>
      <c r="Z792" s="9">
        <v>45994</v>
      </c>
      <c r="AA792" s="8">
        <v>18</v>
      </c>
      <c r="AB792" s="9">
        <f t="shared" si="37"/>
        <v>46541</v>
      </c>
      <c r="AC792" s="10">
        <v>14</v>
      </c>
      <c r="AD792" s="7">
        <f t="shared" si="38"/>
        <v>770</v>
      </c>
      <c r="AE792" s="7">
        <f>IF(F792="Bullet",H792*AD792,MIN(MAX(I792,1),Assumptions!$B$6)*AD792)</f>
        <v>1540</v>
      </c>
      <c r="AF792" s="8">
        <f>IF(F792="Bullet",MAX(0,Assumptions!$B$4-AB792),MAX(0,Assumptions!$B$4-L792))</f>
        <v>30</v>
      </c>
      <c r="AG792" s="9">
        <v>46237</v>
      </c>
      <c r="AH792" s="8">
        <f>IF(AG792="","",Assumptions!$B$4-AG792)</f>
        <v>61</v>
      </c>
      <c r="AI792" s="5" t="s">
        <v>57</v>
      </c>
      <c r="AJ792" s="8">
        <v>3</v>
      </c>
      <c r="AK792" s="8">
        <v>1</v>
      </c>
      <c r="AL792" s="8">
        <v>736</v>
      </c>
      <c r="AM792" s="8">
        <v>0</v>
      </c>
      <c r="AN792" s="5" t="s">
        <v>63</v>
      </c>
      <c r="AO792" s="10">
        <v>76.900000000000006</v>
      </c>
      <c r="AP792" s="8">
        <v>42</v>
      </c>
      <c r="AQ792" s="9">
        <v>46288</v>
      </c>
      <c r="AR792" s="5" t="s">
        <v>70</v>
      </c>
      <c r="AS792" s="5" t="s">
        <v>91</v>
      </c>
    </row>
    <row r="793" spans="1:45" x14ac:dyDescent="0.35">
      <c r="A793" s="5" t="s">
        <v>3579</v>
      </c>
      <c r="B793" s="5" t="s">
        <v>3580</v>
      </c>
      <c r="C793" s="6" t="s">
        <v>3581</v>
      </c>
      <c r="D793" s="7">
        <v>62500</v>
      </c>
      <c r="E793" s="5" t="s">
        <v>48</v>
      </c>
      <c r="F793" s="5" t="s">
        <v>68</v>
      </c>
      <c r="G793" s="8">
        <v>1</v>
      </c>
      <c r="H793" s="8">
        <f>IF(F793="Bullet",MIN(G793,Assumptions!$B$6),"")</f>
        <v>1</v>
      </c>
      <c r="I793" s="8"/>
      <c r="J793" s="8" t="str">
        <f>IF(F793="Monthly interest",MAX(0,Assumptions!$B$5-I793),"")</f>
        <v/>
      </c>
      <c r="K793" s="7">
        <f t="shared" si="36"/>
        <v>729</v>
      </c>
      <c r="L793" s="9">
        <v>46266</v>
      </c>
      <c r="M793" s="5" t="s">
        <v>50</v>
      </c>
      <c r="N793" s="5" t="s">
        <v>70</v>
      </c>
      <c r="O793" s="5" t="s">
        <v>271</v>
      </c>
      <c r="P793" s="5" t="s">
        <v>72</v>
      </c>
      <c r="Q793" s="5" t="s">
        <v>73</v>
      </c>
      <c r="R793" s="5" t="s">
        <v>74</v>
      </c>
      <c r="S793" s="5" t="s">
        <v>214</v>
      </c>
      <c r="T793" s="5" t="s">
        <v>57</v>
      </c>
      <c r="U793" s="5" t="s">
        <v>104</v>
      </c>
      <c r="V793" s="5" t="s">
        <v>215</v>
      </c>
      <c r="W793" s="5" t="s">
        <v>600</v>
      </c>
      <c r="X793" s="5" t="s">
        <v>3582</v>
      </c>
      <c r="Y793" s="5" t="s">
        <v>3583</v>
      </c>
      <c r="Z793" s="9">
        <v>46266</v>
      </c>
      <c r="AA793" s="8">
        <v>12</v>
      </c>
      <c r="AB793" s="9">
        <f t="shared" si="37"/>
        <v>46631</v>
      </c>
      <c r="AC793" s="10">
        <v>14</v>
      </c>
      <c r="AD793" s="7">
        <f t="shared" si="38"/>
        <v>729</v>
      </c>
      <c r="AE793" s="7">
        <f>IF(F793="Bullet",H793*AD793,MIN(MAX(I793,1),Assumptions!$B$6)*AD793)</f>
        <v>729</v>
      </c>
      <c r="AF793" s="8">
        <f>IF(F793="Bullet",MAX(0,Assumptions!$B$4-AB793),MAX(0,Assumptions!$B$4-L793))</f>
        <v>0</v>
      </c>
      <c r="AG793" s="9"/>
      <c r="AH793" s="8" t="str">
        <f>IF(AG793="","",Assumptions!$B$4-AG793)</f>
        <v/>
      </c>
      <c r="AI793" s="5" t="s">
        <v>80</v>
      </c>
      <c r="AJ793" s="8"/>
      <c r="AK793" s="8">
        <v>0</v>
      </c>
      <c r="AL793" s="8">
        <v>738</v>
      </c>
      <c r="AM793" s="8">
        <v>2</v>
      </c>
      <c r="AN793" s="5" t="s">
        <v>63</v>
      </c>
      <c r="AO793" s="10">
        <v>68.7</v>
      </c>
      <c r="AP793" s="8">
        <v>6</v>
      </c>
      <c r="AQ793" s="9">
        <v>46288</v>
      </c>
      <c r="AR793" s="5" t="s">
        <v>53</v>
      </c>
      <c r="AS793" s="5" t="s">
        <v>274</v>
      </c>
    </row>
    <row r="794" spans="1:45" x14ac:dyDescent="0.35">
      <c r="A794" s="5" t="s">
        <v>3584</v>
      </c>
      <c r="B794" s="5" t="s">
        <v>2824</v>
      </c>
      <c r="C794" s="6" t="s">
        <v>3585</v>
      </c>
      <c r="D794" s="7">
        <v>80800</v>
      </c>
      <c r="E794" s="5" t="s">
        <v>48</v>
      </c>
      <c r="F794" s="5" t="s">
        <v>49</v>
      </c>
      <c r="G794" s="8"/>
      <c r="H794" s="8" t="str">
        <f>IF(F794="Bullet",MIN(G794,Assumptions!$B$6),"")</f>
        <v/>
      </c>
      <c r="I794" s="8">
        <v>2</v>
      </c>
      <c r="J794" s="8">
        <f>IF(F794="Monthly interest",MAX(0,Assumptions!$B$5-I794),"")</f>
        <v>1</v>
      </c>
      <c r="K794" s="7">
        <f t="shared" si="36"/>
        <v>1886</v>
      </c>
      <c r="L794" s="9">
        <v>46267</v>
      </c>
      <c r="M794" s="5" t="s">
        <v>116</v>
      </c>
      <c r="N794" s="5" t="s">
        <v>117</v>
      </c>
      <c r="O794" s="5" t="s">
        <v>118</v>
      </c>
      <c r="P794" s="5" t="s">
        <v>72</v>
      </c>
      <c r="Q794" s="5" t="s">
        <v>119</v>
      </c>
      <c r="R794" s="5" t="s">
        <v>120</v>
      </c>
      <c r="S794" s="5" t="s">
        <v>253</v>
      </c>
      <c r="T794" s="5" t="s">
        <v>57</v>
      </c>
      <c r="U794" s="5" t="s">
        <v>86</v>
      </c>
      <c r="V794" s="5" t="s">
        <v>76</v>
      </c>
      <c r="W794" s="5" t="s">
        <v>140</v>
      </c>
      <c r="X794" s="5" t="s">
        <v>3586</v>
      </c>
      <c r="Y794" s="5" t="s">
        <v>3587</v>
      </c>
      <c r="Z794" s="9">
        <v>46055</v>
      </c>
      <c r="AA794" s="8">
        <v>24</v>
      </c>
      <c r="AB794" s="9">
        <f t="shared" si="37"/>
        <v>46785</v>
      </c>
      <c r="AC794" s="10">
        <v>14</v>
      </c>
      <c r="AD794" s="7">
        <f t="shared" si="38"/>
        <v>943</v>
      </c>
      <c r="AE794" s="7">
        <f>IF(F794="Bullet",H794*AD794,MIN(MAX(I794,1),Assumptions!$B$6)*AD794)</f>
        <v>1886</v>
      </c>
      <c r="AF794" s="8">
        <f>IF(F794="Bullet",MAX(0,Assumptions!$B$4-AB794),MAX(0,Assumptions!$B$4-L794))</f>
        <v>31</v>
      </c>
      <c r="AG794" s="9">
        <v>46239</v>
      </c>
      <c r="AH794" s="8">
        <f>IF(AG794="","",Assumptions!$B$4-AG794)</f>
        <v>59</v>
      </c>
      <c r="AI794" s="5" t="s">
        <v>57</v>
      </c>
      <c r="AJ794" s="8">
        <v>2</v>
      </c>
      <c r="AK794" s="8">
        <v>0</v>
      </c>
      <c r="AL794" s="8">
        <v>566</v>
      </c>
      <c r="AM794" s="8">
        <v>1</v>
      </c>
      <c r="AN794" s="5" t="s">
        <v>63</v>
      </c>
      <c r="AO794" s="10">
        <v>82.2</v>
      </c>
      <c r="AP794" s="8">
        <v>66</v>
      </c>
      <c r="AQ794" s="9">
        <v>46280</v>
      </c>
      <c r="AR794" s="5" t="s">
        <v>70</v>
      </c>
      <c r="AS794" s="5" t="s">
        <v>64</v>
      </c>
    </row>
    <row r="795" spans="1:45" x14ac:dyDescent="0.35">
      <c r="A795" s="5" t="s">
        <v>3588</v>
      </c>
      <c r="B795" s="5" t="s">
        <v>3589</v>
      </c>
      <c r="C795" s="6" t="s">
        <v>3590</v>
      </c>
      <c r="D795" s="7">
        <v>15000</v>
      </c>
      <c r="E795" s="5" t="s">
        <v>48</v>
      </c>
      <c r="F795" s="5" t="s">
        <v>68</v>
      </c>
      <c r="G795" s="8">
        <v>2</v>
      </c>
      <c r="H795" s="8">
        <f>IF(F795="Bullet",MIN(G795,Assumptions!$B$6),"")</f>
        <v>2</v>
      </c>
      <c r="I795" s="8"/>
      <c r="J795" s="8" t="str">
        <f>IF(F795="Monthly interest",MAX(0,Assumptions!$B$5-I795),"")</f>
        <v/>
      </c>
      <c r="K795" s="7">
        <f t="shared" si="36"/>
        <v>376</v>
      </c>
      <c r="L795" s="9">
        <v>46216</v>
      </c>
      <c r="M795" s="5" t="s">
        <v>50</v>
      </c>
      <c r="N795" s="5" t="s">
        <v>53</v>
      </c>
      <c r="O795" s="5" t="s">
        <v>152</v>
      </c>
      <c r="P795" s="5" t="s">
        <v>153</v>
      </c>
      <c r="Q795" s="5" t="s">
        <v>154</v>
      </c>
      <c r="R795" s="5" t="s">
        <v>155</v>
      </c>
      <c r="S795" s="5" t="s">
        <v>75</v>
      </c>
      <c r="T795" s="5" t="s">
        <v>63</v>
      </c>
      <c r="U795" s="5" t="s">
        <v>86</v>
      </c>
      <c r="V795" s="5" t="s">
        <v>76</v>
      </c>
      <c r="W795" s="5" t="s">
        <v>444</v>
      </c>
      <c r="X795" s="5" t="s">
        <v>3591</v>
      </c>
      <c r="Y795" s="5" t="s">
        <v>3592</v>
      </c>
      <c r="Z795" s="9">
        <v>46216</v>
      </c>
      <c r="AA795" s="8">
        <v>6</v>
      </c>
      <c r="AB795" s="9">
        <f t="shared" si="37"/>
        <v>46400</v>
      </c>
      <c r="AC795" s="10">
        <v>15</v>
      </c>
      <c r="AD795" s="7">
        <f t="shared" si="38"/>
        <v>188</v>
      </c>
      <c r="AE795" s="7">
        <f>IF(F795="Bullet",H795*AD795,MIN(MAX(I795,1),Assumptions!$B$6)*AD795)</f>
        <v>376</v>
      </c>
      <c r="AF795" s="8">
        <f>IF(F795="Bullet",MAX(0,Assumptions!$B$4-AB795),MAX(0,Assumptions!$B$4-L795))</f>
        <v>0</v>
      </c>
      <c r="AG795" s="9"/>
      <c r="AH795" s="8" t="str">
        <f>IF(AG795="","",Assumptions!$B$4-AG795)</f>
        <v/>
      </c>
      <c r="AI795" s="5" t="s">
        <v>80</v>
      </c>
      <c r="AJ795" s="8"/>
      <c r="AK795" s="8">
        <v>0</v>
      </c>
      <c r="AL795" s="8">
        <v>759</v>
      </c>
      <c r="AM795" s="8">
        <v>0</v>
      </c>
      <c r="AN795" s="5" t="s">
        <v>63</v>
      </c>
      <c r="AO795" s="10">
        <v>66.5</v>
      </c>
      <c r="AP795" s="8">
        <v>2</v>
      </c>
      <c r="AQ795" s="9">
        <v>46296</v>
      </c>
      <c r="AR795" s="5" t="s">
        <v>72</v>
      </c>
      <c r="AS795" s="5" t="s">
        <v>181</v>
      </c>
    </row>
    <row r="796" spans="1:45" x14ac:dyDescent="0.35">
      <c r="A796" s="5" t="s">
        <v>3593</v>
      </c>
      <c r="B796" s="5" t="s">
        <v>3594</v>
      </c>
      <c r="C796" s="6" t="s">
        <v>3595</v>
      </c>
      <c r="D796" s="7">
        <v>98600</v>
      </c>
      <c r="E796" s="5" t="s">
        <v>48</v>
      </c>
      <c r="F796" s="5" t="s">
        <v>49</v>
      </c>
      <c r="G796" s="8"/>
      <c r="H796" s="8" t="str">
        <f>IF(F796="Bullet",MIN(G796,Assumptions!$B$6),"")</f>
        <v/>
      </c>
      <c r="I796" s="8">
        <v>1</v>
      </c>
      <c r="J796" s="8">
        <f>IF(F796="Monthly interest",MAX(0,Assumptions!$B$5-I796),"")</f>
        <v>2</v>
      </c>
      <c r="K796" s="7">
        <f t="shared" si="36"/>
        <v>1643</v>
      </c>
      <c r="L796" s="9">
        <v>46297</v>
      </c>
      <c r="M796" s="5" t="s">
        <v>50</v>
      </c>
      <c r="N796" s="5" t="s">
        <v>51</v>
      </c>
      <c r="O796" s="5" t="s">
        <v>52</v>
      </c>
      <c r="P796" s="5" t="s">
        <v>53</v>
      </c>
      <c r="Q796" s="5" t="s">
        <v>54</v>
      </c>
      <c r="R796" s="5" t="s">
        <v>55</v>
      </c>
      <c r="S796" s="5" t="s">
        <v>85</v>
      </c>
      <c r="T796" s="5" t="s">
        <v>57</v>
      </c>
      <c r="U796" s="5" t="s">
        <v>86</v>
      </c>
      <c r="V796" s="5" t="s">
        <v>96</v>
      </c>
      <c r="W796" s="5" t="s">
        <v>97</v>
      </c>
      <c r="X796" s="5" t="s">
        <v>3118</v>
      </c>
      <c r="Y796" s="5" t="s">
        <v>3596</v>
      </c>
      <c r="Z796" s="9">
        <v>46144</v>
      </c>
      <c r="AA796" s="8">
        <v>24</v>
      </c>
      <c r="AB796" s="9">
        <f t="shared" si="37"/>
        <v>46875</v>
      </c>
      <c r="AC796" s="10">
        <v>20</v>
      </c>
      <c r="AD796" s="7">
        <f t="shared" si="38"/>
        <v>1643</v>
      </c>
      <c r="AE796" s="7">
        <f>IF(F796="Bullet",H796*AD796,MIN(MAX(I796,1),Assumptions!$B$6)*AD796)</f>
        <v>1643</v>
      </c>
      <c r="AF796" s="8">
        <f>IF(F796="Bullet",MAX(0,Assumptions!$B$4-AB796),MAX(0,Assumptions!$B$4-L796))</f>
        <v>1</v>
      </c>
      <c r="AG796" s="9">
        <v>46269</v>
      </c>
      <c r="AH796" s="8">
        <f>IF(AG796="","",Assumptions!$B$4-AG796)</f>
        <v>29</v>
      </c>
      <c r="AI796" s="5" t="s">
        <v>63</v>
      </c>
      <c r="AJ796" s="8">
        <v>1</v>
      </c>
      <c r="AK796" s="8">
        <v>1</v>
      </c>
      <c r="AL796" s="8">
        <v>690</v>
      </c>
      <c r="AM796" s="8">
        <v>1</v>
      </c>
      <c r="AN796" s="5" t="s">
        <v>63</v>
      </c>
      <c r="AO796" s="10">
        <v>69.400000000000006</v>
      </c>
      <c r="AP796" s="8">
        <v>30</v>
      </c>
      <c r="AQ796" s="9">
        <v>46297</v>
      </c>
      <c r="AR796" s="5" t="s">
        <v>51</v>
      </c>
      <c r="AS796" s="5" t="s">
        <v>181</v>
      </c>
    </row>
    <row r="797" spans="1:45" x14ac:dyDescent="0.35">
      <c r="A797" s="5" t="s">
        <v>3597</v>
      </c>
      <c r="B797" s="5" t="s">
        <v>3598</v>
      </c>
      <c r="C797" s="6" t="s">
        <v>3599</v>
      </c>
      <c r="D797" s="7">
        <v>22900</v>
      </c>
      <c r="E797" s="5" t="s">
        <v>48</v>
      </c>
      <c r="F797" s="5" t="s">
        <v>68</v>
      </c>
      <c r="G797" s="8">
        <v>4</v>
      </c>
      <c r="H797" s="8">
        <f>IF(F797="Bullet",MIN(G797,Assumptions!$B$6),"")</f>
        <v>2</v>
      </c>
      <c r="I797" s="8"/>
      <c r="J797" s="8" t="str">
        <f>IF(F797="Monthly interest",MAX(0,Assumptions!$B$5-I797),"")</f>
        <v/>
      </c>
      <c r="K797" s="7">
        <f t="shared" si="36"/>
        <v>1220</v>
      </c>
      <c r="L797" s="9">
        <v>46175</v>
      </c>
      <c r="M797" s="5" t="s">
        <v>69</v>
      </c>
      <c r="N797" s="5" t="s">
        <v>53</v>
      </c>
      <c r="O797" s="5" t="s">
        <v>152</v>
      </c>
      <c r="P797" s="5" t="s">
        <v>153</v>
      </c>
      <c r="Q797" s="5" t="s">
        <v>154</v>
      </c>
      <c r="R797" s="5" t="s">
        <v>155</v>
      </c>
      <c r="S797" s="5" t="s">
        <v>214</v>
      </c>
      <c r="T797" s="5" t="s">
        <v>57</v>
      </c>
      <c r="U797" s="5" t="s">
        <v>104</v>
      </c>
      <c r="V797" s="5" t="s">
        <v>215</v>
      </c>
      <c r="W797" s="5" t="s">
        <v>600</v>
      </c>
      <c r="X797" s="5" t="s">
        <v>2327</v>
      </c>
      <c r="Y797" s="5" t="s">
        <v>3600</v>
      </c>
      <c r="Z797" s="9">
        <v>46175</v>
      </c>
      <c r="AA797" s="8">
        <v>6</v>
      </c>
      <c r="AB797" s="9">
        <f t="shared" si="37"/>
        <v>46358</v>
      </c>
      <c r="AC797" s="10">
        <v>16</v>
      </c>
      <c r="AD797" s="7">
        <f t="shared" si="38"/>
        <v>305</v>
      </c>
      <c r="AE797" s="7">
        <f>IF(F797="Bullet",H797*AD797,MIN(MAX(I797,1),Assumptions!$B$6)*AD797)</f>
        <v>610</v>
      </c>
      <c r="AF797" s="8">
        <f>IF(F797="Bullet",MAX(0,Assumptions!$B$4-AB797),MAX(0,Assumptions!$B$4-L797))</f>
        <v>0</v>
      </c>
      <c r="AG797" s="9"/>
      <c r="AH797" s="8" t="str">
        <f>IF(AG797="","",Assumptions!$B$4-AG797)</f>
        <v/>
      </c>
      <c r="AI797" s="5" t="s">
        <v>80</v>
      </c>
      <c r="AJ797" s="8"/>
      <c r="AK797" s="8">
        <v>0</v>
      </c>
      <c r="AL797" s="8" t="s">
        <v>80</v>
      </c>
      <c r="AM797" s="8">
        <v>2</v>
      </c>
      <c r="AN797" s="5" t="s">
        <v>63</v>
      </c>
      <c r="AO797" s="10">
        <v>80.8</v>
      </c>
      <c r="AP797" s="8">
        <v>34</v>
      </c>
      <c r="AQ797" s="9">
        <v>46281</v>
      </c>
      <c r="AR797" s="5" t="s">
        <v>53</v>
      </c>
      <c r="AS797" s="5" t="s">
        <v>190</v>
      </c>
    </row>
    <row r="798" spans="1:45" x14ac:dyDescent="0.35">
      <c r="A798" s="5" t="s">
        <v>3601</v>
      </c>
      <c r="B798" s="5" t="s">
        <v>3602</v>
      </c>
      <c r="C798" s="6" t="s">
        <v>3603</v>
      </c>
      <c r="D798" s="7">
        <v>27700</v>
      </c>
      <c r="E798" s="5" t="s">
        <v>48</v>
      </c>
      <c r="F798" s="5" t="s">
        <v>68</v>
      </c>
      <c r="G798" s="8">
        <v>2</v>
      </c>
      <c r="H798" s="8">
        <f>IF(F798="Bullet",MIN(G798,Assumptions!$B$6),"")</f>
        <v>2</v>
      </c>
      <c r="I798" s="8"/>
      <c r="J798" s="8" t="str">
        <f>IF(F798="Monthly interest",MAX(0,Assumptions!$B$5-I798),"")</f>
        <v/>
      </c>
      <c r="K798" s="7">
        <f t="shared" si="36"/>
        <v>692</v>
      </c>
      <c r="L798" s="9">
        <v>46218</v>
      </c>
      <c r="M798" s="5" t="s">
        <v>50</v>
      </c>
      <c r="N798" s="5" t="s">
        <v>53</v>
      </c>
      <c r="O798" s="5" t="s">
        <v>152</v>
      </c>
      <c r="P798" s="5" t="s">
        <v>153</v>
      </c>
      <c r="Q798" s="5" t="s">
        <v>154</v>
      </c>
      <c r="R798" s="5" t="s">
        <v>155</v>
      </c>
      <c r="S798" s="5" t="s">
        <v>214</v>
      </c>
      <c r="T798" s="5" t="s">
        <v>57</v>
      </c>
      <c r="U798" s="5" t="s">
        <v>86</v>
      </c>
      <c r="V798" s="5" t="s">
        <v>215</v>
      </c>
      <c r="W798" s="5" t="s">
        <v>1057</v>
      </c>
      <c r="X798" s="5" t="s">
        <v>3604</v>
      </c>
      <c r="Y798" s="5" t="s">
        <v>3605</v>
      </c>
      <c r="Z798" s="9">
        <v>46218</v>
      </c>
      <c r="AA798" s="8">
        <v>12</v>
      </c>
      <c r="AB798" s="9">
        <f t="shared" si="37"/>
        <v>46583</v>
      </c>
      <c r="AC798" s="10">
        <v>15</v>
      </c>
      <c r="AD798" s="7">
        <f t="shared" si="38"/>
        <v>346</v>
      </c>
      <c r="AE798" s="7">
        <f>IF(F798="Bullet",H798*AD798,MIN(MAX(I798,1),Assumptions!$B$6)*AD798)</f>
        <v>692</v>
      </c>
      <c r="AF798" s="8">
        <f>IF(F798="Bullet",MAX(0,Assumptions!$B$4-AB798),MAX(0,Assumptions!$B$4-L798))</f>
        <v>0</v>
      </c>
      <c r="AG798" s="9"/>
      <c r="AH798" s="8" t="str">
        <f>IF(AG798="","",Assumptions!$B$4-AG798)</f>
        <v/>
      </c>
      <c r="AI798" s="5" t="s">
        <v>80</v>
      </c>
      <c r="AJ798" s="8"/>
      <c r="AK798" s="8">
        <v>0</v>
      </c>
      <c r="AL798" s="8">
        <v>749</v>
      </c>
      <c r="AM798" s="8">
        <v>2</v>
      </c>
      <c r="AN798" s="5" t="s">
        <v>63</v>
      </c>
      <c r="AO798" s="10">
        <v>66.8</v>
      </c>
      <c r="AP798" s="8">
        <v>11</v>
      </c>
      <c r="AQ798" s="9">
        <v>46280</v>
      </c>
      <c r="AR798" s="5" t="s">
        <v>70</v>
      </c>
      <c r="AS798" s="5" t="s">
        <v>81</v>
      </c>
    </row>
    <row r="799" spans="1:45" x14ac:dyDescent="0.35">
      <c r="A799" s="5" t="s">
        <v>3606</v>
      </c>
      <c r="B799" s="5" t="s">
        <v>3607</v>
      </c>
      <c r="C799" s="6" t="s">
        <v>3608</v>
      </c>
      <c r="D799" s="7">
        <v>35600</v>
      </c>
      <c r="E799" s="5" t="s">
        <v>48</v>
      </c>
      <c r="F799" s="5" t="s">
        <v>68</v>
      </c>
      <c r="G799" s="8">
        <v>1</v>
      </c>
      <c r="H799" s="8">
        <f>IF(F799="Bullet",MIN(G799,Assumptions!$B$6),"")</f>
        <v>1</v>
      </c>
      <c r="I799" s="8"/>
      <c r="J799" s="8" t="str">
        <f>IF(F799="Monthly interest",MAX(0,Assumptions!$B$5-I799),"")</f>
        <v/>
      </c>
      <c r="K799" s="7">
        <f t="shared" si="36"/>
        <v>386</v>
      </c>
      <c r="L799" s="9">
        <v>46268</v>
      </c>
      <c r="M799" s="5" t="s">
        <v>50</v>
      </c>
      <c r="N799" s="5" t="s">
        <v>51</v>
      </c>
      <c r="O799" s="5" t="s">
        <v>152</v>
      </c>
      <c r="P799" s="5" t="s">
        <v>53</v>
      </c>
      <c r="Q799" s="5" t="s">
        <v>154</v>
      </c>
      <c r="R799" s="5" t="s">
        <v>155</v>
      </c>
      <c r="S799" s="5" t="s">
        <v>85</v>
      </c>
      <c r="T799" s="5" t="s">
        <v>57</v>
      </c>
      <c r="U799" s="5" t="s">
        <v>58</v>
      </c>
      <c r="V799" s="5" t="s">
        <v>96</v>
      </c>
      <c r="W799" s="5" t="s">
        <v>171</v>
      </c>
      <c r="X799" s="5" t="s">
        <v>3609</v>
      </c>
      <c r="Y799" s="5" t="s">
        <v>3610</v>
      </c>
      <c r="Z799" s="9">
        <v>46268</v>
      </c>
      <c r="AA799" s="8">
        <v>6</v>
      </c>
      <c r="AB799" s="9">
        <f t="shared" si="37"/>
        <v>46449</v>
      </c>
      <c r="AC799" s="10">
        <v>13</v>
      </c>
      <c r="AD799" s="7">
        <f t="shared" si="38"/>
        <v>386</v>
      </c>
      <c r="AE799" s="7">
        <f>IF(F799="Bullet",H799*AD799,MIN(MAX(I799,1),Assumptions!$B$6)*AD799)</f>
        <v>386</v>
      </c>
      <c r="AF799" s="8">
        <f>IF(F799="Bullet",MAX(0,Assumptions!$B$4-AB799),MAX(0,Assumptions!$B$4-L799))</f>
        <v>0</v>
      </c>
      <c r="AG799" s="9"/>
      <c r="AH799" s="8" t="str">
        <f>IF(AG799="","",Assumptions!$B$4-AG799)</f>
        <v/>
      </c>
      <c r="AI799" s="5" t="s">
        <v>80</v>
      </c>
      <c r="AJ799" s="8"/>
      <c r="AK799" s="8">
        <v>1</v>
      </c>
      <c r="AL799" s="8">
        <v>692</v>
      </c>
      <c r="AM799" s="8">
        <v>1</v>
      </c>
      <c r="AN799" s="5" t="s">
        <v>63</v>
      </c>
      <c r="AO799" s="10">
        <v>72.599999999999994</v>
      </c>
      <c r="AP799" s="8">
        <v>23</v>
      </c>
      <c r="AQ799" s="9">
        <v>46285</v>
      </c>
      <c r="AR799" s="5" t="s">
        <v>51</v>
      </c>
      <c r="AS799" s="5" t="s">
        <v>64</v>
      </c>
    </row>
    <row r="800" spans="1:45" x14ac:dyDescent="0.35">
      <c r="A800" s="5" t="s">
        <v>3611</v>
      </c>
      <c r="B800" s="5" t="s">
        <v>310</v>
      </c>
      <c r="C800" s="6" t="s">
        <v>3612</v>
      </c>
      <c r="D800" s="7">
        <v>189900</v>
      </c>
      <c r="E800" s="5" t="s">
        <v>48</v>
      </c>
      <c r="F800" s="5" t="s">
        <v>49</v>
      </c>
      <c r="G800" s="8"/>
      <c r="H800" s="8" t="str">
        <f>IF(F800="Bullet",MIN(G800,Assumptions!$B$6),"")</f>
        <v/>
      </c>
      <c r="I800" s="8">
        <v>2</v>
      </c>
      <c r="J800" s="8">
        <f>IF(F800="Monthly interest",MAX(0,Assumptions!$B$5-I800),"")</f>
        <v>1</v>
      </c>
      <c r="K800" s="7">
        <f t="shared" si="36"/>
        <v>7596</v>
      </c>
      <c r="L800" s="9">
        <v>46242</v>
      </c>
      <c r="M800" s="5" t="s">
        <v>69</v>
      </c>
      <c r="N800" s="5" t="s">
        <v>53</v>
      </c>
      <c r="O800" s="5" t="s">
        <v>71</v>
      </c>
      <c r="P800" s="5" t="s">
        <v>70</v>
      </c>
      <c r="Q800" s="5" t="s">
        <v>73</v>
      </c>
      <c r="R800" s="5" t="s">
        <v>74</v>
      </c>
      <c r="S800" s="5" t="s">
        <v>85</v>
      </c>
      <c r="T800" s="5" t="s">
        <v>57</v>
      </c>
      <c r="U800" s="5" t="s">
        <v>104</v>
      </c>
      <c r="V800" s="5" t="s">
        <v>96</v>
      </c>
      <c r="W800" s="5" t="s">
        <v>265</v>
      </c>
      <c r="X800" s="5" t="s">
        <v>266</v>
      </c>
      <c r="Y800" s="5" t="s">
        <v>3613</v>
      </c>
      <c r="Z800" s="9">
        <v>46061</v>
      </c>
      <c r="AA800" s="8">
        <v>12</v>
      </c>
      <c r="AB800" s="9">
        <f t="shared" si="37"/>
        <v>46426</v>
      </c>
      <c r="AC800" s="10">
        <v>24</v>
      </c>
      <c r="AD800" s="7">
        <f t="shared" si="38"/>
        <v>3798</v>
      </c>
      <c r="AE800" s="7">
        <f>IF(F800="Bullet",H800*AD800,MIN(MAX(I800,1),Assumptions!$B$6)*AD800)</f>
        <v>7596</v>
      </c>
      <c r="AF800" s="8">
        <f>IF(F800="Bullet",MAX(0,Assumptions!$B$4-AB800),MAX(0,Assumptions!$B$4-L800))</f>
        <v>56</v>
      </c>
      <c r="AG800" s="9">
        <v>46215</v>
      </c>
      <c r="AH800" s="8">
        <f>IF(AG800="","",Assumptions!$B$4-AG800)</f>
        <v>83</v>
      </c>
      <c r="AI800" s="5" t="s">
        <v>63</v>
      </c>
      <c r="AJ800" s="8">
        <v>2</v>
      </c>
      <c r="AK800" s="8">
        <v>1</v>
      </c>
      <c r="AL800" s="8" t="s">
        <v>80</v>
      </c>
      <c r="AM800" s="8">
        <v>0</v>
      </c>
      <c r="AN800" s="5" t="s">
        <v>63</v>
      </c>
      <c r="AO800" s="10">
        <v>69.099999999999994</v>
      </c>
      <c r="AP800" s="8">
        <v>44</v>
      </c>
      <c r="AQ800" s="9">
        <v>46296</v>
      </c>
      <c r="AR800" s="5" t="s">
        <v>72</v>
      </c>
      <c r="AS800" s="5" t="s">
        <v>81</v>
      </c>
    </row>
    <row r="801" spans="1:45" x14ac:dyDescent="0.35">
      <c r="A801" s="5" t="s">
        <v>3614</v>
      </c>
      <c r="B801" s="5" t="s">
        <v>3615</v>
      </c>
      <c r="C801" s="6" t="s">
        <v>3616</v>
      </c>
      <c r="D801" s="7">
        <v>79100</v>
      </c>
      <c r="E801" s="5" t="s">
        <v>48</v>
      </c>
      <c r="F801" s="5" t="s">
        <v>68</v>
      </c>
      <c r="G801" s="8">
        <v>2</v>
      </c>
      <c r="H801" s="8">
        <f>IF(F801="Bullet",MIN(G801,Assumptions!$B$6),"")</f>
        <v>2</v>
      </c>
      <c r="I801" s="8"/>
      <c r="J801" s="8" t="str">
        <f>IF(F801="Monthly interest",MAX(0,Assumptions!$B$5-I801),"")</f>
        <v/>
      </c>
      <c r="K801" s="7">
        <f t="shared" si="36"/>
        <v>1978</v>
      </c>
      <c r="L801" s="9">
        <v>46213</v>
      </c>
      <c r="M801" s="5" t="s">
        <v>50</v>
      </c>
      <c r="N801" s="5" t="s">
        <v>53</v>
      </c>
      <c r="O801" s="5" t="s">
        <v>95</v>
      </c>
      <c r="P801" s="5" t="s">
        <v>70</v>
      </c>
      <c r="Q801" s="5" t="s">
        <v>73</v>
      </c>
      <c r="R801" s="5" t="s">
        <v>74</v>
      </c>
      <c r="S801" s="5" t="s">
        <v>185</v>
      </c>
      <c r="T801" s="5" t="s">
        <v>63</v>
      </c>
      <c r="U801" s="5" t="s">
        <v>86</v>
      </c>
      <c r="V801" s="5" t="s">
        <v>186</v>
      </c>
      <c r="W801" s="5" t="s">
        <v>376</v>
      </c>
      <c r="X801" s="5" t="s">
        <v>2510</v>
      </c>
      <c r="Y801" s="5" t="s">
        <v>3617</v>
      </c>
      <c r="Z801" s="9">
        <v>46213</v>
      </c>
      <c r="AA801" s="8">
        <v>12</v>
      </c>
      <c r="AB801" s="9">
        <f t="shared" si="37"/>
        <v>46578</v>
      </c>
      <c r="AC801" s="10">
        <v>15</v>
      </c>
      <c r="AD801" s="7">
        <f t="shared" si="38"/>
        <v>989</v>
      </c>
      <c r="AE801" s="7">
        <f>IF(F801="Bullet",H801*AD801,MIN(MAX(I801,1),Assumptions!$B$6)*AD801)</f>
        <v>1978</v>
      </c>
      <c r="AF801" s="8">
        <f>IF(F801="Bullet",MAX(0,Assumptions!$B$4-AB801),MAX(0,Assumptions!$B$4-L801))</f>
        <v>0</v>
      </c>
      <c r="AG801" s="9"/>
      <c r="AH801" s="8" t="str">
        <f>IF(AG801="","",Assumptions!$B$4-AG801)</f>
        <v/>
      </c>
      <c r="AI801" s="5" t="s">
        <v>80</v>
      </c>
      <c r="AJ801" s="8"/>
      <c r="AK801" s="8">
        <v>0</v>
      </c>
      <c r="AL801" s="8">
        <v>766</v>
      </c>
      <c r="AM801" s="8">
        <v>0</v>
      </c>
      <c r="AN801" s="5" t="s">
        <v>63</v>
      </c>
      <c r="AO801" s="10">
        <v>75.5</v>
      </c>
      <c r="AP801" s="8">
        <v>10</v>
      </c>
      <c r="AQ801" s="9">
        <v>46294</v>
      </c>
      <c r="AR801" s="5" t="s">
        <v>70</v>
      </c>
      <c r="AS801" s="5" t="s">
        <v>64</v>
      </c>
    </row>
    <row r="802" spans="1:45" x14ac:dyDescent="0.35">
      <c r="A802" s="5" t="s">
        <v>3618</v>
      </c>
      <c r="B802" s="5" t="s">
        <v>3619</v>
      </c>
      <c r="C802" s="6" t="s">
        <v>3620</v>
      </c>
      <c r="D802" s="7">
        <v>159400</v>
      </c>
      <c r="E802" s="5" t="s">
        <v>48</v>
      </c>
      <c r="F802" s="5" t="s">
        <v>49</v>
      </c>
      <c r="G802" s="8"/>
      <c r="H802" s="8" t="str">
        <f>IF(F802="Bullet",MIN(G802,Assumptions!$B$6),"")</f>
        <v/>
      </c>
      <c r="I802" s="8">
        <v>2</v>
      </c>
      <c r="J802" s="8">
        <f>IF(F802="Monthly interest",MAX(0,Assumptions!$B$5-I802),"")</f>
        <v>1</v>
      </c>
      <c r="K802" s="7">
        <f t="shared" si="36"/>
        <v>3986</v>
      </c>
      <c r="L802" s="9">
        <v>46261</v>
      </c>
      <c r="M802" s="5" t="s">
        <v>116</v>
      </c>
      <c r="N802" s="5" t="s">
        <v>117</v>
      </c>
      <c r="O802" s="5" t="s">
        <v>118</v>
      </c>
      <c r="P802" s="5" t="s">
        <v>72</v>
      </c>
      <c r="Q802" s="5" t="s">
        <v>119</v>
      </c>
      <c r="R802" s="5" t="s">
        <v>120</v>
      </c>
      <c r="S802" s="5" t="s">
        <v>85</v>
      </c>
      <c r="T802" s="5" t="s">
        <v>57</v>
      </c>
      <c r="U802" s="5" t="s">
        <v>104</v>
      </c>
      <c r="V802" s="5" t="s">
        <v>553</v>
      </c>
      <c r="W802" s="5" t="s">
        <v>1029</v>
      </c>
      <c r="X802" s="5" t="s">
        <v>1842</v>
      </c>
      <c r="Y802" s="5" t="s">
        <v>3621</v>
      </c>
      <c r="Z802" s="9">
        <v>46080</v>
      </c>
      <c r="AA802" s="8">
        <v>24</v>
      </c>
      <c r="AB802" s="9">
        <f t="shared" si="37"/>
        <v>46810</v>
      </c>
      <c r="AC802" s="10">
        <v>15</v>
      </c>
      <c r="AD802" s="7">
        <f t="shared" si="38"/>
        <v>1993</v>
      </c>
      <c r="AE802" s="7">
        <f>IF(F802="Bullet",H802*AD802,MIN(MAX(I802,1),Assumptions!$B$6)*AD802)</f>
        <v>3986</v>
      </c>
      <c r="AF802" s="8">
        <f>IF(F802="Bullet",MAX(0,Assumptions!$B$4-AB802),MAX(0,Assumptions!$B$4-L802))</f>
        <v>37</v>
      </c>
      <c r="AG802" s="9">
        <v>46235</v>
      </c>
      <c r="AH802" s="8">
        <f>IF(AG802="","",Assumptions!$B$4-AG802)</f>
        <v>63</v>
      </c>
      <c r="AI802" s="5" t="s">
        <v>57</v>
      </c>
      <c r="AJ802" s="8">
        <v>2</v>
      </c>
      <c r="AK802" s="8">
        <v>0</v>
      </c>
      <c r="AL802" s="8" t="s">
        <v>80</v>
      </c>
      <c r="AM802" s="8">
        <v>1</v>
      </c>
      <c r="AN802" s="5" t="s">
        <v>63</v>
      </c>
      <c r="AO802" s="10">
        <v>68.3</v>
      </c>
      <c r="AP802" s="8">
        <v>53</v>
      </c>
      <c r="AQ802" s="9">
        <v>46282</v>
      </c>
      <c r="AR802" s="5" t="s">
        <v>53</v>
      </c>
      <c r="AS802" s="5" t="s">
        <v>81</v>
      </c>
    </row>
    <row r="803" spans="1:45" x14ac:dyDescent="0.35">
      <c r="A803" s="5" t="s">
        <v>3622</v>
      </c>
      <c r="B803" s="5" t="s">
        <v>1807</v>
      </c>
      <c r="C803" s="6" t="s">
        <v>3623</v>
      </c>
      <c r="D803" s="7">
        <v>44400</v>
      </c>
      <c r="E803" s="5" t="s">
        <v>48</v>
      </c>
      <c r="F803" s="5" t="s">
        <v>49</v>
      </c>
      <c r="G803" s="8"/>
      <c r="H803" s="8" t="str">
        <f>IF(F803="Bullet",MIN(G803,Assumptions!$B$6),"")</f>
        <v/>
      </c>
      <c r="I803" s="8">
        <v>1</v>
      </c>
      <c r="J803" s="8">
        <f>IF(F803="Monthly interest",MAX(0,Assumptions!$B$5-I803),"")</f>
        <v>2</v>
      </c>
      <c r="K803" s="7">
        <f t="shared" si="36"/>
        <v>814</v>
      </c>
      <c r="L803" s="9">
        <v>46275</v>
      </c>
      <c r="M803" s="5" t="s">
        <v>69</v>
      </c>
      <c r="N803" s="5" t="s">
        <v>51</v>
      </c>
      <c r="O803" s="5" t="s">
        <v>152</v>
      </c>
      <c r="P803" s="5" t="s">
        <v>53</v>
      </c>
      <c r="Q803" s="5" t="s">
        <v>154</v>
      </c>
      <c r="R803" s="5" t="s">
        <v>155</v>
      </c>
      <c r="S803" s="5" t="s">
        <v>75</v>
      </c>
      <c r="T803" s="5" t="s">
        <v>57</v>
      </c>
      <c r="U803" s="5" t="s">
        <v>104</v>
      </c>
      <c r="V803" s="5" t="s">
        <v>76</v>
      </c>
      <c r="W803" s="5" t="s">
        <v>306</v>
      </c>
      <c r="X803" s="5" t="s">
        <v>3624</v>
      </c>
      <c r="Y803" s="5" t="s">
        <v>3625</v>
      </c>
      <c r="Z803" s="9">
        <v>46152</v>
      </c>
      <c r="AA803" s="8">
        <v>18</v>
      </c>
      <c r="AB803" s="9">
        <f t="shared" si="37"/>
        <v>46701</v>
      </c>
      <c r="AC803" s="10">
        <v>22</v>
      </c>
      <c r="AD803" s="7">
        <f t="shared" si="38"/>
        <v>814</v>
      </c>
      <c r="AE803" s="7">
        <f>IF(F803="Bullet",H803*AD803,MIN(MAX(I803,1),Assumptions!$B$6)*AD803)</f>
        <v>814</v>
      </c>
      <c r="AF803" s="8">
        <f>IF(F803="Bullet",MAX(0,Assumptions!$B$4-AB803),MAX(0,Assumptions!$B$4-L803))</f>
        <v>23</v>
      </c>
      <c r="AG803" s="9">
        <v>46246</v>
      </c>
      <c r="AH803" s="8">
        <f>IF(AG803="","",Assumptions!$B$4-AG803)</f>
        <v>52</v>
      </c>
      <c r="AI803" s="5" t="s">
        <v>63</v>
      </c>
      <c r="AJ803" s="8">
        <v>1</v>
      </c>
      <c r="AK803" s="8">
        <v>1</v>
      </c>
      <c r="AL803" s="8">
        <v>698</v>
      </c>
      <c r="AM803" s="8">
        <v>2</v>
      </c>
      <c r="AN803" s="5" t="s">
        <v>63</v>
      </c>
      <c r="AO803" s="10">
        <v>56.6</v>
      </c>
      <c r="AP803" s="8">
        <v>32</v>
      </c>
      <c r="AQ803" s="9"/>
      <c r="AR803" s="5"/>
      <c r="AS803" s="5" t="s">
        <v>159</v>
      </c>
    </row>
    <row r="804" spans="1:45" x14ac:dyDescent="0.35">
      <c r="A804" s="5" t="s">
        <v>3626</v>
      </c>
      <c r="B804" s="5" t="s">
        <v>1066</v>
      </c>
      <c r="C804" s="6" t="s">
        <v>3627</v>
      </c>
      <c r="D804" s="7">
        <v>101300</v>
      </c>
      <c r="E804" s="5" t="s">
        <v>48</v>
      </c>
      <c r="F804" s="5" t="s">
        <v>49</v>
      </c>
      <c r="G804" s="8"/>
      <c r="H804" s="8" t="str">
        <f>IF(F804="Bullet",MIN(G804,Assumptions!$B$6),"")</f>
        <v/>
      </c>
      <c r="I804" s="8">
        <v>2</v>
      </c>
      <c r="J804" s="8">
        <f>IF(F804="Monthly interest",MAX(0,Assumptions!$B$5-I804),"")</f>
        <v>1</v>
      </c>
      <c r="K804" s="7">
        <f t="shared" si="36"/>
        <v>2702</v>
      </c>
      <c r="L804" s="9">
        <v>46244</v>
      </c>
      <c r="M804" s="5" t="s">
        <v>116</v>
      </c>
      <c r="N804" s="5" t="s">
        <v>117</v>
      </c>
      <c r="O804" s="5" t="s">
        <v>118</v>
      </c>
      <c r="P804" s="5" t="s">
        <v>72</v>
      </c>
      <c r="Q804" s="5" t="s">
        <v>119</v>
      </c>
      <c r="R804" s="5" t="s">
        <v>120</v>
      </c>
      <c r="S804" s="5" t="s">
        <v>85</v>
      </c>
      <c r="T804" s="5" t="s">
        <v>57</v>
      </c>
      <c r="U804" s="5" t="s">
        <v>58</v>
      </c>
      <c r="V804" s="5" t="s">
        <v>96</v>
      </c>
      <c r="W804" s="5" t="s">
        <v>265</v>
      </c>
      <c r="X804" s="5" t="s">
        <v>1641</v>
      </c>
      <c r="Y804" s="5" t="s">
        <v>3628</v>
      </c>
      <c r="Z804" s="9">
        <v>46183</v>
      </c>
      <c r="AA804" s="8">
        <v>12</v>
      </c>
      <c r="AB804" s="9">
        <f t="shared" si="37"/>
        <v>46548</v>
      </c>
      <c r="AC804" s="10">
        <v>16</v>
      </c>
      <c r="AD804" s="7">
        <f t="shared" si="38"/>
        <v>1351</v>
      </c>
      <c r="AE804" s="7">
        <f>IF(F804="Bullet",H804*AD804,MIN(MAX(I804,1),Assumptions!$B$6)*AD804)</f>
        <v>2702</v>
      </c>
      <c r="AF804" s="8">
        <f>IF(F804="Bullet",MAX(0,Assumptions!$B$4-AB804),MAX(0,Assumptions!$B$4-L804))</f>
        <v>54</v>
      </c>
      <c r="AG804" s="9">
        <v>46215</v>
      </c>
      <c r="AH804" s="8">
        <f>IF(AG804="","",Assumptions!$B$4-AG804)</f>
        <v>83</v>
      </c>
      <c r="AI804" s="5" t="s">
        <v>63</v>
      </c>
      <c r="AJ804" s="8">
        <v>2</v>
      </c>
      <c r="AK804" s="8">
        <v>1</v>
      </c>
      <c r="AL804" s="8">
        <v>656</v>
      </c>
      <c r="AM804" s="8">
        <v>0</v>
      </c>
      <c r="AN804" s="5" t="s">
        <v>63</v>
      </c>
      <c r="AO804" s="10">
        <v>67.099999999999994</v>
      </c>
      <c r="AP804" s="8">
        <v>51</v>
      </c>
      <c r="AQ804" s="9"/>
      <c r="AR804" s="5"/>
      <c r="AS804" s="5" t="s">
        <v>159</v>
      </c>
    </row>
    <row r="805" spans="1:45" x14ac:dyDescent="0.35">
      <c r="A805" s="5" t="s">
        <v>3629</v>
      </c>
      <c r="B805" s="5" t="s">
        <v>3159</v>
      </c>
      <c r="C805" s="6" t="s">
        <v>3630</v>
      </c>
      <c r="D805" s="7">
        <v>233700</v>
      </c>
      <c r="E805" s="5" t="s">
        <v>48</v>
      </c>
      <c r="F805" s="5" t="s">
        <v>49</v>
      </c>
      <c r="G805" s="8"/>
      <c r="H805" s="8" t="str">
        <f>IF(F805="Bullet",MIN(G805,Assumptions!$B$6),"")</f>
        <v/>
      </c>
      <c r="I805" s="8">
        <v>2</v>
      </c>
      <c r="J805" s="8">
        <f>IF(F805="Monthly interest",MAX(0,Assumptions!$B$5-I805),"")</f>
        <v>1</v>
      </c>
      <c r="K805" s="7">
        <f t="shared" si="36"/>
        <v>7790</v>
      </c>
      <c r="L805" s="9">
        <v>46266</v>
      </c>
      <c r="M805" s="5" t="s">
        <v>116</v>
      </c>
      <c r="N805" s="5" t="s">
        <v>117</v>
      </c>
      <c r="O805" s="5" t="s">
        <v>118</v>
      </c>
      <c r="P805" s="5" t="s">
        <v>72</v>
      </c>
      <c r="Q805" s="5" t="s">
        <v>119</v>
      </c>
      <c r="R805" s="5" t="s">
        <v>120</v>
      </c>
      <c r="S805" s="5" t="s">
        <v>75</v>
      </c>
      <c r="T805" s="5" t="s">
        <v>57</v>
      </c>
      <c r="U805" s="5" t="s">
        <v>104</v>
      </c>
      <c r="V805" s="5" t="s">
        <v>76</v>
      </c>
      <c r="W805" s="5" t="s">
        <v>140</v>
      </c>
      <c r="X805" s="5" t="s">
        <v>3631</v>
      </c>
      <c r="Y805" s="5" t="s">
        <v>3632</v>
      </c>
      <c r="Z805" s="9">
        <v>45992</v>
      </c>
      <c r="AA805" s="8">
        <v>12</v>
      </c>
      <c r="AB805" s="9">
        <f t="shared" si="37"/>
        <v>46357</v>
      </c>
      <c r="AC805" s="10">
        <v>20</v>
      </c>
      <c r="AD805" s="7">
        <f t="shared" si="38"/>
        <v>3895</v>
      </c>
      <c r="AE805" s="7">
        <f>IF(F805="Bullet",H805*AD805,MIN(MAX(I805,1),Assumptions!$B$6)*AD805)</f>
        <v>7790</v>
      </c>
      <c r="AF805" s="8">
        <f>IF(F805="Bullet",MAX(0,Assumptions!$B$4-AB805),MAX(0,Assumptions!$B$4-L805))</f>
        <v>32</v>
      </c>
      <c r="AG805" s="9">
        <v>46235</v>
      </c>
      <c r="AH805" s="8">
        <f>IF(AG805="","",Assumptions!$B$4-AG805)</f>
        <v>63</v>
      </c>
      <c r="AI805" s="5" t="s">
        <v>63</v>
      </c>
      <c r="AJ805" s="8">
        <v>3</v>
      </c>
      <c r="AK805" s="8">
        <v>1</v>
      </c>
      <c r="AL805" s="8">
        <v>646</v>
      </c>
      <c r="AM805" s="8">
        <v>0</v>
      </c>
      <c r="AN805" s="5" t="s">
        <v>63</v>
      </c>
      <c r="AO805" s="10">
        <v>66.3</v>
      </c>
      <c r="AP805" s="8">
        <v>60</v>
      </c>
      <c r="AQ805" s="9">
        <v>46290</v>
      </c>
      <c r="AR805" s="5" t="s">
        <v>51</v>
      </c>
      <c r="AS805" s="5" t="s">
        <v>190</v>
      </c>
    </row>
    <row r="806" spans="1:45" x14ac:dyDescent="0.35">
      <c r="A806" s="5" t="s">
        <v>3633</v>
      </c>
      <c r="B806" s="5" t="s">
        <v>3634</v>
      </c>
      <c r="C806" s="6" t="s">
        <v>3635</v>
      </c>
      <c r="D806" s="7">
        <v>56600</v>
      </c>
      <c r="E806" s="5" t="s">
        <v>48</v>
      </c>
      <c r="F806" s="5" t="s">
        <v>68</v>
      </c>
      <c r="G806" s="8">
        <v>3</v>
      </c>
      <c r="H806" s="8">
        <f>IF(F806="Bullet",MIN(G806,Assumptions!$B$6),"")</f>
        <v>2</v>
      </c>
      <c r="I806" s="8"/>
      <c r="J806" s="8" t="str">
        <f>IF(F806="Monthly interest",MAX(0,Assumptions!$B$5-I806),"")</f>
        <v/>
      </c>
      <c r="K806" s="7">
        <f t="shared" si="36"/>
        <v>2265</v>
      </c>
      <c r="L806" s="9">
        <v>46189</v>
      </c>
      <c r="M806" s="5" t="s">
        <v>69</v>
      </c>
      <c r="N806" s="5" t="s">
        <v>53</v>
      </c>
      <c r="O806" s="5" t="s">
        <v>71</v>
      </c>
      <c r="P806" s="5" t="s">
        <v>70</v>
      </c>
      <c r="Q806" s="5" t="s">
        <v>73</v>
      </c>
      <c r="R806" s="5" t="s">
        <v>74</v>
      </c>
      <c r="S806" s="5" t="s">
        <v>85</v>
      </c>
      <c r="T806" s="5" t="s">
        <v>57</v>
      </c>
      <c r="U806" s="5" t="s">
        <v>104</v>
      </c>
      <c r="V806" s="5" t="s">
        <v>177</v>
      </c>
      <c r="W806" s="5" t="s">
        <v>178</v>
      </c>
      <c r="X806" s="5" t="s">
        <v>1528</v>
      </c>
      <c r="Y806" s="5" t="s">
        <v>3636</v>
      </c>
      <c r="Z806" s="9">
        <v>46189</v>
      </c>
      <c r="AA806" s="8">
        <v>12</v>
      </c>
      <c r="AB806" s="9">
        <f t="shared" si="37"/>
        <v>46554</v>
      </c>
      <c r="AC806" s="10">
        <v>16</v>
      </c>
      <c r="AD806" s="7">
        <f t="shared" si="38"/>
        <v>755</v>
      </c>
      <c r="AE806" s="7">
        <f>IF(F806="Bullet",H806*AD806,MIN(MAX(I806,1),Assumptions!$B$6)*AD806)</f>
        <v>1510</v>
      </c>
      <c r="AF806" s="8">
        <f>IF(F806="Bullet",MAX(0,Assumptions!$B$4-AB806),MAX(0,Assumptions!$B$4-L806))</f>
        <v>0</v>
      </c>
      <c r="AG806" s="9"/>
      <c r="AH806" s="8" t="str">
        <f>IF(AG806="","",Assumptions!$B$4-AG806)</f>
        <v/>
      </c>
      <c r="AI806" s="5" t="s">
        <v>80</v>
      </c>
      <c r="AJ806" s="8"/>
      <c r="AK806" s="8">
        <v>2</v>
      </c>
      <c r="AL806" s="8">
        <v>671</v>
      </c>
      <c r="AM806" s="8">
        <v>2</v>
      </c>
      <c r="AN806" s="5" t="s">
        <v>63</v>
      </c>
      <c r="AO806" s="10">
        <v>68.7</v>
      </c>
      <c r="AP806" s="8">
        <v>32</v>
      </c>
      <c r="AQ806" s="9">
        <v>46290</v>
      </c>
      <c r="AR806" s="5" t="s">
        <v>51</v>
      </c>
      <c r="AS806" s="5" t="s">
        <v>64</v>
      </c>
    </row>
    <row r="807" spans="1:45" x14ac:dyDescent="0.35">
      <c r="A807" s="5" t="s">
        <v>3637</v>
      </c>
      <c r="B807" s="5" t="s">
        <v>3638</v>
      </c>
      <c r="C807" s="6" t="s">
        <v>3639</v>
      </c>
      <c r="D807" s="7">
        <v>222600</v>
      </c>
      <c r="E807" s="5" t="s">
        <v>48</v>
      </c>
      <c r="F807" s="5" t="s">
        <v>49</v>
      </c>
      <c r="G807" s="8"/>
      <c r="H807" s="8" t="str">
        <f>IF(F807="Bullet",MIN(G807,Assumptions!$B$6),"")</f>
        <v/>
      </c>
      <c r="I807" s="8">
        <v>1</v>
      </c>
      <c r="J807" s="8">
        <f>IF(F807="Monthly interest",MAX(0,Assumptions!$B$5-I807),"")</f>
        <v>2</v>
      </c>
      <c r="K807" s="7">
        <f t="shared" si="36"/>
        <v>2783</v>
      </c>
      <c r="L807" s="9">
        <v>46278</v>
      </c>
      <c r="M807" s="5" t="s">
        <v>50</v>
      </c>
      <c r="N807" s="5" t="s">
        <v>53</v>
      </c>
      <c r="O807" s="5" t="s">
        <v>95</v>
      </c>
      <c r="P807" s="5" t="s">
        <v>70</v>
      </c>
      <c r="Q807" s="5" t="s">
        <v>54</v>
      </c>
      <c r="R807" s="5" t="s">
        <v>55</v>
      </c>
      <c r="S807" s="5" t="s">
        <v>56</v>
      </c>
      <c r="T807" s="5" t="s">
        <v>63</v>
      </c>
      <c r="U807" s="5" t="s">
        <v>104</v>
      </c>
      <c r="V807" s="5" t="s">
        <v>59</v>
      </c>
      <c r="W807" s="5" t="s">
        <v>300</v>
      </c>
      <c r="X807" s="5" t="s">
        <v>511</v>
      </c>
      <c r="Y807" s="5" t="s">
        <v>3640</v>
      </c>
      <c r="Z807" s="9">
        <v>46186</v>
      </c>
      <c r="AA807" s="8">
        <v>12</v>
      </c>
      <c r="AB807" s="9">
        <f t="shared" si="37"/>
        <v>46551</v>
      </c>
      <c r="AC807" s="10">
        <v>15</v>
      </c>
      <c r="AD807" s="7">
        <f t="shared" si="38"/>
        <v>2783</v>
      </c>
      <c r="AE807" s="7">
        <f>IF(F807="Bullet",H807*AD807,MIN(MAX(I807,1),Assumptions!$B$6)*AD807)</f>
        <v>2783</v>
      </c>
      <c r="AF807" s="8">
        <f>IF(F807="Bullet",MAX(0,Assumptions!$B$4-AB807),MAX(0,Assumptions!$B$4-L807))</f>
        <v>20</v>
      </c>
      <c r="AG807" s="9">
        <v>46250</v>
      </c>
      <c r="AH807" s="8">
        <f>IF(AG807="","",Assumptions!$B$4-AG807)</f>
        <v>48</v>
      </c>
      <c r="AI807" s="5" t="s">
        <v>57</v>
      </c>
      <c r="AJ807" s="8">
        <v>1</v>
      </c>
      <c r="AK807" s="8">
        <v>0</v>
      </c>
      <c r="AL807" s="8">
        <v>740</v>
      </c>
      <c r="AM807" s="8">
        <v>1</v>
      </c>
      <c r="AN807" s="5" t="s">
        <v>63</v>
      </c>
      <c r="AO807" s="10">
        <v>61.3</v>
      </c>
      <c r="AP807" s="8">
        <v>16</v>
      </c>
      <c r="AQ807" s="9"/>
      <c r="AR807" s="5"/>
      <c r="AS807" s="5" t="s">
        <v>159</v>
      </c>
    </row>
    <row r="808" spans="1:45" x14ac:dyDescent="0.35">
      <c r="A808" s="5" t="s">
        <v>3641</v>
      </c>
      <c r="B808" s="5" t="s">
        <v>3642</v>
      </c>
      <c r="C808" s="6" t="s">
        <v>3643</v>
      </c>
      <c r="D808" s="7">
        <v>73400</v>
      </c>
      <c r="E808" s="5" t="s">
        <v>48</v>
      </c>
      <c r="F808" s="5" t="s">
        <v>49</v>
      </c>
      <c r="G808" s="8"/>
      <c r="H808" s="8" t="str">
        <f>IF(F808="Bullet",MIN(G808,Assumptions!$B$6),"")</f>
        <v/>
      </c>
      <c r="I808" s="8">
        <v>1</v>
      </c>
      <c r="J808" s="8">
        <f>IF(F808="Monthly interest",MAX(0,Assumptions!$B$5-I808),"")</f>
        <v>2</v>
      </c>
      <c r="K808" s="7">
        <f t="shared" si="36"/>
        <v>856</v>
      </c>
      <c r="L808" s="9">
        <v>46270</v>
      </c>
      <c r="M808" s="5" t="s">
        <v>69</v>
      </c>
      <c r="N808" s="5" t="s">
        <v>53</v>
      </c>
      <c r="O808" s="5" t="s">
        <v>132</v>
      </c>
      <c r="P808" s="5" t="s">
        <v>70</v>
      </c>
      <c r="Q808" s="5" t="s">
        <v>54</v>
      </c>
      <c r="R808" s="5" t="s">
        <v>55</v>
      </c>
      <c r="S808" s="5" t="s">
        <v>75</v>
      </c>
      <c r="T808" s="5" t="s">
        <v>57</v>
      </c>
      <c r="U808" s="5" t="s">
        <v>86</v>
      </c>
      <c r="V808" s="5" t="s">
        <v>76</v>
      </c>
      <c r="W808" s="5" t="s">
        <v>140</v>
      </c>
      <c r="X808" s="5" t="s">
        <v>3391</v>
      </c>
      <c r="Y808" s="5" t="s">
        <v>3644</v>
      </c>
      <c r="Z808" s="9">
        <v>46086</v>
      </c>
      <c r="AA808" s="8">
        <v>18</v>
      </c>
      <c r="AB808" s="9">
        <f t="shared" si="37"/>
        <v>46635</v>
      </c>
      <c r="AC808" s="10">
        <v>14</v>
      </c>
      <c r="AD808" s="7">
        <f t="shared" si="38"/>
        <v>856</v>
      </c>
      <c r="AE808" s="7">
        <f>IF(F808="Bullet",H808*AD808,MIN(MAX(I808,1),Assumptions!$B$6)*AD808)</f>
        <v>856</v>
      </c>
      <c r="AF808" s="8">
        <f>IF(F808="Bullet",MAX(0,Assumptions!$B$4-AB808),MAX(0,Assumptions!$B$4-L808))</f>
        <v>28</v>
      </c>
      <c r="AG808" s="9">
        <v>46239</v>
      </c>
      <c r="AH808" s="8">
        <f>IF(AG808="","",Assumptions!$B$4-AG808)</f>
        <v>59</v>
      </c>
      <c r="AI808" s="5" t="s">
        <v>57</v>
      </c>
      <c r="AJ808" s="8">
        <v>1</v>
      </c>
      <c r="AK808" s="8">
        <v>1</v>
      </c>
      <c r="AL808" s="8">
        <v>658</v>
      </c>
      <c r="AM808" s="8">
        <v>1</v>
      </c>
      <c r="AN808" s="5" t="s">
        <v>63</v>
      </c>
      <c r="AO808" s="10">
        <v>63.7</v>
      </c>
      <c r="AP808" s="8">
        <v>43</v>
      </c>
      <c r="AQ808" s="9">
        <v>46278</v>
      </c>
      <c r="AR808" s="5" t="s">
        <v>51</v>
      </c>
      <c r="AS808" s="5" t="s">
        <v>91</v>
      </c>
    </row>
    <row r="809" spans="1:45" x14ac:dyDescent="0.35">
      <c r="A809" s="5" t="s">
        <v>3645</v>
      </c>
      <c r="B809" s="5" t="s">
        <v>3646</v>
      </c>
      <c r="C809" s="6" t="s">
        <v>3647</v>
      </c>
      <c r="D809" s="7">
        <v>32100</v>
      </c>
      <c r="E809" s="5" t="s">
        <v>48</v>
      </c>
      <c r="F809" s="5" t="s">
        <v>49</v>
      </c>
      <c r="G809" s="8"/>
      <c r="H809" s="8" t="str">
        <f>IF(F809="Bullet",MIN(G809,Assumptions!$B$6),"")</f>
        <v/>
      </c>
      <c r="I809" s="8">
        <v>2</v>
      </c>
      <c r="J809" s="8">
        <f>IF(F809="Monthly interest",MAX(0,Assumptions!$B$5-I809),"")</f>
        <v>1</v>
      </c>
      <c r="K809" s="7">
        <f t="shared" si="36"/>
        <v>964</v>
      </c>
      <c r="L809" s="9">
        <v>46239</v>
      </c>
      <c r="M809" s="5" t="s">
        <v>69</v>
      </c>
      <c r="N809" s="5" t="s">
        <v>53</v>
      </c>
      <c r="O809" s="5" t="s">
        <v>152</v>
      </c>
      <c r="P809" s="5" t="s">
        <v>153</v>
      </c>
      <c r="Q809" s="5" t="s">
        <v>154</v>
      </c>
      <c r="R809" s="5" t="s">
        <v>155</v>
      </c>
      <c r="S809" s="5" t="s">
        <v>75</v>
      </c>
      <c r="T809" s="5" t="s">
        <v>57</v>
      </c>
      <c r="U809" s="5" t="s">
        <v>104</v>
      </c>
      <c r="V809" s="5" t="s">
        <v>76</v>
      </c>
      <c r="W809" s="5" t="s">
        <v>306</v>
      </c>
      <c r="X809" s="5" t="s">
        <v>3624</v>
      </c>
      <c r="Y809" s="5" t="s">
        <v>3648</v>
      </c>
      <c r="Z809" s="9">
        <v>46117</v>
      </c>
      <c r="AA809" s="8">
        <v>18</v>
      </c>
      <c r="AB809" s="9">
        <f t="shared" si="37"/>
        <v>46665</v>
      </c>
      <c r="AC809" s="10">
        <v>18</v>
      </c>
      <c r="AD809" s="7">
        <f t="shared" si="38"/>
        <v>482</v>
      </c>
      <c r="AE809" s="7">
        <f>IF(F809="Bullet",H809*AD809,MIN(MAX(I809,1),Assumptions!$B$6)*AD809)</f>
        <v>964</v>
      </c>
      <c r="AF809" s="8">
        <f>IF(F809="Bullet",MAX(0,Assumptions!$B$4-AB809),MAX(0,Assumptions!$B$4-L809))</f>
        <v>59</v>
      </c>
      <c r="AG809" s="9">
        <v>46213</v>
      </c>
      <c r="AH809" s="8">
        <f>IF(AG809="","",Assumptions!$B$4-AG809)</f>
        <v>85</v>
      </c>
      <c r="AI809" s="5" t="s">
        <v>63</v>
      </c>
      <c r="AJ809" s="8">
        <v>3</v>
      </c>
      <c r="AK809" s="8">
        <v>0</v>
      </c>
      <c r="AL809" s="8">
        <v>763</v>
      </c>
      <c r="AM809" s="8">
        <v>0</v>
      </c>
      <c r="AN809" s="5" t="s">
        <v>63</v>
      </c>
      <c r="AO809" s="10">
        <v>68.2</v>
      </c>
      <c r="AP809" s="8">
        <v>38</v>
      </c>
      <c r="AQ809" s="9">
        <v>46279</v>
      </c>
      <c r="AR809" s="5" t="s">
        <v>70</v>
      </c>
      <c r="AS809" s="5" t="s">
        <v>181</v>
      </c>
    </row>
    <row r="810" spans="1:45" x14ac:dyDescent="0.35">
      <c r="A810" s="5" t="s">
        <v>3649</v>
      </c>
      <c r="B810" s="5" t="s">
        <v>401</v>
      </c>
      <c r="C810" s="6" t="s">
        <v>3650</v>
      </c>
      <c r="D810" s="7">
        <v>204100</v>
      </c>
      <c r="E810" s="5" t="s">
        <v>48</v>
      </c>
      <c r="F810" s="5" t="s">
        <v>49</v>
      </c>
      <c r="G810" s="8"/>
      <c r="H810" s="8" t="str">
        <f>IF(F810="Bullet",MIN(G810,Assumptions!$B$6),"")</f>
        <v/>
      </c>
      <c r="I810" s="8">
        <v>1</v>
      </c>
      <c r="J810" s="8">
        <f>IF(F810="Monthly interest",MAX(0,Assumptions!$B$5-I810),"")</f>
        <v>2</v>
      </c>
      <c r="K810" s="7">
        <f t="shared" si="36"/>
        <v>2721</v>
      </c>
      <c r="L810" s="9">
        <v>46278</v>
      </c>
      <c r="M810" s="5" t="s">
        <v>69</v>
      </c>
      <c r="N810" s="5" t="s">
        <v>51</v>
      </c>
      <c r="O810" s="5" t="s">
        <v>52</v>
      </c>
      <c r="P810" s="5" t="s">
        <v>53</v>
      </c>
      <c r="Q810" s="5" t="s">
        <v>54</v>
      </c>
      <c r="R810" s="5" t="s">
        <v>55</v>
      </c>
      <c r="S810" s="5" t="s">
        <v>85</v>
      </c>
      <c r="T810" s="5" t="s">
        <v>57</v>
      </c>
      <c r="U810" s="5" t="s">
        <v>86</v>
      </c>
      <c r="V810" s="5" t="s">
        <v>87</v>
      </c>
      <c r="W810" s="5" t="s">
        <v>88</v>
      </c>
      <c r="X810" s="5" t="s">
        <v>1371</v>
      </c>
      <c r="Y810" s="5" t="s">
        <v>3651</v>
      </c>
      <c r="Z810" s="9">
        <v>46125</v>
      </c>
      <c r="AA810" s="8">
        <v>24</v>
      </c>
      <c r="AB810" s="9">
        <f t="shared" si="37"/>
        <v>46856</v>
      </c>
      <c r="AC810" s="10">
        <v>16</v>
      </c>
      <c r="AD810" s="7">
        <f t="shared" si="38"/>
        <v>2721</v>
      </c>
      <c r="AE810" s="7">
        <f>IF(F810="Bullet",H810*AD810,MIN(MAX(I810,1),Assumptions!$B$6)*AD810)</f>
        <v>2721</v>
      </c>
      <c r="AF810" s="8">
        <f>IF(F810="Bullet",MAX(0,Assumptions!$B$4-AB810),MAX(0,Assumptions!$B$4-L810))</f>
        <v>20</v>
      </c>
      <c r="AG810" s="9">
        <v>46252</v>
      </c>
      <c r="AH810" s="8">
        <f>IF(AG810="","",Assumptions!$B$4-AG810)</f>
        <v>46</v>
      </c>
      <c r="AI810" s="5" t="s">
        <v>63</v>
      </c>
      <c r="AJ810" s="8">
        <v>2</v>
      </c>
      <c r="AK810" s="8">
        <v>0</v>
      </c>
      <c r="AL810" s="8">
        <v>656</v>
      </c>
      <c r="AM810" s="8">
        <v>1</v>
      </c>
      <c r="AN810" s="5" t="s">
        <v>63</v>
      </c>
      <c r="AO810" s="10">
        <v>73.400000000000006</v>
      </c>
      <c r="AP810" s="8">
        <v>36</v>
      </c>
      <c r="AQ810" s="9">
        <v>46281</v>
      </c>
      <c r="AR810" s="5" t="s">
        <v>51</v>
      </c>
      <c r="AS810" s="5" t="s">
        <v>274</v>
      </c>
    </row>
    <row r="811" spans="1:45" x14ac:dyDescent="0.35">
      <c r="A811" s="5" t="s">
        <v>3652</v>
      </c>
      <c r="B811" s="5" t="s">
        <v>1083</v>
      </c>
      <c r="C811" s="6" t="s">
        <v>3653</v>
      </c>
      <c r="D811" s="7">
        <v>331500</v>
      </c>
      <c r="E811" s="5" t="s">
        <v>48</v>
      </c>
      <c r="F811" s="5" t="s">
        <v>68</v>
      </c>
      <c r="G811" s="8">
        <v>1</v>
      </c>
      <c r="H811" s="8">
        <f>IF(F811="Bullet",MIN(G811,Assumptions!$B$6),"")</f>
        <v>1</v>
      </c>
      <c r="I811" s="8"/>
      <c r="J811" s="8" t="str">
        <f>IF(F811="Monthly interest",MAX(0,Assumptions!$B$5-I811),"")</f>
        <v/>
      </c>
      <c r="K811" s="7">
        <f t="shared" si="36"/>
        <v>4973</v>
      </c>
      <c r="L811" s="9">
        <v>46245</v>
      </c>
      <c r="M811" s="5" t="s">
        <v>50</v>
      </c>
      <c r="N811" s="5" t="s">
        <v>53</v>
      </c>
      <c r="O811" s="5" t="s">
        <v>103</v>
      </c>
      <c r="P811" s="5" t="s">
        <v>51</v>
      </c>
      <c r="Q811" s="5" t="s">
        <v>73</v>
      </c>
      <c r="R811" s="5" t="s">
        <v>74</v>
      </c>
      <c r="S811" s="5" t="s">
        <v>85</v>
      </c>
      <c r="T811" s="5" t="s">
        <v>57</v>
      </c>
      <c r="U811" s="5" t="s">
        <v>104</v>
      </c>
      <c r="V811" s="5" t="s">
        <v>96</v>
      </c>
      <c r="W811" s="5" t="s">
        <v>265</v>
      </c>
      <c r="X811" s="5" t="s">
        <v>2847</v>
      </c>
      <c r="Y811" s="5" t="s">
        <v>3654</v>
      </c>
      <c r="Z811" s="9">
        <v>46245</v>
      </c>
      <c r="AA811" s="8">
        <v>6</v>
      </c>
      <c r="AB811" s="9">
        <f t="shared" si="37"/>
        <v>46429</v>
      </c>
      <c r="AC811" s="10">
        <v>18</v>
      </c>
      <c r="AD811" s="7">
        <f t="shared" si="38"/>
        <v>4973</v>
      </c>
      <c r="AE811" s="7">
        <f>IF(F811="Bullet",H811*AD811,MIN(MAX(I811,1),Assumptions!$B$6)*AD811)</f>
        <v>4973</v>
      </c>
      <c r="AF811" s="8">
        <f>IF(F811="Bullet",MAX(0,Assumptions!$B$4-AB811),MAX(0,Assumptions!$B$4-L811))</f>
        <v>0</v>
      </c>
      <c r="AG811" s="9"/>
      <c r="AH811" s="8" t="str">
        <f>IF(AG811="","",Assumptions!$B$4-AG811)</f>
        <v/>
      </c>
      <c r="AI811" s="5" t="s">
        <v>80</v>
      </c>
      <c r="AJ811" s="8"/>
      <c r="AK811" s="8">
        <v>1</v>
      </c>
      <c r="AL811" s="8">
        <v>720</v>
      </c>
      <c r="AM811" s="8">
        <v>0</v>
      </c>
      <c r="AN811" s="5" t="s">
        <v>63</v>
      </c>
      <c r="AO811" s="10">
        <v>51</v>
      </c>
      <c r="AP811" s="8">
        <v>12</v>
      </c>
      <c r="AQ811" s="9">
        <v>46273</v>
      </c>
      <c r="AR811" s="5" t="s">
        <v>51</v>
      </c>
      <c r="AS811" s="5" t="s">
        <v>81</v>
      </c>
    </row>
    <row r="812" spans="1:45" x14ac:dyDescent="0.35">
      <c r="A812" s="5" t="s">
        <v>3655</v>
      </c>
      <c r="B812" s="5" t="s">
        <v>2676</v>
      </c>
      <c r="C812" s="6" t="s">
        <v>3656</v>
      </c>
      <c r="D812" s="7">
        <v>334800</v>
      </c>
      <c r="E812" s="5" t="s">
        <v>48</v>
      </c>
      <c r="F812" s="5" t="s">
        <v>49</v>
      </c>
      <c r="G812" s="8"/>
      <c r="H812" s="8" t="str">
        <f>IF(F812="Bullet",MIN(G812,Assumptions!$B$6),"")</f>
        <v/>
      </c>
      <c r="I812" s="8">
        <v>2</v>
      </c>
      <c r="J812" s="8">
        <f>IF(F812="Monthly interest",MAX(0,Assumptions!$B$5-I812),"")</f>
        <v>1</v>
      </c>
      <c r="K812" s="7">
        <f t="shared" si="36"/>
        <v>12276</v>
      </c>
      <c r="L812" s="9">
        <v>46254</v>
      </c>
      <c r="M812" s="5" t="s">
        <v>116</v>
      </c>
      <c r="N812" s="5" t="s">
        <v>117</v>
      </c>
      <c r="O812" s="5" t="s">
        <v>118</v>
      </c>
      <c r="P812" s="5" t="s">
        <v>72</v>
      </c>
      <c r="Q812" s="5" t="s">
        <v>119</v>
      </c>
      <c r="R812" s="5" t="s">
        <v>120</v>
      </c>
      <c r="S812" s="5" t="s">
        <v>85</v>
      </c>
      <c r="T812" s="5" t="s">
        <v>57</v>
      </c>
      <c r="U812" s="5" t="s">
        <v>58</v>
      </c>
      <c r="V812" s="5" t="s">
        <v>96</v>
      </c>
      <c r="W812" s="5" t="s">
        <v>171</v>
      </c>
      <c r="X812" s="5" t="s">
        <v>3657</v>
      </c>
      <c r="Y812" s="5" t="s">
        <v>3658</v>
      </c>
      <c r="Z812" s="9">
        <v>46162</v>
      </c>
      <c r="AA812" s="8">
        <v>18</v>
      </c>
      <c r="AB812" s="9">
        <f t="shared" si="37"/>
        <v>46711</v>
      </c>
      <c r="AC812" s="10">
        <v>22</v>
      </c>
      <c r="AD812" s="7">
        <f t="shared" si="38"/>
        <v>6138</v>
      </c>
      <c r="AE812" s="7">
        <f>IF(F812="Bullet",H812*AD812,MIN(MAX(I812,1),Assumptions!$B$6)*AD812)</f>
        <v>12276</v>
      </c>
      <c r="AF812" s="8">
        <f>IF(F812="Bullet",MAX(0,Assumptions!$B$4-AB812),MAX(0,Assumptions!$B$4-L812))</f>
        <v>44</v>
      </c>
      <c r="AG812" s="9">
        <v>46223</v>
      </c>
      <c r="AH812" s="8">
        <f>IF(AG812="","",Assumptions!$B$4-AG812)</f>
        <v>75</v>
      </c>
      <c r="AI812" s="5" t="s">
        <v>63</v>
      </c>
      <c r="AJ812" s="8">
        <v>2</v>
      </c>
      <c r="AK812" s="8">
        <v>3</v>
      </c>
      <c r="AL812" s="8" t="s">
        <v>80</v>
      </c>
      <c r="AM812" s="8">
        <v>5</v>
      </c>
      <c r="AN812" s="5" t="s">
        <v>63</v>
      </c>
      <c r="AO812" s="10">
        <v>67</v>
      </c>
      <c r="AP812" s="8">
        <v>61</v>
      </c>
      <c r="AQ812" s="9"/>
      <c r="AR812" s="5"/>
      <c r="AS812" s="5" t="s">
        <v>159</v>
      </c>
    </row>
    <row r="813" spans="1:45" x14ac:dyDescent="0.35">
      <c r="A813" s="5" t="s">
        <v>3659</v>
      </c>
      <c r="B813" s="5" t="s">
        <v>3024</v>
      </c>
      <c r="C813" s="6" t="s">
        <v>3660</v>
      </c>
      <c r="D813" s="7">
        <v>164700</v>
      </c>
      <c r="E813" s="5" t="s">
        <v>48</v>
      </c>
      <c r="F813" s="5" t="s">
        <v>49</v>
      </c>
      <c r="G813" s="8"/>
      <c r="H813" s="8" t="str">
        <f>IF(F813="Bullet",MIN(G813,Assumptions!$B$6),"")</f>
        <v/>
      </c>
      <c r="I813" s="8">
        <v>2</v>
      </c>
      <c r="J813" s="8">
        <f>IF(F813="Monthly interest",MAX(0,Assumptions!$B$5-I813),"")</f>
        <v>1</v>
      </c>
      <c r="K813" s="7">
        <f t="shared" si="36"/>
        <v>6040</v>
      </c>
      <c r="L813" s="9">
        <v>46242</v>
      </c>
      <c r="M813" s="5" t="s">
        <v>69</v>
      </c>
      <c r="N813" s="5" t="s">
        <v>53</v>
      </c>
      <c r="O813" s="5" t="s">
        <v>71</v>
      </c>
      <c r="P813" s="5" t="s">
        <v>70</v>
      </c>
      <c r="Q813" s="5" t="s">
        <v>73</v>
      </c>
      <c r="R813" s="5" t="s">
        <v>74</v>
      </c>
      <c r="S813" s="5" t="s">
        <v>214</v>
      </c>
      <c r="T813" s="5" t="s">
        <v>57</v>
      </c>
      <c r="U813" s="5" t="s">
        <v>86</v>
      </c>
      <c r="V813" s="5" t="s">
        <v>215</v>
      </c>
      <c r="W813" s="5" t="s">
        <v>600</v>
      </c>
      <c r="X813" s="5" t="s">
        <v>3661</v>
      </c>
      <c r="Y813" s="5" t="s">
        <v>3662</v>
      </c>
      <c r="Z813" s="9">
        <v>45999</v>
      </c>
      <c r="AA813" s="8">
        <v>18</v>
      </c>
      <c r="AB813" s="9">
        <f t="shared" si="37"/>
        <v>46546</v>
      </c>
      <c r="AC813" s="10">
        <v>22</v>
      </c>
      <c r="AD813" s="7">
        <f t="shared" si="38"/>
        <v>3020</v>
      </c>
      <c r="AE813" s="7">
        <f>IF(F813="Bullet",H813*AD813,MIN(MAX(I813,1),Assumptions!$B$6)*AD813)</f>
        <v>6040</v>
      </c>
      <c r="AF813" s="8">
        <f>IF(F813="Bullet",MAX(0,Assumptions!$B$4-AB813),MAX(0,Assumptions!$B$4-L813))</f>
        <v>56</v>
      </c>
      <c r="AG813" s="9">
        <v>46211</v>
      </c>
      <c r="AH813" s="8">
        <f>IF(AG813="","",Assumptions!$B$4-AG813)</f>
        <v>87</v>
      </c>
      <c r="AI813" s="5" t="s">
        <v>57</v>
      </c>
      <c r="AJ813" s="8">
        <v>2</v>
      </c>
      <c r="AK813" s="8">
        <v>0</v>
      </c>
      <c r="AL813" s="8">
        <v>720</v>
      </c>
      <c r="AM813" s="8">
        <v>2</v>
      </c>
      <c r="AN813" s="5" t="s">
        <v>63</v>
      </c>
      <c r="AO813" s="10">
        <v>72</v>
      </c>
      <c r="AP813" s="8">
        <v>43</v>
      </c>
      <c r="AQ813" s="9">
        <v>46274</v>
      </c>
      <c r="AR813" s="5" t="s">
        <v>53</v>
      </c>
      <c r="AS813" s="5" t="s">
        <v>190</v>
      </c>
    </row>
    <row r="814" spans="1:45" x14ac:dyDescent="0.35">
      <c r="A814" s="5" t="s">
        <v>3663</v>
      </c>
      <c r="B814" s="5" t="s">
        <v>3664</v>
      </c>
      <c r="C814" s="6" t="s">
        <v>3665</v>
      </c>
      <c r="D814" s="7">
        <v>46200</v>
      </c>
      <c r="E814" s="5" t="s">
        <v>48</v>
      </c>
      <c r="F814" s="5" t="s">
        <v>68</v>
      </c>
      <c r="G814" s="8">
        <v>5</v>
      </c>
      <c r="H814" s="8">
        <f>IF(F814="Bullet",MIN(G814,Assumptions!$B$6),"")</f>
        <v>2</v>
      </c>
      <c r="I814" s="8"/>
      <c r="J814" s="8" t="str">
        <f>IF(F814="Monthly interest",MAX(0,Assumptions!$B$5-I814),"")</f>
        <v/>
      </c>
      <c r="K814" s="7">
        <f t="shared" si="36"/>
        <v>2505</v>
      </c>
      <c r="L814" s="9">
        <v>46134</v>
      </c>
      <c r="M814" s="5" t="s">
        <v>69</v>
      </c>
      <c r="N814" s="5" t="s">
        <v>53</v>
      </c>
      <c r="O814" s="5" t="s">
        <v>168</v>
      </c>
      <c r="P814" s="5" t="s">
        <v>70</v>
      </c>
      <c r="Q814" s="5" t="s">
        <v>169</v>
      </c>
      <c r="R814" s="5" t="s">
        <v>170</v>
      </c>
      <c r="S814" s="5" t="s">
        <v>56</v>
      </c>
      <c r="T814" s="5" t="s">
        <v>57</v>
      </c>
      <c r="U814" s="5" t="s">
        <v>104</v>
      </c>
      <c r="V814" s="5" t="s">
        <v>59</v>
      </c>
      <c r="W814" s="5" t="s">
        <v>300</v>
      </c>
      <c r="X814" s="5" t="s">
        <v>2310</v>
      </c>
      <c r="Y814" s="5" t="s">
        <v>3666</v>
      </c>
      <c r="Z814" s="9">
        <v>46134</v>
      </c>
      <c r="AA814" s="8">
        <v>6</v>
      </c>
      <c r="AB814" s="9">
        <f t="shared" si="37"/>
        <v>46317</v>
      </c>
      <c r="AC814" s="10">
        <v>13</v>
      </c>
      <c r="AD814" s="7">
        <f t="shared" si="38"/>
        <v>501</v>
      </c>
      <c r="AE814" s="7">
        <f>IF(F814="Bullet",H814*AD814,MIN(MAX(I814,1),Assumptions!$B$6)*AD814)</f>
        <v>1002</v>
      </c>
      <c r="AF814" s="8">
        <f>IF(F814="Bullet",MAX(0,Assumptions!$B$4-AB814),MAX(0,Assumptions!$B$4-L814))</f>
        <v>0</v>
      </c>
      <c r="AG814" s="9"/>
      <c r="AH814" s="8" t="str">
        <f>IF(AG814="","",Assumptions!$B$4-AG814)</f>
        <v/>
      </c>
      <c r="AI814" s="5" t="s">
        <v>80</v>
      </c>
      <c r="AJ814" s="8"/>
      <c r="AK814" s="8">
        <v>2</v>
      </c>
      <c r="AL814" s="8">
        <v>745</v>
      </c>
      <c r="AM814" s="8">
        <v>0</v>
      </c>
      <c r="AN814" s="5" t="s">
        <v>63</v>
      </c>
      <c r="AO814" s="10">
        <v>71</v>
      </c>
      <c r="AP814" s="8">
        <v>44</v>
      </c>
      <c r="AQ814" s="9">
        <v>46275</v>
      </c>
      <c r="AR814" s="5" t="s">
        <v>51</v>
      </c>
      <c r="AS814" s="5" t="s">
        <v>181</v>
      </c>
    </row>
    <row r="815" spans="1:45" x14ac:dyDescent="0.35">
      <c r="A815" s="5" t="s">
        <v>3667</v>
      </c>
      <c r="B815" s="5" t="s">
        <v>1340</v>
      </c>
      <c r="C815" s="6" t="s">
        <v>3668</v>
      </c>
      <c r="D815" s="7">
        <v>77000</v>
      </c>
      <c r="E815" s="5" t="s">
        <v>48</v>
      </c>
      <c r="F815" s="5" t="s">
        <v>49</v>
      </c>
      <c r="G815" s="8"/>
      <c r="H815" s="8" t="str">
        <f>IF(F815="Bullet",MIN(G815,Assumptions!$B$6),"")</f>
        <v/>
      </c>
      <c r="I815" s="8">
        <v>2</v>
      </c>
      <c r="J815" s="8">
        <f>IF(F815="Monthly interest",MAX(0,Assumptions!$B$5-I815),"")</f>
        <v>1</v>
      </c>
      <c r="K815" s="7">
        <f t="shared" si="36"/>
        <v>2310</v>
      </c>
      <c r="L815" s="9">
        <v>46260</v>
      </c>
      <c r="M815" s="5" t="s">
        <v>116</v>
      </c>
      <c r="N815" s="5" t="s">
        <v>117</v>
      </c>
      <c r="O815" s="5" t="s">
        <v>118</v>
      </c>
      <c r="P815" s="5" t="s">
        <v>72</v>
      </c>
      <c r="Q815" s="5" t="s">
        <v>119</v>
      </c>
      <c r="R815" s="5" t="s">
        <v>120</v>
      </c>
      <c r="S815" s="5" t="s">
        <v>253</v>
      </c>
      <c r="T815" s="5" t="s">
        <v>57</v>
      </c>
      <c r="U815" s="5" t="s">
        <v>86</v>
      </c>
      <c r="V815" s="5" t="s">
        <v>200</v>
      </c>
      <c r="W815" s="5" t="s">
        <v>201</v>
      </c>
      <c r="X815" s="5" t="s">
        <v>2289</v>
      </c>
      <c r="Y815" s="5" t="s">
        <v>3669</v>
      </c>
      <c r="Z815" s="9">
        <v>46199</v>
      </c>
      <c r="AA815" s="8">
        <v>24</v>
      </c>
      <c r="AB815" s="9">
        <f t="shared" si="37"/>
        <v>46930</v>
      </c>
      <c r="AC815" s="10">
        <v>18</v>
      </c>
      <c r="AD815" s="7">
        <f t="shared" si="38"/>
        <v>1155</v>
      </c>
      <c r="AE815" s="7">
        <f>IF(F815="Bullet",H815*AD815,MIN(MAX(I815,1),Assumptions!$B$6)*AD815)</f>
        <v>2310</v>
      </c>
      <c r="AF815" s="8">
        <f>IF(F815="Bullet",MAX(0,Assumptions!$B$4-AB815),MAX(0,Assumptions!$B$4-L815))</f>
        <v>38</v>
      </c>
      <c r="AG815" s="9">
        <v>46230</v>
      </c>
      <c r="AH815" s="8">
        <f>IF(AG815="","",Assumptions!$B$4-AG815)</f>
        <v>68</v>
      </c>
      <c r="AI815" s="5" t="s">
        <v>63</v>
      </c>
      <c r="AJ815" s="8">
        <v>2</v>
      </c>
      <c r="AK815" s="8">
        <v>1</v>
      </c>
      <c r="AL815" s="8">
        <v>703</v>
      </c>
      <c r="AM815" s="8">
        <v>1</v>
      </c>
      <c r="AN815" s="5" t="s">
        <v>63</v>
      </c>
      <c r="AO815" s="10">
        <v>59.8</v>
      </c>
      <c r="AP815" s="8">
        <v>48</v>
      </c>
      <c r="AQ815" s="9">
        <v>46289</v>
      </c>
      <c r="AR815" s="5" t="s">
        <v>51</v>
      </c>
      <c r="AS815" s="5" t="s">
        <v>91</v>
      </c>
    </row>
    <row r="816" spans="1:45" x14ac:dyDescent="0.35">
      <c r="A816" s="5" t="s">
        <v>3670</v>
      </c>
      <c r="B816" s="5" t="s">
        <v>3671</v>
      </c>
      <c r="C816" s="6" t="s">
        <v>3672</v>
      </c>
      <c r="D816" s="7">
        <v>86200</v>
      </c>
      <c r="E816" s="5" t="s">
        <v>48</v>
      </c>
      <c r="F816" s="5" t="s">
        <v>49</v>
      </c>
      <c r="G816" s="8"/>
      <c r="H816" s="8" t="str">
        <f>IF(F816="Bullet",MIN(G816,Assumptions!$B$6),"")</f>
        <v/>
      </c>
      <c r="I816" s="8">
        <v>2</v>
      </c>
      <c r="J816" s="8">
        <f>IF(F816="Monthly interest",MAX(0,Assumptions!$B$5-I816),"")</f>
        <v>1</v>
      </c>
      <c r="K816" s="7">
        <f t="shared" si="36"/>
        <v>3448</v>
      </c>
      <c r="L816" s="9">
        <v>46262</v>
      </c>
      <c r="M816" s="5" t="s">
        <v>69</v>
      </c>
      <c r="N816" s="5" t="s">
        <v>53</v>
      </c>
      <c r="O816" s="5" t="s">
        <v>71</v>
      </c>
      <c r="P816" s="5" t="s">
        <v>70</v>
      </c>
      <c r="Q816" s="5" t="s">
        <v>73</v>
      </c>
      <c r="R816" s="5" t="s">
        <v>74</v>
      </c>
      <c r="S816" s="5" t="s">
        <v>56</v>
      </c>
      <c r="T816" s="5" t="s">
        <v>63</v>
      </c>
      <c r="U816" s="5" t="s">
        <v>86</v>
      </c>
      <c r="V816" s="5" t="s">
        <v>59</v>
      </c>
      <c r="W816" s="5" t="s">
        <v>60</v>
      </c>
      <c r="X816" s="5" t="s">
        <v>1076</v>
      </c>
      <c r="Y816" s="5" t="s">
        <v>3673</v>
      </c>
      <c r="Z816" s="9">
        <v>46081</v>
      </c>
      <c r="AA816" s="8">
        <v>12</v>
      </c>
      <c r="AB816" s="9">
        <f t="shared" si="37"/>
        <v>46446</v>
      </c>
      <c r="AC816" s="10">
        <v>24</v>
      </c>
      <c r="AD816" s="7">
        <f t="shared" si="38"/>
        <v>1724</v>
      </c>
      <c r="AE816" s="7">
        <f>IF(F816="Bullet",H816*AD816,MIN(MAX(I816,1),Assumptions!$B$6)*AD816)</f>
        <v>3448</v>
      </c>
      <c r="AF816" s="8">
        <f>IF(F816="Bullet",MAX(0,Assumptions!$B$4-AB816),MAX(0,Assumptions!$B$4-L816))</f>
        <v>36</v>
      </c>
      <c r="AG816" s="9">
        <v>46232</v>
      </c>
      <c r="AH816" s="8">
        <f>IF(AG816="","",Assumptions!$B$4-AG816)</f>
        <v>66</v>
      </c>
      <c r="AI816" s="5" t="s">
        <v>63</v>
      </c>
      <c r="AJ816" s="8">
        <v>4</v>
      </c>
      <c r="AK816" s="8">
        <v>1</v>
      </c>
      <c r="AL816" s="8">
        <v>748</v>
      </c>
      <c r="AM816" s="8">
        <v>0</v>
      </c>
      <c r="AN816" s="5" t="s">
        <v>63</v>
      </c>
      <c r="AO816" s="10">
        <v>56</v>
      </c>
      <c r="AP816" s="8">
        <v>45</v>
      </c>
      <c r="AQ816" s="9">
        <v>46291</v>
      </c>
      <c r="AR816" s="5" t="s">
        <v>51</v>
      </c>
      <c r="AS816" s="5" t="s">
        <v>64</v>
      </c>
    </row>
    <row r="817" spans="1:45" x14ac:dyDescent="0.35">
      <c r="A817" s="5" t="s">
        <v>3674</v>
      </c>
      <c r="B817" s="5" t="s">
        <v>3675</v>
      </c>
      <c r="C817" s="6" t="s">
        <v>3676</v>
      </c>
      <c r="D817" s="7">
        <v>56600</v>
      </c>
      <c r="E817" s="5" t="s">
        <v>48</v>
      </c>
      <c r="F817" s="5" t="s">
        <v>68</v>
      </c>
      <c r="G817" s="8">
        <v>6</v>
      </c>
      <c r="H817" s="8">
        <f>IF(F817="Bullet",MIN(G817,Assumptions!$B$6),"")</f>
        <v>2</v>
      </c>
      <c r="I817" s="8"/>
      <c r="J817" s="8" t="str">
        <f>IF(F817="Monthly interest",MAX(0,Assumptions!$B$5-I817),"")</f>
        <v/>
      </c>
      <c r="K817" s="7">
        <f t="shared" si="36"/>
        <v>3396</v>
      </c>
      <c r="L817" s="9">
        <v>46114</v>
      </c>
      <c r="M817" s="5" t="s">
        <v>69</v>
      </c>
      <c r="N817" s="5" t="s">
        <v>53</v>
      </c>
      <c r="O817" s="5" t="s">
        <v>168</v>
      </c>
      <c r="P817" s="5" t="s">
        <v>70</v>
      </c>
      <c r="Q817" s="5" t="s">
        <v>169</v>
      </c>
      <c r="R817" s="5" t="s">
        <v>170</v>
      </c>
      <c r="S817" s="5" t="s">
        <v>56</v>
      </c>
      <c r="T817" s="5" t="s">
        <v>57</v>
      </c>
      <c r="U817" s="5" t="s">
        <v>86</v>
      </c>
      <c r="V817" s="5" t="s">
        <v>59</v>
      </c>
      <c r="W817" s="5" t="s">
        <v>126</v>
      </c>
      <c r="X817" s="5" t="s">
        <v>2383</v>
      </c>
      <c r="Y817" s="5" t="s">
        <v>3677</v>
      </c>
      <c r="Z817" s="9">
        <v>46114</v>
      </c>
      <c r="AA817" s="8">
        <v>12</v>
      </c>
      <c r="AB817" s="9">
        <f t="shared" si="37"/>
        <v>46479</v>
      </c>
      <c r="AC817" s="10">
        <v>12</v>
      </c>
      <c r="AD817" s="7">
        <f t="shared" si="38"/>
        <v>566</v>
      </c>
      <c r="AE817" s="7">
        <f>IF(F817="Bullet",H817*AD817,MIN(MAX(I817,1),Assumptions!$B$6)*AD817)</f>
        <v>1132</v>
      </c>
      <c r="AF817" s="8">
        <f>IF(F817="Bullet",MAX(0,Assumptions!$B$4-AB817),MAX(0,Assumptions!$B$4-L817))</f>
        <v>0</v>
      </c>
      <c r="AG817" s="9"/>
      <c r="AH817" s="8" t="str">
        <f>IF(AG817="","",Assumptions!$B$4-AG817)</f>
        <v/>
      </c>
      <c r="AI817" s="5" t="s">
        <v>80</v>
      </c>
      <c r="AJ817" s="8"/>
      <c r="AK817" s="8">
        <v>0</v>
      </c>
      <c r="AL817" s="8">
        <v>611</v>
      </c>
      <c r="AM817" s="8">
        <v>2</v>
      </c>
      <c r="AN817" s="5" t="s">
        <v>63</v>
      </c>
      <c r="AO817" s="10">
        <v>69.099999999999994</v>
      </c>
      <c r="AP817" s="8">
        <v>44</v>
      </c>
      <c r="AQ817" s="9"/>
      <c r="AR817" s="5"/>
      <c r="AS817" s="5" t="s">
        <v>159</v>
      </c>
    </row>
    <row r="818" spans="1:45" x14ac:dyDescent="0.35">
      <c r="A818" s="5" t="s">
        <v>3678</v>
      </c>
      <c r="B818" s="5" t="s">
        <v>3679</v>
      </c>
      <c r="C818" s="6" t="s">
        <v>3680</v>
      </c>
      <c r="D818" s="7">
        <v>462200</v>
      </c>
      <c r="E818" s="5" t="s">
        <v>48</v>
      </c>
      <c r="F818" s="5" t="s">
        <v>49</v>
      </c>
      <c r="G818" s="8"/>
      <c r="H818" s="8" t="str">
        <f>IF(F818="Bullet",MIN(G818,Assumptions!$B$6),"")</f>
        <v/>
      </c>
      <c r="I818" s="8">
        <v>2</v>
      </c>
      <c r="J818" s="8">
        <f>IF(F818="Monthly interest",MAX(0,Assumptions!$B$5-I818),"")</f>
        <v>1</v>
      </c>
      <c r="K818" s="7">
        <f t="shared" si="36"/>
        <v>16948</v>
      </c>
      <c r="L818" s="9">
        <v>46260</v>
      </c>
      <c r="M818" s="5" t="s">
        <v>69</v>
      </c>
      <c r="N818" s="5" t="s">
        <v>70</v>
      </c>
      <c r="O818" s="5" t="s">
        <v>71</v>
      </c>
      <c r="P818" s="5" t="s">
        <v>72</v>
      </c>
      <c r="Q818" s="5" t="s">
        <v>73</v>
      </c>
      <c r="R818" s="5" t="s">
        <v>74</v>
      </c>
      <c r="S818" s="5" t="s">
        <v>56</v>
      </c>
      <c r="T818" s="5" t="s">
        <v>57</v>
      </c>
      <c r="U818" s="5" t="s">
        <v>86</v>
      </c>
      <c r="V818" s="5" t="s">
        <v>59</v>
      </c>
      <c r="W818" s="5" t="s">
        <v>467</v>
      </c>
      <c r="X818" s="5" t="s">
        <v>1047</v>
      </c>
      <c r="Y818" s="5" t="s">
        <v>3681</v>
      </c>
      <c r="Z818" s="9">
        <v>46199</v>
      </c>
      <c r="AA818" s="8">
        <v>24</v>
      </c>
      <c r="AB818" s="9">
        <f t="shared" si="37"/>
        <v>46930</v>
      </c>
      <c r="AC818" s="10">
        <v>22</v>
      </c>
      <c r="AD818" s="7">
        <f t="shared" si="38"/>
        <v>8474</v>
      </c>
      <c r="AE818" s="7">
        <f>IF(F818="Bullet",H818*AD818,MIN(MAX(I818,1),Assumptions!$B$6)*AD818)</f>
        <v>16948</v>
      </c>
      <c r="AF818" s="8">
        <f>IF(F818="Bullet",MAX(0,Assumptions!$B$4-AB818),MAX(0,Assumptions!$B$4-L818))</f>
        <v>38</v>
      </c>
      <c r="AG818" s="9">
        <v>46232</v>
      </c>
      <c r="AH818" s="8">
        <f>IF(AG818="","",Assumptions!$B$4-AG818)</f>
        <v>66</v>
      </c>
      <c r="AI818" s="5" t="s">
        <v>63</v>
      </c>
      <c r="AJ818" s="8">
        <v>2</v>
      </c>
      <c r="AK818" s="8">
        <v>1</v>
      </c>
      <c r="AL818" s="8">
        <v>812</v>
      </c>
      <c r="AM818" s="8">
        <v>3</v>
      </c>
      <c r="AN818" s="5" t="s">
        <v>63</v>
      </c>
      <c r="AO818" s="10">
        <v>63.9</v>
      </c>
      <c r="AP818" s="8">
        <v>37</v>
      </c>
      <c r="AQ818" s="9"/>
      <c r="AR818" s="5"/>
      <c r="AS818" s="5" t="s">
        <v>159</v>
      </c>
    </row>
    <row r="819" spans="1:45" x14ac:dyDescent="0.35">
      <c r="A819" s="5" t="s">
        <v>3682</v>
      </c>
      <c r="B819" s="5" t="s">
        <v>3683</v>
      </c>
      <c r="C819" s="6" t="s">
        <v>3684</v>
      </c>
      <c r="D819" s="7">
        <v>149800</v>
      </c>
      <c r="E819" s="5" t="s">
        <v>48</v>
      </c>
      <c r="F819" s="5" t="s">
        <v>49</v>
      </c>
      <c r="G819" s="8"/>
      <c r="H819" s="8" t="str">
        <f>IF(F819="Bullet",MIN(G819,Assumptions!$B$6),"")</f>
        <v/>
      </c>
      <c r="I819" s="8">
        <v>2</v>
      </c>
      <c r="J819" s="8">
        <f>IF(F819="Monthly interest",MAX(0,Assumptions!$B$5-I819),"")</f>
        <v>1</v>
      </c>
      <c r="K819" s="7">
        <f t="shared" si="36"/>
        <v>3994</v>
      </c>
      <c r="L819" s="9">
        <v>46250</v>
      </c>
      <c r="M819" s="5" t="s">
        <v>116</v>
      </c>
      <c r="N819" s="5" t="s">
        <v>117</v>
      </c>
      <c r="O819" s="5" t="s">
        <v>118</v>
      </c>
      <c r="P819" s="5" t="s">
        <v>72</v>
      </c>
      <c r="Q819" s="5" t="s">
        <v>119</v>
      </c>
      <c r="R819" s="5" t="s">
        <v>120</v>
      </c>
      <c r="S819" s="5" t="s">
        <v>185</v>
      </c>
      <c r="T819" s="5" t="s">
        <v>57</v>
      </c>
      <c r="U819" s="5" t="s">
        <v>86</v>
      </c>
      <c r="V819" s="5" t="s">
        <v>186</v>
      </c>
      <c r="W819" s="5" t="s">
        <v>376</v>
      </c>
      <c r="X819" s="5" t="s">
        <v>2724</v>
      </c>
      <c r="Y819" s="5" t="s">
        <v>3685</v>
      </c>
      <c r="Z819" s="9">
        <v>46038</v>
      </c>
      <c r="AA819" s="8">
        <v>24</v>
      </c>
      <c r="AB819" s="9">
        <f t="shared" si="37"/>
        <v>46768</v>
      </c>
      <c r="AC819" s="10">
        <v>16</v>
      </c>
      <c r="AD819" s="7">
        <f t="shared" si="38"/>
        <v>1997</v>
      </c>
      <c r="AE819" s="7">
        <f>IF(F819="Bullet",H819*AD819,MIN(MAX(I819,1),Assumptions!$B$6)*AD819)</f>
        <v>3994</v>
      </c>
      <c r="AF819" s="8">
        <f>IF(F819="Bullet",MAX(0,Assumptions!$B$4-AB819),MAX(0,Assumptions!$B$4-L819))</f>
        <v>48</v>
      </c>
      <c r="AG819" s="9">
        <v>46220</v>
      </c>
      <c r="AH819" s="8">
        <f>IF(AG819="","",Assumptions!$B$4-AG819)</f>
        <v>78</v>
      </c>
      <c r="AI819" s="5" t="s">
        <v>63</v>
      </c>
      <c r="AJ819" s="8">
        <v>3</v>
      </c>
      <c r="AK819" s="8">
        <v>1</v>
      </c>
      <c r="AL819" s="8" t="s">
        <v>80</v>
      </c>
      <c r="AM819" s="8">
        <v>1</v>
      </c>
      <c r="AN819" s="5" t="s">
        <v>63</v>
      </c>
      <c r="AO819" s="10">
        <v>74</v>
      </c>
      <c r="AP819" s="8">
        <v>49</v>
      </c>
      <c r="AQ819" s="9">
        <v>46297</v>
      </c>
      <c r="AR819" s="5" t="s">
        <v>53</v>
      </c>
      <c r="AS819" s="5" t="s">
        <v>64</v>
      </c>
    </row>
    <row r="820" spans="1:45" x14ac:dyDescent="0.35">
      <c r="A820" s="5" t="s">
        <v>3686</v>
      </c>
      <c r="B820" s="5" t="s">
        <v>3687</v>
      </c>
      <c r="C820" s="6" t="s">
        <v>3688</v>
      </c>
      <c r="D820" s="7">
        <v>129600</v>
      </c>
      <c r="E820" s="5" t="s">
        <v>48</v>
      </c>
      <c r="F820" s="5" t="s">
        <v>68</v>
      </c>
      <c r="G820" s="8">
        <v>3</v>
      </c>
      <c r="H820" s="8">
        <f>IF(F820="Bullet",MIN(G820,Assumptions!$B$6),"")</f>
        <v>2</v>
      </c>
      <c r="I820" s="8"/>
      <c r="J820" s="8" t="str">
        <f>IF(F820="Monthly interest",MAX(0,Assumptions!$B$5-I820),"")</f>
        <v/>
      </c>
      <c r="K820" s="7">
        <f t="shared" si="36"/>
        <v>4860</v>
      </c>
      <c r="L820" s="9">
        <v>46206</v>
      </c>
      <c r="M820" s="5" t="s">
        <v>69</v>
      </c>
      <c r="N820" s="5" t="s">
        <v>53</v>
      </c>
      <c r="O820" s="5" t="s">
        <v>71</v>
      </c>
      <c r="P820" s="5" t="s">
        <v>70</v>
      </c>
      <c r="Q820" s="5" t="s">
        <v>73</v>
      </c>
      <c r="R820" s="5" t="s">
        <v>74</v>
      </c>
      <c r="S820" s="5" t="s">
        <v>75</v>
      </c>
      <c r="T820" s="5" t="s">
        <v>57</v>
      </c>
      <c r="U820" s="5" t="s">
        <v>58</v>
      </c>
      <c r="V820" s="5" t="s">
        <v>76</v>
      </c>
      <c r="W820" s="5" t="s">
        <v>306</v>
      </c>
      <c r="X820" s="5" t="s">
        <v>3689</v>
      </c>
      <c r="Y820" s="5" t="s">
        <v>3690</v>
      </c>
      <c r="Z820" s="9">
        <v>46206</v>
      </c>
      <c r="AA820" s="8">
        <v>6</v>
      </c>
      <c r="AB820" s="9">
        <f t="shared" si="37"/>
        <v>46390</v>
      </c>
      <c r="AC820" s="10">
        <v>15</v>
      </c>
      <c r="AD820" s="7">
        <f t="shared" si="38"/>
        <v>1620</v>
      </c>
      <c r="AE820" s="7">
        <f>IF(F820="Bullet",H820*AD820,MIN(MAX(I820,1),Assumptions!$B$6)*AD820)</f>
        <v>3240</v>
      </c>
      <c r="AF820" s="8">
        <f>IF(F820="Bullet",MAX(0,Assumptions!$B$4-AB820),MAX(0,Assumptions!$B$4-L820))</f>
        <v>0</v>
      </c>
      <c r="AG820" s="9"/>
      <c r="AH820" s="8" t="str">
        <f>IF(AG820="","",Assumptions!$B$4-AG820)</f>
        <v/>
      </c>
      <c r="AI820" s="5" t="s">
        <v>80</v>
      </c>
      <c r="AJ820" s="8"/>
      <c r="AK820" s="8">
        <v>2</v>
      </c>
      <c r="AL820" s="8">
        <v>656</v>
      </c>
      <c r="AM820" s="8">
        <v>2</v>
      </c>
      <c r="AN820" s="5" t="s">
        <v>63</v>
      </c>
      <c r="AO820" s="10">
        <v>70.8</v>
      </c>
      <c r="AP820" s="8">
        <v>38</v>
      </c>
      <c r="AQ820" s="9">
        <v>46288</v>
      </c>
      <c r="AR820" s="5" t="s">
        <v>70</v>
      </c>
      <c r="AS820" s="5" t="s">
        <v>81</v>
      </c>
    </row>
    <row r="821" spans="1:45" x14ac:dyDescent="0.35">
      <c r="A821" s="5" t="s">
        <v>3691</v>
      </c>
      <c r="B821" s="5" t="s">
        <v>2628</v>
      </c>
      <c r="C821" s="6" t="s">
        <v>3692</v>
      </c>
      <c r="D821" s="7">
        <v>80200</v>
      </c>
      <c r="E821" s="5" t="s">
        <v>48</v>
      </c>
      <c r="F821" s="5" t="s">
        <v>68</v>
      </c>
      <c r="G821" s="8">
        <v>2</v>
      </c>
      <c r="H821" s="8">
        <f>IF(F821="Bullet",MIN(G821,Assumptions!$B$6),"")</f>
        <v>2</v>
      </c>
      <c r="I821" s="8"/>
      <c r="J821" s="8" t="str">
        <f>IF(F821="Monthly interest",MAX(0,Assumptions!$B$5-I821),"")</f>
        <v/>
      </c>
      <c r="K821" s="7">
        <f t="shared" si="36"/>
        <v>1872</v>
      </c>
      <c r="L821" s="9">
        <v>46234</v>
      </c>
      <c r="M821" s="5" t="s">
        <v>50</v>
      </c>
      <c r="N821" s="5" t="s">
        <v>53</v>
      </c>
      <c r="O821" s="5" t="s">
        <v>95</v>
      </c>
      <c r="P821" s="5" t="s">
        <v>70</v>
      </c>
      <c r="Q821" s="5" t="s">
        <v>73</v>
      </c>
      <c r="R821" s="5" t="s">
        <v>74</v>
      </c>
      <c r="S821" s="5" t="s">
        <v>214</v>
      </c>
      <c r="T821" s="5" t="s">
        <v>63</v>
      </c>
      <c r="U821" s="5" t="s">
        <v>104</v>
      </c>
      <c r="V821" s="5" t="s">
        <v>215</v>
      </c>
      <c r="W821" s="5" t="s">
        <v>1057</v>
      </c>
      <c r="X821" s="5" t="s">
        <v>2545</v>
      </c>
      <c r="Y821" s="5" t="s">
        <v>3693</v>
      </c>
      <c r="Z821" s="9">
        <v>46234</v>
      </c>
      <c r="AA821" s="8">
        <v>12</v>
      </c>
      <c r="AB821" s="9">
        <f t="shared" si="37"/>
        <v>46599</v>
      </c>
      <c r="AC821" s="10">
        <v>14</v>
      </c>
      <c r="AD821" s="7">
        <f t="shared" si="38"/>
        <v>936</v>
      </c>
      <c r="AE821" s="7">
        <f>IF(F821="Bullet",H821*AD821,MIN(MAX(I821,1),Assumptions!$B$6)*AD821)</f>
        <v>1872</v>
      </c>
      <c r="AF821" s="8">
        <f>IF(F821="Bullet",MAX(0,Assumptions!$B$4-AB821),MAX(0,Assumptions!$B$4-L821))</f>
        <v>0</v>
      </c>
      <c r="AG821" s="9"/>
      <c r="AH821" s="8" t="str">
        <f>IF(AG821="","",Assumptions!$B$4-AG821)</f>
        <v/>
      </c>
      <c r="AI821" s="5" t="s">
        <v>80</v>
      </c>
      <c r="AJ821" s="8"/>
      <c r="AK821" s="8">
        <v>0</v>
      </c>
      <c r="AL821" s="8">
        <v>767</v>
      </c>
      <c r="AM821" s="8">
        <v>0</v>
      </c>
      <c r="AN821" s="5" t="s">
        <v>63</v>
      </c>
      <c r="AO821" s="10">
        <v>76.900000000000006</v>
      </c>
      <c r="AP821" s="8">
        <v>10</v>
      </c>
      <c r="AQ821" s="9">
        <v>46296</v>
      </c>
      <c r="AR821" s="5" t="s">
        <v>70</v>
      </c>
      <c r="AS821" s="5" t="s">
        <v>64</v>
      </c>
    </row>
    <row r="822" spans="1:45" x14ac:dyDescent="0.35">
      <c r="A822" s="5" t="s">
        <v>3694</v>
      </c>
      <c r="B822" s="5" t="s">
        <v>3695</v>
      </c>
      <c r="C822" s="6" t="s">
        <v>3696</v>
      </c>
      <c r="D822" s="7">
        <v>29600</v>
      </c>
      <c r="E822" s="5" t="s">
        <v>48</v>
      </c>
      <c r="F822" s="5" t="s">
        <v>49</v>
      </c>
      <c r="G822" s="8"/>
      <c r="H822" s="8" t="str">
        <f>IF(F822="Bullet",MIN(G822,Assumptions!$B$6),"")</f>
        <v/>
      </c>
      <c r="I822" s="8">
        <v>2</v>
      </c>
      <c r="J822" s="8">
        <f>IF(F822="Monthly interest",MAX(0,Assumptions!$B$5-I822),"")</f>
        <v>1</v>
      </c>
      <c r="K822" s="7">
        <f t="shared" si="36"/>
        <v>888</v>
      </c>
      <c r="L822" s="9">
        <v>46243</v>
      </c>
      <c r="M822" s="5" t="s">
        <v>116</v>
      </c>
      <c r="N822" s="5" t="s">
        <v>117</v>
      </c>
      <c r="O822" s="5" t="s">
        <v>450</v>
      </c>
      <c r="P822" s="5" t="s">
        <v>72</v>
      </c>
      <c r="Q822" s="5" t="s">
        <v>154</v>
      </c>
      <c r="R822" s="5" t="s">
        <v>155</v>
      </c>
      <c r="S822" s="5" t="s">
        <v>85</v>
      </c>
      <c r="T822" s="5" t="s">
        <v>57</v>
      </c>
      <c r="U822" s="5" t="s">
        <v>86</v>
      </c>
      <c r="V822" s="5" t="s">
        <v>96</v>
      </c>
      <c r="W822" s="5" t="s">
        <v>171</v>
      </c>
      <c r="X822" s="5" t="s">
        <v>172</v>
      </c>
      <c r="Y822" s="5" t="s">
        <v>3697</v>
      </c>
      <c r="Z822" s="9">
        <v>45970</v>
      </c>
      <c r="AA822" s="8">
        <v>12</v>
      </c>
      <c r="AB822" s="9">
        <f t="shared" si="37"/>
        <v>46335</v>
      </c>
      <c r="AC822" s="10">
        <v>18</v>
      </c>
      <c r="AD822" s="7">
        <f t="shared" si="38"/>
        <v>444</v>
      </c>
      <c r="AE822" s="7">
        <f>IF(F822="Bullet",H822*AD822,MIN(MAX(I822,1),Assumptions!$B$6)*AD822)</f>
        <v>888</v>
      </c>
      <c r="AF822" s="8">
        <f>IF(F822="Bullet",MAX(0,Assumptions!$B$4-AB822),MAX(0,Assumptions!$B$4-L822))</f>
        <v>55</v>
      </c>
      <c r="AG822" s="9">
        <v>46212</v>
      </c>
      <c r="AH822" s="8">
        <f>IF(AG822="","",Assumptions!$B$4-AG822)</f>
        <v>86</v>
      </c>
      <c r="AI822" s="5" t="s">
        <v>57</v>
      </c>
      <c r="AJ822" s="8">
        <v>2</v>
      </c>
      <c r="AK822" s="8">
        <v>1</v>
      </c>
      <c r="AL822" s="8">
        <v>767</v>
      </c>
      <c r="AM822" s="8">
        <v>1</v>
      </c>
      <c r="AN822" s="5" t="s">
        <v>63</v>
      </c>
      <c r="AO822" s="10">
        <v>80.5</v>
      </c>
      <c r="AP822" s="8">
        <v>50</v>
      </c>
      <c r="AQ822" s="9"/>
      <c r="AR822" s="5"/>
      <c r="AS822" s="5" t="s">
        <v>159</v>
      </c>
    </row>
    <row r="823" spans="1:45" x14ac:dyDescent="0.35">
      <c r="A823" s="5" t="s">
        <v>3698</v>
      </c>
      <c r="B823" s="5" t="s">
        <v>1083</v>
      </c>
      <c r="C823" s="6" t="s">
        <v>3699</v>
      </c>
      <c r="D823" s="7">
        <v>43800</v>
      </c>
      <c r="E823" s="5" t="s">
        <v>48</v>
      </c>
      <c r="F823" s="5" t="s">
        <v>49</v>
      </c>
      <c r="G823" s="8"/>
      <c r="H823" s="8" t="str">
        <f>IF(F823="Bullet",MIN(G823,Assumptions!$B$6),"")</f>
        <v/>
      </c>
      <c r="I823" s="8">
        <v>1</v>
      </c>
      <c r="J823" s="8">
        <f>IF(F823="Monthly interest",MAX(0,Assumptions!$B$5-I823),"")</f>
        <v>2</v>
      </c>
      <c r="K823" s="7">
        <f t="shared" si="36"/>
        <v>730</v>
      </c>
      <c r="L823" s="9">
        <v>46274</v>
      </c>
      <c r="M823" s="5" t="s">
        <v>69</v>
      </c>
      <c r="N823" s="5" t="s">
        <v>53</v>
      </c>
      <c r="O823" s="5" t="s">
        <v>103</v>
      </c>
      <c r="P823" s="5" t="s">
        <v>153</v>
      </c>
      <c r="Q823" s="5" t="s">
        <v>154</v>
      </c>
      <c r="R823" s="5" t="s">
        <v>155</v>
      </c>
      <c r="S823" s="5" t="s">
        <v>85</v>
      </c>
      <c r="T823" s="5" t="s">
        <v>57</v>
      </c>
      <c r="U823" s="5" t="s">
        <v>104</v>
      </c>
      <c r="V823" s="5" t="s">
        <v>96</v>
      </c>
      <c r="W823" s="5" t="s">
        <v>97</v>
      </c>
      <c r="X823" s="5" t="s">
        <v>98</v>
      </c>
      <c r="Y823" s="5" t="s">
        <v>3700</v>
      </c>
      <c r="Z823" s="9">
        <v>46121</v>
      </c>
      <c r="AA823" s="8">
        <v>24</v>
      </c>
      <c r="AB823" s="9">
        <f t="shared" si="37"/>
        <v>46852</v>
      </c>
      <c r="AC823" s="10">
        <v>20</v>
      </c>
      <c r="AD823" s="7">
        <f t="shared" si="38"/>
        <v>730</v>
      </c>
      <c r="AE823" s="7">
        <f>IF(F823="Bullet",H823*AD823,MIN(MAX(I823,1),Assumptions!$B$6)*AD823)</f>
        <v>730</v>
      </c>
      <c r="AF823" s="8">
        <f>IF(F823="Bullet",MAX(0,Assumptions!$B$4-AB823),MAX(0,Assumptions!$B$4-L823))</f>
        <v>24</v>
      </c>
      <c r="AG823" s="9">
        <v>46247</v>
      </c>
      <c r="AH823" s="8">
        <f>IF(AG823="","",Assumptions!$B$4-AG823)</f>
        <v>51</v>
      </c>
      <c r="AI823" s="5" t="s">
        <v>57</v>
      </c>
      <c r="AJ823" s="8">
        <v>1</v>
      </c>
      <c r="AK823" s="8">
        <v>0</v>
      </c>
      <c r="AL823" s="8">
        <v>740</v>
      </c>
      <c r="AM823" s="8">
        <v>4</v>
      </c>
      <c r="AN823" s="5" t="s">
        <v>63</v>
      </c>
      <c r="AO823" s="10">
        <v>82.9</v>
      </c>
      <c r="AP823" s="8">
        <v>34</v>
      </c>
      <c r="AQ823" s="9">
        <v>46279</v>
      </c>
      <c r="AR823" s="5" t="s">
        <v>51</v>
      </c>
      <c r="AS823" s="5" t="s">
        <v>81</v>
      </c>
    </row>
    <row r="824" spans="1:45" x14ac:dyDescent="0.35">
      <c r="A824" s="5" t="s">
        <v>3701</v>
      </c>
      <c r="B824" s="5" t="s">
        <v>3702</v>
      </c>
      <c r="C824" s="6" t="s">
        <v>3703</v>
      </c>
      <c r="D824" s="7">
        <v>159300</v>
      </c>
      <c r="E824" s="5" t="s">
        <v>48</v>
      </c>
      <c r="F824" s="5" t="s">
        <v>68</v>
      </c>
      <c r="G824" s="8">
        <v>3</v>
      </c>
      <c r="H824" s="8">
        <f>IF(F824="Bullet",MIN(G824,Assumptions!$B$6),"")</f>
        <v>2</v>
      </c>
      <c r="I824" s="8"/>
      <c r="J824" s="8" t="str">
        <f>IF(F824="Monthly interest",MAX(0,Assumptions!$B$5-I824),"")</f>
        <v/>
      </c>
      <c r="K824" s="7">
        <f t="shared" si="36"/>
        <v>4779</v>
      </c>
      <c r="L824" s="9">
        <v>46195</v>
      </c>
      <c r="M824" s="5" t="s">
        <v>116</v>
      </c>
      <c r="N824" s="5" t="s">
        <v>117</v>
      </c>
      <c r="O824" s="5" t="s">
        <v>207</v>
      </c>
      <c r="P824" s="5" t="s">
        <v>72</v>
      </c>
      <c r="Q824" s="5" t="s">
        <v>73</v>
      </c>
      <c r="R824" s="5" t="s">
        <v>74</v>
      </c>
      <c r="S824" s="5" t="s">
        <v>214</v>
      </c>
      <c r="T824" s="5" t="s">
        <v>57</v>
      </c>
      <c r="U824" s="5" t="s">
        <v>86</v>
      </c>
      <c r="V824" s="5" t="s">
        <v>215</v>
      </c>
      <c r="W824" s="5" t="s">
        <v>242</v>
      </c>
      <c r="X824" s="5" t="s">
        <v>3704</v>
      </c>
      <c r="Y824" s="5" t="s">
        <v>3705</v>
      </c>
      <c r="Z824" s="9">
        <v>46195</v>
      </c>
      <c r="AA824" s="8">
        <v>12</v>
      </c>
      <c r="AB824" s="9">
        <f t="shared" si="37"/>
        <v>46560</v>
      </c>
      <c r="AC824" s="10">
        <v>12</v>
      </c>
      <c r="AD824" s="7">
        <f t="shared" si="38"/>
        <v>1593</v>
      </c>
      <c r="AE824" s="7">
        <f>IF(F824="Bullet",H824*AD824,MIN(MAX(I824,1),Assumptions!$B$6)*AD824)</f>
        <v>3186</v>
      </c>
      <c r="AF824" s="8">
        <f>IF(F824="Bullet",MAX(0,Assumptions!$B$4-AB824),MAX(0,Assumptions!$B$4-L824))</f>
        <v>0</v>
      </c>
      <c r="AG824" s="9"/>
      <c r="AH824" s="8" t="str">
        <f>IF(AG824="","",Assumptions!$B$4-AG824)</f>
        <v/>
      </c>
      <c r="AI824" s="5" t="s">
        <v>80</v>
      </c>
      <c r="AJ824" s="8"/>
      <c r="AK824" s="8">
        <v>1</v>
      </c>
      <c r="AL824" s="8">
        <v>681</v>
      </c>
      <c r="AM824" s="8">
        <v>4</v>
      </c>
      <c r="AN824" s="5" t="s">
        <v>57</v>
      </c>
      <c r="AO824" s="10">
        <v>88</v>
      </c>
      <c r="AP824" s="8">
        <v>60</v>
      </c>
      <c r="AQ824" s="9">
        <v>46294</v>
      </c>
      <c r="AR824" s="5" t="s">
        <v>70</v>
      </c>
      <c r="AS824" s="5" t="s">
        <v>190</v>
      </c>
    </row>
    <row r="825" spans="1:45" x14ac:dyDescent="0.35">
      <c r="A825" s="5" t="s">
        <v>3706</v>
      </c>
      <c r="B825" s="5" t="s">
        <v>3707</v>
      </c>
      <c r="C825" s="6" t="s">
        <v>3708</v>
      </c>
      <c r="D825" s="7">
        <v>247300</v>
      </c>
      <c r="E825" s="5" t="s">
        <v>48</v>
      </c>
      <c r="F825" s="5" t="s">
        <v>49</v>
      </c>
      <c r="G825" s="8"/>
      <c r="H825" s="8" t="str">
        <f>IF(F825="Bullet",MIN(G825,Assumptions!$B$6),"")</f>
        <v/>
      </c>
      <c r="I825" s="8">
        <v>1</v>
      </c>
      <c r="J825" s="8">
        <f>IF(F825="Monthly interest",MAX(0,Assumptions!$B$5-I825),"")</f>
        <v>2</v>
      </c>
      <c r="K825" s="7">
        <f t="shared" si="36"/>
        <v>3297</v>
      </c>
      <c r="L825" s="9">
        <v>46271</v>
      </c>
      <c r="M825" s="5" t="s">
        <v>69</v>
      </c>
      <c r="N825" s="5" t="s">
        <v>51</v>
      </c>
      <c r="O825" s="5" t="s">
        <v>52</v>
      </c>
      <c r="P825" s="5" t="s">
        <v>53</v>
      </c>
      <c r="Q825" s="5" t="s">
        <v>54</v>
      </c>
      <c r="R825" s="5" t="s">
        <v>55</v>
      </c>
      <c r="S825" s="5" t="s">
        <v>56</v>
      </c>
      <c r="T825" s="5" t="s">
        <v>57</v>
      </c>
      <c r="U825" s="5" t="s">
        <v>86</v>
      </c>
      <c r="V825" s="5" t="s">
        <v>59</v>
      </c>
      <c r="W825" s="5" t="s">
        <v>60</v>
      </c>
      <c r="X825" s="5" t="s">
        <v>1660</v>
      </c>
      <c r="Y825" s="5" t="s">
        <v>3709</v>
      </c>
      <c r="Z825" s="9">
        <v>46209</v>
      </c>
      <c r="AA825" s="8">
        <v>12</v>
      </c>
      <c r="AB825" s="9">
        <f t="shared" si="37"/>
        <v>46574</v>
      </c>
      <c r="AC825" s="10">
        <v>16</v>
      </c>
      <c r="AD825" s="7">
        <f t="shared" si="38"/>
        <v>3297</v>
      </c>
      <c r="AE825" s="7">
        <f>IF(F825="Bullet",H825*AD825,MIN(MAX(I825,1),Assumptions!$B$6)*AD825)</f>
        <v>3297</v>
      </c>
      <c r="AF825" s="8">
        <f>IF(F825="Bullet",MAX(0,Assumptions!$B$4-AB825),MAX(0,Assumptions!$B$4-L825))</f>
        <v>27</v>
      </c>
      <c r="AG825" s="9">
        <v>46243</v>
      </c>
      <c r="AH825" s="8">
        <f>IF(AG825="","",Assumptions!$B$4-AG825)</f>
        <v>55</v>
      </c>
      <c r="AI825" s="5" t="s">
        <v>63</v>
      </c>
      <c r="AJ825" s="8">
        <v>1</v>
      </c>
      <c r="AK825" s="8">
        <v>0</v>
      </c>
      <c r="AL825" s="8">
        <v>707</v>
      </c>
      <c r="AM825" s="8">
        <v>1</v>
      </c>
      <c r="AN825" s="5" t="s">
        <v>63</v>
      </c>
      <c r="AO825" s="10">
        <v>77.8</v>
      </c>
      <c r="AP825" s="8">
        <v>35</v>
      </c>
      <c r="AQ825" s="9">
        <v>46292</v>
      </c>
      <c r="AR825" s="5" t="s">
        <v>53</v>
      </c>
      <c r="AS825" s="5" t="s">
        <v>64</v>
      </c>
    </row>
    <row r="826" spans="1:45" x14ac:dyDescent="0.35">
      <c r="A826" s="5" t="s">
        <v>3710</v>
      </c>
      <c r="B826" s="5" t="s">
        <v>3711</v>
      </c>
      <c r="C826" s="6" t="s">
        <v>3712</v>
      </c>
      <c r="D826" s="7">
        <v>216400</v>
      </c>
      <c r="E826" s="5" t="s">
        <v>48</v>
      </c>
      <c r="F826" s="5" t="s">
        <v>68</v>
      </c>
      <c r="G826" s="8">
        <v>4</v>
      </c>
      <c r="H826" s="8">
        <f>IF(F826="Bullet",MIN(G826,Assumptions!$B$6),"")</f>
        <v>2</v>
      </c>
      <c r="I826" s="8"/>
      <c r="J826" s="8" t="str">
        <f>IF(F826="Monthly interest",MAX(0,Assumptions!$B$5-I826),"")</f>
        <v/>
      </c>
      <c r="K826" s="7">
        <f t="shared" si="36"/>
        <v>9376</v>
      </c>
      <c r="L826" s="9">
        <v>46159</v>
      </c>
      <c r="M826" s="5" t="s">
        <v>69</v>
      </c>
      <c r="N826" s="5" t="s">
        <v>70</v>
      </c>
      <c r="O826" s="5" t="s">
        <v>71</v>
      </c>
      <c r="P826" s="5" t="s">
        <v>72</v>
      </c>
      <c r="Q826" s="5" t="s">
        <v>73</v>
      </c>
      <c r="R826" s="5" t="s">
        <v>74</v>
      </c>
      <c r="S826" s="5" t="s">
        <v>214</v>
      </c>
      <c r="T826" s="5" t="s">
        <v>57</v>
      </c>
      <c r="U826" s="5" t="s">
        <v>58</v>
      </c>
      <c r="V826" s="5" t="s">
        <v>215</v>
      </c>
      <c r="W826" s="5" t="s">
        <v>600</v>
      </c>
      <c r="X826" s="5" t="s">
        <v>2156</v>
      </c>
      <c r="Y826" s="5" t="s">
        <v>3713</v>
      </c>
      <c r="Z826" s="9">
        <v>46159</v>
      </c>
      <c r="AA826" s="8">
        <v>6</v>
      </c>
      <c r="AB826" s="9">
        <f t="shared" si="37"/>
        <v>46343</v>
      </c>
      <c r="AC826" s="10">
        <v>13</v>
      </c>
      <c r="AD826" s="7">
        <f t="shared" si="38"/>
        <v>2344</v>
      </c>
      <c r="AE826" s="7">
        <f>IF(F826="Bullet",H826*AD826,MIN(MAX(I826,1),Assumptions!$B$6)*AD826)</f>
        <v>4688</v>
      </c>
      <c r="AF826" s="8">
        <f>IF(F826="Bullet",MAX(0,Assumptions!$B$4-AB826),MAX(0,Assumptions!$B$4-L826))</f>
        <v>0</v>
      </c>
      <c r="AG826" s="9"/>
      <c r="AH826" s="8" t="str">
        <f>IF(AG826="","",Assumptions!$B$4-AG826)</f>
        <v/>
      </c>
      <c r="AI826" s="5" t="s">
        <v>80</v>
      </c>
      <c r="AJ826" s="8"/>
      <c r="AK826" s="8">
        <v>1</v>
      </c>
      <c r="AL826" s="8">
        <v>619</v>
      </c>
      <c r="AM826" s="8">
        <v>1</v>
      </c>
      <c r="AN826" s="5" t="s">
        <v>63</v>
      </c>
      <c r="AO826" s="10">
        <v>66.8</v>
      </c>
      <c r="AP826" s="8">
        <v>40</v>
      </c>
      <c r="AQ826" s="9">
        <v>46279</v>
      </c>
      <c r="AR826" s="5" t="s">
        <v>51</v>
      </c>
      <c r="AS826" s="5" t="s">
        <v>190</v>
      </c>
    </row>
    <row r="827" spans="1:45" x14ac:dyDescent="0.35">
      <c r="A827" s="5" t="s">
        <v>3714</v>
      </c>
      <c r="B827" s="5" t="s">
        <v>2115</v>
      </c>
      <c r="C827" s="6" t="s">
        <v>3715</v>
      </c>
      <c r="D827" s="7">
        <v>36100</v>
      </c>
      <c r="E827" s="5" t="s">
        <v>48</v>
      </c>
      <c r="F827" s="5" t="s">
        <v>68</v>
      </c>
      <c r="G827" s="8">
        <v>3</v>
      </c>
      <c r="H827" s="8">
        <f>IF(F827="Bullet",MIN(G827,Assumptions!$B$6),"")</f>
        <v>2</v>
      </c>
      <c r="I827" s="8"/>
      <c r="J827" s="8" t="str">
        <f>IF(F827="Monthly interest",MAX(0,Assumptions!$B$5-I827),"")</f>
        <v/>
      </c>
      <c r="K827" s="7">
        <f t="shared" si="36"/>
        <v>1443</v>
      </c>
      <c r="L827" s="9">
        <v>46186</v>
      </c>
      <c r="M827" s="5" t="s">
        <v>50</v>
      </c>
      <c r="N827" s="5" t="s">
        <v>53</v>
      </c>
      <c r="O827" s="5" t="s">
        <v>152</v>
      </c>
      <c r="P827" s="5" t="s">
        <v>153</v>
      </c>
      <c r="Q827" s="5" t="s">
        <v>154</v>
      </c>
      <c r="R827" s="5" t="s">
        <v>155</v>
      </c>
      <c r="S827" s="5" t="s">
        <v>214</v>
      </c>
      <c r="T827" s="5" t="s">
        <v>57</v>
      </c>
      <c r="U827" s="5" t="s">
        <v>86</v>
      </c>
      <c r="V827" s="5" t="s">
        <v>215</v>
      </c>
      <c r="W827" s="5" t="s">
        <v>600</v>
      </c>
      <c r="X827" s="5" t="s">
        <v>1867</v>
      </c>
      <c r="Y827" s="5" t="s">
        <v>3716</v>
      </c>
      <c r="Z827" s="9">
        <v>46186</v>
      </c>
      <c r="AA827" s="8">
        <v>12</v>
      </c>
      <c r="AB827" s="9">
        <f t="shared" si="37"/>
        <v>46551</v>
      </c>
      <c r="AC827" s="10">
        <v>16</v>
      </c>
      <c r="AD827" s="7">
        <f t="shared" si="38"/>
        <v>481</v>
      </c>
      <c r="AE827" s="7">
        <f>IF(F827="Bullet",H827*AD827,MIN(MAX(I827,1),Assumptions!$B$6)*AD827)</f>
        <v>962</v>
      </c>
      <c r="AF827" s="8">
        <f>IF(F827="Bullet",MAX(0,Assumptions!$B$4-AB827),MAX(0,Assumptions!$B$4-L827))</f>
        <v>0</v>
      </c>
      <c r="AG827" s="9"/>
      <c r="AH827" s="8" t="str">
        <f>IF(AG827="","",Assumptions!$B$4-AG827)</f>
        <v/>
      </c>
      <c r="AI827" s="5" t="s">
        <v>80</v>
      </c>
      <c r="AJ827" s="8"/>
      <c r="AK827" s="8">
        <v>0</v>
      </c>
      <c r="AL827" s="8" t="s">
        <v>80</v>
      </c>
      <c r="AM827" s="8">
        <v>1</v>
      </c>
      <c r="AN827" s="5" t="s">
        <v>63</v>
      </c>
      <c r="AO827" s="10">
        <v>77.2</v>
      </c>
      <c r="AP827" s="8">
        <v>19</v>
      </c>
      <c r="AQ827" s="9">
        <v>46281</v>
      </c>
      <c r="AR827" s="5" t="s">
        <v>72</v>
      </c>
      <c r="AS827" s="5" t="s">
        <v>64</v>
      </c>
    </row>
    <row r="828" spans="1:45" x14ac:dyDescent="0.35">
      <c r="A828" s="5" t="s">
        <v>3717</v>
      </c>
      <c r="B828" s="5" t="s">
        <v>3718</v>
      </c>
      <c r="C828" s="6" t="s">
        <v>3719</v>
      </c>
      <c r="D828" s="7">
        <v>76000</v>
      </c>
      <c r="E828" s="5" t="s">
        <v>48</v>
      </c>
      <c r="F828" s="5" t="s">
        <v>49</v>
      </c>
      <c r="G828" s="8"/>
      <c r="H828" s="8" t="str">
        <f>IF(F828="Bullet",MIN(G828,Assumptions!$B$6),"")</f>
        <v/>
      </c>
      <c r="I828" s="8">
        <v>2</v>
      </c>
      <c r="J828" s="8">
        <f>IF(F828="Monthly interest",MAX(0,Assumptions!$B$5-I828),"")</f>
        <v>1</v>
      </c>
      <c r="K828" s="7">
        <f t="shared" si="36"/>
        <v>1900</v>
      </c>
      <c r="L828" s="9">
        <v>46268</v>
      </c>
      <c r="M828" s="5" t="s">
        <v>116</v>
      </c>
      <c r="N828" s="5" t="s">
        <v>117</v>
      </c>
      <c r="O828" s="5" t="s">
        <v>118</v>
      </c>
      <c r="P828" s="5" t="s">
        <v>72</v>
      </c>
      <c r="Q828" s="5" t="s">
        <v>119</v>
      </c>
      <c r="R828" s="5" t="s">
        <v>120</v>
      </c>
      <c r="S828" s="5" t="s">
        <v>85</v>
      </c>
      <c r="T828" s="5" t="s">
        <v>63</v>
      </c>
      <c r="U828" s="5" t="s">
        <v>58</v>
      </c>
      <c r="V828" s="5" t="s">
        <v>96</v>
      </c>
      <c r="W828" s="5" t="s">
        <v>171</v>
      </c>
      <c r="X828" s="5" t="s">
        <v>3609</v>
      </c>
      <c r="Y828" s="5" t="s">
        <v>3720</v>
      </c>
      <c r="Z828" s="9">
        <v>46176</v>
      </c>
      <c r="AA828" s="8">
        <v>24</v>
      </c>
      <c r="AB828" s="9">
        <f t="shared" si="37"/>
        <v>46907</v>
      </c>
      <c r="AC828" s="10">
        <v>15</v>
      </c>
      <c r="AD828" s="7">
        <f t="shared" si="38"/>
        <v>950</v>
      </c>
      <c r="AE828" s="7">
        <f>IF(F828="Bullet",H828*AD828,MIN(MAX(I828,1),Assumptions!$B$6)*AD828)</f>
        <v>1900</v>
      </c>
      <c r="AF828" s="8">
        <f>IF(F828="Bullet",MAX(0,Assumptions!$B$4-AB828),MAX(0,Assumptions!$B$4-L828))</f>
        <v>30</v>
      </c>
      <c r="AG828" s="9">
        <v>46237</v>
      </c>
      <c r="AH828" s="8">
        <f>IF(AG828="","",Assumptions!$B$4-AG828)</f>
        <v>61</v>
      </c>
      <c r="AI828" s="5" t="s">
        <v>57</v>
      </c>
      <c r="AJ828" s="8">
        <v>2</v>
      </c>
      <c r="AK828" s="8">
        <v>0</v>
      </c>
      <c r="AL828" s="8">
        <v>698</v>
      </c>
      <c r="AM828" s="8">
        <v>2</v>
      </c>
      <c r="AN828" s="5" t="s">
        <v>63</v>
      </c>
      <c r="AO828" s="10">
        <v>51.6</v>
      </c>
      <c r="AP828" s="8">
        <v>55</v>
      </c>
      <c r="AQ828" s="9">
        <v>46290</v>
      </c>
      <c r="AR828" s="5" t="s">
        <v>70</v>
      </c>
      <c r="AS828" s="5" t="s">
        <v>81</v>
      </c>
    </row>
    <row r="829" spans="1:45" x14ac:dyDescent="0.35">
      <c r="A829" s="5" t="s">
        <v>3721</v>
      </c>
      <c r="B829" s="5" t="s">
        <v>2999</v>
      </c>
      <c r="C829" s="6" t="s">
        <v>3722</v>
      </c>
      <c r="D829" s="7">
        <v>299200</v>
      </c>
      <c r="E829" s="5" t="s">
        <v>48</v>
      </c>
      <c r="F829" s="5" t="s">
        <v>49</v>
      </c>
      <c r="G829" s="8"/>
      <c r="H829" s="8" t="str">
        <f>IF(F829="Bullet",MIN(G829,Assumptions!$B$6),"")</f>
        <v/>
      </c>
      <c r="I829" s="8">
        <v>1</v>
      </c>
      <c r="J829" s="8">
        <f>IF(F829="Monthly interest",MAX(0,Assumptions!$B$5-I829),"")</f>
        <v>2</v>
      </c>
      <c r="K829" s="7">
        <f t="shared" si="36"/>
        <v>4987</v>
      </c>
      <c r="L829" s="9">
        <v>46275</v>
      </c>
      <c r="M829" s="5" t="s">
        <v>69</v>
      </c>
      <c r="N829" s="5" t="s">
        <v>53</v>
      </c>
      <c r="O829" s="5" t="s">
        <v>95</v>
      </c>
      <c r="P829" s="5" t="s">
        <v>70</v>
      </c>
      <c r="Q829" s="5" t="s">
        <v>54</v>
      </c>
      <c r="R829" s="5" t="s">
        <v>55</v>
      </c>
      <c r="S829" s="5" t="s">
        <v>85</v>
      </c>
      <c r="T829" s="5" t="s">
        <v>63</v>
      </c>
      <c r="U829" s="5" t="s">
        <v>86</v>
      </c>
      <c r="V829" s="5" t="s">
        <v>133</v>
      </c>
      <c r="W829" s="5" t="s">
        <v>594</v>
      </c>
      <c r="X829" s="5" t="s">
        <v>3723</v>
      </c>
      <c r="Y829" s="5" t="s">
        <v>3724</v>
      </c>
      <c r="Z829" s="9">
        <v>46032</v>
      </c>
      <c r="AA829" s="8">
        <v>12</v>
      </c>
      <c r="AB829" s="9">
        <f t="shared" si="37"/>
        <v>46397</v>
      </c>
      <c r="AC829" s="10">
        <v>20</v>
      </c>
      <c r="AD829" s="7">
        <f t="shared" si="38"/>
        <v>4987</v>
      </c>
      <c r="AE829" s="7">
        <f>IF(F829="Bullet",H829*AD829,MIN(MAX(I829,1),Assumptions!$B$6)*AD829)</f>
        <v>4987</v>
      </c>
      <c r="AF829" s="8">
        <f>IF(F829="Bullet",MAX(0,Assumptions!$B$4-AB829),MAX(0,Assumptions!$B$4-L829))</f>
        <v>23</v>
      </c>
      <c r="AG829" s="9">
        <v>46247</v>
      </c>
      <c r="AH829" s="8">
        <f>IF(AG829="","",Assumptions!$B$4-AG829)</f>
        <v>51</v>
      </c>
      <c r="AI829" s="5" t="s">
        <v>57</v>
      </c>
      <c r="AJ829" s="8">
        <v>1</v>
      </c>
      <c r="AK829" s="8">
        <v>0</v>
      </c>
      <c r="AL829" s="8" t="s">
        <v>80</v>
      </c>
      <c r="AM829" s="8">
        <v>5</v>
      </c>
      <c r="AN829" s="5" t="s">
        <v>63</v>
      </c>
      <c r="AO829" s="10">
        <v>55.7</v>
      </c>
      <c r="AP829" s="8">
        <v>37</v>
      </c>
      <c r="AQ829" s="9">
        <v>46289</v>
      </c>
      <c r="AR829" s="5" t="s">
        <v>53</v>
      </c>
      <c r="AS829" s="5" t="s">
        <v>274</v>
      </c>
    </row>
    <row r="830" spans="1:45" x14ac:dyDescent="0.35">
      <c r="A830" s="5" t="s">
        <v>3725</v>
      </c>
      <c r="B830" s="5" t="s">
        <v>659</v>
      </c>
      <c r="C830" s="6" t="s">
        <v>3726</v>
      </c>
      <c r="D830" s="7">
        <v>388000</v>
      </c>
      <c r="E830" s="5" t="s">
        <v>48</v>
      </c>
      <c r="F830" s="5" t="s">
        <v>68</v>
      </c>
      <c r="G830" s="8">
        <v>2</v>
      </c>
      <c r="H830" s="8">
        <f>IF(F830="Bullet",MIN(G830,Assumptions!$B$6),"")</f>
        <v>2</v>
      </c>
      <c r="I830" s="8"/>
      <c r="J830" s="8" t="str">
        <f>IF(F830="Monthly interest",MAX(0,Assumptions!$B$5-I830),"")</f>
        <v/>
      </c>
      <c r="K830" s="7">
        <f t="shared" si="36"/>
        <v>10346</v>
      </c>
      <c r="L830" s="9">
        <v>46214</v>
      </c>
      <c r="M830" s="5" t="s">
        <v>116</v>
      </c>
      <c r="N830" s="5" t="s">
        <v>117</v>
      </c>
      <c r="O830" s="5" t="s">
        <v>207</v>
      </c>
      <c r="P830" s="5" t="s">
        <v>72</v>
      </c>
      <c r="Q830" s="5" t="s">
        <v>73</v>
      </c>
      <c r="R830" s="5" t="s">
        <v>74</v>
      </c>
      <c r="S830" s="5" t="s">
        <v>75</v>
      </c>
      <c r="T830" s="5" t="s">
        <v>57</v>
      </c>
      <c r="U830" s="5" t="s">
        <v>86</v>
      </c>
      <c r="V830" s="5" t="s">
        <v>76</v>
      </c>
      <c r="W830" s="5" t="s">
        <v>547</v>
      </c>
      <c r="X830" s="5" t="s">
        <v>3727</v>
      </c>
      <c r="Y830" s="5" t="s">
        <v>3728</v>
      </c>
      <c r="Z830" s="9">
        <v>46214</v>
      </c>
      <c r="AA830" s="8">
        <v>3</v>
      </c>
      <c r="AB830" s="9">
        <f t="shared" si="37"/>
        <v>46306</v>
      </c>
      <c r="AC830" s="10">
        <v>16</v>
      </c>
      <c r="AD830" s="7">
        <f t="shared" si="38"/>
        <v>5173</v>
      </c>
      <c r="AE830" s="7">
        <f>IF(F830="Bullet",H830*AD830,MIN(MAX(I830,1),Assumptions!$B$6)*AD830)</f>
        <v>10346</v>
      </c>
      <c r="AF830" s="8">
        <f>IF(F830="Bullet",MAX(0,Assumptions!$B$4-AB830),MAX(0,Assumptions!$B$4-L830))</f>
        <v>0</v>
      </c>
      <c r="AG830" s="9"/>
      <c r="AH830" s="8" t="str">
        <f>IF(AG830="","",Assumptions!$B$4-AG830)</f>
        <v/>
      </c>
      <c r="AI830" s="5" t="s">
        <v>80</v>
      </c>
      <c r="AJ830" s="8"/>
      <c r="AK830" s="8">
        <v>0</v>
      </c>
      <c r="AL830" s="8">
        <v>682</v>
      </c>
      <c r="AM830" s="8">
        <v>0</v>
      </c>
      <c r="AN830" s="5" t="s">
        <v>57</v>
      </c>
      <c r="AO830" s="10">
        <v>88</v>
      </c>
      <c r="AP830" s="8">
        <v>49</v>
      </c>
      <c r="AQ830" s="9">
        <v>46286</v>
      </c>
      <c r="AR830" s="5" t="s">
        <v>70</v>
      </c>
      <c r="AS830" s="5" t="s">
        <v>190</v>
      </c>
    </row>
    <row r="831" spans="1:45" x14ac:dyDescent="0.35">
      <c r="A831" s="5" t="s">
        <v>3729</v>
      </c>
      <c r="B831" s="5" t="s">
        <v>3730</v>
      </c>
      <c r="C831" s="6" t="s">
        <v>3731</v>
      </c>
      <c r="D831" s="7">
        <v>124000</v>
      </c>
      <c r="E831" s="5" t="s">
        <v>48</v>
      </c>
      <c r="F831" s="5" t="s">
        <v>68</v>
      </c>
      <c r="G831" s="8">
        <v>3</v>
      </c>
      <c r="H831" s="8">
        <f>IF(F831="Bullet",MIN(G831,Assumptions!$B$6),"")</f>
        <v>2</v>
      </c>
      <c r="I831" s="8"/>
      <c r="J831" s="8" t="str">
        <f>IF(F831="Monthly interest",MAX(0,Assumptions!$B$5-I831),"")</f>
        <v/>
      </c>
      <c r="K831" s="7">
        <f t="shared" si="36"/>
        <v>4341</v>
      </c>
      <c r="L831" s="9">
        <v>46186</v>
      </c>
      <c r="M831" s="5" t="s">
        <v>69</v>
      </c>
      <c r="N831" s="5" t="s">
        <v>53</v>
      </c>
      <c r="O831" s="5" t="s">
        <v>71</v>
      </c>
      <c r="P831" s="5" t="s">
        <v>70</v>
      </c>
      <c r="Q831" s="5" t="s">
        <v>73</v>
      </c>
      <c r="R831" s="5" t="s">
        <v>74</v>
      </c>
      <c r="S831" s="5" t="s">
        <v>214</v>
      </c>
      <c r="T831" s="5" t="s">
        <v>57</v>
      </c>
      <c r="U831" s="5" t="s">
        <v>58</v>
      </c>
      <c r="V831" s="5" t="s">
        <v>215</v>
      </c>
      <c r="W831" s="5" t="s">
        <v>600</v>
      </c>
      <c r="X831" s="5" t="s">
        <v>3661</v>
      </c>
      <c r="Y831" s="5" t="s">
        <v>3732</v>
      </c>
      <c r="Z831" s="9">
        <v>46186</v>
      </c>
      <c r="AA831" s="8">
        <v>6</v>
      </c>
      <c r="AB831" s="9">
        <f t="shared" si="37"/>
        <v>46369</v>
      </c>
      <c r="AC831" s="10">
        <v>14</v>
      </c>
      <c r="AD831" s="7">
        <f t="shared" si="38"/>
        <v>1447</v>
      </c>
      <c r="AE831" s="7">
        <f>IF(F831="Bullet",H831*AD831,MIN(MAX(I831,1),Assumptions!$B$6)*AD831)</f>
        <v>2894</v>
      </c>
      <c r="AF831" s="8">
        <f>IF(F831="Bullet",MAX(0,Assumptions!$B$4-AB831),MAX(0,Assumptions!$B$4-L831))</f>
        <v>0</v>
      </c>
      <c r="AG831" s="9"/>
      <c r="AH831" s="8" t="str">
        <f>IF(AG831="","",Assumptions!$B$4-AG831)</f>
        <v/>
      </c>
      <c r="AI831" s="5" t="s">
        <v>80</v>
      </c>
      <c r="AJ831" s="8"/>
      <c r="AK831" s="8">
        <v>2</v>
      </c>
      <c r="AL831" s="8">
        <v>594</v>
      </c>
      <c r="AM831" s="8">
        <v>0</v>
      </c>
      <c r="AN831" s="5" t="s">
        <v>63</v>
      </c>
      <c r="AO831" s="10">
        <v>74.7</v>
      </c>
      <c r="AP831" s="8">
        <v>43</v>
      </c>
      <c r="AQ831" s="9">
        <v>46284</v>
      </c>
      <c r="AR831" s="5" t="s">
        <v>51</v>
      </c>
      <c r="AS831" s="5" t="s">
        <v>64</v>
      </c>
    </row>
    <row r="832" spans="1:45" x14ac:dyDescent="0.35">
      <c r="A832" s="5" t="s">
        <v>3733</v>
      </c>
      <c r="B832" s="5" t="s">
        <v>3734</v>
      </c>
      <c r="C832" s="6" t="s">
        <v>3735</v>
      </c>
      <c r="D832" s="7">
        <v>198300</v>
      </c>
      <c r="E832" s="5" t="s">
        <v>48</v>
      </c>
      <c r="F832" s="5" t="s">
        <v>68</v>
      </c>
      <c r="G832" s="8">
        <v>3</v>
      </c>
      <c r="H832" s="8">
        <f>IF(F832="Bullet",MIN(G832,Assumptions!$B$6),"")</f>
        <v>2</v>
      </c>
      <c r="I832" s="8"/>
      <c r="J832" s="8" t="str">
        <f>IF(F832="Monthly interest",MAX(0,Assumptions!$B$5-I832),"")</f>
        <v/>
      </c>
      <c r="K832" s="7">
        <f t="shared" si="36"/>
        <v>6444</v>
      </c>
      <c r="L832" s="9">
        <v>46184</v>
      </c>
      <c r="M832" s="5" t="s">
        <v>50</v>
      </c>
      <c r="N832" s="5" t="s">
        <v>70</v>
      </c>
      <c r="O832" s="5" t="s">
        <v>295</v>
      </c>
      <c r="P832" s="5" t="s">
        <v>72</v>
      </c>
      <c r="Q832" s="5" t="s">
        <v>73</v>
      </c>
      <c r="R832" s="5" t="s">
        <v>74</v>
      </c>
      <c r="S832" s="5" t="s">
        <v>185</v>
      </c>
      <c r="T832" s="5" t="s">
        <v>57</v>
      </c>
      <c r="U832" s="5" t="s">
        <v>86</v>
      </c>
      <c r="V832" s="5" t="s">
        <v>186</v>
      </c>
      <c r="W832" s="5" t="s">
        <v>376</v>
      </c>
      <c r="X832" s="5" t="s">
        <v>377</v>
      </c>
      <c r="Y832" s="5" t="s">
        <v>3736</v>
      </c>
      <c r="Z832" s="9">
        <v>46184</v>
      </c>
      <c r="AA832" s="8">
        <v>6</v>
      </c>
      <c r="AB832" s="9">
        <f t="shared" si="37"/>
        <v>46367</v>
      </c>
      <c r="AC832" s="10">
        <v>13</v>
      </c>
      <c r="AD832" s="7">
        <f t="shared" si="38"/>
        <v>2148</v>
      </c>
      <c r="AE832" s="7">
        <f>IF(F832="Bullet",H832*AD832,MIN(MAX(I832,1),Assumptions!$B$6)*AD832)</f>
        <v>4296</v>
      </c>
      <c r="AF832" s="8">
        <f>IF(F832="Bullet",MAX(0,Assumptions!$B$4-AB832),MAX(0,Assumptions!$B$4-L832))</f>
        <v>0</v>
      </c>
      <c r="AG832" s="9"/>
      <c r="AH832" s="8" t="str">
        <f>IF(AG832="","",Assumptions!$B$4-AG832)</f>
        <v/>
      </c>
      <c r="AI832" s="5" t="s">
        <v>80</v>
      </c>
      <c r="AJ832" s="8"/>
      <c r="AK832" s="8">
        <v>1</v>
      </c>
      <c r="AL832" s="8">
        <v>783</v>
      </c>
      <c r="AM832" s="8">
        <v>2</v>
      </c>
      <c r="AN832" s="5" t="s">
        <v>63</v>
      </c>
      <c r="AO832" s="10">
        <v>45.5</v>
      </c>
      <c r="AP832" s="8">
        <v>18</v>
      </c>
      <c r="AQ832" s="9">
        <v>46294</v>
      </c>
      <c r="AR832" s="5" t="s">
        <v>53</v>
      </c>
      <c r="AS832" s="5" t="s">
        <v>91</v>
      </c>
    </row>
    <row r="833" spans="1:45" x14ac:dyDescent="0.35">
      <c r="A833" s="5" t="s">
        <v>3737</v>
      </c>
      <c r="B833" s="5" t="s">
        <v>3738</v>
      </c>
      <c r="C833" s="6" t="s">
        <v>3739</v>
      </c>
      <c r="D833" s="7">
        <v>29200</v>
      </c>
      <c r="E833" s="5" t="s">
        <v>48</v>
      </c>
      <c r="F833" s="5" t="s">
        <v>68</v>
      </c>
      <c r="G833" s="8">
        <v>5</v>
      </c>
      <c r="H833" s="8">
        <f>IF(F833="Bullet",MIN(G833,Assumptions!$B$6),"")</f>
        <v>2</v>
      </c>
      <c r="I833" s="8"/>
      <c r="J833" s="8" t="str">
        <f>IF(F833="Monthly interest",MAX(0,Assumptions!$B$5-I833),"")</f>
        <v/>
      </c>
      <c r="K833" s="7">
        <f t="shared" si="36"/>
        <v>1460</v>
      </c>
      <c r="L833" s="9">
        <v>46143</v>
      </c>
      <c r="M833" s="5" t="s">
        <v>116</v>
      </c>
      <c r="N833" s="5" t="s">
        <v>117</v>
      </c>
      <c r="O833" s="5" t="s">
        <v>461</v>
      </c>
      <c r="P833" s="5" t="s">
        <v>72</v>
      </c>
      <c r="Q833" s="5" t="s">
        <v>169</v>
      </c>
      <c r="R833" s="5" t="s">
        <v>170</v>
      </c>
      <c r="S833" s="5" t="s">
        <v>214</v>
      </c>
      <c r="T833" s="5" t="s">
        <v>63</v>
      </c>
      <c r="U833" s="5" t="s">
        <v>86</v>
      </c>
      <c r="V833" s="5" t="s">
        <v>215</v>
      </c>
      <c r="W833" s="5" t="s">
        <v>278</v>
      </c>
      <c r="X833" s="5" t="s">
        <v>1783</v>
      </c>
      <c r="Y833" s="5" t="s">
        <v>3740</v>
      </c>
      <c r="Z833" s="9">
        <v>46143</v>
      </c>
      <c r="AA833" s="8">
        <v>3</v>
      </c>
      <c r="AB833" s="9">
        <f t="shared" si="37"/>
        <v>46235</v>
      </c>
      <c r="AC833" s="10">
        <v>12</v>
      </c>
      <c r="AD833" s="7">
        <f t="shared" si="38"/>
        <v>292</v>
      </c>
      <c r="AE833" s="7">
        <f>IF(F833="Bullet",H833*AD833,MIN(MAX(I833,1),Assumptions!$B$6)*AD833)</f>
        <v>584</v>
      </c>
      <c r="AF833" s="8">
        <f>IF(F833="Bullet",MAX(0,Assumptions!$B$4-AB833),MAX(0,Assumptions!$B$4-L833))</f>
        <v>63</v>
      </c>
      <c r="AG833" s="9"/>
      <c r="AH833" s="8" t="str">
        <f>IF(AG833="","",Assumptions!$B$4-AG833)</f>
        <v/>
      </c>
      <c r="AI833" s="5" t="s">
        <v>80</v>
      </c>
      <c r="AJ833" s="8"/>
      <c r="AK833" s="8">
        <v>1</v>
      </c>
      <c r="AL833" s="8">
        <v>657</v>
      </c>
      <c r="AM833" s="8">
        <v>1</v>
      </c>
      <c r="AN833" s="5" t="s">
        <v>57</v>
      </c>
      <c r="AO833" s="10">
        <v>71.2</v>
      </c>
      <c r="AP833" s="8">
        <v>68</v>
      </c>
      <c r="AQ833" s="9">
        <v>46275</v>
      </c>
      <c r="AR833" s="5" t="s">
        <v>70</v>
      </c>
      <c r="AS833" s="5" t="s">
        <v>81</v>
      </c>
    </row>
    <row r="834" spans="1:45" x14ac:dyDescent="0.35">
      <c r="A834" s="5" t="s">
        <v>3741</v>
      </c>
      <c r="B834" s="5" t="s">
        <v>3742</v>
      </c>
      <c r="C834" s="6" t="s">
        <v>3743</v>
      </c>
      <c r="D834" s="7">
        <v>456500</v>
      </c>
      <c r="E834" s="5" t="s">
        <v>48</v>
      </c>
      <c r="F834" s="5" t="s">
        <v>49</v>
      </c>
      <c r="G834" s="8"/>
      <c r="H834" s="8" t="str">
        <f>IF(F834="Bullet",MIN(G834,Assumptions!$B$6),"")</f>
        <v/>
      </c>
      <c r="I834" s="8">
        <v>1</v>
      </c>
      <c r="J834" s="8">
        <f>IF(F834="Monthly interest",MAX(0,Assumptions!$B$5-I834),"")</f>
        <v>2</v>
      </c>
      <c r="K834" s="7">
        <f t="shared" ref="K834:K897" si="39">IF(F834="Bullet",G834*AD834,MAX(I834,1)*AD834)</f>
        <v>6087</v>
      </c>
      <c r="L834" s="9">
        <v>46296</v>
      </c>
      <c r="M834" s="5" t="s">
        <v>50</v>
      </c>
      <c r="N834" s="5" t="s">
        <v>51</v>
      </c>
      <c r="O834" s="5" t="s">
        <v>52</v>
      </c>
      <c r="P834" s="5" t="s">
        <v>53</v>
      </c>
      <c r="Q834" s="5" t="s">
        <v>54</v>
      </c>
      <c r="R834" s="5" t="s">
        <v>55</v>
      </c>
      <c r="S834" s="5" t="s">
        <v>75</v>
      </c>
      <c r="T834" s="5" t="s">
        <v>57</v>
      </c>
      <c r="U834" s="5" t="s">
        <v>86</v>
      </c>
      <c r="V834" s="5" t="s">
        <v>76</v>
      </c>
      <c r="W834" s="5" t="s">
        <v>105</v>
      </c>
      <c r="X834" s="5" t="s">
        <v>1588</v>
      </c>
      <c r="Y834" s="5" t="s">
        <v>3744</v>
      </c>
      <c r="Z834" s="9">
        <v>46023</v>
      </c>
      <c r="AA834" s="8">
        <v>12</v>
      </c>
      <c r="AB834" s="9">
        <f t="shared" ref="AB834:AB897" si="40">EDATE(Z834,AA834)</f>
        <v>46388</v>
      </c>
      <c r="AC834" s="10">
        <v>16</v>
      </c>
      <c r="AD834" s="7">
        <f t="shared" ref="AD834:AD897" si="41">ROUND(D834*AC834/100/12,0)</f>
        <v>6087</v>
      </c>
      <c r="AE834" s="7">
        <f>IF(F834="Bullet",H834*AD834,MIN(MAX(I834,1),Assumptions!$B$6)*AD834)</f>
        <v>6087</v>
      </c>
      <c r="AF834" s="8">
        <f>IF(F834="Bullet",MAX(0,Assumptions!$B$4-AB834),MAX(0,Assumptions!$B$4-L834))</f>
        <v>2</v>
      </c>
      <c r="AG834" s="9">
        <v>46269</v>
      </c>
      <c r="AH834" s="8">
        <f>IF(AG834="","",Assumptions!$B$4-AG834)</f>
        <v>29</v>
      </c>
      <c r="AI834" s="5" t="s">
        <v>63</v>
      </c>
      <c r="AJ834" s="8">
        <v>1</v>
      </c>
      <c r="AK834" s="8">
        <v>0</v>
      </c>
      <c r="AL834" s="8">
        <v>797</v>
      </c>
      <c r="AM834" s="8">
        <v>0</v>
      </c>
      <c r="AN834" s="5" t="s">
        <v>63</v>
      </c>
      <c r="AO834" s="10">
        <v>68.599999999999994</v>
      </c>
      <c r="AP834" s="8">
        <v>8</v>
      </c>
      <c r="AQ834" s="9">
        <v>46291</v>
      </c>
      <c r="AR834" s="5" t="s">
        <v>70</v>
      </c>
      <c r="AS834" s="5" t="s">
        <v>274</v>
      </c>
    </row>
    <row r="835" spans="1:45" x14ac:dyDescent="0.35">
      <c r="A835" s="5" t="s">
        <v>3745</v>
      </c>
      <c r="B835" s="5" t="s">
        <v>3746</v>
      </c>
      <c r="C835" s="6" t="s">
        <v>3747</v>
      </c>
      <c r="D835" s="7">
        <v>107000</v>
      </c>
      <c r="E835" s="5" t="s">
        <v>48</v>
      </c>
      <c r="F835" s="5" t="s">
        <v>49</v>
      </c>
      <c r="G835" s="8"/>
      <c r="H835" s="8" t="str">
        <f>IF(F835="Bullet",MIN(G835,Assumptions!$B$6),"")</f>
        <v/>
      </c>
      <c r="I835" s="8">
        <v>1</v>
      </c>
      <c r="J835" s="8">
        <f>IF(F835="Monthly interest",MAX(0,Assumptions!$B$5-I835),"")</f>
        <v>2</v>
      </c>
      <c r="K835" s="7">
        <f t="shared" si="39"/>
        <v>1783</v>
      </c>
      <c r="L835" s="9">
        <v>46296</v>
      </c>
      <c r="M835" s="5" t="s">
        <v>69</v>
      </c>
      <c r="N835" s="5" t="s">
        <v>51</v>
      </c>
      <c r="O835" s="5" t="s">
        <v>52</v>
      </c>
      <c r="P835" s="5" t="s">
        <v>53</v>
      </c>
      <c r="Q835" s="5" t="s">
        <v>54</v>
      </c>
      <c r="R835" s="5" t="s">
        <v>55</v>
      </c>
      <c r="S835" s="5" t="s">
        <v>85</v>
      </c>
      <c r="T835" s="5" t="s">
        <v>57</v>
      </c>
      <c r="U835" s="5" t="s">
        <v>58</v>
      </c>
      <c r="V835" s="5" t="s">
        <v>96</v>
      </c>
      <c r="W835" s="5" t="s">
        <v>819</v>
      </c>
      <c r="X835" s="5" t="s">
        <v>3001</v>
      </c>
      <c r="Y835" s="5" t="s">
        <v>3748</v>
      </c>
      <c r="Z835" s="9">
        <v>46023</v>
      </c>
      <c r="AA835" s="8">
        <v>12</v>
      </c>
      <c r="AB835" s="9">
        <f t="shared" si="40"/>
        <v>46388</v>
      </c>
      <c r="AC835" s="10">
        <v>20</v>
      </c>
      <c r="AD835" s="7">
        <f t="shared" si="41"/>
        <v>1783</v>
      </c>
      <c r="AE835" s="7">
        <f>IF(F835="Bullet",H835*AD835,MIN(MAX(I835,1),Assumptions!$B$6)*AD835)</f>
        <v>1783</v>
      </c>
      <c r="AF835" s="8">
        <f>IF(F835="Bullet",MAX(0,Assumptions!$B$4-AB835),MAX(0,Assumptions!$B$4-L835))</f>
        <v>2</v>
      </c>
      <c r="AG835" s="9">
        <v>46268</v>
      </c>
      <c r="AH835" s="8">
        <f>IF(AG835="","",Assumptions!$B$4-AG835)</f>
        <v>30</v>
      </c>
      <c r="AI835" s="5" t="s">
        <v>57</v>
      </c>
      <c r="AJ835" s="8">
        <v>2</v>
      </c>
      <c r="AK835" s="8">
        <v>0</v>
      </c>
      <c r="AL835" s="8">
        <v>676</v>
      </c>
      <c r="AM835" s="8">
        <v>2</v>
      </c>
      <c r="AN835" s="5" t="s">
        <v>63</v>
      </c>
      <c r="AO835" s="10">
        <v>62.9</v>
      </c>
      <c r="AP835" s="8">
        <v>32</v>
      </c>
      <c r="AQ835" s="9">
        <v>46288</v>
      </c>
      <c r="AR835" s="5" t="s">
        <v>53</v>
      </c>
      <c r="AS835" s="5" t="s">
        <v>81</v>
      </c>
    </row>
    <row r="836" spans="1:45" x14ac:dyDescent="0.35">
      <c r="A836" s="5" t="s">
        <v>3749</v>
      </c>
      <c r="B836" s="5" t="s">
        <v>3750</v>
      </c>
      <c r="C836" s="6" t="s">
        <v>3751</v>
      </c>
      <c r="D836" s="7">
        <v>254900</v>
      </c>
      <c r="E836" s="5" t="s">
        <v>48</v>
      </c>
      <c r="F836" s="5" t="s">
        <v>68</v>
      </c>
      <c r="G836" s="8">
        <v>1</v>
      </c>
      <c r="H836" s="8">
        <f>IF(F836="Bullet",MIN(G836,Assumptions!$B$6),"")</f>
        <v>1</v>
      </c>
      <c r="I836" s="8"/>
      <c r="J836" s="8" t="str">
        <f>IF(F836="Monthly interest",MAX(0,Assumptions!$B$5-I836),"")</f>
        <v/>
      </c>
      <c r="K836" s="7">
        <f t="shared" si="39"/>
        <v>2974</v>
      </c>
      <c r="L836" s="9">
        <v>46266</v>
      </c>
      <c r="M836" s="5" t="s">
        <v>50</v>
      </c>
      <c r="N836" s="5" t="s">
        <v>51</v>
      </c>
      <c r="O836" s="5" t="s">
        <v>71</v>
      </c>
      <c r="P836" s="5" t="s">
        <v>53</v>
      </c>
      <c r="Q836" s="5" t="s">
        <v>73</v>
      </c>
      <c r="R836" s="5" t="s">
        <v>74</v>
      </c>
      <c r="S836" s="5" t="s">
        <v>56</v>
      </c>
      <c r="T836" s="5" t="s">
        <v>57</v>
      </c>
      <c r="U836" s="5" t="s">
        <v>104</v>
      </c>
      <c r="V836" s="5" t="s">
        <v>59</v>
      </c>
      <c r="W836" s="5" t="s">
        <v>156</v>
      </c>
      <c r="X836" s="5" t="s">
        <v>1490</v>
      </c>
      <c r="Y836" s="5" t="s">
        <v>3752</v>
      </c>
      <c r="Z836" s="9">
        <v>46266</v>
      </c>
      <c r="AA836" s="8">
        <v>12</v>
      </c>
      <c r="AB836" s="9">
        <f t="shared" si="40"/>
        <v>46631</v>
      </c>
      <c r="AC836" s="10">
        <v>14</v>
      </c>
      <c r="AD836" s="7">
        <f t="shared" si="41"/>
        <v>2974</v>
      </c>
      <c r="AE836" s="7">
        <f>IF(F836="Bullet",H836*AD836,MIN(MAX(I836,1),Assumptions!$B$6)*AD836)</f>
        <v>2974</v>
      </c>
      <c r="AF836" s="8">
        <f>IF(F836="Bullet",MAX(0,Assumptions!$B$4-AB836),MAX(0,Assumptions!$B$4-L836))</f>
        <v>0</v>
      </c>
      <c r="AG836" s="9"/>
      <c r="AH836" s="8" t="str">
        <f>IF(AG836="","",Assumptions!$B$4-AG836)</f>
        <v/>
      </c>
      <c r="AI836" s="5" t="s">
        <v>80</v>
      </c>
      <c r="AJ836" s="8"/>
      <c r="AK836" s="8">
        <v>0</v>
      </c>
      <c r="AL836" s="8">
        <v>783</v>
      </c>
      <c r="AM836" s="8">
        <v>1</v>
      </c>
      <c r="AN836" s="5" t="s">
        <v>63</v>
      </c>
      <c r="AO836" s="10">
        <v>63.4</v>
      </c>
      <c r="AP836" s="8">
        <v>6</v>
      </c>
      <c r="AQ836" s="9">
        <v>46290</v>
      </c>
      <c r="AR836" s="5" t="s">
        <v>70</v>
      </c>
      <c r="AS836" s="5" t="s">
        <v>190</v>
      </c>
    </row>
    <row r="837" spans="1:45" x14ac:dyDescent="0.35">
      <c r="A837" s="5" t="s">
        <v>3753</v>
      </c>
      <c r="B837" s="5" t="s">
        <v>1906</v>
      </c>
      <c r="C837" s="6" t="s">
        <v>3754</v>
      </c>
      <c r="D837" s="7">
        <v>133600</v>
      </c>
      <c r="E837" s="5" t="s">
        <v>48</v>
      </c>
      <c r="F837" s="5" t="s">
        <v>49</v>
      </c>
      <c r="G837" s="8"/>
      <c r="H837" s="8" t="str">
        <f>IF(F837="Bullet",MIN(G837,Assumptions!$B$6),"")</f>
        <v/>
      </c>
      <c r="I837" s="8">
        <v>1</v>
      </c>
      <c r="J837" s="8">
        <f>IF(F837="Monthly interest",MAX(0,Assumptions!$B$5-I837),"")</f>
        <v>2</v>
      </c>
      <c r="K837" s="7">
        <f t="shared" si="39"/>
        <v>2672</v>
      </c>
      <c r="L837" s="9">
        <v>46279</v>
      </c>
      <c r="M837" s="5" t="s">
        <v>69</v>
      </c>
      <c r="N837" s="5" t="s">
        <v>51</v>
      </c>
      <c r="O837" s="5" t="s">
        <v>52</v>
      </c>
      <c r="P837" s="5" t="s">
        <v>53</v>
      </c>
      <c r="Q837" s="5" t="s">
        <v>54</v>
      </c>
      <c r="R837" s="5" t="s">
        <v>55</v>
      </c>
      <c r="S837" s="5" t="s">
        <v>56</v>
      </c>
      <c r="T837" s="5" t="s">
        <v>57</v>
      </c>
      <c r="U837" s="5" t="s">
        <v>58</v>
      </c>
      <c r="V837" s="5" t="s">
        <v>59</v>
      </c>
      <c r="W837" s="5" t="s">
        <v>300</v>
      </c>
      <c r="X837" s="5" t="s">
        <v>1747</v>
      </c>
      <c r="Y837" s="5" t="s">
        <v>3755</v>
      </c>
      <c r="Z837" s="9">
        <v>46067</v>
      </c>
      <c r="AA837" s="8">
        <v>12</v>
      </c>
      <c r="AB837" s="9">
        <f t="shared" si="40"/>
        <v>46432</v>
      </c>
      <c r="AC837" s="10">
        <v>24</v>
      </c>
      <c r="AD837" s="7">
        <f t="shared" si="41"/>
        <v>2672</v>
      </c>
      <c r="AE837" s="7">
        <f>IF(F837="Bullet",H837*AD837,MIN(MAX(I837,1),Assumptions!$B$6)*AD837)</f>
        <v>2672</v>
      </c>
      <c r="AF837" s="8">
        <f>IF(F837="Bullet",MAX(0,Assumptions!$B$4-AB837),MAX(0,Assumptions!$B$4-L837))</f>
        <v>19</v>
      </c>
      <c r="AG837" s="9">
        <v>46251</v>
      </c>
      <c r="AH837" s="8">
        <f>IF(AG837="","",Assumptions!$B$4-AG837)</f>
        <v>47</v>
      </c>
      <c r="AI837" s="5" t="s">
        <v>63</v>
      </c>
      <c r="AJ837" s="8">
        <v>1</v>
      </c>
      <c r="AK837" s="8">
        <v>0</v>
      </c>
      <c r="AL837" s="8" t="s">
        <v>80</v>
      </c>
      <c r="AM837" s="8">
        <v>0</v>
      </c>
      <c r="AN837" s="5" t="s">
        <v>63</v>
      </c>
      <c r="AO837" s="10">
        <v>63.9</v>
      </c>
      <c r="AP837" s="8">
        <v>31</v>
      </c>
      <c r="AQ837" s="9">
        <v>46282</v>
      </c>
      <c r="AR837" s="5" t="s">
        <v>70</v>
      </c>
      <c r="AS837" s="5" t="s">
        <v>91</v>
      </c>
    </row>
    <row r="838" spans="1:45" x14ac:dyDescent="0.35">
      <c r="A838" s="5" t="s">
        <v>3756</v>
      </c>
      <c r="B838" s="5" t="s">
        <v>3121</v>
      </c>
      <c r="C838" s="6" t="s">
        <v>3757</v>
      </c>
      <c r="D838" s="7">
        <v>124600</v>
      </c>
      <c r="E838" s="5" t="s">
        <v>48</v>
      </c>
      <c r="F838" s="5" t="s">
        <v>49</v>
      </c>
      <c r="G838" s="8"/>
      <c r="H838" s="8" t="str">
        <f>IF(F838="Bullet",MIN(G838,Assumptions!$B$6),"")</f>
        <v/>
      </c>
      <c r="I838" s="8">
        <v>1</v>
      </c>
      <c r="J838" s="8">
        <f>IF(F838="Monthly interest",MAX(0,Assumptions!$B$5-I838),"")</f>
        <v>2</v>
      </c>
      <c r="K838" s="7">
        <f t="shared" si="39"/>
        <v>1661</v>
      </c>
      <c r="L838" s="9">
        <v>46269</v>
      </c>
      <c r="M838" s="5" t="s">
        <v>50</v>
      </c>
      <c r="N838" s="5" t="s">
        <v>53</v>
      </c>
      <c r="O838" s="5" t="s">
        <v>103</v>
      </c>
      <c r="P838" s="5" t="s">
        <v>51</v>
      </c>
      <c r="Q838" s="5" t="s">
        <v>54</v>
      </c>
      <c r="R838" s="5" t="s">
        <v>55</v>
      </c>
      <c r="S838" s="5" t="s">
        <v>85</v>
      </c>
      <c r="T838" s="5" t="s">
        <v>57</v>
      </c>
      <c r="U838" s="5" t="s">
        <v>104</v>
      </c>
      <c r="V838" s="5" t="s">
        <v>177</v>
      </c>
      <c r="W838" s="5" t="s">
        <v>178</v>
      </c>
      <c r="X838" s="5" t="s">
        <v>3758</v>
      </c>
      <c r="Y838" s="5" t="s">
        <v>3759</v>
      </c>
      <c r="Z838" s="9">
        <v>46057</v>
      </c>
      <c r="AA838" s="8">
        <v>18</v>
      </c>
      <c r="AB838" s="9">
        <f t="shared" si="40"/>
        <v>46603</v>
      </c>
      <c r="AC838" s="10">
        <v>16</v>
      </c>
      <c r="AD838" s="7">
        <f t="shared" si="41"/>
        <v>1661</v>
      </c>
      <c r="AE838" s="7">
        <f>IF(F838="Bullet",H838*AD838,MIN(MAX(I838,1),Assumptions!$B$6)*AD838)</f>
        <v>1661</v>
      </c>
      <c r="AF838" s="8">
        <f>IF(F838="Bullet",MAX(0,Assumptions!$B$4-AB838),MAX(0,Assumptions!$B$4-L838))</f>
        <v>29</v>
      </c>
      <c r="AG838" s="9">
        <v>46241</v>
      </c>
      <c r="AH838" s="8">
        <f>IF(AG838="","",Assumptions!$B$4-AG838)</f>
        <v>57</v>
      </c>
      <c r="AI838" s="5" t="s">
        <v>63</v>
      </c>
      <c r="AJ838" s="8">
        <v>1</v>
      </c>
      <c r="AK838" s="8">
        <v>0</v>
      </c>
      <c r="AL838" s="8">
        <v>648</v>
      </c>
      <c r="AM838" s="8">
        <v>2</v>
      </c>
      <c r="AN838" s="5" t="s">
        <v>63</v>
      </c>
      <c r="AO838" s="10">
        <v>71.5</v>
      </c>
      <c r="AP838" s="8">
        <v>29</v>
      </c>
      <c r="AQ838" s="9">
        <v>46293</v>
      </c>
      <c r="AR838" s="5" t="s">
        <v>51</v>
      </c>
      <c r="AS838" s="5" t="s">
        <v>81</v>
      </c>
    </row>
    <row r="839" spans="1:45" x14ac:dyDescent="0.35">
      <c r="A839" s="5" t="s">
        <v>3760</v>
      </c>
      <c r="B839" s="5" t="s">
        <v>598</v>
      </c>
      <c r="C839" s="6" t="s">
        <v>3761</v>
      </c>
      <c r="D839" s="7">
        <v>79500</v>
      </c>
      <c r="E839" s="5" t="s">
        <v>48</v>
      </c>
      <c r="F839" s="5" t="s">
        <v>68</v>
      </c>
      <c r="G839" s="8">
        <v>4</v>
      </c>
      <c r="H839" s="8">
        <f>IF(F839="Bullet",MIN(G839,Assumptions!$B$6),"")</f>
        <v>2</v>
      </c>
      <c r="I839" s="8"/>
      <c r="J839" s="8" t="str">
        <f>IF(F839="Monthly interest",MAX(0,Assumptions!$B$5-I839),"")</f>
        <v/>
      </c>
      <c r="K839" s="7">
        <f t="shared" si="39"/>
        <v>4772</v>
      </c>
      <c r="L839" s="9">
        <v>46171</v>
      </c>
      <c r="M839" s="5" t="s">
        <v>69</v>
      </c>
      <c r="N839" s="5" t="s">
        <v>70</v>
      </c>
      <c r="O839" s="5" t="s">
        <v>531</v>
      </c>
      <c r="P839" s="5" t="s">
        <v>72</v>
      </c>
      <c r="Q839" s="5" t="s">
        <v>73</v>
      </c>
      <c r="R839" s="5" t="s">
        <v>74</v>
      </c>
      <c r="S839" s="5" t="s">
        <v>214</v>
      </c>
      <c r="T839" s="5" t="s">
        <v>57</v>
      </c>
      <c r="U839" s="5" t="s">
        <v>86</v>
      </c>
      <c r="V839" s="5" t="s">
        <v>215</v>
      </c>
      <c r="W839" s="5" t="s">
        <v>278</v>
      </c>
      <c r="X839" s="5" t="s">
        <v>516</v>
      </c>
      <c r="Y839" s="5" t="s">
        <v>3762</v>
      </c>
      <c r="Z839" s="9">
        <v>46171</v>
      </c>
      <c r="AA839" s="8">
        <v>6</v>
      </c>
      <c r="AB839" s="9">
        <f t="shared" si="40"/>
        <v>46355</v>
      </c>
      <c r="AC839" s="10">
        <v>18</v>
      </c>
      <c r="AD839" s="7">
        <f t="shared" si="41"/>
        <v>1193</v>
      </c>
      <c r="AE839" s="7">
        <f>IF(F839="Bullet",H839*AD839,MIN(MAX(I839,1),Assumptions!$B$6)*AD839)</f>
        <v>2386</v>
      </c>
      <c r="AF839" s="8">
        <f>IF(F839="Bullet",MAX(0,Assumptions!$B$4-AB839),MAX(0,Assumptions!$B$4-L839))</f>
        <v>0</v>
      </c>
      <c r="AG839" s="9"/>
      <c r="AH839" s="8" t="str">
        <f>IF(AG839="","",Assumptions!$B$4-AG839)</f>
        <v/>
      </c>
      <c r="AI839" s="5" t="s">
        <v>80</v>
      </c>
      <c r="AJ839" s="8"/>
      <c r="AK839" s="8">
        <v>1</v>
      </c>
      <c r="AL839" s="8">
        <v>654</v>
      </c>
      <c r="AM839" s="8">
        <v>2</v>
      </c>
      <c r="AN839" s="5" t="s">
        <v>63</v>
      </c>
      <c r="AO839" s="10">
        <v>66.3</v>
      </c>
      <c r="AP839" s="8">
        <v>41</v>
      </c>
      <c r="AQ839" s="9">
        <v>46297</v>
      </c>
      <c r="AR839" s="5" t="s">
        <v>53</v>
      </c>
      <c r="AS839" s="5" t="s">
        <v>81</v>
      </c>
    </row>
    <row r="840" spans="1:45" x14ac:dyDescent="0.35">
      <c r="A840" s="5" t="s">
        <v>3763</v>
      </c>
      <c r="B840" s="5" t="s">
        <v>568</v>
      </c>
      <c r="C840" s="6" t="s">
        <v>3764</v>
      </c>
      <c r="D840" s="7">
        <v>59500</v>
      </c>
      <c r="E840" s="5" t="s">
        <v>48</v>
      </c>
      <c r="F840" s="5" t="s">
        <v>49</v>
      </c>
      <c r="G840" s="8"/>
      <c r="H840" s="8" t="str">
        <f>IF(F840="Bullet",MIN(G840,Assumptions!$B$6),"")</f>
        <v/>
      </c>
      <c r="I840" s="8">
        <v>1</v>
      </c>
      <c r="J840" s="8">
        <f>IF(F840="Monthly interest",MAX(0,Assumptions!$B$5-I840),"")</f>
        <v>2</v>
      </c>
      <c r="K840" s="7">
        <f t="shared" si="39"/>
        <v>1091</v>
      </c>
      <c r="L840" s="9">
        <v>46279</v>
      </c>
      <c r="M840" s="5" t="s">
        <v>50</v>
      </c>
      <c r="N840" s="5" t="s">
        <v>53</v>
      </c>
      <c r="O840" s="5" t="s">
        <v>95</v>
      </c>
      <c r="P840" s="5" t="s">
        <v>70</v>
      </c>
      <c r="Q840" s="5" t="s">
        <v>54</v>
      </c>
      <c r="R840" s="5" t="s">
        <v>55</v>
      </c>
      <c r="S840" s="5" t="s">
        <v>185</v>
      </c>
      <c r="T840" s="5" t="s">
        <v>63</v>
      </c>
      <c r="U840" s="5" t="s">
        <v>86</v>
      </c>
      <c r="V840" s="5" t="s">
        <v>200</v>
      </c>
      <c r="W840" s="5" t="s">
        <v>1332</v>
      </c>
      <c r="X840" s="5" t="s">
        <v>3066</v>
      </c>
      <c r="Y840" s="5" t="s">
        <v>3765</v>
      </c>
      <c r="Z840" s="9">
        <v>46187</v>
      </c>
      <c r="AA840" s="8">
        <v>12</v>
      </c>
      <c r="AB840" s="9">
        <f t="shared" si="40"/>
        <v>46552</v>
      </c>
      <c r="AC840" s="10">
        <v>22</v>
      </c>
      <c r="AD840" s="7">
        <f t="shared" si="41"/>
        <v>1091</v>
      </c>
      <c r="AE840" s="7">
        <f>IF(F840="Bullet",H840*AD840,MIN(MAX(I840,1),Assumptions!$B$6)*AD840)</f>
        <v>1091</v>
      </c>
      <c r="AF840" s="8">
        <f>IF(F840="Bullet",MAX(0,Assumptions!$B$4-AB840),MAX(0,Assumptions!$B$4-L840))</f>
        <v>19</v>
      </c>
      <c r="AG840" s="9">
        <v>46248</v>
      </c>
      <c r="AH840" s="8">
        <f>IF(AG840="","",Assumptions!$B$4-AG840)</f>
        <v>50</v>
      </c>
      <c r="AI840" s="5" t="s">
        <v>57</v>
      </c>
      <c r="AJ840" s="8">
        <v>2</v>
      </c>
      <c r="AK840" s="8">
        <v>0</v>
      </c>
      <c r="AL840" s="8">
        <v>763</v>
      </c>
      <c r="AM840" s="8">
        <v>0</v>
      </c>
      <c r="AN840" s="5" t="s">
        <v>63</v>
      </c>
      <c r="AO840" s="10">
        <v>74.900000000000006</v>
      </c>
      <c r="AP840" s="8">
        <v>23</v>
      </c>
      <c r="AQ840" s="9">
        <v>46285</v>
      </c>
      <c r="AR840" s="5" t="s">
        <v>53</v>
      </c>
      <c r="AS840" s="5" t="s">
        <v>91</v>
      </c>
    </row>
    <row r="841" spans="1:45" x14ac:dyDescent="0.35">
      <c r="A841" s="5" t="s">
        <v>3766</v>
      </c>
      <c r="B841" s="5" t="s">
        <v>3767</v>
      </c>
      <c r="C841" s="6" t="s">
        <v>3768</v>
      </c>
      <c r="D841" s="7">
        <v>69700</v>
      </c>
      <c r="E841" s="5" t="s">
        <v>48</v>
      </c>
      <c r="F841" s="5" t="s">
        <v>49</v>
      </c>
      <c r="G841" s="8"/>
      <c r="H841" s="8" t="str">
        <f>IF(F841="Bullet",MIN(G841,Assumptions!$B$6),"")</f>
        <v/>
      </c>
      <c r="I841" s="8">
        <v>2</v>
      </c>
      <c r="J841" s="8">
        <f>IF(F841="Monthly interest",MAX(0,Assumptions!$B$5-I841),"")</f>
        <v>1</v>
      </c>
      <c r="K841" s="7">
        <f t="shared" si="39"/>
        <v>2324</v>
      </c>
      <c r="L841" s="9">
        <v>46238</v>
      </c>
      <c r="M841" s="5" t="s">
        <v>116</v>
      </c>
      <c r="N841" s="5" t="s">
        <v>117</v>
      </c>
      <c r="O841" s="5" t="s">
        <v>118</v>
      </c>
      <c r="P841" s="5" t="s">
        <v>72</v>
      </c>
      <c r="Q841" s="5" t="s">
        <v>119</v>
      </c>
      <c r="R841" s="5" t="s">
        <v>120</v>
      </c>
      <c r="S841" s="5" t="s">
        <v>185</v>
      </c>
      <c r="T841" s="5" t="s">
        <v>57</v>
      </c>
      <c r="U841" s="5" t="s">
        <v>58</v>
      </c>
      <c r="V841" s="5" t="s">
        <v>186</v>
      </c>
      <c r="W841" s="5" t="s">
        <v>329</v>
      </c>
      <c r="X841" s="5" t="s">
        <v>1253</v>
      </c>
      <c r="Y841" s="5" t="s">
        <v>3769</v>
      </c>
      <c r="Z841" s="9">
        <v>46057</v>
      </c>
      <c r="AA841" s="8">
        <v>12</v>
      </c>
      <c r="AB841" s="9">
        <f t="shared" si="40"/>
        <v>46422</v>
      </c>
      <c r="AC841" s="10">
        <v>20</v>
      </c>
      <c r="AD841" s="7">
        <f t="shared" si="41"/>
        <v>1162</v>
      </c>
      <c r="AE841" s="7">
        <f>IF(F841="Bullet",H841*AD841,MIN(MAX(I841,1),Assumptions!$B$6)*AD841)</f>
        <v>2324</v>
      </c>
      <c r="AF841" s="8">
        <f>IF(F841="Bullet",MAX(0,Assumptions!$B$4-AB841),MAX(0,Assumptions!$B$4-L841))</f>
        <v>60</v>
      </c>
      <c r="AG841" s="9">
        <v>46208</v>
      </c>
      <c r="AH841" s="8">
        <f>IF(AG841="","",Assumptions!$B$4-AG841)</f>
        <v>90</v>
      </c>
      <c r="AI841" s="5" t="s">
        <v>63</v>
      </c>
      <c r="AJ841" s="8">
        <v>2</v>
      </c>
      <c r="AK841" s="8">
        <v>0</v>
      </c>
      <c r="AL841" s="8">
        <v>602</v>
      </c>
      <c r="AM841" s="8">
        <v>2</v>
      </c>
      <c r="AN841" s="5" t="s">
        <v>63</v>
      </c>
      <c r="AO841" s="10">
        <v>61.1</v>
      </c>
      <c r="AP841" s="8">
        <v>56</v>
      </c>
      <c r="AQ841" s="9">
        <v>46288</v>
      </c>
      <c r="AR841" s="5" t="s">
        <v>70</v>
      </c>
      <c r="AS841" s="5" t="s">
        <v>190</v>
      </c>
    </row>
    <row r="842" spans="1:45" x14ac:dyDescent="0.35">
      <c r="A842" s="5" t="s">
        <v>3770</v>
      </c>
      <c r="B842" s="5" t="s">
        <v>3771</v>
      </c>
      <c r="C842" s="6" t="s">
        <v>3772</v>
      </c>
      <c r="D842" s="7">
        <v>19300</v>
      </c>
      <c r="E842" s="5" t="s">
        <v>48</v>
      </c>
      <c r="F842" s="5" t="s">
        <v>68</v>
      </c>
      <c r="G842" s="8">
        <v>1</v>
      </c>
      <c r="H842" s="8">
        <f>IF(F842="Bullet",MIN(G842,Assumptions!$B$6),"")</f>
        <v>1</v>
      </c>
      <c r="I842" s="8"/>
      <c r="J842" s="8" t="str">
        <f>IF(F842="Monthly interest",MAX(0,Assumptions!$B$5-I842),"")</f>
        <v/>
      </c>
      <c r="K842" s="7">
        <f t="shared" si="39"/>
        <v>209</v>
      </c>
      <c r="L842" s="9">
        <v>46263</v>
      </c>
      <c r="M842" s="5" t="s">
        <v>50</v>
      </c>
      <c r="N842" s="5" t="s">
        <v>53</v>
      </c>
      <c r="O842" s="5" t="s">
        <v>103</v>
      </c>
      <c r="P842" s="5" t="s">
        <v>153</v>
      </c>
      <c r="Q842" s="5" t="s">
        <v>154</v>
      </c>
      <c r="R842" s="5" t="s">
        <v>155</v>
      </c>
      <c r="S842" s="5" t="s">
        <v>56</v>
      </c>
      <c r="T842" s="5" t="s">
        <v>57</v>
      </c>
      <c r="U842" s="5" t="s">
        <v>86</v>
      </c>
      <c r="V842" s="5" t="s">
        <v>59</v>
      </c>
      <c r="W842" s="5" t="s">
        <v>418</v>
      </c>
      <c r="X842" s="5" t="s">
        <v>2323</v>
      </c>
      <c r="Y842" s="5" t="s">
        <v>3773</v>
      </c>
      <c r="Z842" s="9">
        <v>46263</v>
      </c>
      <c r="AA842" s="8">
        <v>12</v>
      </c>
      <c r="AB842" s="9">
        <f t="shared" si="40"/>
        <v>46628</v>
      </c>
      <c r="AC842" s="10">
        <v>13</v>
      </c>
      <c r="AD842" s="7">
        <f t="shared" si="41"/>
        <v>209</v>
      </c>
      <c r="AE842" s="7">
        <f>IF(F842="Bullet",H842*AD842,MIN(MAX(I842,1),Assumptions!$B$6)*AD842)</f>
        <v>209</v>
      </c>
      <c r="AF842" s="8">
        <f>IF(F842="Bullet",MAX(0,Assumptions!$B$4-AB842),MAX(0,Assumptions!$B$4-L842))</f>
        <v>0</v>
      </c>
      <c r="AG842" s="9"/>
      <c r="AH842" s="8" t="str">
        <f>IF(AG842="","",Assumptions!$B$4-AG842)</f>
        <v/>
      </c>
      <c r="AI842" s="5" t="s">
        <v>80</v>
      </c>
      <c r="AJ842" s="8"/>
      <c r="AK842" s="8">
        <v>1</v>
      </c>
      <c r="AL842" s="8">
        <v>769</v>
      </c>
      <c r="AM842" s="8">
        <v>1</v>
      </c>
      <c r="AN842" s="5" t="s">
        <v>63</v>
      </c>
      <c r="AO842" s="10">
        <v>76</v>
      </c>
      <c r="AP842" s="8">
        <v>8</v>
      </c>
      <c r="AQ842" s="9">
        <v>46284</v>
      </c>
      <c r="AR842" s="5" t="s">
        <v>51</v>
      </c>
      <c r="AS842" s="5" t="s">
        <v>81</v>
      </c>
    </row>
    <row r="843" spans="1:45" x14ac:dyDescent="0.35">
      <c r="A843" s="5" t="s">
        <v>3774</v>
      </c>
      <c r="B843" s="5" t="s">
        <v>2074</v>
      </c>
      <c r="C843" s="6" t="s">
        <v>3775</v>
      </c>
      <c r="D843" s="7">
        <v>135400</v>
      </c>
      <c r="E843" s="5" t="s">
        <v>48</v>
      </c>
      <c r="F843" s="5" t="s">
        <v>68</v>
      </c>
      <c r="G843" s="8">
        <v>3</v>
      </c>
      <c r="H843" s="8">
        <f>IF(F843="Bullet",MIN(G843,Assumptions!$B$6),"")</f>
        <v>2</v>
      </c>
      <c r="I843" s="8"/>
      <c r="J843" s="8" t="str">
        <f>IF(F843="Monthly interest",MAX(0,Assumptions!$B$5-I843),"")</f>
        <v/>
      </c>
      <c r="K843" s="7">
        <f t="shared" si="39"/>
        <v>6093</v>
      </c>
      <c r="L843" s="9">
        <v>46183</v>
      </c>
      <c r="M843" s="5" t="s">
        <v>69</v>
      </c>
      <c r="N843" s="5" t="s">
        <v>53</v>
      </c>
      <c r="O843" s="5" t="s">
        <v>71</v>
      </c>
      <c r="P843" s="5" t="s">
        <v>70</v>
      </c>
      <c r="Q843" s="5" t="s">
        <v>73</v>
      </c>
      <c r="R843" s="5" t="s">
        <v>74</v>
      </c>
      <c r="S843" s="5" t="s">
        <v>85</v>
      </c>
      <c r="T843" s="5" t="s">
        <v>63</v>
      </c>
      <c r="U843" s="5" t="s">
        <v>86</v>
      </c>
      <c r="V843" s="5" t="s">
        <v>96</v>
      </c>
      <c r="W843" s="5" t="s">
        <v>171</v>
      </c>
      <c r="X843" s="5" t="s">
        <v>3609</v>
      </c>
      <c r="Y843" s="5" t="s">
        <v>3776</v>
      </c>
      <c r="Z843" s="9">
        <v>46183</v>
      </c>
      <c r="AA843" s="8">
        <v>6</v>
      </c>
      <c r="AB843" s="9">
        <f t="shared" si="40"/>
        <v>46366</v>
      </c>
      <c r="AC843" s="10">
        <v>18</v>
      </c>
      <c r="AD843" s="7">
        <f t="shared" si="41"/>
        <v>2031</v>
      </c>
      <c r="AE843" s="7">
        <f>IF(F843="Bullet",H843*AD843,MIN(MAX(I843,1),Assumptions!$B$6)*AD843)</f>
        <v>4062</v>
      </c>
      <c r="AF843" s="8">
        <f>IF(F843="Bullet",MAX(0,Assumptions!$B$4-AB843),MAX(0,Assumptions!$B$4-L843))</f>
        <v>0</v>
      </c>
      <c r="AG843" s="9"/>
      <c r="AH843" s="8" t="str">
        <f>IF(AG843="","",Assumptions!$B$4-AG843)</f>
        <v/>
      </c>
      <c r="AI843" s="5" t="s">
        <v>80</v>
      </c>
      <c r="AJ843" s="8"/>
      <c r="AK843" s="8">
        <v>0</v>
      </c>
      <c r="AL843" s="8">
        <v>560</v>
      </c>
      <c r="AM843" s="8">
        <v>2</v>
      </c>
      <c r="AN843" s="5" t="s">
        <v>57</v>
      </c>
      <c r="AO843" s="10">
        <v>64</v>
      </c>
      <c r="AP843" s="8">
        <v>40</v>
      </c>
      <c r="AQ843" s="9">
        <v>46276</v>
      </c>
      <c r="AR843" s="5" t="s">
        <v>51</v>
      </c>
      <c r="AS843" s="5" t="s">
        <v>190</v>
      </c>
    </row>
    <row r="844" spans="1:45" x14ac:dyDescent="0.35">
      <c r="A844" s="5" t="s">
        <v>3777</v>
      </c>
      <c r="B844" s="5" t="s">
        <v>3778</v>
      </c>
      <c r="C844" s="6" t="s">
        <v>3779</v>
      </c>
      <c r="D844" s="7">
        <v>39200</v>
      </c>
      <c r="E844" s="5" t="s">
        <v>48</v>
      </c>
      <c r="F844" s="5" t="s">
        <v>68</v>
      </c>
      <c r="G844" s="8">
        <v>4</v>
      </c>
      <c r="H844" s="8">
        <f>IF(F844="Bullet",MIN(G844,Assumptions!$B$6),"")</f>
        <v>2</v>
      </c>
      <c r="I844" s="8"/>
      <c r="J844" s="8" t="str">
        <f>IF(F844="Monthly interest",MAX(0,Assumptions!$B$5-I844),"")</f>
        <v/>
      </c>
      <c r="K844" s="7">
        <f t="shared" si="39"/>
        <v>1568</v>
      </c>
      <c r="L844" s="9">
        <v>46163</v>
      </c>
      <c r="M844" s="5" t="s">
        <v>116</v>
      </c>
      <c r="N844" s="5" t="s">
        <v>117</v>
      </c>
      <c r="O844" s="5" t="s">
        <v>450</v>
      </c>
      <c r="P844" s="5" t="s">
        <v>72</v>
      </c>
      <c r="Q844" s="5" t="s">
        <v>154</v>
      </c>
      <c r="R844" s="5" t="s">
        <v>155</v>
      </c>
      <c r="S844" s="5" t="s">
        <v>85</v>
      </c>
      <c r="T844" s="5" t="s">
        <v>57</v>
      </c>
      <c r="U844" s="5" t="s">
        <v>104</v>
      </c>
      <c r="V844" s="5" t="s">
        <v>96</v>
      </c>
      <c r="W844" s="5" t="s">
        <v>819</v>
      </c>
      <c r="X844" s="5" t="s">
        <v>3780</v>
      </c>
      <c r="Y844" s="5" t="s">
        <v>3781</v>
      </c>
      <c r="Z844" s="9">
        <v>46163</v>
      </c>
      <c r="AA844" s="8">
        <v>3</v>
      </c>
      <c r="AB844" s="9">
        <f t="shared" si="40"/>
        <v>46255</v>
      </c>
      <c r="AC844" s="10">
        <v>12</v>
      </c>
      <c r="AD844" s="7">
        <f t="shared" si="41"/>
        <v>392</v>
      </c>
      <c r="AE844" s="7">
        <f>IF(F844="Bullet",H844*AD844,MIN(MAX(I844,1),Assumptions!$B$6)*AD844)</f>
        <v>784</v>
      </c>
      <c r="AF844" s="8">
        <f>IF(F844="Bullet",MAX(0,Assumptions!$B$4-AB844),MAX(0,Assumptions!$B$4-L844))</f>
        <v>43</v>
      </c>
      <c r="AG844" s="9"/>
      <c r="AH844" s="8" t="str">
        <f>IF(AG844="","",Assumptions!$B$4-AG844)</f>
        <v/>
      </c>
      <c r="AI844" s="5" t="s">
        <v>80</v>
      </c>
      <c r="AJ844" s="8"/>
      <c r="AK844" s="8">
        <v>2</v>
      </c>
      <c r="AL844" s="8" t="s">
        <v>80</v>
      </c>
      <c r="AM844" s="8">
        <v>2</v>
      </c>
      <c r="AN844" s="5" t="s">
        <v>63</v>
      </c>
      <c r="AO844" s="10">
        <v>77.7</v>
      </c>
      <c r="AP844" s="8">
        <v>52</v>
      </c>
      <c r="AQ844" s="9">
        <v>46291</v>
      </c>
      <c r="AR844" s="5" t="s">
        <v>51</v>
      </c>
      <c r="AS844" s="5" t="s">
        <v>81</v>
      </c>
    </row>
    <row r="845" spans="1:45" x14ac:dyDescent="0.35">
      <c r="A845" s="5" t="s">
        <v>3782</v>
      </c>
      <c r="B845" s="5" t="s">
        <v>3275</v>
      </c>
      <c r="C845" s="6" t="s">
        <v>3783</v>
      </c>
      <c r="D845" s="7">
        <v>60700</v>
      </c>
      <c r="E845" s="5" t="s">
        <v>48</v>
      </c>
      <c r="F845" s="5" t="s">
        <v>68</v>
      </c>
      <c r="G845" s="8">
        <v>3</v>
      </c>
      <c r="H845" s="8">
        <f>IF(F845="Bullet",MIN(G845,Assumptions!$B$6),"")</f>
        <v>2</v>
      </c>
      <c r="I845" s="8"/>
      <c r="J845" s="8" t="str">
        <f>IF(F845="Monthly interest",MAX(0,Assumptions!$B$5-I845),"")</f>
        <v/>
      </c>
      <c r="K845" s="7">
        <f t="shared" si="39"/>
        <v>2733</v>
      </c>
      <c r="L845" s="9">
        <v>46182</v>
      </c>
      <c r="M845" s="5" t="s">
        <v>50</v>
      </c>
      <c r="N845" s="5" t="s">
        <v>70</v>
      </c>
      <c r="O845" s="5" t="s">
        <v>295</v>
      </c>
      <c r="P845" s="5" t="s">
        <v>72</v>
      </c>
      <c r="Q845" s="5" t="s">
        <v>73</v>
      </c>
      <c r="R845" s="5" t="s">
        <v>74</v>
      </c>
      <c r="S845" s="5" t="s">
        <v>75</v>
      </c>
      <c r="T845" s="5" t="s">
        <v>57</v>
      </c>
      <c r="U845" s="5" t="s">
        <v>104</v>
      </c>
      <c r="V845" s="5" t="s">
        <v>76</v>
      </c>
      <c r="W845" s="5" t="s">
        <v>146</v>
      </c>
      <c r="X845" s="5" t="s">
        <v>3784</v>
      </c>
      <c r="Y845" s="5" t="s">
        <v>3785</v>
      </c>
      <c r="Z845" s="9">
        <v>46182</v>
      </c>
      <c r="AA845" s="8">
        <v>6</v>
      </c>
      <c r="AB845" s="9">
        <f t="shared" si="40"/>
        <v>46365</v>
      </c>
      <c r="AC845" s="10">
        <v>18</v>
      </c>
      <c r="AD845" s="7">
        <f t="shared" si="41"/>
        <v>911</v>
      </c>
      <c r="AE845" s="7">
        <f>IF(F845="Bullet",H845*AD845,MIN(MAX(I845,1),Assumptions!$B$6)*AD845)</f>
        <v>1822</v>
      </c>
      <c r="AF845" s="8">
        <f>IF(F845="Bullet",MAX(0,Assumptions!$B$4-AB845),MAX(0,Assumptions!$B$4-L845))</f>
        <v>0</v>
      </c>
      <c r="AG845" s="9"/>
      <c r="AH845" s="8" t="str">
        <f>IF(AG845="","",Assumptions!$B$4-AG845)</f>
        <v/>
      </c>
      <c r="AI845" s="5" t="s">
        <v>80</v>
      </c>
      <c r="AJ845" s="8"/>
      <c r="AK845" s="8">
        <v>1</v>
      </c>
      <c r="AL845" s="8">
        <v>770</v>
      </c>
      <c r="AM845" s="8">
        <v>1</v>
      </c>
      <c r="AN845" s="5" t="s">
        <v>63</v>
      </c>
      <c r="AO845" s="10">
        <v>65.7</v>
      </c>
      <c r="AP845" s="8">
        <v>19</v>
      </c>
      <c r="AQ845" s="9">
        <v>46276</v>
      </c>
      <c r="AR845" s="5" t="s">
        <v>53</v>
      </c>
      <c r="AS845" s="5" t="s">
        <v>91</v>
      </c>
    </row>
    <row r="846" spans="1:45" x14ac:dyDescent="0.35">
      <c r="A846" s="5" t="s">
        <v>3786</v>
      </c>
      <c r="B846" s="5" t="s">
        <v>3121</v>
      </c>
      <c r="C846" s="6" t="s">
        <v>3787</v>
      </c>
      <c r="D846" s="7">
        <v>28400</v>
      </c>
      <c r="E846" s="5" t="s">
        <v>48</v>
      </c>
      <c r="F846" s="5" t="s">
        <v>49</v>
      </c>
      <c r="G846" s="8"/>
      <c r="H846" s="8" t="str">
        <f>IF(F846="Bullet",MIN(G846,Assumptions!$B$6),"")</f>
        <v/>
      </c>
      <c r="I846" s="8">
        <v>1</v>
      </c>
      <c r="J846" s="8">
        <f>IF(F846="Monthly interest",MAX(0,Assumptions!$B$5-I846),"")</f>
        <v>2</v>
      </c>
      <c r="K846" s="7">
        <f t="shared" si="39"/>
        <v>426</v>
      </c>
      <c r="L846" s="9">
        <v>46283</v>
      </c>
      <c r="M846" s="5" t="s">
        <v>50</v>
      </c>
      <c r="N846" s="5" t="s">
        <v>51</v>
      </c>
      <c r="O846" s="5" t="s">
        <v>152</v>
      </c>
      <c r="P846" s="5" t="s">
        <v>53</v>
      </c>
      <c r="Q846" s="5" t="s">
        <v>154</v>
      </c>
      <c r="R846" s="5" t="s">
        <v>155</v>
      </c>
      <c r="S846" s="5" t="s">
        <v>85</v>
      </c>
      <c r="T846" s="5" t="s">
        <v>57</v>
      </c>
      <c r="U846" s="5" t="s">
        <v>86</v>
      </c>
      <c r="V846" s="5" t="s">
        <v>96</v>
      </c>
      <c r="W846" s="5" t="s">
        <v>819</v>
      </c>
      <c r="X846" s="5" t="s">
        <v>2590</v>
      </c>
      <c r="Y846" s="5" t="s">
        <v>3788</v>
      </c>
      <c r="Z846" s="9">
        <v>46071</v>
      </c>
      <c r="AA846" s="8">
        <v>24</v>
      </c>
      <c r="AB846" s="9">
        <f t="shared" si="40"/>
        <v>46801</v>
      </c>
      <c r="AC846" s="10">
        <v>18</v>
      </c>
      <c r="AD846" s="7">
        <f t="shared" si="41"/>
        <v>426</v>
      </c>
      <c r="AE846" s="7">
        <f>IF(F846="Bullet",H846*AD846,MIN(MAX(I846,1),Assumptions!$B$6)*AD846)</f>
        <v>426</v>
      </c>
      <c r="AF846" s="8">
        <f>IF(F846="Bullet",MAX(0,Assumptions!$B$4-AB846),MAX(0,Assumptions!$B$4-L846))</f>
        <v>15</v>
      </c>
      <c r="AG846" s="9">
        <v>46256</v>
      </c>
      <c r="AH846" s="8">
        <f>IF(AG846="","",Assumptions!$B$4-AG846)</f>
        <v>42</v>
      </c>
      <c r="AI846" s="5" t="s">
        <v>63</v>
      </c>
      <c r="AJ846" s="8">
        <v>1</v>
      </c>
      <c r="AK846" s="8">
        <v>0</v>
      </c>
      <c r="AL846" s="8">
        <v>786</v>
      </c>
      <c r="AM846" s="8">
        <v>1</v>
      </c>
      <c r="AN846" s="5" t="s">
        <v>63</v>
      </c>
      <c r="AO846" s="10">
        <v>59.7</v>
      </c>
      <c r="AP846" s="8">
        <v>11</v>
      </c>
      <c r="AQ846" s="9"/>
      <c r="AR846" s="5"/>
      <c r="AS846" s="5" t="s">
        <v>159</v>
      </c>
    </row>
    <row r="847" spans="1:45" x14ac:dyDescent="0.35">
      <c r="A847" s="5" t="s">
        <v>3789</v>
      </c>
      <c r="B847" s="5" t="s">
        <v>1444</v>
      </c>
      <c r="C847" s="6" t="s">
        <v>3790</v>
      </c>
      <c r="D847" s="7">
        <v>28900</v>
      </c>
      <c r="E847" s="5" t="s">
        <v>48</v>
      </c>
      <c r="F847" s="5" t="s">
        <v>49</v>
      </c>
      <c r="G847" s="8"/>
      <c r="H847" s="8" t="str">
        <f>IF(F847="Bullet",MIN(G847,Assumptions!$B$6),"")</f>
        <v/>
      </c>
      <c r="I847" s="8">
        <v>2</v>
      </c>
      <c r="J847" s="8">
        <f>IF(F847="Monthly interest",MAX(0,Assumptions!$B$5-I847),"")</f>
        <v>1</v>
      </c>
      <c r="K847" s="7">
        <f t="shared" si="39"/>
        <v>674</v>
      </c>
      <c r="L847" s="9">
        <v>46254</v>
      </c>
      <c r="M847" s="5" t="s">
        <v>116</v>
      </c>
      <c r="N847" s="5" t="s">
        <v>117</v>
      </c>
      <c r="O847" s="5" t="s">
        <v>450</v>
      </c>
      <c r="P847" s="5" t="s">
        <v>72</v>
      </c>
      <c r="Q847" s="5" t="s">
        <v>154</v>
      </c>
      <c r="R847" s="5" t="s">
        <v>155</v>
      </c>
      <c r="S847" s="5" t="s">
        <v>185</v>
      </c>
      <c r="T847" s="5" t="s">
        <v>57</v>
      </c>
      <c r="U847" s="5" t="s">
        <v>58</v>
      </c>
      <c r="V847" s="5" t="s">
        <v>186</v>
      </c>
      <c r="W847" s="5" t="s">
        <v>694</v>
      </c>
      <c r="X847" s="5" t="s">
        <v>3791</v>
      </c>
      <c r="Y847" s="5" t="s">
        <v>3792</v>
      </c>
      <c r="Z847" s="9">
        <v>46193</v>
      </c>
      <c r="AA847" s="8">
        <v>12</v>
      </c>
      <c r="AB847" s="9">
        <f t="shared" si="40"/>
        <v>46558</v>
      </c>
      <c r="AC847" s="10">
        <v>14</v>
      </c>
      <c r="AD847" s="7">
        <f t="shared" si="41"/>
        <v>337</v>
      </c>
      <c r="AE847" s="7">
        <f>IF(F847="Bullet",H847*AD847,MIN(MAX(I847,1),Assumptions!$B$6)*AD847)</f>
        <v>674</v>
      </c>
      <c r="AF847" s="8">
        <f>IF(F847="Bullet",MAX(0,Assumptions!$B$4-AB847),MAX(0,Assumptions!$B$4-L847))</f>
        <v>44</v>
      </c>
      <c r="AG847" s="9">
        <v>46224</v>
      </c>
      <c r="AH847" s="8">
        <f>IF(AG847="","",Assumptions!$B$4-AG847)</f>
        <v>74</v>
      </c>
      <c r="AI847" s="5" t="s">
        <v>57</v>
      </c>
      <c r="AJ847" s="8">
        <v>2</v>
      </c>
      <c r="AK847" s="8">
        <v>0</v>
      </c>
      <c r="AL847" s="8">
        <v>731</v>
      </c>
      <c r="AM847" s="8">
        <v>0</v>
      </c>
      <c r="AN847" s="5" t="s">
        <v>57</v>
      </c>
      <c r="AO847" s="10">
        <v>88</v>
      </c>
      <c r="AP847" s="8">
        <v>63</v>
      </c>
      <c r="AQ847" s="9">
        <v>46274</v>
      </c>
      <c r="AR847" s="5" t="s">
        <v>70</v>
      </c>
      <c r="AS847" s="5" t="s">
        <v>190</v>
      </c>
    </row>
    <row r="848" spans="1:45" x14ac:dyDescent="0.35">
      <c r="A848" s="5" t="s">
        <v>3793</v>
      </c>
      <c r="B848" s="5" t="s">
        <v>3794</v>
      </c>
      <c r="C848" s="6" t="s">
        <v>3795</v>
      </c>
      <c r="D848" s="7">
        <v>147300</v>
      </c>
      <c r="E848" s="5" t="s">
        <v>48</v>
      </c>
      <c r="F848" s="5" t="s">
        <v>68</v>
      </c>
      <c r="G848" s="8">
        <v>1</v>
      </c>
      <c r="H848" s="8">
        <f>IF(F848="Bullet",MIN(G848,Assumptions!$B$6),"")</f>
        <v>1</v>
      </c>
      <c r="I848" s="8"/>
      <c r="J848" s="8" t="str">
        <f>IF(F848="Monthly interest",MAX(0,Assumptions!$B$5-I848),"")</f>
        <v/>
      </c>
      <c r="K848" s="7">
        <f t="shared" si="39"/>
        <v>1596</v>
      </c>
      <c r="L848" s="9">
        <v>46244</v>
      </c>
      <c r="M848" s="5" t="s">
        <v>50</v>
      </c>
      <c r="N848" s="5" t="s">
        <v>70</v>
      </c>
      <c r="O848" s="5" t="s">
        <v>271</v>
      </c>
      <c r="P848" s="5" t="s">
        <v>72</v>
      </c>
      <c r="Q848" s="5" t="s">
        <v>73</v>
      </c>
      <c r="R848" s="5" t="s">
        <v>74</v>
      </c>
      <c r="S848" s="5" t="s">
        <v>253</v>
      </c>
      <c r="T848" s="5" t="s">
        <v>57</v>
      </c>
      <c r="U848" s="5" t="s">
        <v>104</v>
      </c>
      <c r="V848" s="5" t="s">
        <v>59</v>
      </c>
      <c r="W848" s="5" t="s">
        <v>194</v>
      </c>
      <c r="X848" s="5" t="s">
        <v>580</v>
      </c>
      <c r="Y848" s="5" t="s">
        <v>3796</v>
      </c>
      <c r="Z848" s="9">
        <v>46244</v>
      </c>
      <c r="AA848" s="8">
        <v>6</v>
      </c>
      <c r="AB848" s="9">
        <f t="shared" si="40"/>
        <v>46428</v>
      </c>
      <c r="AC848" s="10">
        <v>13</v>
      </c>
      <c r="AD848" s="7">
        <f t="shared" si="41"/>
        <v>1596</v>
      </c>
      <c r="AE848" s="7">
        <f>IF(F848="Bullet",H848*AD848,MIN(MAX(I848,1),Assumptions!$B$6)*AD848)</f>
        <v>1596</v>
      </c>
      <c r="AF848" s="8">
        <f>IF(F848="Bullet",MAX(0,Assumptions!$B$4-AB848),MAX(0,Assumptions!$B$4-L848))</f>
        <v>0</v>
      </c>
      <c r="AG848" s="9"/>
      <c r="AH848" s="8" t="str">
        <f>IF(AG848="","",Assumptions!$B$4-AG848)</f>
        <v/>
      </c>
      <c r="AI848" s="5" t="s">
        <v>80</v>
      </c>
      <c r="AJ848" s="8"/>
      <c r="AK848" s="8">
        <v>0</v>
      </c>
      <c r="AL848" s="8">
        <v>587</v>
      </c>
      <c r="AM848" s="8">
        <v>3</v>
      </c>
      <c r="AN848" s="5" t="s">
        <v>63</v>
      </c>
      <c r="AO848" s="10">
        <v>66.2</v>
      </c>
      <c r="AP848" s="8">
        <v>28</v>
      </c>
      <c r="AQ848" s="9">
        <v>46297</v>
      </c>
      <c r="AR848" s="5" t="s">
        <v>51</v>
      </c>
      <c r="AS848" s="5" t="s">
        <v>274</v>
      </c>
    </row>
    <row r="849" spans="1:45" x14ac:dyDescent="0.35">
      <c r="A849" s="5" t="s">
        <v>3797</v>
      </c>
      <c r="B849" s="5" t="s">
        <v>2947</v>
      </c>
      <c r="C849" s="6" t="s">
        <v>3798</v>
      </c>
      <c r="D849" s="7">
        <v>80500</v>
      </c>
      <c r="E849" s="5" t="s">
        <v>48</v>
      </c>
      <c r="F849" s="5" t="s">
        <v>68</v>
      </c>
      <c r="G849" s="8">
        <v>4</v>
      </c>
      <c r="H849" s="8">
        <f>IF(F849="Bullet",MIN(G849,Assumptions!$B$6),"")</f>
        <v>2</v>
      </c>
      <c r="I849" s="8"/>
      <c r="J849" s="8" t="str">
        <f>IF(F849="Monthly interest",MAX(0,Assumptions!$B$5-I849),"")</f>
        <v/>
      </c>
      <c r="K849" s="7">
        <f t="shared" si="39"/>
        <v>3220</v>
      </c>
      <c r="L849" s="9">
        <v>46176</v>
      </c>
      <c r="M849" s="5" t="s">
        <v>69</v>
      </c>
      <c r="N849" s="5" t="s">
        <v>53</v>
      </c>
      <c r="O849" s="5" t="s">
        <v>71</v>
      </c>
      <c r="P849" s="5" t="s">
        <v>70</v>
      </c>
      <c r="Q849" s="5" t="s">
        <v>73</v>
      </c>
      <c r="R849" s="5" t="s">
        <v>74</v>
      </c>
      <c r="S849" s="5" t="s">
        <v>56</v>
      </c>
      <c r="T849" s="5" t="s">
        <v>57</v>
      </c>
      <c r="U849" s="5" t="s">
        <v>58</v>
      </c>
      <c r="V849" s="5" t="s">
        <v>59</v>
      </c>
      <c r="W849" s="5" t="s">
        <v>467</v>
      </c>
      <c r="X849" s="5" t="s">
        <v>3238</v>
      </c>
      <c r="Y849" s="5" t="s">
        <v>3799</v>
      </c>
      <c r="Z849" s="9">
        <v>46176</v>
      </c>
      <c r="AA849" s="8">
        <v>12</v>
      </c>
      <c r="AB849" s="9">
        <f t="shared" si="40"/>
        <v>46541</v>
      </c>
      <c r="AC849" s="10">
        <v>12</v>
      </c>
      <c r="AD849" s="7">
        <f t="shared" si="41"/>
        <v>805</v>
      </c>
      <c r="AE849" s="7">
        <f>IF(F849="Bullet",H849*AD849,MIN(MAX(I849,1),Assumptions!$B$6)*AD849)</f>
        <v>1610</v>
      </c>
      <c r="AF849" s="8">
        <f>IF(F849="Bullet",MAX(0,Assumptions!$B$4-AB849),MAX(0,Assumptions!$B$4-L849))</f>
        <v>0</v>
      </c>
      <c r="AG849" s="9"/>
      <c r="AH849" s="8" t="str">
        <f>IF(AG849="","",Assumptions!$B$4-AG849)</f>
        <v/>
      </c>
      <c r="AI849" s="5" t="s">
        <v>80</v>
      </c>
      <c r="AJ849" s="8"/>
      <c r="AK849" s="8">
        <v>2</v>
      </c>
      <c r="AL849" s="8">
        <v>687</v>
      </c>
      <c r="AM849" s="8">
        <v>0</v>
      </c>
      <c r="AN849" s="5" t="s">
        <v>63</v>
      </c>
      <c r="AO849" s="10">
        <v>81</v>
      </c>
      <c r="AP849" s="8">
        <v>45</v>
      </c>
      <c r="AQ849" s="9">
        <v>46283</v>
      </c>
      <c r="AR849" s="5" t="s">
        <v>51</v>
      </c>
      <c r="AS849" s="5" t="s">
        <v>81</v>
      </c>
    </row>
    <row r="850" spans="1:45" x14ac:dyDescent="0.35">
      <c r="A850" s="5" t="s">
        <v>3800</v>
      </c>
      <c r="B850" s="5" t="s">
        <v>3801</v>
      </c>
      <c r="C850" s="6" t="s">
        <v>3802</v>
      </c>
      <c r="D850" s="7">
        <v>55600</v>
      </c>
      <c r="E850" s="5" t="s">
        <v>48</v>
      </c>
      <c r="F850" s="5" t="s">
        <v>49</v>
      </c>
      <c r="G850" s="8"/>
      <c r="H850" s="8" t="str">
        <f>IF(F850="Bullet",MIN(G850,Assumptions!$B$6),"")</f>
        <v/>
      </c>
      <c r="I850" s="8">
        <v>1</v>
      </c>
      <c r="J850" s="8">
        <f>IF(F850="Monthly interest",MAX(0,Assumptions!$B$5-I850),"")</f>
        <v>2</v>
      </c>
      <c r="K850" s="7">
        <f t="shared" si="39"/>
        <v>695</v>
      </c>
      <c r="L850" s="9">
        <v>46277</v>
      </c>
      <c r="M850" s="5" t="s">
        <v>50</v>
      </c>
      <c r="N850" s="5" t="s">
        <v>53</v>
      </c>
      <c r="O850" s="5" t="s">
        <v>103</v>
      </c>
      <c r="P850" s="5" t="s">
        <v>51</v>
      </c>
      <c r="Q850" s="5" t="s">
        <v>54</v>
      </c>
      <c r="R850" s="5" t="s">
        <v>55</v>
      </c>
      <c r="S850" s="5" t="s">
        <v>253</v>
      </c>
      <c r="T850" s="5" t="s">
        <v>57</v>
      </c>
      <c r="U850" s="5" t="s">
        <v>86</v>
      </c>
      <c r="V850" s="5" t="s">
        <v>59</v>
      </c>
      <c r="W850" s="5" t="s">
        <v>194</v>
      </c>
      <c r="X850" s="5" t="s">
        <v>195</v>
      </c>
      <c r="Y850" s="5" t="s">
        <v>3803</v>
      </c>
      <c r="Z850" s="9">
        <v>46154</v>
      </c>
      <c r="AA850" s="8">
        <v>18</v>
      </c>
      <c r="AB850" s="9">
        <f t="shared" si="40"/>
        <v>46703</v>
      </c>
      <c r="AC850" s="10">
        <v>15</v>
      </c>
      <c r="AD850" s="7">
        <f t="shared" si="41"/>
        <v>695</v>
      </c>
      <c r="AE850" s="7">
        <f>IF(F850="Bullet",H850*AD850,MIN(MAX(I850,1),Assumptions!$B$6)*AD850)</f>
        <v>695</v>
      </c>
      <c r="AF850" s="8">
        <f>IF(F850="Bullet",MAX(0,Assumptions!$B$4-AB850),MAX(0,Assumptions!$B$4-L850))</f>
        <v>21</v>
      </c>
      <c r="AG850" s="9">
        <v>46248</v>
      </c>
      <c r="AH850" s="8">
        <f>IF(AG850="","",Assumptions!$B$4-AG850)</f>
        <v>50</v>
      </c>
      <c r="AI850" s="5" t="s">
        <v>63</v>
      </c>
      <c r="AJ850" s="8">
        <v>1</v>
      </c>
      <c r="AK850" s="8">
        <v>0</v>
      </c>
      <c r="AL850" s="8">
        <v>837</v>
      </c>
      <c r="AM850" s="8">
        <v>1</v>
      </c>
      <c r="AN850" s="5" t="s">
        <v>63</v>
      </c>
      <c r="AO850" s="10">
        <v>64.400000000000006</v>
      </c>
      <c r="AP850" s="8">
        <v>8</v>
      </c>
      <c r="AQ850" s="9">
        <v>46289</v>
      </c>
      <c r="AR850" s="5" t="s">
        <v>51</v>
      </c>
      <c r="AS850" s="5" t="s">
        <v>81</v>
      </c>
    </row>
    <row r="851" spans="1:45" x14ac:dyDescent="0.35">
      <c r="A851" s="5" t="s">
        <v>3804</v>
      </c>
      <c r="B851" s="5" t="s">
        <v>2368</v>
      </c>
      <c r="C851" s="6" t="s">
        <v>3805</v>
      </c>
      <c r="D851" s="7">
        <v>484600</v>
      </c>
      <c r="E851" s="5" t="s">
        <v>48</v>
      </c>
      <c r="F851" s="5" t="s">
        <v>49</v>
      </c>
      <c r="G851" s="8"/>
      <c r="H851" s="8" t="str">
        <f>IF(F851="Bullet",MIN(G851,Assumptions!$B$6),"")</f>
        <v/>
      </c>
      <c r="I851" s="8">
        <v>1</v>
      </c>
      <c r="J851" s="8">
        <f>IF(F851="Monthly interest",MAX(0,Assumptions!$B$5-I851),"")</f>
        <v>2</v>
      </c>
      <c r="K851" s="7">
        <f t="shared" si="39"/>
        <v>8077</v>
      </c>
      <c r="L851" s="9">
        <v>46272</v>
      </c>
      <c r="M851" s="5" t="s">
        <v>50</v>
      </c>
      <c r="N851" s="5" t="s">
        <v>51</v>
      </c>
      <c r="O851" s="5" t="s">
        <v>52</v>
      </c>
      <c r="P851" s="5" t="s">
        <v>53</v>
      </c>
      <c r="Q851" s="5" t="s">
        <v>54</v>
      </c>
      <c r="R851" s="5" t="s">
        <v>55</v>
      </c>
      <c r="S851" s="5" t="s">
        <v>85</v>
      </c>
      <c r="T851" s="5" t="s">
        <v>57</v>
      </c>
      <c r="U851" s="5" t="s">
        <v>58</v>
      </c>
      <c r="V851" s="5" t="s">
        <v>133</v>
      </c>
      <c r="W851" s="5" t="s">
        <v>134</v>
      </c>
      <c r="X851" s="5" t="s">
        <v>1854</v>
      </c>
      <c r="Y851" s="5" t="s">
        <v>3806</v>
      </c>
      <c r="Z851" s="9">
        <v>46210</v>
      </c>
      <c r="AA851" s="8">
        <v>24</v>
      </c>
      <c r="AB851" s="9">
        <f t="shared" si="40"/>
        <v>46941</v>
      </c>
      <c r="AC851" s="10">
        <v>20</v>
      </c>
      <c r="AD851" s="7">
        <f t="shared" si="41"/>
        <v>8077</v>
      </c>
      <c r="AE851" s="7">
        <f>IF(F851="Bullet",H851*AD851,MIN(MAX(I851,1),Assumptions!$B$6)*AD851)</f>
        <v>8077</v>
      </c>
      <c r="AF851" s="8">
        <f>IF(F851="Bullet",MAX(0,Assumptions!$B$4-AB851),MAX(0,Assumptions!$B$4-L851))</f>
        <v>26</v>
      </c>
      <c r="AG851" s="9">
        <v>46246</v>
      </c>
      <c r="AH851" s="8">
        <f>IF(AG851="","",Assumptions!$B$4-AG851)</f>
        <v>52</v>
      </c>
      <c r="AI851" s="5" t="s">
        <v>63</v>
      </c>
      <c r="AJ851" s="8">
        <v>2</v>
      </c>
      <c r="AK851" s="8">
        <v>0</v>
      </c>
      <c r="AL851" s="8">
        <v>786</v>
      </c>
      <c r="AM851" s="8">
        <v>1</v>
      </c>
      <c r="AN851" s="5" t="s">
        <v>63</v>
      </c>
      <c r="AO851" s="10">
        <v>80</v>
      </c>
      <c r="AP851" s="8">
        <v>21</v>
      </c>
      <c r="AQ851" s="9">
        <v>46291</v>
      </c>
      <c r="AR851" s="5" t="s">
        <v>53</v>
      </c>
      <c r="AS851" s="5" t="s">
        <v>274</v>
      </c>
    </row>
    <row r="852" spans="1:45" x14ac:dyDescent="0.35">
      <c r="A852" s="5" t="s">
        <v>3807</v>
      </c>
      <c r="B852" s="5" t="s">
        <v>3808</v>
      </c>
      <c r="C852" s="6" t="s">
        <v>3809</v>
      </c>
      <c r="D852" s="7">
        <v>86200</v>
      </c>
      <c r="E852" s="5" t="s">
        <v>48</v>
      </c>
      <c r="F852" s="5" t="s">
        <v>49</v>
      </c>
      <c r="G852" s="8"/>
      <c r="H852" s="8" t="str">
        <f>IF(F852="Bullet",MIN(G852,Assumptions!$B$6),"")</f>
        <v/>
      </c>
      <c r="I852" s="8">
        <v>1</v>
      </c>
      <c r="J852" s="8">
        <f>IF(F852="Monthly interest",MAX(0,Assumptions!$B$5-I852),"")</f>
        <v>2</v>
      </c>
      <c r="K852" s="7">
        <f t="shared" si="39"/>
        <v>1293</v>
      </c>
      <c r="L852" s="9">
        <v>46272</v>
      </c>
      <c r="M852" s="5" t="s">
        <v>69</v>
      </c>
      <c r="N852" s="5" t="s">
        <v>51</v>
      </c>
      <c r="O852" s="5" t="s">
        <v>52</v>
      </c>
      <c r="P852" s="5" t="s">
        <v>53</v>
      </c>
      <c r="Q852" s="5" t="s">
        <v>54</v>
      </c>
      <c r="R852" s="5" t="s">
        <v>55</v>
      </c>
      <c r="S852" s="5" t="s">
        <v>85</v>
      </c>
      <c r="T852" s="5" t="s">
        <v>57</v>
      </c>
      <c r="U852" s="5" t="s">
        <v>58</v>
      </c>
      <c r="V852" s="5" t="s">
        <v>96</v>
      </c>
      <c r="W852" s="5" t="s">
        <v>819</v>
      </c>
      <c r="X852" s="5" t="s">
        <v>1389</v>
      </c>
      <c r="Y852" s="5" t="s">
        <v>3810</v>
      </c>
      <c r="Z852" s="9">
        <v>46060</v>
      </c>
      <c r="AA852" s="8">
        <v>24</v>
      </c>
      <c r="AB852" s="9">
        <f t="shared" si="40"/>
        <v>46790</v>
      </c>
      <c r="AC852" s="10">
        <v>18</v>
      </c>
      <c r="AD852" s="7">
        <f t="shared" si="41"/>
        <v>1293</v>
      </c>
      <c r="AE852" s="7">
        <f>IF(F852="Bullet",H852*AD852,MIN(MAX(I852,1),Assumptions!$B$6)*AD852)</f>
        <v>1293</v>
      </c>
      <c r="AF852" s="8">
        <f>IF(F852="Bullet",MAX(0,Assumptions!$B$4-AB852),MAX(0,Assumptions!$B$4-L852))</f>
        <v>26</v>
      </c>
      <c r="AG852" s="9">
        <v>46244</v>
      </c>
      <c r="AH852" s="8">
        <f>IF(AG852="","",Assumptions!$B$4-AG852)</f>
        <v>54</v>
      </c>
      <c r="AI852" s="5" t="s">
        <v>63</v>
      </c>
      <c r="AJ852" s="8">
        <v>2</v>
      </c>
      <c r="AK852" s="8">
        <v>0</v>
      </c>
      <c r="AL852" s="8" t="s">
        <v>80</v>
      </c>
      <c r="AM852" s="8">
        <v>0</v>
      </c>
      <c r="AN852" s="5" t="s">
        <v>63</v>
      </c>
      <c r="AO852" s="10">
        <v>88</v>
      </c>
      <c r="AP852" s="8">
        <v>38</v>
      </c>
      <c r="AQ852" s="9"/>
      <c r="AR852" s="5"/>
      <c r="AS852" s="5" t="s">
        <v>159</v>
      </c>
    </row>
    <row r="853" spans="1:45" x14ac:dyDescent="0.35">
      <c r="A853" s="5" t="s">
        <v>3811</v>
      </c>
      <c r="B853" s="5" t="s">
        <v>3812</v>
      </c>
      <c r="C853" s="6" t="s">
        <v>3813</v>
      </c>
      <c r="D853" s="7">
        <v>356500</v>
      </c>
      <c r="E853" s="5" t="s">
        <v>48</v>
      </c>
      <c r="F853" s="5" t="s">
        <v>49</v>
      </c>
      <c r="G853" s="8"/>
      <c r="H853" s="8" t="str">
        <f>IF(F853="Bullet",MIN(G853,Assumptions!$B$6),"")</f>
        <v/>
      </c>
      <c r="I853" s="8">
        <v>2</v>
      </c>
      <c r="J853" s="8">
        <f>IF(F853="Monthly interest",MAX(0,Assumptions!$B$5-I853),"")</f>
        <v>1</v>
      </c>
      <c r="K853" s="7">
        <f t="shared" si="39"/>
        <v>9506</v>
      </c>
      <c r="L853" s="9">
        <v>46268</v>
      </c>
      <c r="M853" s="5" t="s">
        <v>69</v>
      </c>
      <c r="N853" s="5" t="s">
        <v>70</v>
      </c>
      <c r="O853" s="5" t="s">
        <v>71</v>
      </c>
      <c r="P853" s="5" t="s">
        <v>72</v>
      </c>
      <c r="Q853" s="5" t="s">
        <v>73</v>
      </c>
      <c r="R853" s="5" t="s">
        <v>74</v>
      </c>
      <c r="S853" s="5" t="s">
        <v>56</v>
      </c>
      <c r="T853" s="5" t="s">
        <v>57</v>
      </c>
      <c r="U853" s="5" t="s">
        <v>58</v>
      </c>
      <c r="V853" s="5" t="s">
        <v>59</v>
      </c>
      <c r="W853" s="5" t="s">
        <v>194</v>
      </c>
      <c r="X853" s="5" t="s">
        <v>521</v>
      </c>
      <c r="Y853" s="5" t="s">
        <v>3814</v>
      </c>
      <c r="Z853" s="9">
        <v>46025</v>
      </c>
      <c r="AA853" s="8">
        <v>18</v>
      </c>
      <c r="AB853" s="9">
        <f t="shared" si="40"/>
        <v>46571</v>
      </c>
      <c r="AC853" s="10">
        <v>16</v>
      </c>
      <c r="AD853" s="7">
        <f t="shared" si="41"/>
        <v>4753</v>
      </c>
      <c r="AE853" s="7">
        <f>IF(F853="Bullet",H853*AD853,MIN(MAX(I853,1),Assumptions!$B$6)*AD853)</f>
        <v>9506</v>
      </c>
      <c r="AF853" s="8">
        <f>IF(F853="Bullet",MAX(0,Assumptions!$B$4-AB853),MAX(0,Assumptions!$B$4-L853))</f>
        <v>30</v>
      </c>
      <c r="AG853" s="9">
        <v>46237</v>
      </c>
      <c r="AH853" s="8">
        <f>IF(AG853="","",Assumptions!$B$4-AG853)</f>
        <v>61</v>
      </c>
      <c r="AI853" s="5" t="s">
        <v>57</v>
      </c>
      <c r="AJ853" s="8">
        <v>3</v>
      </c>
      <c r="AK853" s="8">
        <v>0</v>
      </c>
      <c r="AL853" s="8">
        <v>738</v>
      </c>
      <c r="AM853" s="8">
        <v>0</v>
      </c>
      <c r="AN853" s="5" t="s">
        <v>63</v>
      </c>
      <c r="AO853" s="10">
        <v>67.8</v>
      </c>
      <c r="AP853" s="8">
        <v>42</v>
      </c>
      <c r="AQ853" s="9">
        <v>46284</v>
      </c>
      <c r="AR853" s="5" t="s">
        <v>70</v>
      </c>
      <c r="AS853" s="5" t="s">
        <v>91</v>
      </c>
    </row>
    <row r="854" spans="1:45" x14ac:dyDescent="0.35">
      <c r="A854" s="5" t="s">
        <v>3815</v>
      </c>
      <c r="B854" s="5" t="s">
        <v>3816</v>
      </c>
      <c r="C854" s="6" t="s">
        <v>3817</v>
      </c>
      <c r="D854" s="7">
        <v>61900</v>
      </c>
      <c r="E854" s="5" t="s">
        <v>48</v>
      </c>
      <c r="F854" s="5" t="s">
        <v>68</v>
      </c>
      <c r="G854" s="8">
        <v>6</v>
      </c>
      <c r="H854" s="8">
        <f>IF(F854="Bullet",MIN(G854,Assumptions!$B$6),"")</f>
        <v>2</v>
      </c>
      <c r="I854" s="8"/>
      <c r="J854" s="8" t="str">
        <f>IF(F854="Monthly interest",MAX(0,Assumptions!$B$5-I854),"")</f>
        <v/>
      </c>
      <c r="K854" s="7">
        <f t="shared" si="39"/>
        <v>4026</v>
      </c>
      <c r="L854" s="9">
        <v>46110</v>
      </c>
      <c r="M854" s="5" t="s">
        <v>116</v>
      </c>
      <c r="N854" s="5" t="s">
        <v>117</v>
      </c>
      <c r="O854" s="5" t="s">
        <v>461</v>
      </c>
      <c r="P854" s="5" t="s">
        <v>72</v>
      </c>
      <c r="Q854" s="5" t="s">
        <v>169</v>
      </c>
      <c r="R854" s="5" t="s">
        <v>170</v>
      </c>
      <c r="S854" s="5" t="s">
        <v>75</v>
      </c>
      <c r="T854" s="5" t="s">
        <v>57</v>
      </c>
      <c r="U854" s="5" t="s">
        <v>104</v>
      </c>
      <c r="V854" s="5" t="s">
        <v>76</v>
      </c>
      <c r="W854" s="5" t="s">
        <v>382</v>
      </c>
      <c r="X854" s="5" t="s">
        <v>2276</v>
      </c>
      <c r="Y854" s="5" t="s">
        <v>3818</v>
      </c>
      <c r="Z854" s="9">
        <v>46110</v>
      </c>
      <c r="AA854" s="8">
        <v>6</v>
      </c>
      <c r="AB854" s="9">
        <f t="shared" si="40"/>
        <v>46294</v>
      </c>
      <c r="AC854" s="10">
        <v>13</v>
      </c>
      <c r="AD854" s="7">
        <f t="shared" si="41"/>
        <v>671</v>
      </c>
      <c r="AE854" s="7">
        <f>IF(F854="Bullet",H854*AD854,MIN(MAX(I854,1),Assumptions!$B$6)*AD854)</f>
        <v>1342</v>
      </c>
      <c r="AF854" s="8">
        <f>IF(F854="Bullet",MAX(0,Assumptions!$B$4-AB854),MAX(0,Assumptions!$B$4-L854))</f>
        <v>4</v>
      </c>
      <c r="AG854" s="9"/>
      <c r="AH854" s="8" t="str">
        <f>IF(AG854="","",Assumptions!$B$4-AG854)</f>
        <v/>
      </c>
      <c r="AI854" s="5" t="s">
        <v>80</v>
      </c>
      <c r="AJ854" s="8"/>
      <c r="AK854" s="8">
        <v>0</v>
      </c>
      <c r="AL854" s="8">
        <v>754</v>
      </c>
      <c r="AM854" s="8">
        <v>0</v>
      </c>
      <c r="AN854" s="5" t="s">
        <v>63</v>
      </c>
      <c r="AO854" s="10">
        <v>80.099999999999994</v>
      </c>
      <c r="AP854" s="8">
        <v>50</v>
      </c>
      <c r="AQ854" s="9">
        <v>46295</v>
      </c>
      <c r="AR854" s="5" t="s">
        <v>70</v>
      </c>
      <c r="AS854" s="5" t="s">
        <v>181</v>
      </c>
    </row>
    <row r="855" spans="1:45" x14ac:dyDescent="0.35">
      <c r="A855" s="5" t="s">
        <v>3819</v>
      </c>
      <c r="B855" s="5" t="s">
        <v>2287</v>
      </c>
      <c r="C855" s="6" t="s">
        <v>3820</v>
      </c>
      <c r="D855" s="7">
        <v>45100</v>
      </c>
      <c r="E855" s="5" t="s">
        <v>48</v>
      </c>
      <c r="F855" s="5" t="s">
        <v>49</v>
      </c>
      <c r="G855" s="8"/>
      <c r="H855" s="8" t="str">
        <f>IF(F855="Bullet",MIN(G855,Assumptions!$B$6),"")</f>
        <v/>
      </c>
      <c r="I855" s="8">
        <v>1</v>
      </c>
      <c r="J855" s="8">
        <f>IF(F855="Monthly interest",MAX(0,Assumptions!$B$5-I855),"")</f>
        <v>2</v>
      </c>
      <c r="K855" s="7">
        <f t="shared" si="39"/>
        <v>752</v>
      </c>
      <c r="L855" s="9">
        <v>46270</v>
      </c>
      <c r="M855" s="5" t="s">
        <v>50</v>
      </c>
      <c r="N855" s="5" t="s">
        <v>51</v>
      </c>
      <c r="O855" s="5" t="s">
        <v>152</v>
      </c>
      <c r="P855" s="5" t="s">
        <v>53</v>
      </c>
      <c r="Q855" s="5" t="s">
        <v>154</v>
      </c>
      <c r="R855" s="5" t="s">
        <v>155</v>
      </c>
      <c r="S855" s="5" t="s">
        <v>185</v>
      </c>
      <c r="T855" s="5" t="s">
        <v>57</v>
      </c>
      <c r="U855" s="5" t="s">
        <v>86</v>
      </c>
      <c r="V855" s="5" t="s">
        <v>200</v>
      </c>
      <c r="W855" s="5" t="s">
        <v>1332</v>
      </c>
      <c r="X855" s="5" t="s">
        <v>3821</v>
      </c>
      <c r="Y855" s="5" t="s">
        <v>3822</v>
      </c>
      <c r="Z855" s="9">
        <v>46117</v>
      </c>
      <c r="AA855" s="8">
        <v>12</v>
      </c>
      <c r="AB855" s="9">
        <f t="shared" si="40"/>
        <v>46482</v>
      </c>
      <c r="AC855" s="10">
        <v>20</v>
      </c>
      <c r="AD855" s="7">
        <f t="shared" si="41"/>
        <v>752</v>
      </c>
      <c r="AE855" s="7">
        <f>IF(F855="Bullet",H855*AD855,MIN(MAX(I855,1),Assumptions!$B$6)*AD855)</f>
        <v>752</v>
      </c>
      <c r="AF855" s="8">
        <f>IF(F855="Bullet",MAX(0,Assumptions!$B$4-AB855),MAX(0,Assumptions!$B$4-L855))</f>
        <v>28</v>
      </c>
      <c r="AG855" s="9">
        <v>46244</v>
      </c>
      <c r="AH855" s="8">
        <f>IF(AG855="","",Assumptions!$B$4-AG855)</f>
        <v>54</v>
      </c>
      <c r="AI855" s="5" t="s">
        <v>63</v>
      </c>
      <c r="AJ855" s="8">
        <v>2</v>
      </c>
      <c r="AK855" s="8">
        <v>1</v>
      </c>
      <c r="AL855" s="8">
        <v>808</v>
      </c>
      <c r="AM855" s="8">
        <v>1</v>
      </c>
      <c r="AN855" s="5" t="s">
        <v>63</v>
      </c>
      <c r="AO855" s="10">
        <v>61.3</v>
      </c>
      <c r="AP855" s="8">
        <v>22</v>
      </c>
      <c r="AQ855" s="9">
        <v>46275</v>
      </c>
      <c r="AR855" s="5" t="s">
        <v>53</v>
      </c>
      <c r="AS855" s="5" t="s">
        <v>81</v>
      </c>
    </row>
    <row r="856" spans="1:45" x14ac:dyDescent="0.35">
      <c r="A856" s="5" t="s">
        <v>3823</v>
      </c>
      <c r="B856" s="5" t="s">
        <v>3824</v>
      </c>
      <c r="C856" s="6" t="s">
        <v>3825</v>
      </c>
      <c r="D856" s="7">
        <v>104600</v>
      </c>
      <c r="E856" s="5" t="s">
        <v>48</v>
      </c>
      <c r="F856" s="5" t="s">
        <v>49</v>
      </c>
      <c r="G856" s="8"/>
      <c r="H856" s="8" t="str">
        <f>IF(F856="Bullet",MIN(G856,Assumptions!$B$6),"")</f>
        <v/>
      </c>
      <c r="I856" s="8">
        <v>1</v>
      </c>
      <c r="J856" s="8">
        <f>IF(F856="Monthly interest",MAX(0,Assumptions!$B$5-I856),"")</f>
        <v>2</v>
      </c>
      <c r="K856" s="7">
        <f t="shared" si="39"/>
        <v>1395</v>
      </c>
      <c r="L856" s="9">
        <v>46272</v>
      </c>
      <c r="M856" s="5" t="s">
        <v>50</v>
      </c>
      <c r="N856" s="5" t="s">
        <v>51</v>
      </c>
      <c r="O856" s="5" t="s">
        <v>52</v>
      </c>
      <c r="P856" s="5" t="s">
        <v>53</v>
      </c>
      <c r="Q856" s="5" t="s">
        <v>54</v>
      </c>
      <c r="R856" s="5" t="s">
        <v>55</v>
      </c>
      <c r="S856" s="5" t="s">
        <v>56</v>
      </c>
      <c r="T856" s="5" t="s">
        <v>57</v>
      </c>
      <c r="U856" s="5" t="s">
        <v>86</v>
      </c>
      <c r="V856" s="5" t="s">
        <v>59</v>
      </c>
      <c r="W856" s="5" t="s">
        <v>467</v>
      </c>
      <c r="X856" s="5" t="s">
        <v>1740</v>
      </c>
      <c r="Y856" s="5" t="s">
        <v>3826</v>
      </c>
      <c r="Z856" s="9">
        <v>45998</v>
      </c>
      <c r="AA856" s="8">
        <v>24</v>
      </c>
      <c r="AB856" s="9">
        <f t="shared" si="40"/>
        <v>46728</v>
      </c>
      <c r="AC856" s="10">
        <v>16</v>
      </c>
      <c r="AD856" s="7">
        <f t="shared" si="41"/>
        <v>1395</v>
      </c>
      <c r="AE856" s="7">
        <f>IF(F856="Bullet",H856*AD856,MIN(MAX(I856,1),Assumptions!$B$6)*AD856)</f>
        <v>1395</v>
      </c>
      <c r="AF856" s="8">
        <f>IF(F856="Bullet",MAX(0,Assumptions!$B$4-AB856),MAX(0,Assumptions!$B$4-L856))</f>
        <v>26</v>
      </c>
      <c r="AG856" s="9">
        <v>46241</v>
      </c>
      <c r="AH856" s="8">
        <f>IF(AG856="","",Assumptions!$B$4-AG856)</f>
        <v>57</v>
      </c>
      <c r="AI856" s="5" t="s">
        <v>63</v>
      </c>
      <c r="AJ856" s="8">
        <v>1</v>
      </c>
      <c r="AK856" s="8">
        <v>0</v>
      </c>
      <c r="AL856" s="8">
        <v>770</v>
      </c>
      <c r="AM856" s="8">
        <v>0</v>
      </c>
      <c r="AN856" s="5" t="s">
        <v>63</v>
      </c>
      <c r="AO856" s="10">
        <v>63.1</v>
      </c>
      <c r="AP856" s="8">
        <v>7</v>
      </c>
      <c r="AQ856" s="9">
        <v>46274</v>
      </c>
      <c r="AR856" s="5" t="s">
        <v>53</v>
      </c>
      <c r="AS856" s="5" t="s">
        <v>91</v>
      </c>
    </row>
    <row r="857" spans="1:45" x14ac:dyDescent="0.35">
      <c r="A857" s="5" t="s">
        <v>3827</v>
      </c>
      <c r="B857" s="5" t="s">
        <v>3828</v>
      </c>
      <c r="C857" s="6" t="s">
        <v>3829</v>
      </c>
      <c r="D857" s="7">
        <v>36400</v>
      </c>
      <c r="E857" s="5" t="s">
        <v>48</v>
      </c>
      <c r="F857" s="5" t="s">
        <v>68</v>
      </c>
      <c r="G857" s="8">
        <v>5</v>
      </c>
      <c r="H857" s="8">
        <f>IF(F857="Bullet",MIN(G857,Assumptions!$B$6),"")</f>
        <v>2</v>
      </c>
      <c r="I857" s="8"/>
      <c r="J857" s="8" t="str">
        <f>IF(F857="Monthly interest",MAX(0,Assumptions!$B$5-I857),"")</f>
        <v/>
      </c>
      <c r="K857" s="7">
        <f t="shared" si="39"/>
        <v>2125</v>
      </c>
      <c r="L857" s="9">
        <v>46137</v>
      </c>
      <c r="M857" s="5" t="s">
        <v>116</v>
      </c>
      <c r="N857" s="5" t="s">
        <v>117</v>
      </c>
      <c r="O857" s="5" t="s">
        <v>461</v>
      </c>
      <c r="P857" s="5" t="s">
        <v>72</v>
      </c>
      <c r="Q857" s="5" t="s">
        <v>169</v>
      </c>
      <c r="R857" s="5" t="s">
        <v>170</v>
      </c>
      <c r="S857" s="5" t="s">
        <v>214</v>
      </c>
      <c r="T857" s="5" t="s">
        <v>57</v>
      </c>
      <c r="U857" s="5" t="s">
        <v>104</v>
      </c>
      <c r="V857" s="5" t="s">
        <v>215</v>
      </c>
      <c r="W857" s="5" t="s">
        <v>216</v>
      </c>
      <c r="X857" s="5" t="s">
        <v>351</v>
      </c>
      <c r="Y857" s="5" t="s">
        <v>3830</v>
      </c>
      <c r="Z857" s="9">
        <v>46137</v>
      </c>
      <c r="AA857" s="8">
        <v>6</v>
      </c>
      <c r="AB857" s="9">
        <f t="shared" si="40"/>
        <v>46320</v>
      </c>
      <c r="AC857" s="10">
        <v>14</v>
      </c>
      <c r="AD857" s="7">
        <f t="shared" si="41"/>
        <v>425</v>
      </c>
      <c r="AE857" s="7">
        <f>IF(F857="Bullet",H857*AD857,MIN(MAX(I857,1),Assumptions!$B$6)*AD857)</f>
        <v>850</v>
      </c>
      <c r="AF857" s="8">
        <f>IF(F857="Bullet",MAX(0,Assumptions!$B$4-AB857),MAX(0,Assumptions!$B$4-L857))</f>
        <v>0</v>
      </c>
      <c r="AG857" s="9"/>
      <c r="AH857" s="8" t="str">
        <f>IF(AG857="","",Assumptions!$B$4-AG857)</f>
        <v/>
      </c>
      <c r="AI857" s="5" t="s">
        <v>80</v>
      </c>
      <c r="AJ857" s="8"/>
      <c r="AK857" s="8">
        <v>0</v>
      </c>
      <c r="AL857" s="8">
        <v>740</v>
      </c>
      <c r="AM857" s="8">
        <v>2</v>
      </c>
      <c r="AN857" s="5" t="s">
        <v>63</v>
      </c>
      <c r="AO857" s="10">
        <v>88</v>
      </c>
      <c r="AP857" s="8">
        <v>52</v>
      </c>
      <c r="AQ857" s="9">
        <v>46291</v>
      </c>
      <c r="AR857" s="5" t="s">
        <v>53</v>
      </c>
      <c r="AS857" s="5" t="s">
        <v>181</v>
      </c>
    </row>
    <row r="858" spans="1:45" x14ac:dyDescent="0.35">
      <c r="A858" s="5" t="s">
        <v>3831</v>
      </c>
      <c r="B858" s="5" t="s">
        <v>3832</v>
      </c>
      <c r="C858" s="6" t="s">
        <v>3833</v>
      </c>
      <c r="D858" s="7">
        <v>521000</v>
      </c>
      <c r="E858" s="5" t="s">
        <v>48</v>
      </c>
      <c r="F858" s="5" t="s">
        <v>49</v>
      </c>
      <c r="G858" s="8"/>
      <c r="H858" s="8" t="str">
        <f>IF(F858="Bullet",MIN(G858,Assumptions!$B$6),"")</f>
        <v/>
      </c>
      <c r="I858" s="8">
        <v>1</v>
      </c>
      <c r="J858" s="8">
        <f>IF(F858="Monthly interest",MAX(0,Assumptions!$B$5-I858),"")</f>
        <v>2</v>
      </c>
      <c r="K858" s="7">
        <f t="shared" si="39"/>
        <v>9552</v>
      </c>
      <c r="L858" s="9">
        <v>46283</v>
      </c>
      <c r="M858" s="5" t="s">
        <v>50</v>
      </c>
      <c r="N858" s="5" t="s">
        <v>51</v>
      </c>
      <c r="O858" s="5" t="s">
        <v>52</v>
      </c>
      <c r="P858" s="5" t="s">
        <v>53</v>
      </c>
      <c r="Q858" s="5" t="s">
        <v>54</v>
      </c>
      <c r="R858" s="5" t="s">
        <v>55</v>
      </c>
      <c r="S858" s="5" t="s">
        <v>56</v>
      </c>
      <c r="T858" s="5" t="s">
        <v>57</v>
      </c>
      <c r="U858" s="5" t="s">
        <v>104</v>
      </c>
      <c r="V858" s="5" t="s">
        <v>59</v>
      </c>
      <c r="W858" s="5" t="s">
        <v>323</v>
      </c>
      <c r="X858" s="5" t="s">
        <v>3834</v>
      </c>
      <c r="Y858" s="5" t="s">
        <v>3835</v>
      </c>
      <c r="Z858" s="9">
        <v>46130</v>
      </c>
      <c r="AA858" s="8">
        <v>12</v>
      </c>
      <c r="AB858" s="9">
        <f t="shared" si="40"/>
        <v>46495</v>
      </c>
      <c r="AC858" s="10">
        <v>22</v>
      </c>
      <c r="AD858" s="7">
        <f t="shared" si="41"/>
        <v>9552</v>
      </c>
      <c r="AE858" s="7">
        <f>IF(F858="Bullet",H858*AD858,MIN(MAX(I858,1),Assumptions!$B$6)*AD858)</f>
        <v>9552</v>
      </c>
      <c r="AF858" s="8">
        <f>IF(F858="Bullet",MAX(0,Assumptions!$B$4-AB858),MAX(0,Assumptions!$B$4-L858))</f>
        <v>15</v>
      </c>
      <c r="AG858" s="9">
        <v>46256</v>
      </c>
      <c r="AH858" s="8">
        <f>IF(AG858="","",Assumptions!$B$4-AG858)</f>
        <v>42</v>
      </c>
      <c r="AI858" s="5" t="s">
        <v>63</v>
      </c>
      <c r="AJ858" s="8">
        <v>3</v>
      </c>
      <c r="AK858" s="8">
        <v>0</v>
      </c>
      <c r="AL858" s="8">
        <v>721</v>
      </c>
      <c r="AM858" s="8">
        <v>0</v>
      </c>
      <c r="AN858" s="5" t="s">
        <v>63</v>
      </c>
      <c r="AO858" s="10">
        <v>76.400000000000006</v>
      </c>
      <c r="AP858" s="8">
        <v>25</v>
      </c>
      <c r="AQ858" s="9"/>
      <c r="AR858" s="5"/>
      <c r="AS858" s="5" t="s">
        <v>159</v>
      </c>
    </row>
    <row r="859" spans="1:45" x14ac:dyDescent="0.35">
      <c r="A859" s="5" t="s">
        <v>3836</v>
      </c>
      <c r="B859" s="5" t="s">
        <v>3837</v>
      </c>
      <c r="C859" s="6" t="s">
        <v>3838</v>
      </c>
      <c r="D859" s="7">
        <v>920100</v>
      </c>
      <c r="E859" s="5" t="s">
        <v>48</v>
      </c>
      <c r="F859" s="5" t="s">
        <v>49</v>
      </c>
      <c r="G859" s="8"/>
      <c r="H859" s="8" t="str">
        <f>IF(F859="Bullet",MIN(G859,Assumptions!$B$6),"")</f>
        <v/>
      </c>
      <c r="I859" s="8">
        <v>2</v>
      </c>
      <c r="J859" s="8">
        <f>IF(F859="Monthly interest",MAX(0,Assumptions!$B$5-I859),"")</f>
        <v>1</v>
      </c>
      <c r="K859" s="7">
        <f t="shared" si="39"/>
        <v>33738</v>
      </c>
      <c r="L859" s="9">
        <v>46268</v>
      </c>
      <c r="M859" s="5" t="s">
        <v>69</v>
      </c>
      <c r="N859" s="5" t="s">
        <v>70</v>
      </c>
      <c r="O859" s="5" t="s">
        <v>71</v>
      </c>
      <c r="P859" s="5" t="s">
        <v>72</v>
      </c>
      <c r="Q859" s="5" t="s">
        <v>73</v>
      </c>
      <c r="R859" s="5" t="s">
        <v>74</v>
      </c>
      <c r="S859" s="5" t="s">
        <v>185</v>
      </c>
      <c r="T859" s="5" t="s">
        <v>57</v>
      </c>
      <c r="U859" s="5" t="s">
        <v>86</v>
      </c>
      <c r="V859" s="5" t="s">
        <v>186</v>
      </c>
      <c r="W859" s="5" t="s">
        <v>376</v>
      </c>
      <c r="X859" s="5" t="s">
        <v>3839</v>
      </c>
      <c r="Y859" s="5" t="s">
        <v>3840</v>
      </c>
      <c r="Z859" s="9">
        <v>45994</v>
      </c>
      <c r="AA859" s="8">
        <v>12</v>
      </c>
      <c r="AB859" s="9">
        <f t="shared" si="40"/>
        <v>46359</v>
      </c>
      <c r="AC859" s="10">
        <v>22</v>
      </c>
      <c r="AD859" s="7">
        <f t="shared" si="41"/>
        <v>16869</v>
      </c>
      <c r="AE859" s="7">
        <f>IF(F859="Bullet",H859*AD859,MIN(MAX(I859,1),Assumptions!$B$6)*AD859)</f>
        <v>33738</v>
      </c>
      <c r="AF859" s="8">
        <f>IF(F859="Bullet",MAX(0,Assumptions!$B$4-AB859),MAX(0,Assumptions!$B$4-L859))</f>
        <v>30</v>
      </c>
      <c r="AG859" s="9">
        <v>46241</v>
      </c>
      <c r="AH859" s="8">
        <f>IF(AG859="","",Assumptions!$B$4-AG859)</f>
        <v>57</v>
      </c>
      <c r="AI859" s="5" t="s">
        <v>63</v>
      </c>
      <c r="AJ859" s="8">
        <v>2</v>
      </c>
      <c r="AK859" s="8">
        <v>0</v>
      </c>
      <c r="AL859" s="8">
        <v>707</v>
      </c>
      <c r="AM859" s="8">
        <v>0</v>
      </c>
      <c r="AN859" s="5" t="s">
        <v>63</v>
      </c>
      <c r="AO859" s="10">
        <v>68.400000000000006</v>
      </c>
      <c r="AP859" s="8">
        <v>38</v>
      </c>
      <c r="AQ859" s="9">
        <v>46284</v>
      </c>
      <c r="AR859" s="5" t="s">
        <v>70</v>
      </c>
      <c r="AS859" s="5" t="s">
        <v>190</v>
      </c>
    </row>
    <row r="860" spans="1:45" x14ac:dyDescent="0.35">
      <c r="A860" s="5" t="s">
        <v>3841</v>
      </c>
      <c r="B860" s="5" t="s">
        <v>3842</v>
      </c>
      <c r="C860" s="6" t="s">
        <v>3843</v>
      </c>
      <c r="D860" s="7">
        <v>125800</v>
      </c>
      <c r="E860" s="5" t="s">
        <v>48</v>
      </c>
      <c r="F860" s="5" t="s">
        <v>68</v>
      </c>
      <c r="G860" s="8">
        <v>2</v>
      </c>
      <c r="H860" s="8">
        <f>IF(F860="Bullet",MIN(G860,Assumptions!$B$6),"")</f>
        <v>2</v>
      </c>
      <c r="I860" s="8"/>
      <c r="J860" s="8" t="str">
        <f>IF(F860="Monthly interest",MAX(0,Assumptions!$B$5-I860),"")</f>
        <v/>
      </c>
      <c r="K860" s="7">
        <f t="shared" si="39"/>
        <v>2936</v>
      </c>
      <c r="L860" s="9">
        <v>46217</v>
      </c>
      <c r="M860" s="5" t="s">
        <v>50</v>
      </c>
      <c r="N860" s="5" t="s">
        <v>51</v>
      </c>
      <c r="O860" s="5" t="s">
        <v>71</v>
      </c>
      <c r="P860" s="5" t="s">
        <v>53</v>
      </c>
      <c r="Q860" s="5" t="s">
        <v>73</v>
      </c>
      <c r="R860" s="5" t="s">
        <v>74</v>
      </c>
      <c r="S860" s="5" t="s">
        <v>185</v>
      </c>
      <c r="T860" s="5" t="s">
        <v>57</v>
      </c>
      <c r="U860" s="5" t="s">
        <v>104</v>
      </c>
      <c r="V860" s="5" t="s">
        <v>186</v>
      </c>
      <c r="W860" s="5" t="s">
        <v>187</v>
      </c>
      <c r="X860" s="5" t="s">
        <v>867</v>
      </c>
      <c r="Y860" s="5" t="s">
        <v>3844</v>
      </c>
      <c r="Z860" s="9">
        <v>46217</v>
      </c>
      <c r="AA860" s="8">
        <v>12</v>
      </c>
      <c r="AB860" s="9">
        <f t="shared" si="40"/>
        <v>46582</v>
      </c>
      <c r="AC860" s="10">
        <v>14</v>
      </c>
      <c r="AD860" s="7">
        <f t="shared" si="41"/>
        <v>1468</v>
      </c>
      <c r="AE860" s="7">
        <f>IF(F860="Bullet",H860*AD860,MIN(MAX(I860,1),Assumptions!$B$6)*AD860)</f>
        <v>2936</v>
      </c>
      <c r="AF860" s="8">
        <f>IF(F860="Bullet",MAX(0,Assumptions!$B$4-AB860),MAX(0,Assumptions!$B$4-L860))</f>
        <v>0</v>
      </c>
      <c r="AG860" s="9"/>
      <c r="AH860" s="8" t="str">
        <f>IF(AG860="","",Assumptions!$B$4-AG860)</f>
        <v/>
      </c>
      <c r="AI860" s="5" t="s">
        <v>80</v>
      </c>
      <c r="AJ860" s="8"/>
      <c r="AK860" s="8">
        <v>0</v>
      </c>
      <c r="AL860" s="8">
        <v>701</v>
      </c>
      <c r="AM860" s="8">
        <v>0</v>
      </c>
      <c r="AN860" s="5" t="s">
        <v>63</v>
      </c>
      <c r="AO860" s="10">
        <v>59.5</v>
      </c>
      <c r="AP860" s="8">
        <v>15</v>
      </c>
      <c r="AQ860" s="9"/>
      <c r="AR860" s="5"/>
      <c r="AS860" s="5" t="s">
        <v>159</v>
      </c>
    </row>
    <row r="861" spans="1:45" x14ac:dyDescent="0.35">
      <c r="A861" s="5" t="s">
        <v>3845</v>
      </c>
      <c r="B861" s="5" t="s">
        <v>3842</v>
      </c>
      <c r="C861" s="6" t="s">
        <v>3846</v>
      </c>
      <c r="D861" s="7">
        <v>190800</v>
      </c>
      <c r="E861" s="5" t="s">
        <v>48</v>
      </c>
      <c r="F861" s="5" t="s">
        <v>68</v>
      </c>
      <c r="G861" s="8">
        <v>2</v>
      </c>
      <c r="H861" s="8">
        <f>IF(F861="Bullet",MIN(G861,Assumptions!$B$6),"")</f>
        <v>2</v>
      </c>
      <c r="I861" s="8"/>
      <c r="J861" s="8" t="str">
        <f>IF(F861="Monthly interest",MAX(0,Assumptions!$B$5-I861),"")</f>
        <v/>
      </c>
      <c r="K861" s="7">
        <f t="shared" si="39"/>
        <v>5724</v>
      </c>
      <c r="L861" s="9">
        <v>46223</v>
      </c>
      <c r="M861" s="5" t="s">
        <v>50</v>
      </c>
      <c r="N861" s="5" t="s">
        <v>51</v>
      </c>
      <c r="O861" s="5" t="s">
        <v>71</v>
      </c>
      <c r="P861" s="5" t="s">
        <v>53</v>
      </c>
      <c r="Q861" s="5" t="s">
        <v>73</v>
      </c>
      <c r="R861" s="5" t="s">
        <v>74</v>
      </c>
      <c r="S861" s="5" t="s">
        <v>185</v>
      </c>
      <c r="T861" s="5" t="s">
        <v>57</v>
      </c>
      <c r="U861" s="5" t="s">
        <v>58</v>
      </c>
      <c r="V861" s="5" t="s">
        <v>200</v>
      </c>
      <c r="W861" s="5" t="s">
        <v>767</v>
      </c>
      <c r="X861" s="5" t="s">
        <v>768</v>
      </c>
      <c r="Y861" s="5" t="s">
        <v>3847</v>
      </c>
      <c r="Z861" s="9">
        <v>46223</v>
      </c>
      <c r="AA861" s="8">
        <v>6</v>
      </c>
      <c r="AB861" s="9">
        <f t="shared" si="40"/>
        <v>46407</v>
      </c>
      <c r="AC861" s="10">
        <v>18</v>
      </c>
      <c r="AD861" s="7">
        <f t="shared" si="41"/>
        <v>2862</v>
      </c>
      <c r="AE861" s="7">
        <f>IF(F861="Bullet",H861*AD861,MIN(MAX(I861,1),Assumptions!$B$6)*AD861)</f>
        <v>5724</v>
      </c>
      <c r="AF861" s="8">
        <f>IF(F861="Bullet",MAX(0,Assumptions!$B$4-AB861),MAX(0,Assumptions!$B$4-L861))</f>
        <v>0</v>
      </c>
      <c r="AG861" s="9"/>
      <c r="AH861" s="8" t="str">
        <f>IF(AG861="","",Assumptions!$B$4-AG861)</f>
        <v/>
      </c>
      <c r="AI861" s="5" t="s">
        <v>80</v>
      </c>
      <c r="AJ861" s="8"/>
      <c r="AK861" s="8">
        <v>0</v>
      </c>
      <c r="AL861" s="8">
        <v>745</v>
      </c>
      <c r="AM861" s="8">
        <v>0</v>
      </c>
      <c r="AN861" s="5" t="s">
        <v>63</v>
      </c>
      <c r="AO861" s="10">
        <v>73</v>
      </c>
      <c r="AP861" s="8">
        <v>16</v>
      </c>
      <c r="AQ861" s="9"/>
      <c r="AR861" s="5"/>
      <c r="AS861" s="5" t="s">
        <v>159</v>
      </c>
    </row>
    <row r="862" spans="1:45" x14ac:dyDescent="0.35">
      <c r="A862" s="5" t="s">
        <v>3848</v>
      </c>
      <c r="B862" s="5" t="s">
        <v>3849</v>
      </c>
      <c r="C862" s="6" t="s">
        <v>3850</v>
      </c>
      <c r="D862" s="7">
        <v>149300</v>
      </c>
      <c r="E862" s="5" t="s">
        <v>48</v>
      </c>
      <c r="F862" s="5" t="s">
        <v>49</v>
      </c>
      <c r="G862" s="8"/>
      <c r="H862" s="8" t="str">
        <f>IF(F862="Bullet",MIN(G862,Assumptions!$B$6),"")</f>
        <v/>
      </c>
      <c r="I862" s="8">
        <v>1</v>
      </c>
      <c r="J862" s="8">
        <f>IF(F862="Monthly interest",MAX(0,Assumptions!$B$5-I862),"")</f>
        <v>2</v>
      </c>
      <c r="K862" s="7">
        <f t="shared" si="39"/>
        <v>2240</v>
      </c>
      <c r="L862" s="9">
        <v>46290</v>
      </c>
      <c r="M862" s="5" t="s">
        <v>50</v>
      </c>
      <c r="N862" s="5" t="s">
        <v>51</v>
      </c>
      <c r="O862" s="5" t="s">
        <v>52</v>
      </c>
      <c r="P862" s="5" t="s">
        <v>53</v>
      </c>
      <c r="Q862" s="5" t="s">
        <v>54</v>
      </c>
      <c r="R862" s="5" t="s">
        <v>55</v>
      </c>
      <c r="S862" s="5" t="s">
        <v>253</v>
      </c>
      <c r="T862" s="5" t="s">
        <v>57</v>
      </c>
      <c r="U862" s="5" t="s">
        <v>104</v>
      </c>
      <c r="V862" s="5" t="s">
        <v>59</v>
      </c>
      <c r="W862" s="5" t="s">
        <v>156</v>
      </c>
      <c r="X862" s="5" t="s">
        <v>506</v>
      </c>
      <c r="Y862" s="5" t="s">
        <v>3851</v>
      </c>
      <c r="Z862" s="9">
        <v>46047</v>
      </c>
      <c r="AA862" s="8">
        <v>18</v>
      </c>
      <c r="AB862" s="9">
        <f t="shared" si="40"/>
        <v>46593</v>
      </c>
      <c r="AC862" s="10">
        <v>18</v>
      </c>
      <c r="AD862" s="7">
        <f t="shared" si="41"/>
        <v>2240</v>
      </c>
      <c r="AE862" s="7">
        <f>IF(F862="Bullet",H862*AD862,MIN(MAX(I862,1),Assumptions!$B$6)*AD862)</f>
        <v>2240</v>
      </c>
      <c r="AF862" s="8">
        <f>IF(F862="Bullet",MAX(0,Assumptions!$B$4-AB862),MAX(0,Assumptions!$B$4-L862))</f>
        <v>8</v>
      </c>
      <c r="AG862" s="9">
        <v>46260</v>
      </c>
      <c r="AH862" s="8">
        <f>IF(AG862="","",Assumptions!$B$4-AG862)</f>
        <v>38</v>
      </c>
      <c r="AI862" s="5" t="s">
        <v>57</v>
      </c>
      <c r="AJ862" s="8">
        <v>3</v>
      </c>
      <c r="AK862" s="8">
        <v>1</v>
      </c>
      <c r="AL862" s="8">
        <v>820</v>
      </c>
      <c r="AM862" s="8">
        <v>1</v>
      </c>
      <c r="AN862" s="5" t="s">
        <v>63</v>
      </c>
      <c r="AO862" s="10">
        <v>63.9</v>
      </c>
      <c r="AP862" s="8">
        <v>21</v>
      </c>
      <c r="AQ862" s="9"/>
      <c r="AR862" s="5"/>
      <c r="AS862" s="5" t="s">
        <v>159</v>
      </c>
    </row>
    <row r="863" spans="1:45" x14ac:dyDescent="0.35">
      <c r="A863" s="5" t="s">
        <v>3852</v>
      </c>
      <c r="B863" s="5" t="s">
        <v>3853</v>
      </c>
      <c r="C863" s="6" t="s">
        <v>3854</v>
      </c>
      <c r="D863" s="7">
        <v>40900</v>
      </c>
      <c r="E863" s="5" t="s">
        <v>48</v>
      </c>
      <c r="F863" s="5" t="s">
        <v>68</v>
      </c>
      <c r="G863" s="8">
        <v>3</v>
      </c>
      <c r="H863" s="8">
        <f>IF(F863="Bullet",MIN(G863,Assumptions!$B$6),"")</f>
        <v>2</v>
      </c>
      <c r="I863" s="8"/>
      <c r="J863" s="8" t="str">
        <f>IF(F863="Monthly interest",MAX(0,Assumptions!$B$5-I863),"")</f>
        <v/>
      </c>
      <c r="K863" s="7">
        <f t="shared" si="39"/>
        <v>1227</v>
      </c>
      <c r="L863" s="9">
        <v>46191</v>
      </c>
      <c r="M863" s="5" t="s">
        <v>69</v>
      </c>
      <c r="N863" s="5" t="s">
        <v>53</v>
      </c>
      <c r="O863" s="5" t="s">
        <v>152</v>
      </c>
      <c r="P863" s="5" t="s">
        <v>153</v>
      </c>
      <c r="Q863" s="5" t="s">
        <v>154</v>
      </c>
      <c r="R863" s="5" t="s">
        <v>155</v>
      </c>
      <c r="S863" s="5" t="s">
        <v>75</v>
      </c>
      <c r="T863" s="5" t="s">
        <v>57</v>
      </c>
      <c r="U863" s="5" t="s">
        <v>104</v>
      </c>
      <c r="V863" s="5" t="s">
        <v>76</v>
      </c>
      <c r="W863" s="5" t="s">
        <v>444</v>
      </c>
      <c r="X863" s="5" t="s">
        <v>2967</v>
      </c>
      <c r="Y863" s="5" t="s">
        <v>3855</v>
      </c>
      <c r="Z863" s="9">
        <v>46191</v>
      </c>
      <c r="AA863" s="8">
        <v>6</v>
      </c>
      <c r="AB863" s="9">
        <f t="shared" si="40"/>
        <v>46374</v>
      </c>
      <c r="AC863" s="10">
        <v>12</v>
      </c>
      <c r="AD863" s="7">
        <f t="shared" si="41"/>
        <v>409</v>
      </c>
      <c r="AE863" s="7">
        <f>IF(F863="Bullet",H863*AD863,MIN(MAX(I863,1),Assumptions!$B$6)*AD863)</f>
        <v>818</v>
      </c>
      <c r="AF863" s="8">
        <f>IF(F863="Bullet",MAX(0,Assumptions!$B$4-AB863),MAX(0,Assumptions!$B$4-L863))</f>
        <v>0</v>
      </c>
      <c r="AG863" s="9"/>
      <c r="AH863" s="8" t="str">
        <f>IF(AG863="","",Assumptions!$B$4-AG863)</f>
        <v/>
      </c>
      <c r="AI863" s="5" t="s">
        <v>80</v>
      </c>
      <c r="AJ863" s="8"/>
      <c r="AK863" s="8">
        <v>0</v>
      </c>
      <c r="AL863" s="8" t="s">
        <v>80</v>
      </c>
      <c r="AM863" s="8">
        <v>0</v>
      </c>
      <c r="AN863" s="5" t="s">
        <v>57</v>
      </c>
      <c r="AO863" s="10">
        <v>69</v>
      </c>
      <c r="AP863" s="8">
        <v>34</v>
      </c>
      <c r="AQ863" s="9">
        <v>46280</v>
      </c>
      <c r="AR863" s="5" t="s">
        <v>70</v>
      </c>
      <c r="AS863" s="5" t="s">
        <v>81</v>
      </c>
    </row>
    <row r="864" spans="1:45" x14ac:dyDescent="0.35">
      <c r="A864" s="5" t="s">
        <v>3856</v>
      </c>
      <c r="B864" s="5" t="s">
        <v>3311</v>
      </c>
      <c r="C864" s="6" t="s">
        <v>3857</v>
      </c>
      <c r="D864" s="7">
        <v>55300</v>
      </c>
      <c r="E864" s="5" t="s">
        <v>48</v>
      </c>
      <c r="F864" s="5" t="s">
        <v>49</v>
      </c>
      <c r="G864" s="8"/>
      <c r="H864" s="8" t="str">
        <f>IF(F864="Bullet",MIN(G864,Assumptions!$B$6),"")</f>
        <v/>
      </c>
      <c r="I864" s="8">
        <v>1</v>
      </c>
      <c r="J864" s="8">
        <f>IF(F864="Monthly interest",MAX(0,Assumptions!$B$5-I864),"")</f>
        <v>2</v>
      </c>
      <c r="K864" s="7">
        <f t="shared" si="39"/>
        <v>737</v>
      </c>
      <c r="L864" s="9">
        <v>46275</v>
      </c>
      <c r="M864" s="5" t="s">
        <v>69</v>
      </c>
      <c r="N864" s="5" t="s">
        <v>51</v>
      </c>
      <c r="O864" s="5" t="s">
        <v>52</v>
      </c>
      <c r="P864" s="5" t="s">
        <v>53</v>
      </c>
      <c r="Q864" s="5" t="s">
        <v>54</v>
      </c>
      <c r="R864" s="5" t="s">
        <v>55</v>
      </c>
      <c r="S864" s="5" t="s">
        <v>185</v>
      </c>
      <c r="T864" s="5" t="s">
        <v>57</v>
      </c>
      <c r="U864" s="5" t="s">
        <v>58</v>
      </c>
      <c r="V864" s="5" t="s">
        <v>200</v>
      </c>
      <c r="W864" s="5" t="s">
        <v>1332</v>
      </c>
      <c r="X864" s="5" t="s">
        <v>1333</v>
      </c>
      <c r="Y864" s="5" t="s">
        <v>3858</v>
      </c>
      <c r="Z864" s="9">
        <v>46152</v>
      </c>
      <c r="AA864" s="8">
        <v>24</v>
      </c>
      <c r="AB864" s="9">
        <f t="shared" si="40"/>
        <v>46883</v>
      </c>
      <c r="AC864" s="10">
        <v>16</v>
      </c>
      <c r="AD864" s="7">
        <f t="shared" si="41"/>
        <v>737</v>
      </c>
      <c r="AE864" s="7">
        <f>IF(F864="Bullet",H864*AD864,MIN(MAX(I864,1),Assumptions!$B$6)*AD864)</f>
        <v>737</v>
      </c>
      <c r="AF864" s="8">
        <f>IF(F864="Bullet",MAX(0,Assumptions!$B$4-AB864),MAX(0,Assumptions!$B$4-L864))</f>
        <v>23</v>
      </c>
      <c r="AG864" s="9">
        <v>46247</v>
      </c>
      <c r="AH864" s="8">
        <f>IF(AG864="","",Assumptions!$B$4-AG864)</f>
        <v>51</v>
      </c>
      <c r="AI864" s="5" t="s">
        <v>57</v>
      </c>
      <c r="AJ864" s="8">
        <v>2</v>
      </c>
      <c r="AK864" s="8">
        <v>1</v>
      </c>
      <c r="AL864" s="8">
        <v>679</v>
      </c>
      <c r="AM864" s="8">
        <v>2</v>
      </c>
      <c r="AN864" s="5" t="s">
        <v>63</v>
      </c>
      <c r="AO864" s="10">
        <v>63.3</v>
      </c>
      <c r="AP864" s="8">
        <v>45</v>
      </c>
      <c r="AQ864" s="9">
        <v>46284</v>
      </c>
      <c r="AR864" s="5" t="s">
        <v>53</v>
      </c>
      <c r="AS864" s="5" t="s">
        <v>81</v>
      </c>
    </row>
    <row r="865" spans="1:45" x14ac:dyDescent="0.35">
      <c r="A865" s="5" t="s">
        <v>3859</v>
      </c>
      <c r="B865" s="5" t="s">
        <v>3860</v>
      </c>
      <c r="C865" s="6" t="s">
        <v>3861</v>
      </c>
      <c r="D865" s="7">
        <v>131300</v>
      </c>
      <c r="E865" s="5" t="s">
        <v>48</v>
      </c>
      <c r="F865" s="5" t="s">
        <v>68</v>
      </c>
      <c r="G865" s="8">
        <v>6</v>
      </c>
      <c r="H865" s="8">
        <f>IF(F865="Bullet",MIN(G865,Assumptions!$B$6),"")</f>
        <v>2</v>
      </c>
      <c r="I865" s="8"/>
      <c r="J865" s="8" t="str">
        <f>IF(F865="Monthly interest",MAX(0,Assumptions!$B$5-I865),"")</f>
        <v/>
      </c>
      <c r="K865" s="7">
        <f t="shared" si="39"/>
        <v>8532</v>
      </c>
      <c r="L865" s="9">
        <v>46108</v>
      </c>
      <c r="M865" s="5" t="s">
        <v>116</v>
      </c>
      <c r="N865" s="5" t="s">
        <v>117</v>
      </c>
      <c r="O865" s="5" t="s">
        <v>461</v>
      </c>
      <c r="P865" s="5" t="s">
        <v>72</v>
      </c>
      <c r="Q865" s="5" t="s">
        <v>169</v>
      </c>
      <c r="R865" s="5" t="s">
        <v>170</v>
      </c>
      <c r="S865" s="5" t="s">
        <v>185</v>
      </c>
      <c r="T865" s="5" t="s">
        <v>57</v>
      </c>
      <c r="U865" s="5" t="s">
        <v>86</v>
      </c>
      <c r="V865" s="5" t="s">
        <v>186</v>
      </c>
      <c r="W865" s="5" t="s">
        <v>187</v>
      </c>
      <c r="X865" s="5" t="s">
        <v>1161</v>
      </c>
      <c r="Y865" s="5" t="s">
        <v>3862</v>
      </c>
      <c r="Z865" s="9">
        <v>46108</v>
      </c>
      <c r="AA865" s="8">
        <v>6</v>
      </c>
      <c r="AB865" s="9">
        <f t="shared" si="40"/>
        <v>46292</v>
      </c>
      <c r="AC865" s="10">
        <v>13</v>
      </c>
      <c r="AD865" s="7">
        <f t="shared" si="41"/>
        <v>1422</v>
      </c>
      <c r="AE865" s="7">
        <f>IF(F865="Bullet",H865*AD865,MIN(MAX(I865,1),Assumptions!$B$6)*AD865)</f>
        <v>2844</v>
      </c>
      <c r="AF865" s="8">
        <f>IF(F865="Bullet",MAX(0,Assumptions!$B$4-AB865),MAX(0,Assumptions!$B$4-L865))</f>
        <v>6</v>
      </c>
      <c r="AG865" s="9"/>
      <c r="AH865" s="8" t="str">
        <f>IF(AG865="","",Assumptions!$B$4-AG865)</f>
        <v/>
      </c>
      <c r="AI865" s="5" t="s">
        <v>80</v>
      </c>
      <c r="AJ865" s="8"/>
      <c r="AK865" s="8">
        <v>1</v>
      </c>
      <c r="AL865" s="8">
        <v>690</v>
      </c>
      <c r="AM865" s="8">
        <v>1</v>
      </c>
      <c r="AN865" s="5" t="s">
        <v>63</v>
      </c>
      <c r="AO865" s="10">
        <v>83.6</v>
      </c>
      <c r="AP865" s="8">
        <v>65</v>
      </c>
      <c r="AQ865" s="9">
        <v>46280</v>
      </c>
      <c r="AR865" s="5" t="s">
        <v>70</v>
      </c>
      <c r="AS865" s="5" t="s">
        <v>181</v>
      </c>
    </row>
    <row r="866" spans="1:45" x14ac:dyDescent="0.35">
      <c r="A866" s="5" t="s">
        <v>3863</v>
      </c>
      <c r="B866" s="5" t="s">
        <v>687</v>
      </c>
      <c r="C866" s="6" t="s">
        <v>3864</v>
      </c>
      <c r="D866" s="7">
        <v>33700</v>
      </c>
      <c r="E866" s="5" t="s">
        <v>48</v>
      </c>
      <c r="F866" s="5" t="s">
        <v>49</v>
      </c>
      <c r="G866" s="8"/>
      <c r="H866" s="8" t="str">
        <f>IF(F866="Bullet",MIN(G866,Assumptions!$B$6),"")</f>
        <v/>
      </c>
      <c r="I866" s="8">
        <v>2</v>
      </c>
      <c r="J866" s="8">
        <f>IF(F866="Monthly interest",MAX(0,Assumptions!$B$5-I866),"")</f>
        <v>1</v>
      </c>
      <c r="K866" s="7">
        <f t="shared" si="39"/>
        <v>898</v>
      </c>
      <c r="L866" s="9">
        <v>46259</v>
      </c>
      <c r="M866" s="5" t="s">
        <v>116</v>
      </c>
      <c r="N866" s="5" t="s">
        <v>117</v>
      </c>
      <c r="O866" s="5" t="s">
        <v>450</v>
      </c>
      <c r="P866" s="5" t="s">
        <v>72</v>
      </c>
      <c r="Q866" s="5" t="s">
        <v>154</v>
      </c>
      <c r="R866" s="5" t="s">
        <v>155</v>
      </c>
      <c r="S866" s="5" t="s">
        <v>185</v>
      </c>
      <c r="T866" s="5" t="s">
        <v>57</v>
      </c>
      <c r="U866" s="5" t="s">
        <v>86</v>
      </c>
      <c r="V866" s="5" t="s">
        <v>200</v>
      </c>
      <c r="W866" s="5" t="s">
        <v>433</v>
      </c>
      <c r="X866" s="5" t="s">
        <v>3246</v>
      </c>
      <c r="Y866" s="5" t="s">
        <v>3865</v>
      </c>
      <c r="Z866" s="9">
        <v>46167</v>
      </c>
      <c r="AA866" s="8">
        <v>12</v>
      </c>
      <c r="AB866" s="9">
        <f t="shared" si="40"/>
        <v>46532</v>
      </c>
      <c r="AC866" s="10">
        <v>16</v>
      </c>
      <c r="AD866" s="7">
        <f t="shared" si="41"/>
        <v>449</v>
      </c>
      <c r="AE866" s="7">
        <f>IF(F866="Bullet",H866*AD866,MIN(MAX(I866,1),Assumptions!$B$6)*AD866)</f>
        <v>898</v>
      </c>
      <c r="AF866" s="8">
        <f>IF(F866="Bullet",MAX(0,Assumptions!$B$4-AB866),MAX(0,Assumptions!$B$4-L866))</f>
        <v>39</v>
      </c>
      <c r="AG866" s="9">
        <v>46228</v>
      </c>
      <c r="AH866" s="8">
        <f>IF(AG866="","",Assumptions!$B$4-AG866)</f>
        <v>70</v>
      </c>
      <c r="AI866" s="5" t="s">
        <v>57</v>
      </c>
      <c r="AJ866" s="8">
        <v>2</v>
      </c>
      <c r="AK866" s="8">
        <v>1</v>
      </c>
      <c r="AL866" s="8">
        <v>682</v>
      </c>
      <c r="AM866" s="8">
        <v>1</v>
      </c>
      <c r="AN866" s="5" t="s">
        <v>63</v>
      </c>
      <c r="AO866" s="10">
        <v>70.599999999999994</v>
      </c>
      <c r="AP866" s="8">
        <v>51</v>
      </c>
      <c r="AQ866" s="9">
        <v>46284</v>
      </c>
      <c r="AR866" s="5" t="s">
        <v>70</v>
      </c>
      <c r="AS866" s="5" t="s">
        <v>81</v>
      </c>
    </row>
    <row r="867" spans="1:45" x14ac:dyDescent="0.35">
      <c r="A867" s="5" t="s">
        <v>3866</v>
      </c>
      <c r="B867" s="5" t="s">
        <v>3867</v>
      </c>
      <c r="C867" s="6" t="s">
        <v>3868</v>
      </c>
      <c r="D867" s="7">
        <v>37500</v>
      </c>
      <c r="E867" s="5" t="s">
        <v>48</v>
      </c>
      <c r="F867" s="5" t="s">
        <v>68</v>
      </c>
      <c r="G867" s="8">
        <v>1</v>
      </c>
      <c r="H867" s="8">
        <f>IF(F867="Bullet",MIN(G867,Assumptions!$B$6),"")</f>
        <v>1</v>
      </c>
      <c r="I867" s="8"/>
      <c r="J867" s="8" t="str">
        <f>IF(F867="Monthly interest",MAX(0,Assumptions!$B$5-I867),"")</f>
        <v/>
      </c>
      <c r="K867" s="7">
        <f t="shared" si="39"/>
        <v>406</v>
      </c>
      <c r="L867" s="9">
        <v>46264</v>
      </c>
      <c r="M867" s="5" t="s">
        <v>50</v>
      </c>
      <c r="N867" s="5" t="s">
        <v>53</v>
      </c>
      <c r="O867" s="5" t="s">
        <v>95</v>
      </c>
      <c r="P867" s="5" t="s">
        <v>153</v>
      </c>
      <c r="Q867" s="5" t="s">
        <v>154</v>
      </c>
      <c r="R867" s="5" t="s">
        <v>155</v>
      </c>
      <c r="S867" s="5" t="s">
        <v>185</v>
      </c>
      <c r="T867" s="5" t="s">
        <v>63</v>
      </c>
      <c r="U867" s="5" t="s">
        <v>58</v>
      </c>
      <c r="V867" s="5" t="s">
        <v>200</v>
      </c>
      <c r="W867" s="5" t="s">
        <v>201</v>
      </c>
      <c r="X867" s="5" t="s">
        <v>3401</v>
      </c>
      <c r="Y867" s="5" t="s">
        <v>3869</v>
      </c>
      <c r="Z867" s="9">
        <v>46264</v>
      </c>
      <c r="AA867" s="8">
        <v>6</v>
      </c>
      <c r="AB867" s="9">
        <f t="shared" si="40"/>
        <v>46446</v>
      </c>
      <c r="AC867" s="10">
        <v>13</v>
      </c>
      <c r="AD867" s="7">
        <f t="shared" si="41"/>
        <v>406</v>
      </c>
      <c r="AE867" s="7">
        <f>IF(F867="Bullet",H867*AD867,MIN(MAX(I867,1),Assumptions!$B$6)*AD867)</f>
        <v>406</v>
      </c>
      <c r="AF867" s="8">
        <f>IF(F867="Bullet",MAX(0,Assumptions!$B$4-AB867),MAX(0,Assumptions!$B$4-L867))</f>
        <v>0</v>
      </c>
      <c r="AG867" s="9"/>
      <c r="AH867" s="8" t="str">
        <f>IF(AG867="","",Assumptions!$B$4-AG867)</f>
        <v/>
      </c>
      <c r="AI867" s="5" t="s">
        <v>80</v>
      </c>
      <c r="AJ867" s="8"/>
      <c r="AK867" s="8">
        <v>0</v>
      </c>
      <c r="AL867" s="8">
        <v>784</v>
      </c>
      <c r="AM867" s="8">
        <v>0</v>
      </c>
      <c r="AN867" s="5" t="s">
        <v>63</v>
      </c>
      <c r="AO867" s="10">
        <v>59.8</v>
      </c>
      <c r="AP867" s="8">
        <v>0</v>
      </c>
      <c r="AQ867" s="9"/>
      <c r="AR867" s="5"/>
      <c r="AS867" s="5" t="s">
        <v>159</v>
      </c>
    </row>
    <row r="868" spans="1:45" x14ac:dyDescent="0.35">
      <c r="A868" s="5" t="s">
        <v>3870</v>
      </c>
      <c r="B868" s="5" t="s">
        <v>3871</v>
      </c>
      <c r="C868" s="6" t="s">
        <v>3872</v>
      </c>
      <c r="D868" s="7">
        <v>189800</v>
      </c>
      <c r="E868" s="5" t="s">
        <v>48</v>
      </c>
      <c r="F868" s="5" t="s">
        <v>49</v>
      </c>
      <c r="G868" s="8"/>
      <c r="H868" s="8" t="str">
        <f>IF(F868="Bullet",MIN(G868,Assumptions!$B$6),"")</f>
        <v/>
      </c>
      <c r="I868" s="8">
        <v>1</v>
      </c>
      <c r="J868" s="8">
        <f>IF(F868="Monthly interest",MAX(0,Assumptions!$B$5-I868),"")</f>
        <v>2</v>
      </c>
      <c r="K868" s="7">
        <f t="shared" si="39"/>
        <v>3796</v>
      </c>
      <c r="L868" s="9">
        <v>46282</v>
      </c>
      <c r="M868" s="5" t="s">
        <v>69</v>
      </c>
      <c r="N868" s="5" t="s">
        <v>51</v>
      </c>
      <c r="O868" s="5" t="s">
        <v>52</v>
      </c>
      <c r="P868" s="5" t="s">
        <v>53</v>
      </c>
      <c r="Q868" s="5" t="s">
        <v>54</v>
      </c>
      <c r="R868" s="5" t="s">
        <v>55</v>
      </c>
      <c r="S868" s="5" t="s">
        <v>85</v>
      </c>
      <c r="T868" s="5" t="s">
        <v>57</v>
      </c>
      <c r="U868" s="5" t="s">
        <v>58</v>
      </c>
      <c r="V868" s="5" t="s">
        <v>96</v>
      </c>
      <c r="W868" s="5" t="s">
        <v>819</v>
      </c>
      <c r="X868" s="5" t="s">
        <v>3873</v>
      </c>
      <c r="Y868" s="5" t="s">
        <v>3874</v>
      </c>
      <c r="Z868" s="9">
        <v>46098</v>
      </c>
      <c r="AA868" s="8">
        <v>12</v>
      </c>
      <c r="AB868" s="9">
        <f t="shared" si="40"/>
        <v>46463</v>
      </c>
      <c r="AC868" s="10">
        <v>24</v>
      </c>
      <c r="AD868" s="7">
        <f t="shared" si="41"/>
        <v>3796</v>
      </c>
      <c r="AE868" s="7">
        <f>IF(F868="Bullet",H868*AD868,MIN(MAX(I868,1),Assumptions!$B$6)*AD868)</f>
        <v>3796</v>
      </c>
      <c r="AF868" s="8">
        <f>IF(F868="Bullet",MAX(0,Assumptions!$B$4-AB868),MAX(0,Assumptions!$B$4-L868))</f>
        <v>16</v>
      </c>
      <c r="AG868" s="9">
        <v>46253</v>
      </c>
      <c r="AH868" s="8">
        <f>IF(AG868="","",Assumptions!$B$4-AG868)</f>
        <v>45</v>
      </c>
      <c r="AI868" s="5" t="s">
        <v>63</v>
      </c>
      <c r="AJ868" s="8">
        <v>2</v>
      </c>
      <c r="AK868" s="8">
        <v>0</v>
      </c>
      <c r="AL868" s="8">
        <v>651</v>
      </c>
      <c r="AM868" s="8">
        <v>1</v>
      </c>
      <c r="AN868" s="5" t="s">
        <v>63</v>
      </c>
      <c r="AO868" s="10">
        <v>67.099999999999994</v>
      </c>
      <c r="AP868" s="8">
        <v>36</v>
      </c>
      <c r="AQ868" s="9">
        <v>46292</v>
      </c>
      <c r="AR868" s="5" t="s">
        <v>53</v>
      </c>
      <c r="AS868" s="5" t="s">
        <v>274</v>
      </c>
    </row>
    <row r="869" spans="1:45" x14ac:dyDescent="0.35">
      <c r="A869" s="5" t="s">
        <v>3875</v>
      </c>
      <c r="B869" s="5" t="s">
        <v>3876</v>
      </c>
      <c r="C869" s="6" t="s">
        <v>3877</v>
      </c>
      <c r="D869" s="7">
        <v>79400</v>
      </c>
      <c r="E869" s="5" t="s">
        <v>48</v>
      </c>
      <c r="F869" s="5" t="s">
        <v>49</v>
      </c>
      <c r="G869" s="8"/>
      <c r="H869" s="8" t="str">
        <f>IF(F869="Bullet",MIN(G869,Assumptions!$B$6),"")</f>
        <v/>
      </c>
      <c r="I869" s="8">
        <v>1</v>
      </c>
      <c r="J869" s="8">
        <f>IF(F869="Monthly interest",MAX(0,Assumptions!$B$5-I869),"")</f>
        <v>2</v>
      </c>
      <c r="K869" s="7">
        <f t="shared" si="39"/>
        <v>1059</v>
      </c>
      <c r="L869" s="9">
        <v>46298</v>
      </c>
      <c r="M869" s="5" t="s">
        <v>69</v>
      </c>
      <c r="N869" s="5" t="s">
        <v>51</v>
      </c>
      <c r="O869" s="5" t="s">
        <v>52</v>
      </c>
      <c r="P869" s="5" t="s">
        <v>53</v>
      </c>
      <c r="Q869" s="5" t="s">
        <v>54</v>
      </c>
      <c r="R869" s="5" t="s">
        <v>55</v>
      </c>
      <c r="S869" s="5" t="s">
        <v>75</v>
      </c>
      <c r="T869" s="5" t="s">
        <v>57</v>
      </c>
      <c r="U869" s="5" t="s">
        <v>86</v>
      </c>
      <c r="V869" s="5" t="s">
        <v>76</v>
      </c>
      <c r="W869" s="5" t="s">
        <v>77</v>
      </c>
      <c r="X869" s="5" t="s">
        <v>1706</v>
      </c>
      <c r="Y869" s="5" t="s">
        <v>3878</v>
      </c>
      <c r="Z869" s="9">
        <v>46084</v>
      </c>
      <c r="AA869" s="8">
        <v>12</v>
      </c>
      <c r="AB869" s="9">
        <f t="shared" si="40"/>
        <v>46449</v>
      </c>
      <c r="AC869" s="10">
        <v>16</v>
      </c>
      <c r="AD869" s="7">
        <f t="shared" si="41"/>
        <v>1059</v>
      </c>
      <c r="AE869" s="7">
        <f>IF(F869="Bullet",H869*AD869,MIN(MAX(I869,1),Assumptions!$B$6)*AD869)</f>
        <v>1059</v>
      </c>
      <c r="AF869" s="8">
        <f>IF(F869="Bullet",MAX(0,Assumptions!$B$4-AB869),MAX(0,Assumptions!$B$4-L869))</f>
        <v>0</v>
      </c>
      <c r="AG869" s="9">
        <v>46270</v>
      </c>
      <c r="AH869" s="8">
        <f>IF(AG869="","",Assumptions!$B$4-AG869)</f>
        <v>28</v>
      </c>
      <c r="AI869" s="5" t="s">
        <v>57</v>
      </c>
      <c r="AJ869" s="8">
        <v>2</v>
      </c>
      <c r="AK869" s="8">
        <v>1</v>
      </c>
      <c r="AL869" s="8">
        <v>675</v>
      </c>
      <c r="AM869" s="8">
        <v>1</v>
      </c>
      <c r="AN869" s="5" t="s">
        <v>63</v>
      </c>
      <c r="AO869" s="10">
        <v>73.099999999999994</v>
      </c>
      <c r="AP869" s="8">
        <v>44</v>
      </c>
      <c r="AQ869" s="9">
        <v>46279</v>
      </c>
      <c r="AR869" s="5" t="s">
        <v>51</v>
      </c>
      <c r="AS869" s="5" t="s">
        <v>64</v>
      </c>
    </row>
    <row r="870" spans="1:45" x14ac:dyDescent="0.35">
      <c r="A870" s="5" t="s">
        <v>3879</v>
      </c>
      <c r="B870" s="5" t="s">
        <v>3880</v>
      </c>
      <c r="C870" s="6" t="s">
        <v>3881</v>
      </c>
      <c r="D870" s="7">
        <v>455300</v>
      </c>
      <c r="E870" s="5" t="s">
        <v>48</v>
      </c>
      <c r="F870" s="5" t="s">
        <v>49</v>
      </c>
      <c r="G870" s="8"/>
      <c r="H870" s="8" t="str">
        <f>IF(F870="Bullet",MIN(G870,Assumptions!$B$6),"")</f>
        <v/>
      </c>
      <c r="I870" s="8">
        <v>1</v>
      </c>
      <c r="J870" s="8">
        <f>IF(F870="Monthly interest",MAX(0,Assumptions!$B$5-I870),"")</f>
        <v>2</v>
      </c>
      <c r="K870" s="7">
        <f t="shared" si="39"/>
        <v>5691</v>
      </c>
      <c r="L870" s="9">
        <v>46279</v>
      </c>
      <c r="M870" s="5" t="s">
        <v>69</v>
      </c>
      <c r="N870" s="5" t="s">
        <v>53</v>
      </c>
      <c r="O870" s="5" t="s">
        <v>95</v>
      </c>
      <c r="P870" s="5" t="s">
        <v>70</v>
      </c>
      <c r="Q870" s="5" t="s">
        <v>54</v>
      </c>
      <c r="R870" s="5" t="s">
        <v>55</v>
      </c>
      <c r="S870" s="5" t="s">
        <v>214</v>
      </c>
      <c r="T870" s="5" t="s">
        <v>63</v>
      </c>
      <c r="U870" s="5" t="s">
        <v>104</v>
      </c>
      <c r="V870" s="5" t="s">
        <v>215</v>
      </c>
      <c r="W870" s="5" t="s">
        <v>600</v>
      </c>
      <c r="X870" s="5" t="s">
        <v>3661</v>
      </c>
      <c r="Y870" s="5" t="s">
        <v>3882</v>
      </c>
      <c r="Z870" s="9">
        <v>46126</v>
      </c>
      <c r="AA870" s="8">
        <v>18</v>
      </c>
      <c r="AB870" s="9">
        <f t="shared" si="40"/>
        <v>46674</v>
      </c>
      <c r="AC870" s="10">
        <v>15</v>
      </c>
      <c r="AD870" s="7">
        <f t="shared" si="41"/>
        <v>5691</v>
      </c>
      <c r="AE870" s="7">
        <f>IF(F870="Bullet",H870*AD870,MIN(MAX(I870,1),Assumptions!$B$6)*AD870)</f>
        <v>5691</v>
      </c>
      <c r="AF870" s="8">
        <f>IF(F870="Bullet",MAX(0,Assumptions!$B$4-AB870),MAX(0,Assumptions!$B$4-L870))</f>
        <v>19</v>
      </c>
      <c r="AG870" s="9">
        <v>46250</v>
      </c>
      <c r="AH870" s="8">
        <f>IF(AG870="","",Assumptions!$B$4-AG870)</f>
        <v>48</v>
      </c>
      <c r="AI870" s="5" t="s">
        <v>63</v>
      </c>
      <c r="AJ870" s="8">
        <v>4</v>
      </c>
      <c r="AK870" s="8">
        <v>0</v>
      </c>
      <c r="AL870" s="8">
        <v>784</v>
      </c>
      <c r="AM870" s="8">
        <v>0</v>
      </c>
      <c r="AN870" s="5" t="s">
        <v>63</v>
      </c>
      <c r="AO870" s="10">
        <v>80.900000000000006</v>
      </c>
      <c r="AP870" s="8">
        <v>36</v>
      </c>
      <c r="AQ870" s="9"/>
      <c r="AR870" s="5"/>
      <c r="AS870" s="5" t="s">
        <v>159</v>
      </c>
    </row>
    <row r="871" spans="1:45" x14ac:dyDescent="0.35">
      <c r="A871" s="5" t="s">
        <v>3883</v>
      </c>
      <c r="B871" s="5" t="s">
        <v>3884</v>
      </c>
      <c r="C871" s="6" t="s">
        <v>3885</v>
      </c>
      <c r="D871" s="7">
        <v>134400</v>
      </c>
      <c r="E871" s="5" t="s">
        <v>48</v>
      </c>
      <c r="F871" s="5" t="s">
        <v>68</v>
      </c>
      <c r="G871" s="8">
        <v>4</v>
      </c>
      <c r="H871" s="8">
        <f>IF(F871="Bullet",MIN(G871,Assumptions!$B$6),"")</f>
        <v>2</v>
      </c>
      <c r="I871" s="8"/>
      <c r="J871" s="8" t="str">
        <f>IF(F871="Monthly interest",MAX(0,Assumptions!$B$5-I871),"")</f>
        <v/>
      </c>
      <c r="K871" s="7">
        <f t="shared" si="39"/>
        <v>6272</v>
      </c>
      <c r="L871" s="9">
        <v>46164</v>
      </c>
      <c r="M871" s="5" t="s">
        <v>50</v>
      </c>
      <c r="N871" s="5" t="s">
        <v>70</v>
      </c>
      <c r="O871" s="5" t="s">
        <v>271</v>
      </c>
      <c r="P871" s="5" t="s">
        <v>72</v>
      </c>
      <c r="Q871" s="5" t="s">
        <v>73</v>
      </c>
      <c r="R871" s="5" t="s">
        <v>74</v>
      </c>
      <c r="S871" s="5" t="s">
        <v>85</v>
      </c>
      <c r="T871" s="5" t="s">
        <v>57</v>
      </c>
      <c r="U871" s="5" t="s">
        <v>104</v>
      </c>
      <c r="V871" s="5" t="s">
        <v>553</v>
      </c>
      <c r="W871" s="5" t="s">
        <v>1029</v>
      </c>
      <c r="X871" s="5" t="s">
        <v>2108</v>
      </c>
      <c r="Y871" s="5" t="s">
        <v>3886</v>
      </c>
      <c r="Z871" s="9">
        <v>46164</v>
      </c>
      <c r="AA871" s="8">
        <v>6</v>
      </c>
      <c r="AB871" s="9">
        <f t="shared" si="40"/>
        <v>46348</v>
      </c>
      <c r="AC871" s="10">
        <v>14</v>
      </c>
      <c r="AD871" s="7">
        <f t="shared" si="41"/>
        <v>1568</v>
      </c>
      <c r="AE871" s="7">
        <f>IF(F871="Bullet",H871*AD871,MIN(MAX(I871,1),Assumptions!$B$6)*AD871)</f>
        <v>3136</v>
      </c>
      <c r="AF871" s="8">
        <f>IF(F871="Bullet",MAX(0,Assumptions!$B$4-AB871),MAX(0,Assumptions!$B$4-L871))</f>
        <v>0</v>
      </c>
      <c r="AG871" s="9"/>
      <c r="AH871" s="8" t="str">
        <f>IF(AG871="","",Assumptions!$B$4-AG871)</f>
        <v/>
      </c>
      <c r="AI871" s="5" t="s">
        <v>80</v>
      </c>
      <c r="AJ871" s="8"/>
      <c r="AK871" s="8">
        <v>1</v>
      </c>
      <c r="AL871" s="8">
        <v>723</v>
      </c>
      <c r="AM871" s="8">
        <v>1</v>
      </c>
      <c r="AN871" s="5" t="s">
        <v>63</v>
      </c>
      <c r="AO871" s="10">
        <v>64</v>
      </c>
      <c r="AP871" s="8">
        <v>24</v>
      </c>
      <c r="AQ871" s="9">
        <v>46273</v>
      </c>
      <c r="AR871" s="5" t="s">
        <v>70</v>
      </c>
      <c r="AS871" s="5" t="s">
        <v>274</v>
      </c>
    </row>
    <row r="872" spans="1:45" x14ac:dyDescent="0.35">
      <c r="A872" s="5" t="s">
        <v>3887</v>
      </c>
      <c r="B872" s="5" t="s">
        <v>3888</v>
      </c>
      <c r="C872" s="6" t="s">
        <v>3889</v>
      </c>
      <c r="D872" s="7">
        <v>342800</v>
      </c>
      <c r="E872" s="5" t="s">
        <v>48</v>
      </c>
      <c r="F872" s="5" t="s">
        <v>49</v>
      </c>
      <c r="G872" s="8"/>
      <c r="H872" s="8" t="str">
        <f>IF(F872="Bullet",MIN(G872,Assumptions!$B$6),"")</f>
        <v/>
      </c>
      <c r="I872" s="8">
        <v>1</v>
      </c>
      <c r="J872" s="8">
        <f>IF(F872="Monthly interest",MAX(0,Assumptions!$B$5-I872),"")</f>
        <v>2</v>
      </c>
      <c r="K872" s="7">
        <f t="shared" si="39"/>
        <v>5142</v>
      </c>
      <c r="L872" s="9">
        <v>46298</v>
      </c>
      <c r="M872" s="5" t="s">
        <v>50</v>
      </c>
      <c r="N872" s="5" t="s">
        <v>51</v>
      </c>
      <c r="O872" s="5" t="s">
        <v>52</v>
      </c>
      <c r="P872" s="5" t="s">
        <v>53</v>
      </c>
      <c r="Q872" s="5" t="s">
        <v>54</v>
      </c>
      <c r="R872" s="5" t="s">
        <v>55</v>
      </c>
      <c r="S872" s="5" t="s">
        <v>214</v>
      </c>
      <c r="T872" s="5" t="s">
        <v>57</v>
      </c>
      <c r="U872" s="5" t="s">
        <v>58</v>
      </c>
      <c r="V872" s="5" t="s">
        <v>215</v>
      </c>
      <c r="W872" s="5" t="s">
        <v>284</v>
      </c>
      <c r="X872" s="5" t="s">
        <v>872</v>
      </c>
      <c r="Y872" s="5" t="s">
        <v>3890</v>
      </c>
      <c r="Z872" s="9">
        <v>46145</v>
      </c>
      <c r="AA872" s="8">
        <v>18</v>
      </c>
      <c r="AB872" s="9">
        <f t="shared" si="40"/>
        <v>46694</v>
      </c>
      <c r="AC872" s="10">
        <v>18</v>
      </c>
      <c r="AD872" s="7">
        <f t="shared" si="41"/>
        <v>5142</v>
      </c>
      <c r="AE872" s="7">
        <f>IF(F872="Bullet",H872*AD872,MIN(MAX(I872,1),Assumptions!$B$6)*AD872)</f>
        <v>5142</v>
      </c>
      <c r="AF872" s="8">
        <f>IF(F872="Bullet",MAX(0,Assumptions!$B$4-AB872),MAX(0,Assumptions!$B$4-L872))</f>
        <v>0</v>
      </c>
      <c r="AG872" s="9">
        <v>46269</v>
      </c>
      <c r="AH872" s="8">
        <f>IF(AG872="","",Assumptions!$B$4-AG872)</f>
        <v>29</v>
      </c>
      <c r="AI872" s="5" t="s">
        <v>63</v>
      </c>
      <c r="AJ872" s="8">
        <v>2</v>
      </c>
      <c r="AK872" s="8">
        <v>0</v>
      </c>
      <c r="AL872" s="8">
        <v>797</v>
      </c>
      <c r="AM872" s="8">
        <v>2</v>
      </c>
      <c r="AN872" s="5" t="s">
        <v>63</v>
      </c>
      <c r="AO872" s="10">
        <v>68.7</v>
      </c>
      <c r="AP872" s="8">
        <v>17</v>
      </c>
      <c r="AQ872" s="9"/>
      <c r="AR872" s="5"/>
      <c r="AS872" s="5" t="s">
        <v>159</v>
      </c>
    </row>
    <row r="873" spans="1:45" x14ac:dyDescent="0.35">
      <c r="A873" s="5" t="s">
        <v>3891</v>
      </c>
      <c r="B873" s="5" t="s">
        <v>3892</v>
      </c>
      <c r="C873" s="6" t="s">
        <v>3893</v>
      </c>
      <c r="D873" s="7">
        <v>239300</v>
      </c>
      <c r="E873" s="5" t="s">
        <v>48</v>
      </c>
      <c r="F873" s="5" t="s">
        <v>49</v>
      </c>
      <c r="G873" s="8"/>
      <c r="H873" s="8" t="str">
        <f>IF(F873="Bullet",MIN(G873,Assumptions!$B$6),"")</f>
        <v/>
      </c>
      <c r="I873" s="8">
        <v>1</v>
      </c>
      <c r="J873" s="8">
        <f>IF(F873="Monthly interest",MAX(0,Assumptions!$B$5-I873),"")</f>
        <v>2</v>
      </c>
      <c r="K873" s="7">
        <f t="shared" si="39"/>
        <v>4387</v>
      </c>
      <c r="L873" s="9">
        <v>46276</v>
      </c>
      <c r="M873" s="5" t="s">
        <v>50</v>
      </c>
      <c r="N873" s="5" t="s">
        <v>53</v>
      </c>
      <c r="O873" s="5" t="s">
        <v>103</v>
      </c>
      <c r="P873" s="5" t="s">
        <v>51</v>
      </c>
      <c r="Q873" s="5" t="s">
        <v>54</v>
      </c>
      <c r="R873" s="5" t="s">
        <v>55</v>
      </c>
      <c r="S873" s="5" t="s">
        <v>85</v>
      </c>
      <c r="T873" s="5" t="s">
        <v>57</v>
      </c>
      <c r="U873" s="5" t="s">
        <v>58</v>
      </c>
      <c r="V873" s="5" t="s">
        <v>177</v>
      </c>
      <c r="W873" s="5" t="s">
        <v>345</v>
      </c>
      <c r="X873" s="5" t="s">
        <v>1969</v>
      </c>
      <c r="Y873" s="5" t="s">
        <v>3894</v>
      </c>
      <c r="Z873" s="9">
        <v>46184</v>
      </c>
      <c r="AA873" s="8">
        <v>12</v>
      </c>
      <c r="AB873" s="9">
        <f t="shared" si="40"/>
        <v>46549</v>
      </c>
      <c r="AC873" s="10">
        <v>22</v>
      </c>
      <c r="AD873" s="7">
        <f t="shared" si="41"/>
        <v>4387</v>
      </c>
      <c r="AE873" s="7">
        <f>IF(F873="Bullet",H873*AD873,MIN(MAX(I873,1),Assumptions!$B$6)*AD873)</f>
        <v>4387</v>
      </c>
      <c r="AF873" s="8">
        <f>IF(F873="Bullet",MAX(0,Assumptions!$B$4-AB873),MAX(0,Assumptions!$B$4-L873))</f>
        <v>22</v>
      </c>
      <c r="AG873" s="9">
        <v>46247</v>
      </c>
      <c r="AH873" s="8">
        <f>IF(AG873="","",Assumptions!$B$4-AG873)</f>
        <v>51</v>
      </c>
      <c r="AI873" s="5" t="s">
        <v>57</v>
      </c>
      <c r="AJ873" s="8">
        <v>1</v>
      </c>
      <c r="AK873" s="8">
        <v>0</v>
      </c>
      <c r="AL873" s="8">
        <v>810</v>
      </c>
      <c r="AM873" s="8">
        <v>1</v>
      </c>
      <c r="AN873" s="5" t="s">
        <v>63</v>
      </c>
      <c r="AO873" s="10">
        <v>59.1</v>
      </c>
      <c r="AP873" s="8">
        <v>10</v>
      </c>
      <c r="AQ873" s="9">
        <v>46281</v>
      </c>
      <c r="AR873" s="5" t="s">
        <v>51</v>
      </c>
      <c r="AS873" s="5" t="s">
        <v>81</v>
      </c>
    </row>
    <row r="874" spans="1:45" x14ac:dyDescent="0.35">
      <c r="A874" s="5" t="s">
        <v>3895</v>
      </c>
      <c r="B874" s="5" t="s">
        <v>3896</v>
      </c>
      <c r="C874" s="6" t="s">
        <v>3897</v>
      </c>
      <c r="D874" s="7">
        <v>36200</v>
      </c>
      <c r="E874" s="5" t="s">
        <v>48</v>
      </c>
      <c r="F874" s="5" t="s">
        <v>49</v>
      </c>
      <c r="G874" s="8"/>
      <c r="H874" s="8" t="str">
        <f>IF(F874="Bullet",MIN(G874,Assumptions!$B$6),"")</f>
        <v/>
      </c>
      <c r="I874" s="8">
        <v>2</v>
      </c>
      <c r="J874" s="8">
        <f>IF(F874="Monthly interest",MAX(0,Assumptions!$B$5-I874),"")</f>
        <v>1</v>
      </c>
      <c r="K874" s="7">
        <f t="shared" si="39"/>
        <v>1086</v>
      </c>
      <c r="L874" s="9">
        <v>46246</v>
      </c>
      <c r="M874" s="5" t="s">
        <v>69</v>
      </c>
      <c r="N874" s="5" t="s">
        <v>53</v>
      </c>
      <c r="O874" s="5" t="s">
        <v>152</v>
      </c>
      <c r="P874" s="5" t="s">
        <v>153</v>
      </c>
      <c r="Q874" s="5" t="s">
        <v>154</v>
      </c>
      <c r="R874" s="5" t="s">
        <v>155</v>
      </c>
      <c r="S874" s="5" t="s">
        <v>185</v>
      </c>
      <c r="T874" s="5" t="s">
        <v>57</v>
      </c>
      <c r="U874" s="5" t="s">
        <v>86</v>
      </c>
      <c r="V874" s="5" t="s">
        <v>200</v>
      </c>
      <c r="W874" s="5" t="s">
        <v>500</v>
      </c>
      <c r="X874" s="5" t="s">
        <v>1235</v>
      </c>
      <c r="Y874" s="5" t="s">
        <v>3898</v>
      </c>
      <c r="Z874" s="9">
        <v>46185</v>
      </c>
      <c r="AA874" s="8">
        <v>12</v>
      </c>
      <c r="AB874" s="9">
        <f t="shared" si="40"/>
        <v>46550</v>
      </c>
      <c r="AC874" s="10">
        <v>18</v>
      </c>
      <c r="AD874" s="7">
        <f t="shared" si="41"/>
        <v>543</v>
      </c>
      <c r="AE874" s="7">
        <f>IF(F874="Bullet",H874*AD874,MIN(MAX(I874,1),Assumptions!$B$6)*AD874)</f>
        <v>1086</v>
      </c>
      <c r="AF874" s="8">
        <f>IF(F874="Bullet",MAX(0,Assumptions!$B$4-AB874),MAX(0,Assumptions!$B$4-L874))</f>
        <v>52</v>
      </c>
      <c r="AG874" s="9">
        <v>46216</v>
      </c>
      <c r="AH874" s="8">
        <f>IF(AG874="","",Assumptions!$B$4-AG874)</f>
        <v>82</v>
      </c>
      <c r="AI874" s="5" t="s">
        <v>63</v>
      </c>
      <c r="AJ874" s="8">
        <v>2</v>
      </c>
      <c r="AK874" s="8">
        <v>0</v>
      </c>
      <c r="AL874" s="8">
        <v>802</v>
      </c>
      <c r="AM874" s="8">
        <v>1</v>
      </c>
      <c r="AN874" s="5" t="s">
        <v>63</v>
      </c>
      <c r="AO874" s="10">
        <v>84.6</v>
      </c>
      <c r="AP874" s="8">
        <v>40</v>
      </c>
      <c r="AQ874" s="9">
        <v>46285</v>
      </c>
      <c r="AR874" s="5" t="s">
        <v>70</v>
      </c>
      <c r="AS874" s="5" t="s">
        <v>81</v>
      </c>
    </row>
    <row r="875" spans="1:45" x14ac:dyDescent="0.35">
      <c r="A875" s="5" t="s">
        <v>3899</v>
      </c>
      <c r="B875" s="5" t="s">
        <v>3900</v>
      </c>
      <c r="C875" s="6" t="s">
        <v>3901</v>
      </c>
      <c r="D875" s="7">
        <v>44500</v>
      </c>
      <c r="E875" s="5" t="s">
        <v>48</v>
      </c>
      <c r="F875" s="5" t="s">
        <v>49</v>
      </c>
      <c r="G875" s="8"/>
      <c r="H875" s="8" t="str">
        <f>IF(F875="Bullet",MIN(G875,Assumptions!$B$6),"")</f>
        <v/>
      </c>
      <c r="I875" s="8">
        <v>1</v>
      </c>
      <c r="J875" s="8">
        <f>IF(F875="Monthly interest",MAX(0,Assumptions!$B$5-I875),"")</f>
        <v>2</v>
      </c>
      <c r="K875" s="7">
        <f t="shared" si="39"/>
        <v>668</v>
      </c>
      <c r="L875" s="9">
        <v>46280</v>
      </c>
      <c r="M875" s="5" t="s">
        <v>50</v>
      </c>
      <c r="N875" s="5" t="s">
        <v>51</v>
      </c>
      <c r="O875" s="5" t="s">
        <v>152</v>
      </c>
      <c r="P875" s="5" t="s">
        <v>53</v>
      </c>
      <c r="Q875" s="5" t="s">
        <v>154</v>
      </c>
      <c r="R875" s="5" t="s">
        <v>155</v>
      </c>
      <c r="S875" s="5" t="s">
        <v>75</v>
      </c>
      <c r="T875" s="5" t="s">
        <v>57</v>
      </c>
      <c r="U875" s="5" t="s">
        <v>58</v>
      </c>
      <c r="V875" s="5" t="s">
        <v>76</v>
      </c>
      <c r="W875" s="5" t="s">
        <v>547</v>
      </c>
      <c r="X875" s="5" t="s">
        <v>548</v>
      </c>
      <c r="Y875" s="5" t="s">
        <v>3902</v>
      </c>
      <c r="Z875" s="9">
        <v>46157</v>
      </c>
      <c r="AA875" s="8">
        <v>18</v>
      </c>
      <c r="AB875" s="9">
        <f t="shared" si="40"/>
        <v>46706</v>
      </c>
      <c r="AC875" s="10">
        <v>18</v>
      </c>
      <c r="AD875" s="7">
        <f t="shared" si="41"/>
        <v>668</v>
      </c>
      <c r="AE875" s="7">
        <f>IF(F875="Bullet",H875*AD875,MIN(MAX(I875,1),Assumptions!$B$6)*AD875)</f>
        <v>668</v>
      </c>
      <c r="AF875" s="8">
        <f>IF(F875="Bullet",MAX(0,Assumptions!$B$4-AB875),MAX(0,Assumptions!$B$4-L875))</f>
        <v>18</v>
      </c>
      <c r="AG875" s="9">
        <v>46252</v>
      </c>
      <c r="AH875" s="8">
        <f>IF(AG875="","",Assumptions!$B$4-AG875)</f>
        <v>46</v>
      </c>
      <c r="AI875" s="5" t="s">
        <v>63</v>
      </c>
      <c r="AJ875" s="8">
        <v>1</v>
      </c>
      <c r="AK875" s="8">
        <v>0</v>
      </c>
      <c r="AL875" s="8">
        <v>724</v>
      </c>
      <c r="AM875" s="8">
        <v>2</v>
      </c>
      <c r="AN875" s="5" t="s">
        <v>63</v>
      </c>
      <c r="AO875" s="10">
        <v>77.3</v>
      </c>
      <c r="AP875" s="8">
        <v>28</v>
      </c>
      <c r="AQ875" s="9">
        <v>46296</v>
      </c>
      <c r="AR875" s="5" t="s">
        <v>53</v>
      </c>
      <c r="AS875" s="5" t="s">
        <v>81</v>
      </c>
    </row>
    <row r="876" spans="1:45" x14ac:dyDescent="0.35">
      <c r="A876" s="5" t="s">
        <v>3903</v>
      </c>
      <c r="B876" s="5" t="s">
        <v>3904</v>
      </c>
      <c r="C876" s="6" t="s">
        <v>3905</v>
      </c>
      <c r="D876" s="7">
        <v>1019500</v>
      </c>
      <c r="E876" s="5" t="s">
        <v>48</v>
      </c>
      <c r="F876" s="5" t="s">
        <v>68</v>
      </c>
      <c r="G876" s="8">
        <v>4</v>
      </c>
      <c r="H876" s="8">
        <f>IF(F876="Bullet",MIN(G876,Assumptions!$B$6),"")</f>
        <v>2</v>
      </c>
      <c r="I876" s="8"/>
      <c r="J876" s="8" t="str">
        <f>IF(F876="Monthly interest",MAX(0,Assumptions!$B$5-I876),"")</f>
        <v/>
      </c>
      <c r="K876" s="7">
        <f t="shared" si="39"/>
        <v>47576</v>
      </c>
      <c r="L876" s="9">
        <v>46152</v>
      </c>
      <c r="M876" s="5" t="s">
        <v>50</v>
      </c>
      <c r="N876" s="5" t="s">
        <v>53</v>
      </c>
      <c r="O876" s="5" t="s">
        <v>71</v>
      </c>
      <c r="P876" s="5" t="s">
        <v>70</v>
      </c>
      <c r="Q876" s="5" t="s">
        <v>73</v>
      </c>
      <c r="R876" s="5" t="s">
        <v>74</v>
      </c>
      <c r="S876" s="5" t="s">
        <v>75</v>
      </c>
      <c r="T876" s="5" t="s">
        <v>63</v>
      </c>
      <c r="U876" s="5" t="s">
        <v>104</v>
      </c>
      <c r="V876" s="5" t="s">
        <v>76</v>
      </c>
      <c r="W876" s="5" t="s">
        <v>140</v>
      </c>
      <c r="X876" s="5" t="s">
        <v>3586</v>
      </c>
      <c r="Y876" s="5" t="s">
        <v>3906</v>
      </c>
      <c r="Z876" s="9">
        <v>46152</v>
      </c>
      <c r="AA876" s="8">
        <v>6</v>
      </c>
      <c r="AB876" s="9">
        <f t="shared" si="40"/>
        <v>46336</v>
      </c>
      <c r="AC876" s="10">
        <v>14</v>
      </c>
      <c r="AD876" s="7">
        <f t="shared" si="41"/>
        <v>11894</v>
      </c>
      <c r="AE876" s="7">
        <f>IF(F876="Bullet",H876*AD876,MIN(MAX(I876,1),Assumptions!$B$6)*AD876)</f>
        <v>23788</v>
      </c>
      <c r="AF876" s="8">
        <f>IF(F876="Bullet",MAX(0,Assumptions!$B$4-AB876),MAX(0,Assumptions!$B$4-L876))</f>
        <v>0</v>
      </c>
      <c r="AG876" s="9"/>
      <c r="AH876" s="8" t="str">
        <f>IF(AG876="","",Assumptions!$B$4-AG876)</f>
        <v/>
      </c>
      <c r="AI876" s="5" t="s">
        <v>80</v>
      </c>
      <c r="AJ876" s="8"/>
      <c r="AK876" s="8">
        <v>1</v>
      </c>
      <c r="AL876" s="8">
        <v>795</v>
      </c>
      <c r="AM876" s="8">
        <v>2</v>
      </c>
      <c r="AN876" s="5" t="s">
        <v>63</v>
      </c>
      <c r="AO876" s="10">
        <v>51.6</v>
      </c>
      <c r="AP876" s="8">
        <v>22</v>
      </c>
      <c r="AQ876" s="9">
        <v>46289</v>
      </c>
      <c r="AR876" s="5" t="s">
        <v>51</v>
      </c>
      <c r="AS876" s="5" t="s">
        <v>181</v>
      </c>
    </row>
    <row r="877" spans="1:45" x14ac:dyDescent="0.35">
      <c r="A877" s="5" t="s">
        <v>3907</v>
      </c>
      <c r="B877" s="5" t="s">
        <v>1164</v>
      </c>
      <c r="C877" s="6" t="s">
        <v>3908</v>
      </c>
      <c r="D877" s="7">
        <v>292900</v>
      </c>
      <c r="E877" s="5" t="s">
        <v>48</v>
      </c>
      <c r="F877" s="5" t="s">
        <v>49</v>
      </c>
      <c r="G877" s="8"/>
      <c r="H877" s="8" t="str">
        <f>IF(F877="Bullet",MIN(G877,Assumptions!$B$6),"")</f>
        <v/>
      </c>
      <c r="I877" s="8">
        <v>2</v>
      </c>
      <c r="J877" s="8">
        <f>IF(F877="Monthly interest",MAX(0,Assumptions!$B$5-I877),"")</f>
        <v>1</v>
      </c>
      <c r="K877" s="7">
        <f t="shared" si="39"/>
        <v>7322</v>
      </c>
      <c r="L877" s="9">
        <v>46239</v>
      </c>
      <c r="M877" s="5" t="s">
        <v>69</v>
      </c>
      <c r="N877" s="5" t="s">
        <v>70</v>
      </c>
      <c r="O877" s="5" t="s">
        <v>71</v>
      </c>
      <c r="P877" s="5" t="s">
        <v>72</v>
      </c>
      <c r="Q877" s="5" t="s">
        <v>73</v>
      </c>
      <c r="R877" s="5" t="s">
        <v>74</v>
      </c>
      <c r="S877" s="5" t="s">
        <v>214</v>
      </c>
      <c r="T877" s="5" t="s">
        <v>57</v>
      </c>
      <c r="U877" s="5" t="s">
        <v>58</v>
      </c>
      <c r="V877" s="5" t="s">
        <v>215</v>
      </c>
      <c r="W877" s="5" t="s">
        <v>216</v>
      </c>
      <c r="X877" s="5" t="s">
        <v>2179</v>
      </c>
      <c r="Y877" s="5" t="s">
        <v>3909</v>
      </c>
      <c r="Z877" s="9">
        <v>46117</v>
      </c>
      <c r="AA877" s="8">
        <v>24</v>
      </c>
      <c r="AB877" s="9">
        <f t="shared" si="40"/>
        <v>46848</v>
      </c>
      <c r="AC877" s="10">
        <v>15</v>
      </c>
      <c r="AD877" s="7">
        <f t="shared" si="41"/>
        <v>3661</v>
      </c>
      <c r="AE877" s="7">
        <f>IF(F877="Bullet",H877*AD877,MIN(MAX(I877,1),Assumptions!$B$6)*AD877)</f>
        <v>7322</v>
      </c>
      <c r="AF877" s="8">
        <f>IF(F877="Bullet",MAX(0,Assumptions!$B$4-AB877),MAX(0,Assumptions!$B$4-L877))</f>
        <v>59</v>
      </c>
      <c r="AG877" s="9">
        <v>46208</v>
      </c>
      <c r="AH877" s="8">
        <f>IF(AG877="","",Assumptions!$B$4-AG877)</f>
        <v>90</v>
      </c>
      <c r="AI877" s="5" t="s">
        <v>63</v>
      </c>
      <c r="AJ877" s="8">
        <v>2</v>
      </c>
      <c r="AK877" s="8">
        <v>0</v>
      </c>
      <c r="AL877" s="8">
        <v>720</v>
      </c>
      <c r="AM877" s="8">
        <v>1</v>
      </c>
      <c r="AN877" s="5" t="s">
        <v>63</v>
      </c>
      <c r="AO877" s="10">
        <v>57.9</v>
      </c>
      <c r="AP877" s="8">
        <v>41</v>
      </c>
      <c r="AQ877" s="9">
        <v>46291</v>
      </c>
      <c r="AR877" s="5" t="s">
        <v>70</v>
      </c>
      <c r="AS877" s="5" t="s">
        <v>91</v>
      </c>
    </row>
    <row r="878" spans="1:45" x14ac:dyDescent="0.35">
      <c r="A878" s="5" t="s">
        <v>3910</v>
      </c>
      <c r="B878" s="5" t="s">
        <v>1226</v>
      </c>
      <c r="C878" s="6" t="s">
        <v>3911</v>
      </c>
      <c r="D878" s="7">
        <v>181200</v>
      </c>
      <c r="E878" s="5" t="s">
        <v>48</v>
      </c>
      <c r="F878" s="5" t="s">
        <v>68</v>
      </c>
      <c r="G878" s="8">
        <v>4</v>
      </c>
      <c r="H878" s="8">
        <f>IF(F878="Bullet",MIN(G878,Assumptions!$B$6),"")</f>
        <v>2</v>
      </c>
      <c r="I878" s="8"/>
      <c r="J878" s="8" t="str">
        <f>IF(F878="Monthly interest",MAX(0,Assumptions!$B$5-I878),"")</f>
        <v/>
      </c>
      <c r="K878" s="7">
        <f t="shared" si="39"/>
        <v>10872</v>
      </c>
      <c r="L878" s="9">
        <v>46169</v>
      </c>
      <c r="M878" s="5" t="s">
        <v>50</v>
      </c>
      <c r="N878" s="5" t="s">
        <v>70</v>
      </c>
      <c r="O878" s="5" t="s">
        <v>531</v>
      </c>
      <c r="P878" s="5" t="s">
        <v>72</v>
      </c>
      <c r="Q878" s="5" t="s">
        <v>73</v>
      </c>
      <c r="R878" s="5" t="s">
        <v>74</v>
      </c>
      <c r="S878" s="5" t="s">
        <v>75</v>
      </c>
      <c r="T878" s="5" t="s">
        <v>63</v>
      </c>
      <c r="U878" s="5" t="s">
        <v>86</v>
      </c>
      <c r="V878" s="5" t="s">
        <v>76</v>
      </c>
      <c r="W878" s="5" t="s">
        <v>382</v>
      </c>
      <c r="X878" s="5" t="s">
        <v>2454</v>
      </c>
      <c r="Y878" s="5" t="s">
        <v>3912</v>
      </c>
      <c r="Z878" s="9">
        <v>46169</v>
      </c>
      <c r="AA878" s="8">
        <v>6</v>
      </c>
      <c r="AB878" s="9">
        <f t="shared" si="40"/>
        <v>46353</v>
      </c>
      <c r="AC878" s="10">
        <v>18</v>
      </c>
      <c r="AD878" s="7">
        <f t="shared" si="41"/>
        <v>2718</v>
      </c>
      <c r="AE878" s="7">
        <f>IF(F878="Bullet",H878*AD878,MIN(MAX(I878,1),Assumptions!$B$6)*AD878)</f>
        <v>5436</v>
      </c>
      <c r="AF878" s="8">
        <f>IF(F878="Bullet",MAX(0,Assumptions!$B$4-AB878),MAX(0,Assumptions!$B$4-L878))</f>
        <v>0</v>
      </c>
      <c r="AG878" s="9"/>
      <c r="AH878" s="8" t="str">
        <f>IF(AG878="","",Assumptions!$B$4-AG878)</f>
        <v/>
      </c>
      <c r="AI878" s="5" t="s">
        <v>80</v>
      </c>
      <c r="AJ878" s="8"/>
      <c r="AK878" s="8">
        <v>1</v>
      </c>
      <c r="AL878" s="8">
        <v>787</v>
      </c>
      <c r="AM878" s="8">
        <v>1</v>
      </c>
      <c r="AN878" s="5" t="s">
        <v>63</v>
      </c>
      <c r="AO878" s="10">
        <v>61.3</v>
      </c>
      <c r="AP878" s="8">
        <v>15</v>
      </c>
      <c r="AQ878" s="9">
        <v>46283</v>
      </c>
      <c r="AR878" s="5" t="s">
        <v>53</v>
      </c>
      <c r="AS878" s="5" t="s">
        <v>81</v>
      </c>
    </row>
    <row r="879" spans="1:45" x14ac:dyDescent="0.35">
      <c r="A879" s="5" t="s">
        <v>3913</v>
      </c>
      <c r="B879" s="5" t="s">
        <v>3914</v>
      </c>
      <c r="C879" s="6" t="s">
        <v>3915</v>
      </c>
      <c r="D879" s="7">
        <v>62800</v>
      </c>
      <c r="E879" s="5" t="s">
        <v>48</v>
      </c>
      <c r="F879" s="5" t="s">
        <v>49</v>
      </c>
      <c r="G879" s="8"/>
      <c r="H879" s="8" t="str">
        <f>IF(F879="Bullet",MIN(G879,Assumptions!$B$6),"")</f>
        <v/>
      </c>
      <c r="I879" s="8">
        <v>2</v>
      </c>
      <c r="J879" s="8">
        <f>IF(F879="Monthly interest",MAX(0,Assumptions!$B$5-I879),"")</f>
        <v>1</v>
      </c>
      <c r="K879" s="7">
        <f t="shared" si="39"/>
        <v>2512</v>
      </c>
      <c r="L879" s="9">
        <v>46268</v>
      </c>
      <c r="M879" s="5" t="s">
        <v>69</v>
      </c>
      <c r="N879" s="5" t="s">
        <v>53</v>
      </c>
      <c r="O879" s="5" t="s">
        <v>71</v>
      </c>
      <c r="P879" s="5" t="s">
        <v>70</v>
      </c>
      <c r="Q879" s="5" t="s">
        <v>73</v>
      </c>
      <c r="R879" s="5" t="s">
        <v>74</v>
      </c>
      <c r="S879" s="5" t="s">
        <v>85</v>
      </c>
      <c r="T879" s="5" t="s">
        <v>57</v>
      </c>
      <c r="U879" s="5" t="s">
        <v>58</v>
      </c>
      <c r="V879" s="5" t="s">
        <v>96</v>
      </c>
      <c r="W879" s="5" t="s">
        <v>265</v>
      </c>
      <c r="X879" s="5" t="s">
        <v>1243</v>
      </c>
      <c r="Y879" s="5" t="s">
        <v>3916</v>
      </c>
      <c r="Z879" s="9">
        <v>46176</v>
      </c>
      <c r="AA879" s="8">
        <v>12</v>
      </c>
      <c r="AB879" s="9">
        <f t="shared" si="40"/>
        <v>46541</v>
      </c>
      <c r="AC879" s="10">
        <v>24</v>
      </c>
      <c r="AD879" s="7">
        <f t="shared" si="41"/>
        <v>1256</v>
      </c>
      <c r="AE879" s="7">
        <f>IF(F879="Bullet",H879*AD879,MIN(MAX(I879,1),Assumptions!$B$6)*AD879)</f>
        <v>2512</v>
      </c>
      <c r="AF879" s="8">
        <f>IF(F879="Bullet",MAX(0,Assumptions!$B$4-AB879),MAX(0,Assumptions!$B$4-L879))</f>
        <v>30</v>
      </c>
      <c r="AG879" s="9">
        <v>46241</v>
      </c>
      <c r="AH879" s="8">
        <f>IF(AG879="","",Assumptions!$B$4-AG879)</f>
        <v>57</v>
      </c>
      <c r="AI879" s="5" t="s">
        <v>63</v>
      </c>
      <c r="AJ879" s="8">
        <v>4</v>
      </c>
      <c r="AK879" s="8">
        <v>0</v>
      </c>
      <c r="AL879" s="8">
        <v>784</v>
      </c>
      <c r="AM879" s="8">
        <v>0</v>
      </c>
      <c r="AN879" s="5" t="s">
        <v>63</v>
      </c>
      <c r="AO879" s="10">
        <v>64.3</v>
      </c>
      <c r="AP879" s="8">
        <v>42</v>
      </c>
      <c r="AQ879" s="9">
        <v>46295</v>
      </c>
      <c r="AR879" s="5" t="s">
        <v>70</v>
      </c>
      <c r="AS879" s="5" t="s">
        <v>81</v>
      </c>
    </row>
    <row r="880" spans="1:45" x14ac:dyDescent="0.35">
      <c r="A880" s="5" t="s">
        <v>3917</v>
      </c>
      <c r="B880" s="5" t="s">
        <v>1898</v>
      </c>
      <c r="C880" s="6" t="s">
        <v>3918</v>
      </c>
      <c r="D880" s="7">
        <v>20900</v>
      </c>
      <c r="E880" s="5" t="s">
        <v>48</v>
      </c>
      <c r="F880" s="5" t="s">
        <v>68</v>
      </c>
      <c r="G880" s="8">
        <v>5</v>
      </c>
      <c r="H880" s="8">
        <f>IF(F880="Bullet",MIN(G880,Assumptions!$B$6),"")</f>
        <v>2</v>
      </c>
      <c r="I880" s="8"/>
      <c r="J880" s="8" t="str">
        <f>IF(F880="Monthly interest",MAX(0,Assumptions!$B$5-I880),"")</f>
        <v/>
      </c>
      <c r="K880" s="7">
        <f t="shared" si="39"/>
        <v>1395</v>
      </c>
      <c r="L880" s="9">
        <v>46132</v>
      </c>
      <c r="M880" s="5" t="s">
        <v>69</v>
      </c>
      <c r="N880" s="5" t="s">
        <v>53</v>
      </c>
      <c r="O880" s="5" t="s">
        <v>168</v>
      </c>
      <c r="P880" s="5" t="s">
        <v>70</v>
      </c>
      <c r="Q880" s="5" t="s">
        <v>169</v>
      </c>
      <c r="R880" s="5" t="s">
        <v>170</v>
      </c>
      <c r="S880" s="5" t="s">
        <v>185</v>
      </c>
      <c r="T880" s="5" t="s">
        <v>57</v>
      </c>
      <c r="U880" s="5" t="s">
        <v>104</v>
      </c>
      <c r="V880" s="5" t="s">
        <v>200</v>
      </c>
      <c r="W880" s="5" t="s">
        <v>201</v>
      </c>
      <c r="X880" s="5" t="s">
        <v>3221</v>
      </c>
      <c r="Y880" s="5" t="s">
        <v>3919</v>
      </c>
      <c r="Z880" s="9">
        <v>46132</v>
      </c>
      <c r="AA880" s="8">
        <v>6</v>
      </c>
      <c r="AB880" s="9">
        <f t="shared" si="40"/>
        <v>46315</v>
      </c>
      <c r="AC880" s="10">
        <v>16</v>
      </c>
      <c r="AD880" s="7">
        <f t="shared" si="41"/>
        <v>279</v>
      </c>
      <c r="AE880" s="7">
        <f>IF(F880="Bullet",H880*AD880,MIN(MAX(I880,1),Assumptions!$B$6)*AD880)</f>
        <v>558</v>
      </c>
      <c r="AF880" s="8">
        <f>IF(F880="Bullet",MAX(0,Assumptions!$B$4-AB880),MAX(0,Assumptions!$B$4-L880))</f>
        <v>0</v>
      </c>
      <c r="AG880" s="9"/>
      <c r="AH880" s="8" t="str">
        <f>IF(AG880="","",Assumptions!$B$4-AG880)</f>
        <v/>
      </c>
      <c r="AI880" s="5" t="s">
        <v>80</v>
      </c>
      <c r="AJ880" s="8"/>
      <c r="AK880" s="8">
        <v>0</v>
      </c>
      <c r="AL880" s="8">
        <v>712</v>
      </c>
      <c r="AM880" s="8">
        <v>1</v>
      </c>
      <c r="AN880" s="5" t="s">
        <v>57</v>
      </c>
      <c r="AO880" s="10">
        <v>66.400000000000006</v>
      </c>
      <c r="AP880" s="8">
        <v>45</v>
      </c>
      <c r="AQ880" s="9">
        <v>46293</v>
      </c>
      <c r="AR880" s="5" t="s">
        <v>51</v>
      </c>
      <c r="AS880" s="5" t="s">
        <v>181</v>
      </c>
    </row>
    <row r="881" spans="1:45" x14ac:dyDescent="0.35">
      <c r="A881" s="5" t="s">
        <v>3920</v>
      </c>
      <c r="B881" s="5" t="s">
        <v>3921</v>
      </c>
      <c r="C881" s="6" t="s">
        <v>3922</v>
      </c>
      <c r="D881" s="7">
        <v>98800</v>
      </c>
      <c r="E881" s="5" t="s">
        <v>48</v>
      </c>
      <c r="F881" s="5" t="s">
        <v>68</v>
      </c>
      <c r="G881" s="8">
        <v>1</v>
      </c>
      <c r="H881" s="8">
        <f>IF(F881="Bullet",MIN(G881,Assumptions!$B$6),"")</f>
        <v>1</v>
      </c>
      <c r="I881" s="8"/>
      <c r="J881" s="8" t="str">
        <f>IF(F881="Monthly interest",MAX(0,Assumptions!$B$5-I881),"")</f>
        <v/>
      </c>
      <c r="K881" s="7">
        <f t="shared" si="39"/>
        <v>1317</v>
      </c>
      <c r="L881" s="9">
        <v>46259</v>
      </c>
      <c r="M881" s="5" t="s">
        <v>50</v>
      </c>
      <c r="N881" s="5" t="s">
        <v>53</v>
      </c>
      <c r="O881" s="5" t="s">
        <v>95</v>
      </c>
      <c r="P881" s="5" t="s">
        <v>70</v>
      </c>
      <c r="Q881" s="5" t="s">
        <v>73</v>
      </c>
      <c r="R881" s="5" t="s">
        <v>74</v>
      </c>
      <c r="S881" s="5" t="s">
        <v>85</v>
      </c>
      <c r="T881" s="5" t="s">
        <v>63</v>
      </c>
      <c r="U881" s="5" t="s">
        <v>86</v>
      </c>
      <c r="V881" s="5" t="s">
        <v>177</v>
      </c>
      <c r="W881" s="5" t="s">
        <v>178</v>
      </c>
      <c r="X881" s="5" t="s">
        <v>3758</v>
      </c>
      <c r="Y881" s="5" t="s">
        <v>3923</v>
      </c>
      <c r="Z881" s="9">
        <v>46259</v>
      </c>
      <c r="AA881" s="8">
        <v>6</v>
      </c>
      <c r="AB881" s="9">
        <f t="shared" si="40"/>
        <v>46443</v>
      </c>
      <c r="AC881" s="10">
        <v>16</v>
      </c>
      <c r="AD881" s="7">
        <f t="shared" si="41"/>
        <v>1317</v>
      </c>
      <c r="AE881" s="7">
        <f>IF(F881="Bullet",H881*AD881,MIN(MAX(I881,1),Assumptions!$B$6)*AD881)</f>
        <v>1317</v>
      </c>
      <c r="AF881" s="8">
        <f>IF(F881="Bullet",MAX(0,Assumptions!$B$4-AB881),MAX(0,Assumptions!$B$4-L881))</f>
        <v>0</v>
      </c>
      <c r="AG881" s="9"/>
      <c r="AH881" s="8" t="str">
        <f>IF(AG881="","",Assumptions!$B$4-AG881)</f>
        <v/>
      </c>
      <c r="AI881" s="5" t="s">
        <v>80</v>
      </c>
      <c r="AJ881" s="8"/>
      <c r="AK881" s="8">
        <v>0</v>
      </c>
      <c r="AL881" s="8">
        <v>728</v>
      </c>
      <c r="AM881" s="8">
        <v>2</v>
      </c>
      <c r="AN881" s="5" t="s">
        <v>63</v>
      </c>
      <c r="AO881" s="10">
        <v>74.5</v>
      </c>
      <c r="AP881" s="8">
        <v>10</v>
      </c>
      <c r="AQ881" s="9">
        <v>46296</v>
      </c>
      <c r="AR881" s="5" t="s">
        <v>53</v>
      </c>
      <c r="AS881" s="5" t="s">
        <v>81</v>
      </c>
    </row>
    <row r="882" spans="1:45" x14ac:dyDescent="0.35">
      <c r="A882" s="5" t="s">
        <v>3924</v>
      </c>
      <c r="B882" s="5" t="s">
        <v>3925</v>
      </c>
      <c r="C882" s="6" t="s">
        <v>3926</v>
      </c>
      <c r="D882" s="7">
        <v>161000</v>
      </c>
      <c r="E882" s="5" t="s">
        <v>48</v>
      </c>
      <c r="F882" s="5" t="s">
        <v>68</v>
      </c>
      <c r="G882" s="8">
        <v>3</v>
      </c>
      <c r="H882" s="8">
        <f>IF(F882="Bullet",MIN(G882,Assumptions!$B$6),"")</f>
        <v>2</v>
      </c>
      <c r="I882" s="8"/>
      <c r="J882" s="8" t="str">
        <f>IF(F882="Monthly interest",MAX(0,Assumptions!$B$5-I882),"")</f>
        <v/>
      </c>
      <c r="K882" s="7">
        <f t="shared" si="39"/>
        <v>6441</v>
      </c>
      <c r="L882" s="9">
        <v>46206</v>
      </c>
      <c r="M882" s="5" t="s">
        <v>50</v>
      </c>
      <c r="N882" s="5" t="s">
        <v>53</v>
      </c>
      <c r="O882" s="5" t="s">
        <v>71</v>
      </c>
      <c r="P882" s="5" t="s">
        <v>51</v>
      </c>
      <c r="Q882" s="5" t="s">
        <v>73</v>
      </c>
      <c r="R882" s="5" t="s">
        <v>74</v>
      </c>
      <c r="S882" s="5" t="s">
        <v>214</v>
      </c>
      <c r="T882" s="5" t="s">
        <v>57</v>
      </c>
      <c r="U882" s="5" t="s">
        <v>58</v>
      </c>
      <c r="V882" s="5" t="s">
        <v>215</v>
      </c>
      <c r="W882" s="5" t="s">
        <v>278</v>
      </c>
      <c r="X882" s="5" t="s">
        <v>1072</v>
      </c>
      <c r="Y882" s="5" t="s">
        <v>3927</v>
      </c>
      <c r="Z882" s="9">
        <v>46206</v>
      </c>
      <c r="AA882" s="8">
        <v>6</v>
      </c>
      <c r="AB882" s="9">
        <f t="shared" si="40"/>
        <v>46390</v>
      </c>
      <c r="AC882" s="10">
        <v>16</v>
      </c>
      <c r="AD882" s="7">
        <f t="shared" si="41"/>
        <v>2147</v>
      </c>
      <c r="AE882" s="7">
        <f>IF(F882="Bullet",H882*AD882,MIN(MAX(I882,1),Assumptions!$B$6)*AD882)</f>
        <v>4294</v>
      </c>
      <c r="AF882" s="8">
        <f>IF(F882="Bullet",MAX(0,Assumptions!$B$4-AB882),MAX(0,Assumptions!$B$4-L882))</f>
        <v>0</v>
      </c>
      <c r="AG882" s="9"/>
      <c r="AH882" s="8" t="str">
        <f>IF(AG882="","",Assumptions!$B$4-AG882)</f>
        <v/>
      </c>
      <c r="AI882" s="5" t="s">
        <v>80</v>
      </c>
      <c r="AJ882" s="8"/>
      <c r="AK882" s="8">
        <v>1</v>
      </c>
      <c r="AL882" s="8">
        <v>740</v>
      </c>
      <c r="AM882" s="8">
        <v>0</v>
      </c>
      <c r="AN882" s="5" t="s">
        <v>63</v>
      </c>
      <c r="AO882" s="10">
        <v>68.599999999999994</v>
      </c>
      <c r="AP882" s="8">
        <v>20</v>
      </c>
      <c r="AQ882" s="9">
        <v>46274</v>
      </c>
      <c r="AR882" s="5" t="s">
        <v>51</v>
      </c>
      <c r="AS882" s="5" t="s">
        <v>91</v>
      </c>
    </row>
    <row r="883" spans="1:45" x14ac:dyDescent="0.35">
      <c r="A883" s="5" t="s">
        <v>3928</v>
      </c>
      <c r="B883" s="5" t="s">
        <v>898</v>
      </c>
      <c r="C883" s="6" t="s">
        <v>3929</v>
      </c>
      <c r="D883" s="7">
        <v>226700</v>
      </c>
      <c r="E883" s="5" t="s">
        <v>48</v>
      </c>
      <c r="F883" s="5" t="s">
        <v>68</v>
      </c>
      <c r="G883" s="8">
        <v>3</v>
      </c>
      <c r="H883" s="8">
        <f>IF(F883="Bullet",MIN(G883,Assumptions!$B$6),"")</f>
        <v>2</v>
      </c>
      <c r="I883" s="8"/>
      <c r="J883" s="8" t="str">
        <f>IF(F883="Monthly interest",MAX(0,Assumptions!$B$5-I883),"")</f>
        <v/>
      </c>
      <c r="K883" s="7">
        <f t="shared" si="39"/>
        <v>7368</v>
      </c>
      <c r="L883" s="9">
        <v>46197</v>
      </c>
      <c r="M883" s="5" t="s">
        <v>50</v>
      </c>
      <c r="N883" s="5" t="s">
        <v>53</v>
      </c>
      <c r="O883" s="5" t="s">
        <v>71</v>
      </c>
      <c r="P883" s="5" t="s">
        <v>51</v>
      </c>
      <c r="Q883" s="5" t="s">
        <v>73</v>
      </c>
      <c r="R883" s="5" t="s">
        <v>74</v>
      </c>
      <c r="S883" s="5" t="s">
        <v>85</v>
      </c>
      <c r="T883" s="5" t="s">
        <v>57</v>
      </c>
      <c r="U883" s="5" t="s">
        <v>86</v>
      </c>
      <c r="V883" s="5" t="s">
        <v>133</v>
      </c>
      <c r="W883" s="5" t="s">
        <v>134</v>
      </c>
      <c r="X883" s="5" t="s">
        <v>2492</v>
      </c>
      <c r="Y883" s="5" t="s">
        <v>3930</v>
      </c>
      <c r="Z883" s="9">
        <v>46197</v>
      </c>
      <c r="AA883" s="8">
        <v>6</v>
      </c>
      <c r="AB883" s="9">
        <f t="shared" si="40"/>
        <v>46380</v>
      </c>
      <c r="AC883" s="10">
        <v>13</v>
      </c>
      <c r="AD883" s="7">
        <f t="shared" si="41"/>
        <v>2456</v>
      </c>
      <c r="AE883" s="7">
        <f>IF(F883="Bullet",H883*AD883,MIN(MAX(I883,1),Assumptions!$B$6)*AD883)</f>
        <v>4912</v>
      </c>
      <c r="AF883" s="8">
        <f>IF(F883="Bullet",MAX(0,Assumptions!$B$4-AB883),MAX(0,Assumptions!$B$4-L883))</f>
        <v>0</v>
      </c>
      <c r="AG883" s="9"/>
      <c r="AH883" s="8" t="str">
        <f>IF(AG883="","",Assumptions!$B$4-AG883)</f>
        <v/>
      </c>
      <c r="AI883" s="5" t="s">
        <v>80</v>
      </c>
      <c r="AJ883" s="8"/>
      <c r="AK883" s="8">
        <v>1</v>
      </c>
      <c r="AL883" s="8">
        <v>725</v>
      </c>
      <c r="AM883" s="8">
        <v>1</v>
      </c>
      <c r="AN883" s="5" t="s">
        <v>63</v>
      </c>
      <c r="AO883" s="10">
        <v>73.7</v>
      </c>
      <c r="AP883" s="8">
        <v>19</v>
      </c>
      <c r="AQ883" s="9"/>
      <c r="AR883" s="5"/>
      <c r="AS883" s="5" t="s">
        <v>159</v>
      </c>
    </row>
    <row r="884" spans="1:45" x14ac:dyDescent="0.35">
      <c r="A884" s="5" t="s">
        <v>3931</v>
      </c>
      <c r="B884" s="5" t="s">
        <v>3383</v>
      </c>
      <c r="C884" s="6" t="s">
        <v>3932</v>
      </c>
      <c r="D884" s="7">
        <v>67000</v>
      </c>
      <c r="E884" s="5" t="s">
        <v>48</v>
      </c>
      <c r="F884" s="5" t="s">
        <v>49</v>
      </c>
      <c r="G884" s="8"/>
      <c r="H884" s="8" t="str">
        <f>IF(F884="Bullet",MIN(G884,Assumptions!$B$6),"")</f>
        <v/>
      </c>
      <c r="I884" s="8">
        <v>2</v>
      </c>
      <c r="J884" s="8">
        <f>IF(F884="Monthly interest",MAX(0,Assumptions!$B$5-I884),"")</f>
        <v>1</v>
      </c>
      <c r="K884" s="7">
        <f t="shared" si="39"/>
        <v>2680</v>
      </c>
      <c r="L884" s="9">
        <v>46260</v>
      </c>
      <c r="M884" s="5" t="s">
        <v>116</v>
      </c>
      <c r="N884" s="5" t="s">
        <v>117</v>
      </c>
      <c r="O884" s="5" t="s">
        <v>118</v>
      </c>
      <c r="P884" s="5" t="s">
        <v>72</v>
      </c>
      <c r="Q884" s="5" t="s">
        <v>119</v>
      </c>
      <c r="R884" s="5" t="s">
        <v>120</v>
      </c>
      <c r="S884" s="5" t="s">
        <v>56</v>
      </c>
      <c r="T884" s="5" t="s">
        <v>57</v>
      </c>
      <c r="U884" s="5" t="s">
        <v>86</v>
      </c>
      <c r="V884" s="5" t="s">
        <v>59</v>
      </c>
      <c r="W884" s="5" t="s">
        <v>418</v>
      </c>
      <c r="X884" s="5" t="s">
        <v>2323</v>
      </c>
      <c r="Y884" s="5" t="s">
        <v>3933</v>
      </c>
      <c r="Z884" s="9">
        <v>46138</v>
      </c>
      <c r="AA884" s="8">
        <v>12</v>
      </c>
      <c r="AB884" s="9">
        <f t="shared" si="40"/>
        <v>46503</v>
      </c>
      <c r="AC884" s="10">
        <v>24</v>
      </c>
      <c r="AD884" s="7">
        <f t="shared" si="41"/>
        <v>1340</v>
      </c>
      <c r="AE884" s="7">
        <f>IF(F884="Bullet",H884*AD884,MIN(MAX(I884,1),Assumptions!$B$6)*AD884)</f>
        <v>2680</v>
      </c>
      <c r="AF884" s="8">
        <f>IF(F884="Bullet",MAX(0,Assumptions!$B$4-AB884),MAX(0,Assumptions!$B$4-L884))</f>
        <v>38</v>
      </c>
      <c r="AG884" s="9">
        <v>46233</v>
      </c>
      <c r="AH884" s="8">
        <f>IF(AG884="","",Assumptions!$B$4-AG884)</f>
        <v>65</v>
      </c>
      <c r="AI884" s="5" t="s">
        <v>57</v>
      </c>
      <c r="AJ884" s="8">
        <v>3</v>
      </c>
      <c r="AK884" s="8">
        <v>1</v>
      </c>
      <c r="AL884" s="8">
        <v>717</v>
      </c>
      <c r="AM884" s="8">
        <v>1</v>
      </c>
      <c r="AN884" s="5" t="s">
        <v>57</v>
      </c>
      <c r="AO884" s="10">
        <v>68.400000000000006</v>
      </c>
      <c r="AP884" s="8">
        <v>58</v>
      </c>
      <c r="AQ884" s="9">
        <v>46291</v>
      </c>
      <c r="AR884" s="5" t="s">
        <v>70</v>
      </c>
      <c r="AS884" s="5" t="s">
        <v>64</v>
      </c>
    </row>
    <row r="885" spans="1:45" x14ac:dyDescent="0.35">
      <c r="A885" s="5" t="s">
        <v>3934</v>
      </c>
      <c r="B885" s="5" t="s">
        <v>3935</v>
      </c>
      <c r="C885" s="6" t="s">
        <v>3936</v>
      </c>
      <c r="D885" s="7">
        <v>91700</v>
      </c>
      <c r="E885" s="5" t="s">
        <v>48</v>
      </c>
      <c r="F885" s="5" t="s">
        <v>68</v>
      </c>
      <c r="G885" s="8">
        <v>6</v>
      </c>
      <c r="H885" s="8">
        <f>IF(F885="Bullet",MIN(G885,Assumptions!$B$6),"")</f>
        <v>2</v>
      </c>
      <c r="I885" s="8"/>
      <c r="J885" s="8" t="str">
        <f>IF(F885="Monthly interest",MAX(0,Assumptions!$B$5-I885),"")</f>
        <v/>
      </c>
      <c r="K885" s="7">
        <f t="shared" si="39"/>
        <v>5958</v>
      </c>
      <c r="L885" s="9">
        <v>46108</v>
      </c>
      <c r="M885" s="5" t="s">
        <v>116</v>
      </c>
      <c r="N885" s="5" t="s">
        <v>117</v>
      </c>
      <c r="O885" s="5" t="s">
        <v>461</v>
      </c>
      <c r="P885" s="5" t="s">
        <v>72</v>
      </c>
      <c r="Q885" s="5" t="s">
        <v>169</v>
      </c>
      <c r="R885" s="5" t="s">
        <v>170</v>
      </c>
      <c r="S885" s="5" t="s">
        <v>253</v>
      </c>
      <c r="T885" s="5" t="s">
        <v>63</v>
      </c>
      <c r="U885" s="5" t="s">
        <v>58</v>
      </c>
      <c r="V885" s="5" t="s">
        <v>59</v>
      </c>
      <c r="W885" s="5" t="s">
        <v>418</v>
      </c>
      <c r="X885" s="5" t="s">
        <v>2323</v>
      </c>
      <c r="Y885" s="5" t="s">
        <v>3937</v>
      </c>
      <c r="Z885" s="9">
        <v>46108</v>
      </c>
      <c r="AA885" s="8">
        <v>6</v>
      </c>
      <c r="AB885" s="9">
        <f t="shared" si="40"/>
        <v>46292</v>
      </c>
      <c r="AC885" s="10">
        <v>13</v>
      </c>
      <c r="AD885" s="7">
        <f t="shared" si="41"/>
        <v>993</v>
      </c>
      <c r="AE885" s="7">
        <f>IF(F885="Bullet",H885*AD885,MIN(MAX(I885,1),Assumptions!$B$6)*AD885)</f>
        <v>1986</v>
      </c>
      <c r="AF885" s="8">
        <f>IF(F885="Bullet",MAX(0,Assumptions!$B$4-AB885),MAX(0,Assumptions!$B$4-L885))</f>
        <v>6</v>
      </c>
      <c r="AG885" s="9"/>
      <c r="AH885" s="8" t="str">
        <f>IF(AG885="","",Assumptions!$B$4-AG885)</f>
        <v/>
      </c>
      <c r="AI885" s="5" t="s">
        <v>80</v>
      </c>
      <c r="AJ885" s="8"/>
      <c r="AK885" s="8">
        <v>0</v>
      </c>
      <c r="AL885" s="8">
        <v>729</v>
      </c>
      <c r="AM885" s="8">
        <v>0</v>
      </c>
      <c r="AN885" s="5" t="s">
        <v>63</v>
      </c>
      <c r="AO885" s="10">
        <v>71.7</v>
      </c>
      <c r="AP885" s="8">
        <v>48</v>
      </c>
      <c r="AQ885" s="9">
        <v>46293</v>
      </c>
      <c r="AR885" s="5" t="s">
        <v>72</v>
      </c>
      <c r="AS885" s="5" t="s">
        <v>274</v>
      </c>
    </row>
    <row r="886" spans="1:45" x14ac:dyDescent="0.35">
      <c r="A886" s="5" t="s">
        <v>3938</v>
      </c>
      <c r="B886" s="5" t="s">
        <v>3102</v>
      </c>
      <c r="C886" s="6" t="s">
        <v>3939</v>
      </c>
      <c r="D886" s="7">
        <v>25000</v>
      </c>
      <c r="E886" s="5" t="s">
        <v>48</v>
      </c>
      <c r="F886" s="5" t="s">
        <v>68</v>
      </c>
      <c r="G886" s="8">
        <v>1</v>
      </c>
      <c r="H886" s="8">
        <f>IF(F886="Bullet",MIN(G886,Assumptions!$B$6),"")</f>
        <v>1</v>
      </c>
      <c r="I886" s="8"/>
      <c r="J886" s="8" t="str">
        <f>IF(F886="Monthly interest",MAX(0,Assumptions!$B$5-I886),"")</f>
        <v/>
      </c>
      <c r="K886" s="7">
        <f t="shared" si="39"/>
        <v>250</v>
      </c>
      <c r="L886" s="9">
        <v>46252</v>
      </c>
      <c r="M886" s="5" t="s">
        <v>50</v>
      </c>
      <c r="N886" s="5" t="s">
        <v>51</v>
      </c>
      <c r="O886" s="5" t="s">
        <v>152</v>
      </c>
      <c r="P886" s="5" t="s">
        <v>53</v>
      </c>
      <c r="Q886" s="5" t="s">
        <v>154</v>
      </c>
      <c r="R886" s="5" t="s">
        <v>155</v>
      </c>
      <c r="S886" s="5" t="s">
        <v>85</v>
      </c>
      <c r="T886" s="5" t="s">
        <v>57</v>
      </c>
      <c r="U886" s="5" t="s">
        <v>58</v>
      </c>
      <c r="V886" s="5" t="s">
        <v>87</v>
      </c>
      <c r="W886" s="5" t="s">
        <v>88</v>
      </c>
      <c r="X886" s="5" t="s">
        <v>3940</v>
      </c>
      <c r="Y886" s="5" t="s">
        <v>3941</v>
      </c>
      <c r="Z886" s="9">
        <v>46252</v>
      </c>
      <c r="AA886" s="8">
        <v>12</v>
      </c>
      <c r="AB886" s="9">
        <f t="shared" si="40"/>
        <v>46617</v>
      </c>
      <c r="AC886" s="10">
        <v>12</v>
      </c>
      <c r="AD886" s="7">
        <f t="shared" si="41"/>
        <v>250</v>
      </c>
      <c r="AE886" s="7">
        <f>IF(F886="Bullet",H886*AD886,MIN(MAX(I886,1),Assumptions!$B$6)*AD886)</f>
        <v>250</v>
      </c>
      <c r="AF886" s="8">
        <f>IF(F886="Bullet",MAX(0,Assumptions!$B$4-AB886),MAX(0,Assumptions!$B$4-L886))</f>
        <v>0</v>
      </c>
      <c r="AG886" s="9"/>
      <c r="AH886" s="8" t="str">
        <f>IF(AG886="","",Assumptions!$B$4-AG886)</f>
        <v/>
      </c>
      <c r="AI886" s="5" t="s">
        <v>80</v>
      </c>
      <c r="AJ886" s="8"/>
      <c r="AK886" s="8">
        <v>0</v>
      </c>
      <c r="AL886" s="8">
        <v>789</v>
      </c>
      <c r="AM886" s="8">
        <v>0</v>
      </c>
      <c r="AN886" s="5" t="s">
        <v>63</v>
      </c>
      <c r="AO886" s="10">
        <v>66.8</v>
      </c>
      <c r="AP886" s="8">
        <v>1</v>
      </c>
      <c r="AQ886" s="9"/>
      <c r="AR886" s="5"/>
      <c r="AS886" s="5" t="s">
        <v>159</v>
      </c>
    </row>
    <row r="887" spans="1:45" x14ac:dyDescent="0.35">
      <c r="A887" s="5" t="s">
        <v>3942</v>
      </c>
      <c r="B887" s="5" t="s">
        <v>3943</v>
      </c>
      <c r="C887" s="6" t="s">
        <v>3944</v>
      </c>
      <c r="D887" s="7">
        <v>39600</v>
      </c>
      <c r="E887" s="5" t="s">
        <v>48</v>
      </c>
      <c r="F887" s="5" t="s">
        <v>49</v>
      </c>
      <c r="G887" s="8"/>
      <c r="H887" s="8" t="str">
        <f>IF(F887="Bullet",MIN(G887,Assumptions!$B$6),"")</f>
        <v/>
      </c>
      <c r="I887" s="8">
        <v>2</v>
      </c>
      <c r="J887" s="8">
        <f>IF(F887="Monthly interest",MAX(0,Assumptions!$B$5-I887),"")</f>
        <v>1</v>
      </c>
      <c r="K887" s="7">
        <f t="shared" si="39"/>
        <v>1320</v>
      </c>
      <c r="L887" s="9">
        <v>46240</v>
      </c>
      <c r="M887" s="5" t="s">
        <v>69</v>
      </c>
      <c r="N887" s="5" t="s">
        <v>53</v>
      </c>
      <c r="O887" s="5" t="s">
        <v>152</v>
      </c>
      <c r="P887" s="5" t="s">
        <v>153</v>
      </c>
      <c r="Q887" s="5" t="s">
        <v>154</v>
      </c>
      <c r="R887" s="5" t="s">
        <v>155</v>
      </c>
      <c r="S887" s="5" t="s">
        <v>253</v>
      </c>
      <c r="T887" s="5" t="s">
        <v>57</v>
      </c>
      <c r="U887" s="5" t="s">
        <v>58</v>
      </c>
      <c r="V887" s="5" t="s">
        <v>76</v>
      </c>
      <c r="W887" s="5" t="s">
        <v>105</v>
      </c>
      <c r="X887" s="5" t="s">
        <v>163</v>
      </c>
      <c r="Y887" s="5" t="s">
        <v>3945</v>
      </c>
      <c r="Z887" s="9">
        <v>46087</v>
      </c>
      <c r="AA887" s="8">
        <v>12</v>
      </c>
      <c r="AB887" s="9">
        <f t="shared" si="40"/>
        <v>46452</v>
      </c>
      <c r="AC887" s="10">
        <v>20</v>
      </c>
      <c r="AD887" s="7">
        <f t="shared" si="41"/>
        <v>660</v>
      </c>
      <c r="AE887" s="7">
        <f>IF(F887="Bullet",H887*AD887,MIN(MAX(I887,1),Assumptions!$B$6)*AD887)</f>
        <v>1320</v>
      </c>
      <c r="AF887" s="8">
        <f>IF(F887="Bullet",MAX(0,Assumptions!$B$4-AB887),MAX(0,Assumptions!$B$4-L887))</f>
        <v>58</v>
      </c>
      <c r="AG887" s="9">
        <v>46213</v>
      </c>
      <c r="AH887" s="8">
        <f>IF(AG887="","",Assumptions!$B$4-AG887)</f>
        <v>85</v>
      </c>
      <c r="AI887" s="5" t="s">
        <v>63</v>
      </c>
      <c r="AJ887" s="8">
        <v>2</v>
      </c>
      <c r="AK887" s="8">
        <v>0</v>
      </c>
      <c r="AL887" s="8">
        <v>758</v>
      </c>
      <c r="AM887" s="8">
        <v>0</v>
      </c>
      <c r="AN887" s="5" t="s">
        <v>63</v>
      </c>
      <c r="AO887" s="10">
        <v>59.4</v>
      </c>
      <c r="AP887" s="8">
        <v>33</v>
      </c>
      <c r="AQ887" s="9">
        <v>46281</v>
      </c>
      <c r="AR887" s="5" t="s">
        <v>51</v>
      </c>
      <c r="AS887" s="5" t="s">
        <v>190</v>
      </c>
    </row>
    <row r="888" spans="1:45" x14ac:dyDescent="0.35">
      <c r="A888" s="5" t="s">
        <v>3946</v>
      </c>
      <c r="B888" s="5" t="s">
        <v>3947</v>
      </c>
      <c r="C888" s="6" t="s">
        <v>3948</v>
      </c>
      <c r="D888" s="7">
        <v>202900</v>
      </c>
      <c r="E888" s="5" t="s">
        <v>48</v>
      </c>
      <c r="F888" s="5" t="s">
        <v>68</v>
      </c>
      <c r="G888" s="8">
        <v>2</v>
      </c>
      <c r="H888" s="8">
        <f>IF(F888="Bullet",MIN(G888,Assumptions!$B$6),"")</f>
        <v>2</v>
      </c>
      <c r="I888" s="8"/>
      <c r="J888" s="8" t="str">
        <f>IF(F888="Monthly interest",MAX(0,Assumptions!$B$5-I888),"")</f>
        <v/>
      </c>
      <c r="K888" s="7">
        <f t="shared" si="39"/>
        <v>5072</v>
      </c>
      <c r="L888" s="9">
        <v>46219</v>
      </c>
      <c r="M888" s="5" t="s">
        <v>50</v>
      </c>
      <c r="N888" s="5" t="s">
        <v>53</v>
      </c>
      <c r="O888" s="5" t="s">
        <v>95</v>
      </c>
      <c r="P888" s="5" t="s">
        <v>70</v>
      </c>
      <c r="Q888" s="5" t="s">
        <v>73</v>
      </c>
      <c r="R888" s="5" t="s">
        <v>74</v>
      </c>
      <c r="S888" s="5" t="s">
        <v>56</v>
      </c>
      <c r="T888" s="5" t="s">
        <v>63</v>
      </c>
      <c r="U888" s="5" t="s">
        <v>104</v>
      </c>
      <c r="V888" s="5" t="s">
        <v>59</v>
      </c>
      <c r="W888" s="5" t="s">
        <v>194</v>
      </c>
      <c r="X888" s="5" t="s">
        <v>195</v>
      </c>
      <c r="Y888" s="5" t="s">
        <v>3949</v>
      </c>
      <c r="Z888" s="9">
        <v>46219</v>
      </c>
      <c r="AA888" s="8">
        <v>12</v>
      </c>
      <c r="AB888" s="9">
        <f t="shared" si="40"/>
        <v>46584</v>
      </c>
      <c r="AC888" s="10">
        <v>15</v>
      </c>
      <c r="AD888" s="7">
        <f t="shared" si="41"/>
        <v>2536</v>
      </c>
      <c r="AE888" s="7">
        <f>IF(F888="Bullet",H888*AD888,MIN(MAX(I888,1),Assumptions!$B$6)*AD888)</f>
        <v>5072</v>
      </c>
      <c r="AF888" s="8">
        <f>IF(F888="Bullet",MAX(0,Assumptions!$B$4-AB888),MAX(0,Assumptions!$B$4-L888))</f>
        <v>0</v>
      </c>
      <c r="AG888" s="9"/>
      <c r="AH888" s="8" t="str">
        <f>IF(AG888="","",Assumptions!$B$4-AG888)</f>
        <v/>
      </c>
      <c r="AI888" s="5" t="s">
        <v>80</v>
      </c>
      <c r="AJ888" s="8"/>
      <c r="AK888" s="8">
        <v>0</v>
      </c>
      <c r="AL888" s="8">
        <v>649</v>
      </c>
      <c r="AM888" s="8">
        <v>0</v>
      </c>
      <c r="AN888" s="5" t="s">
        <v>63</v>
      </c>
      <c r="AO888" s="10">
        <v>62.9</v>
      </c>
      <c r="AP888" s="8">
        <v>19</v>
      </c>
      <c r="AQ888" s="9">
        <v>46291</v>
      </c>
      <c r="AR888" s="5" t="s">
        <v>70</v>
      </c>
      <c r="AS888" s="5" t="s">
        <v>91</v>
      </c>
    </row>
    <row r="889" spans="1:45" x14ac:dyDescent="0.35">
      <c r="A889" s="5" t="s">
        <v>3950</v>
      </c>
      <c r="B889" s="5" t="s">
        <v>3951</v>
      </c>
      <c r="C889" s="6" t="s">
        <v>3952</v>
      </c>
      <c r="D889" s="7">
        <v>114400</v>
      </c>
      <c r="E889" s="5" t="s">
        <v>48</v>
      </c>
      <c r="F889" s="5" t="s">
        <v>68</v>
      </c>
      <c r="G889" s="8">
        <v>2</v>
      </c>
      <c r="H889" s="8">
        <f>IF(F889="Bullet",MIN(G889,Assumptions!$B$6),"")</f>
        <v>2</v>
      </c>
      <c r="I889" s="8"/>
      <c r="J889" s="8" t="str">
        <f>IF(F889="Monthly interest",MAX(0,Assumptions!$B$5-I889),"")</f>
        <v/>
      </c>
      <c r="K889" s="7">
        <f t="shared" si="39"/>
        <v>2860</v>
      </c>
      <c r="L889" s="9">
        <v>46226</v>
      </c>
      <c r="M889" s="5" t="s">
        <v>50</v>
      </c>
      <c r="N889" s="5" t="s">
        <v>53</v>
      </c>
      <c r="O889" s="5" t="s">
        <v>95</v>
      </c>
      <c r="P889" s="5" t="s">
        <v>70</v>
      </c>
      <c r="Q889" s="5" t="s">
        <v>73</v>
      </c>
      <c r="R889" s="5" t="s">
        <v>74</v>
      </c>
      <c r="S889" s="5" t="s">
        <v>185</v>
      </c>
      <c r="T889" s="5" t="s">
        <v>63</v>
      </c>
      <c r="U889" s="5" t="s">
        <v>86</v>
      </c>
      <c r="V889" s="5" t="s">
        <v>186</v>
      </c>
      <c r="W889" s="5" t="s">
        <v>376</v>
      </c>
      <c r="X889" s="5" t="s">
        <v>1270</v>
      </c>
      <c r="Y889" s="5" t="s">
        <v>3953</v>
      </c>
      <c r="Z889" s="9">
        <v>46226</v>
      </c>
      <c r="AA889" s="8">
        <v>12</v>
      </c>
      <c r="AB889" s="9">
        <f t="shared" si="40"/>
        <v>46591</v>
      </c>
      <c r="AC889" s="10">
        <v>15</v>
      </c>
      <c r="AD889" s="7">
        <f t="shared" si="41"/>
        <v>1430</v>
      </c>
      <c r="AE889" s="7">
        <f>IF(F889="Bullet",H889*AD889,MIN(MAX(I889,1),Assumptions!$B$6)*AD889)</f>
        <v>2860</v>
      </c>
      <c r="AF889" s="8">
        <f>IF(F889="Bullet",MAX(0,Assumptions!$B$4-AB889),MAX(0,Assumptions!$B$4-L889))</f>
        <v>0</v>
      </c>
      <c r="AG889" s="9"/>
      <c r="AH889" s="8" t="str">
        <f>IF(AG889="","",Assumptions!$B$4-AG889)</f>
        <v/>
      </c>
      <c r="AI889" s="5" t="s">
        <v>80</v>
      </c>
      <c r="AJ889" s="8"/>
      <c r="AK889" s="8">
        <v>0</v>
      </c>
      <c r="AL889" s="8">
        <v>718</v>
      </c>
      <c r="AM889" s="8">
        <v>0</v>
      </c>
      <c r="AN889" s="5" t="s">
        <v>63</v>
      </c>
      <c r="AO889" s="10">
        <v>69.599999999999994</v>
      </c>
      <c r="AP889" s="8">
        <v>12</v>
      </c>
      <c r="AQ889" s="9">
        <v>46296</v>
      </c>
      <c r="AR889" s="5" t="s">
        <v>70</v>
      </c>
      <c r="AS889" s="5" t="s">
        <v>91</v>
      </c>
    </row>
    <row r="890" spans="1:45" x14ac:dyDescent="0.35">
      <c r="A890" s="5" t="s">
        <v>3954</v>
      </c>
      <c r="B890" s="5" t="s">
        <v>3955</v>
      </c>
      <c r="C890" s="6" t="s">
        <v>3956</v>
      </c>
      <c r="D890" s="7">
        <v>145300</v>
      </c>
      <c r="E890" s="5" t="s">
        <v>48</v>
      </c>
      <c r="F890" s="5" t="s">
        <v>68</v>
      </c>
      <c r="G890" s="8">
        <v>2</v>
      </c>
      <c r="H890" s="8">
        <f>IF(F890="Bullet",MIN(G890,Assumptions!$B$6),"")</f>
        <v>2</v>
      </c>
      <c r="I890" s="8"/>
      <c r="J890" s="8" t="str">
        <f>IF(F890="Monthly interest",MAX(0,Assumptions!$B$5-I890),"")</f>
        <v/>
      </c>
      <c r="K890" s="7">
        <f t="shared" si="39"/>
        <v>4360</v>
      </c>
      <c r="L890" s="9">
        <v>46221</v>
      </c>
      <c r="M890" s="5" t="s">
        <v>50</v>
      </c>
      <c r="N890" s="5" t="s">
        <v>53</v>
      </c>
      <c r="O890" s="5" t="s">
        <v>95</v>
      </c>
      <c r="P890" s="5" t="s">
        <v>70</v>
      </c>
      <c r="Q890" s="5" t="s">
        <v>73</v>
      </c>
      <c r="R890" s="5" t="s">
        <v>74</v>
      </c>
      <c r="S890" s="5" t="s">
        <v>56</v>
      </c>
      <c r="T890" s="5" t="s">
        <v>63</v>
      </c>
      <c r="U890" s="5" t="s">
        <v>104</v>
      </c>
      <c r="V890" s="5" t="s">
        <v>59</v>
      </c>
      <c r="W890" s="5" t="s">
        <v>60</v>
      </c>
      <c r="X890" s="5" t="s">
        <v>1660</v>
      </c>
      <c r="Y890" s="5" t="s">
        <v>3957</v>
      </c>
      <c r="Z890" s="9">
        <v>46221</v>
      </c>
      <c r="AA890" s="8">
        <v>3</v>
      </c>
      <c r="AB890" s="9">
        <f t="shared" si="40"/>
        <v>46313</v>
      </c>
      <c r="AC890" s="10">
        <v>18</v>
      </c>
      <c r="AD890" s="7">
        <f t="shared" si="41"/>
        <v>2180</v>
      </c>
      <c r="AE890" s="7">
        <f>IF(F890="Bullet",H890*AD890,MIN(MAX(I890,1),Assumptions!$B$6)*AD890)</f>
        <v>4360</v>
      </c>
      <c r="AF890" s="8">
        <f>IF(F890="Bullet",MAX(0,Assumptions!$B$4-AB890),MAX(0,Assumptions!$B$4-L890))</f>
        <v>0</v>
      </c>
      <c r="AG890" s="9"/>
      <c r="AH890" s="8" t="str">
        <f>IF(AG890="","",Assumptions!$B$4-AG890)</f>
        <v/>
      </c>
      <c r="AI890" s="5" t="s">
        <v>80</v>
      </c>
      <c r="AJ890" s="8"/>
      <c r="AK890" s="8">
        <v>0</v>
      </c>
      <c r="AL890" s="8">
        <v>739</v>
      </c>
      <c r="AM890" s="8">
        <v>2</v>
      </c>
      <c r="AN890" s="5" t="s">
        <v>63</v>
      </c>
      <c r="AO890" s="10">
        <v>67.8</v>
      </c>
      <c r="AP890" s="8">
        <v>20</v>
      </c>
      <c r="AQ890" s="9">
        <v>46288</v>
      </c>
      <c r="AR890" s="5" t="s">
        <v>70</v>
      </c>
      <c r="AS890" s="5" t="s">
        <v>91</v>
      </c>
    </row>
    <row r="891" spans="1:45" x14ac:dyDescent="0.35">
      <c r="A891" s="5" t="s">
        <v>3958</v>
      </c>
      <c r="B891" s="5" t="s">
        <v>3959</v>
      </c>
      <c r="C891" s="6" t="s">
        <v>3960</v>
      </c>
      <c r="D891" s="7">
        <v>378800</v>
      </c>
      <c r="E891" s="5" t="s">
        <v>48</v>
      </c>
      <c r="F891" s="5" t="s">
        <v>68</v>
      </c>
      <c r="G891" s="8">
        <v>1</v>
      </c>
      <c r="H891" s="8">
        <f>IF(F891="Bullet",MIN(G891,Assumptions!$B$6),"")</f>
        <v>1</v>
      </c>
      <c r="I891" s="8"/>
      <c r="J891" s="8" t="str">
        <f>IF(F891="Monthly interest",MAX(0,Assumptions!$B$5-I891),"")</f>
        <v/>
      </c>
      <c r="K891" s="7">
        <f t="shared" si="39"/>
        <v>4735</v>
      </c>
      <c r="L891" s="9">
        <v>46265</v>
      </c>
      <c r="M891" s="5" t="s">
        <v>50</v>
      </c>
      <c r="N891" s="5" t="s">
        <v>53</v>
      </c>
      <c r="O891" s="5" t="s">
        <v>103</v>
      </c>
      <c r="P891" s="5" t="s">
        <v>51</v>
      </c>
      <c r="Q891" s="5" t="s">
        <v>73</v>
      </c>
      <c r="R891" s="5" t="s">
        <v>74</v>
      </c>
      <c r="S891" s="5" t="s">
        <v>75</v>
      </c>
      <c r="T891" s="5" t="s">
        <v>57</v>
      </c>
      <c r="U891" s="5" t="s">
        <v>86</v>
      </c>
      <c r="V891" s="5" t="s">
        <v>76</v>
      </c>
      <c r="W891" s="5" t="s">
        <v>306</v>
      </c>
      <c r="X891" s="5" t="s">
        <v>3961</v>
      </c>
      <c r="Y891" s="5" t="s">
        <v>3962</v>
      </c>
      <c r="Z891" s="9">
        <v>46265</v>
      </c>
      <c r="AA891" s="8">
        <v>6</v>
      </c>
      <c r="AB891" s="9">
        <f t="shared" si="40"/>
        <v>46446</v>
      </c>
      <c r="AC891" s="10">
        <v>15</v>
      </c>
      <c r="AD891" s="7">
        <f t="shared" si="41"/>
        <v>4735</v>
      </c>
      <c r="AE891" s="7">
        <f>IF(F891="Bullet",H891*AD891,MIN(MAX(I891,1),Assumptions!$B$6)*AD891)</f>
        <v>4735</v>
      </c>
      <c r="AF891" s="8">
        <f>IF(F891="Bullet",MAX(0,Assumptions!$B$4-AB891),MAX(0,Assumptions!$B$4-L891))</f>
        <v>0</v>
      </c>
      <c r="AG891" s="9"/>
      <c r="AH891" s="8" t="str">
        <f>IF(AG891="","",Assumptions!$B$4-AG891)</f>
        <v/>
      </c>
      <c r="AI891" s="5" t="s">
        <v>80</v>
      </c>
      <c r="AJ891" s="8"/>
      <c r="AK891" s="8">
        <v>0</v>
      </c>
      <c r="AL891" s="8">
        <v>726</v>
      </c>
      <c r="AM891" s="8">
        <v>1</v>
      </c>
      <c r="AN891" s="5" t="s">
        <v>63</v>
      </c>
      <c r="AO891" s="10">
        <v>55.6</v>
      </c>
      <c r="AP891" s="8">
        <v>7</v>
      </c>
      <c r="AQ891" s="9">
        <v>46277</v>
      </c>
      <c r="AR891" s="5" t="s">
        <v>51</v>
      </c>
      <c r="AS891" s="5" t="s">
        <v>81</v>
      </c>
    </row>
    <row r="892" spans="1:45" x14ac:dyDescent="0.35">
      <c r="A892" s="5" t="s">
        <v>3963</v>
      </c>
      <c r="B892" s="5" t="s">
        <v>3964</v>
      </c>
      <c r="C892" s="6" t="s">
        <v>3965</v>
      </c>
      <c r="D892" s="7">
        <v>198100</v>
      </c>
      <c r="E892" s="5" t="s">
        <v>48</v>
      </c>
      <c r="F892" s="5" t="s">
        <v>68</v>
      </c>
      <c r="G892" s="8">
        <v>6</v>
      </c>
      <c r="H892" s="8">
        <f>IF(F892="Bullet",MIN(G892,Assumptions!$B$6),"")</f>
        <v>2</v>
      </c>
      <c r="I892" s="8"/>
      <c r="J892" s="8" t="str">
        <f>IF(F892="Monthly interest",MAX(0,Assumptions!$B$5-I892),"")</f>
        <v/>
      </c>
      <c r="K892" s="7">
        <f t="shared" si="39"/>
        <v>11886</v>
      </c>
      <c r="L892" s="9">
        <v>46105</v>
      </c>
      <c r="M892" s="5" t="s">
        <v>69</v>
      </c>
      <c r="N892" s="5" t="s">
        <v>70</v>
      </c>
      <c r="O892" s="5" t="s">
        <v>531</v>
      </c>
      <c r="P892" s="5" t="s">
        <v>72</v>
      </c>
      <c r="Q892" s="5" t="s">
        <v>169</v>
      </c>
      <c r="R892" s="5" t="s">
        <v>170</v>
      </c>
      <c r="S892" s="5" t="s">
        <v>75</v>
      </c>
      <c r="T892" s="5" t="s">
        <v>57</v>
      </c>
      <c r="U892" s="5" t="s">
        <v>86</v>
      </c>
      <c r="V892" s="5" t="s">
        <v>76</v>
      </c>
      <c r="W892" s="5" t="s">
        <v>77</v>
      </c>
      <c r="X892" s="5" t="s">
        <v>1879</v>
      </c>
      <c r="Y892" s="5" t="s">
        <v>3966</v>
      </c>
      <c r="Z892" s="9">
        <v>46105</v>
      </c>
      <c r="AA892" s="8">
        <v>6</v>
      </c>
      <c r="AB892" s="9">
        <f t="shared" si="40"/>
        <v>46289</v>
      </c>
      <c r="AC892" s="10">
        <v>12</v>
      </c>
      <c r="AD892" s="7">
        <f t="shared" si="41"/>
        <v>1981</v>
      </c>
      <c r="AE892" s="7">
        <f>IF(F892="Bullet",H892*AD892,MIN(MAX(I892,1),Assumptions!$B$6)*AD892)</f>
        <v>3962</v>
      </c>
      <c r="AF892" s="8">
        <f>IF(F892="Bullet",MAX(0,Assumptions!$B$4-AB892),MAX(0,Assumptions!$B$4-L892))</f>
        <v>9</v>
      </c>
      <c r="AG892" s="9"/>
      <c r="AH892" s="8" t="str">
        <f>IF(AG892="","",Assumptions!$B$4-AG892)</f>
        <v/>
      </c>
      <c r="AI892" s="5" t="s">
        <v>80</v>
      </c>
      <c r="AJ892" s="8"/>
      <c r="AK892" s="8">
        <v>1</v>
      </c>
      <c r="AL892" s="8">
        <v>796</v>
      </c>
      <c r="AM892" s="8">
        <v>2</v>
      </c>
      <c r="AN892" s="5" t="s">
        <v>63</v>
      </c>
      <c r="AO892" s="10">
        <v>77.599999999999994</v>
      </c>
      <c r="AP892" s="8">
        <v>47</v>
      </c>
      <c r="AQ892" s="9">
        <v>46282</v>
      </c>
      <c r="AR892" s="5" t="s">
        <v>53</v>
      </c>
      <c r="AS892" s="5" t="s">
        <v>81</v>
      </c>
    </row>
    <row r="893" spans="1:45" x14ac:dyDescent="0.35">
      <c r="A893" s="5" t="s">
        <v>3967</v>
      </c>
      <c r="B893" s="5" t="s">
        <v>3968</v>
      </c>
      <c r="C893" s="6" t="s">
        <v>3969</v>
      </c>
      <c r="D893" s="7">
        <v>45400</v>
      </c>
      <c r="E893" s="5" t="s">
        <v>48</v>
      </c>
      <c r="F893" s="5" t="s">
        <v>49</v>
      </c>
      <c r="G893" s="8"/>
      <c r="H893" s="8" t="str">
        <f>IF(F893="Bullet",MIN(G893,Assumptions!$B$6),"")</f>
        <v/>
      </c>
      <c r="I893" s="8">
        <v>1</v>
      </c>
      <c r="J893" s="8">
        <f>IF(F893="Monthly interest",MAX(0,Assumptions!$B$5-I893),"")</f>
        <v>2</v>
      </c>
      <c r="K893" s="7">
        <f t="shared" si="39"/>
        <v>605</v>
      </c>
      <c r="L893" s="9">
        <v>46272</v>
      </c>
      <c r="M893" s="5" t="s">
        <v>50</v>
      </c>
      <c r="N893" s="5" t="s">
        <v>53</v>
      </c>
      <c r="O893" s="5" t="s">
        <v>95</v>
      </c>
      <c r="P893" s="5" t="s">
        <v>153</v>
      </c>
      <c r="Q893" s="5" t="s">
        <v>154</v>
      </c>
      <c r="R893" s="5" t="s">
        <v>155</v>
      </c>
      <c r="S893" s="5" t="s">
        <v>253</v>
      </c>
      <c r="T893" s="5" t="s">
        <v>63</v>
      </c>
      <c r="U893" s="5" t="s">
        <v>86</v>
      </c>
      <c r="V893" s="5" t="s">
        <v>76</v>
      </c>
      <c r="W893" s="5" t="s">
        <v>77</v>
      </c>
      <c r="X893" s="5" t="s">
        <v>78</v>
      </c>
      <c r="Y893" s="5" t="s">
        <v>3970</v>
      </c>
      <c r="Z893" s="9">
        <v>46210</v>
      </c>
      <c r="AA893" s="8">
        <v>12</v>
      </c>
      <c r="AB893" s="9">
        <f t="shared" si="40"/>
        <v>46575</v>
      </c>
      <c r="AC893" s="10">
        <v>16</v>
      </c>
      <c r="AD893" s="7">
        <f t="shared" si="41"/>
        <v>605</v>
      </c>
      <c r="AE893" s="7">
        <f>IF(F893="Bullet",H893*AD893,MIN(MAX(I893,1),Assumptions!$B$6)*AD893)</f>
        <v>605</v>
      </c>
      <c r="AF893" s="8">
        <f>IF(F893="Bullet",MAX(0,Assumptions!$B$4-AB893),MAX(0,Assumptions!$B$4-L893))</f>
        <v>26</v>
      </c>
      <c r="AG893" s="9">
        <v>46245</v>
      </c>
      <c r="AH893" s="8">
        <f>IF(AG893="","",Assumptions!$B$4-AG893)</f>
        <v>53</v>
      </c>
      <c r="AI893" s="5" t="s">
        <v>63</v>
      </c>
      <c r="AJ893" s="8">
        <v>1</v>
      </c>
      <c r="AK893" s="8">
        <v>0</v>
      </c>
      <c r="AL893" s="8" t="s">
        <v>80</v>
      </c>
      <c r="AM893" s="8">
        <v>2</v>
      </c>
      <c r="AN893" s="5" t="s">
        <v>63</v>
      </c>
      <c r="AO893" s="10">
        <v>60.6</v>
      </c>
      <c r="AP893" s="8">
        <v>29</v>
      </c>
      <c r="AQ893" s="9">
        <v>46287</v>
      </c>
      <c r="AR893" s="5" t="s">
        <v>53</v>
      </c>
      <c r="AS893" s="5" t="s">
        <v>81</v>
      </c>
    </row>
    <row r="894" spans="1:45" x14ac:dyDescent="0.35">
      <c r="A894" s="5" t="s">
        <v>3971</v>
      </c>
      <c r="B894" s="5" t="s">
        <v>3972</v>
      </c>
      <c r="C894" s="6" t="s">
        <v>3973</v>
      </c>
      <c r="D894" s="7">
        <v>43800</v>
      </c>
      <c r="E894" s="5" t="s">
        <v>48</v>
      </c>
      <c r="F894" s="5" t="s">
        <v>49</v>
      </c>
      <c r="G894" s="8"/>
      <c r="H894" s="8" t="str">
        <f>IF(F894="Bullet",MIN(G894,Assumptions!$B$6),"")</f>
        <v/>
      </c>
      <c r="I894" s="8">
        <v>1</v>
      </c>
      <c r="J894" s="8">
        <f>IF(F894="Monthly interest",MAX(0,Assumptions!$B$5-I894),"")</f>
        <v>2</v>
      </c>
      <c r="K894" s="7">
        <f t="shared" si="39"/>
        <v>548</v>
      </c>
      <c r="L894" s="9">
        <v>46282</v>
      </c>
      <c r="M894" s="5" t="s">
        <v>116</v>
      </c>
      <c r="N894" s="5" t="s">
        <v>117</v>
      </c>
      <c r="O894" s="5" t="s">
        <v>450</v>
      </c>
      <c r="P894" s="5" t="s">
        <v>72</v>
      </c>
      <c r="Q894" s="5" t="s">
        <v>154</v>
      </c>
      <c r="R894" s="5" t="s">
        <v>155</v>
      </c>
      <c r="S894" s="5" t="s">
        <v>185</v>
      </c>
      <c r="T894" s="5" t="s">
        <v>57</v>
      </c>
      <c r="U894" s="5" t="s">
        <v>104</v>
      </c>
      <c r="V894" s="5" t="s">
        <v>186</v>
      </c>
      <c r="W894" s="5" t="s">
        <v>187</v>
      </c>
      <c r="X894" s="5" t="s">
        <v>290</v>
      </c>
      <c r="Y894" s="5" t="s">
        <v>3974</v>
      </c>
      <c r="Z894" s="9">
        <v>46070</v>
      </c>
      <c r="AA894" s="8">
        <v>24</v>
      </c>
      <c r="AB894" s="9">
        <f t="shared" si="40"/>
        <v>46800</v>
      </c>
      <c r="AC894" s="10">
        <v>15</v>
      </c>
      <c r="AD894" s="7">
        <f t="shared" si="41"/>
        <v>548</v>
      </c>
      <c r="AE894" s="7">
        <f>IF(F894="Bullet",H894*AD894,MIN(MAX(I894,1),Assumptions!$B$6)*AD894)</f>
        <v>548</v>
      </c>
      <c r="AF894" s="8">
        <f>IF(F894="Bullet",MAX(0,Assumptions!$B$4-AB894),MAX(0,Assumptions!$B$4-L894))</f>
        <v>16</v>
      </c>
      <c r="AG894" s="9">
        <v>46254</v>
      </c>
      <c r="AH894" s="8">
        <f>IF(AG894="","",Assumptions!$B$4-AG894)</f>
        <v>44</v>
      </c>
      <c r="AI894" s="5" t="s">
        <v>63</v>
      </c>
      <c r="AJ894" s="8">
        <v>2</v>
      </c>
      <c r="AK894" s="8">
        <v>0</v>
      </c>
      <c r="AL894" s="8">
        <v>603</v>
      </c>
      <c r="AM894" s="8">
        <v>1</v>
      </c>
      <c r="AN894" s="5" t="s">
        <v>57</v>
      </c>
      <c r="AO894" s="10">
        <v>71.599999999999994</v>
      </c>
      <c r="AP894" s="8">
        <v>48</v>
      </c>
      <c r="AQ894" s="9">
        <v>46281</v>
      </c>
      <c r="AR894" s="5" t="s">
        <v>51</v>
      </c>
      <c r="AS894" s="5" t="s">
        <v>91</v>
      </c>
    </row>
    <row r="895" spans="1:45" x14ac:dyDescent="0.35">
      <c r="A895" s="5" t="s">
        <v>3975</v>
      </c>
      <c r="B895" s="5" t="s">
        <v>563</v>
      </c>
      <c r="C895" s="6" t="s">
        <v>3976</v>
      </c>
      <c r="D895" s="7">
        <v>30000</v>
      </c>
      <c r="E895" s="5" t="s">
        <v>48</v>
      </c>
      <c r="F895" s="5" t="s">
        <v>68</v>
      </c>
      <c r="G895" s="8">
        <v>5</v>
      </c>
      <c r="H895" s="8">
        <f>IF(F895="Bullet",MIN(G895,Assumptions!$B$6),"")</f>
        <v>2</v>
      </c>
      <c r="I895" s="8"/>
      <c r="J895" s="8" t="str">
        <f>IF(F895="Monthly interest",MAX(0,Assumptions!$B$5-I895),"")</f>
        <v/>
      </c>
      <c r="K895" s="7">
        <f t="shared" si="39"/>
        <v>1875</v>
      </c>
      <c r="L895" s="9">
        <v>46133</v>
      </c>
      <c r="M895" s="5" t="s">
        <v>116</v>
      </c>
      <c r="N895" s="5" t="s">
        <v>117</v>
      </c>
      <c r="O895" s="5" t="s">
        <v>461</v>
      </c>
      <c r="P895" s="5" t="s">
        <v>72</v>
      </c>
      <c r="Q895" s="5" t="s">
        <v>169</v>
      </c>
      <c r="R895" s="5" t="s">
        <v>170</v>
      </c>
      <c r="S895" s="5" t="s">
        <v>75</v>
      </c>
      <c r="T895" s="5" t="s">
        <v>63</v>
      </c>
      <c r="U895" s="5" t="s">
        <v>58</v>
      </c>
      <c r="V895" s="5" t="s">
        <v>76</v>
      </c>
      <c r="W895" s="5" t="s">
        <v>306</v>
      </c>
      <c r="X895" s="5" t="s">
        <v>3977</v>
      </c>
      <c r="Y895" s="5" t="s">
        <v>3978</v>
      </c>
      <c r="Z895" s="9">
        <v>46133</v>
      </c>
      <c r="AA895" s="8">
        <v>3</v>
      </c>
      <c r="AB895" s="9">
        <f t="shared" si="40"/>
        <v>46224</v>
      </c>
      <c r="AC895" s="10">
        <v>15</v>
      </c>
      <c r="AD895" s="7">
        <f t="shared" si="41"/>
        <v>375</v>
      </c>
      <c r="AE895" s="7">
        <f>IF(F895="Bullet",H895*AD895,MIN(MAX(I895,1),Assumptions!$B$6)*AD895)</f>
        <v>750</v>
      </c>
      <c r="AF895" s="8">
        <f>IF(F895="Bullet",MAX(0,Assumptions!$B$4-AB895),MAX(0,Assumptions!$B$4-L895))</f>
        <v>74</v>
      </c>
      <c r="AG895" s="9"/>
      <c r="AH895" s="8" t="str">
        <f>IF(AG895="","",Assumptions!$B$4-AG895)</f>
        <v/>
      </c>
      <c r="AI895" s="5" t="s">
        <v>80</v>
      </c>
      <c r="AJ895" s="8"/>
      <c r="AK895" s="8">
        <v>0</v>
      </c>
      <c r="AL895" s="8">
        <v>655</v>
      </c>
      <c r="AM895" s="8">
        <v>3</v>
      </c>
      <c r="AN895" s="5" t="s">
        <v>63</v>
      </c>
      <c r="AO895" s="10">
        <v>77.7</v>
      </c>
      <c r="AP895" s="8">
        <v>55</v>
      </c>
      <c r="AQ895" s="9">
        <v>46274</v>
      </c>
      <c r="AR895" s="5" t="s">
        <v>53</v>
      </c>
      <c r="AS895" s="5" t="s">
        <v>81</v>
      </c>
    </row>
    <row r="896" spans="1:45" x14ac:dyDescent="0.35">
      <c r="A896" s="5" t="s">
        <v>3979</v>
      </c>
      <c r="B896" s="5" t="s">
        <v>3980</v>
      </c>
      <c r="C896" s="6" t="s">
        <v>3981</v>
      </c>
      <c r="D896" s="7">
        <v>20600</v>
      </c>
      <c r="E896" s="5" t="s">
        <v>48</v>
      </c>
      <c r="F896" s="5" t="s">
        <v>49</v>
      </c>
      <c r="G896" s="8"/>
      <c r="H896" s="8" t="str">
        <f>IF(F896="Bullet",MIN(G896,Assumptions!$B$6),"")</f>
        <v/>
      </c>
      <c r="I896" s="8">
        <v>1</v>
      </c>
      <c r="J896" s="8">
        <f>IF(F896="Monthly interest",MAX(0,Assumptions!$B$5-I896),"")</f>
        <v>2</v>
      </c>
      <c r="K896" s="7">
        <f t="shared" si="39"/>
        <v>275</v>
      </c>
      <c r="L896" s="9">
        <v>46279</v>
      </c>
      <c r="M896" s="5" t="s">
        <v>50</v>
      </c>
      <c r="N896" s="5" t="s">
        <v>51</v>
      </c>
      <c r="O896" s="5" t="s">
        <v>152</v>
      </c>
      <c r="P896" s="5" t="s">
        <v>53</v>
      </c>
      <c r="Q896" s="5" t="s">
        <v>154</v>
      </c>
      <c r="R896" s="5" t="s">
        <v>155</v>
      </c>
      <c r="S896" s="5" t="s">
        <v>56</v>
      </c>
      <c r="T896" s="5" t="s">
        <v>57</v>
      </c>
      <c r="U896" s="5" t="s">
        <v>86</v>
      </c>
      <c r="V896" s="5" t="s">
        <v>59</v>
      </c>
      <c r="W896" s="5" t="s">
        <v>60</v>
      </c>
      <c r="X896" s="5" t="s">
        <v>933</v>
      </c>
      <c r="Y896" s="5" t="s">
        <v>3982</v>
      </c>
      <c r="Z896" s="9">
        <v>46005</v>
      </c>
      <c r="AA896" s="8">
        <v>12</v>
      </c>
      <c r="AB896" s="9">
        <f t="shared" si="40"/>
        <v>46370</v>
      </c>
      <c r="AC896" s="10">
        <v>16</v>
      </c>
      <c r="AD896" s="7">
        <f t="shared" si="41"/>
        <v>275</v>
      </c>
      <c r="AE896" s="7">
        <f>IF(F896="Bullet",H896*AD896,MIN(MAX(I896,1),Assumptions!$B$6)*AD896)</f>
        <v>275</v>
      </c>
      <c r="AF896" s="8">
        <f>IF(F896="Bullet",MAX(0,Assumptions!$B$4-AB896),MAX(0,Assumptions!$B$4-L896))</f>
        <v>19</v>
      </c>
      <c r="AG896" s="9">
        <v>46253</v>
      </c>
      <c r="AH896" s="8">
        <f>IF(AG896="","",Assumptions!$B$4-AG896)</f>
        <v>45</v>
      </c>
      <c r="AI896" s="5" t="s">
        <v>63</v>
      </c>
      <c r="AJ896" s="8">
        <v>1</v>
      </c>
      <c r="AK896" s="8">
        <v>0</v>
      </c>
      <c r="AL896" s="8">
        <v>697</v>
      </c>
      <c r="AM896" s="8">
        <v>1</v>
      </c>
      <c r="AN896" s="5" t="s">
        <v>63</v>
      </c>
      <c r="AO896" s="10">
        <v>57.2</v>
      </c>
      <c r="AP896" s="8">
        <v>22</v>
      </c>
      <c r="AQ896" s="9">
        <v>46290</v>
      </c>
      <c r="AR896" s="5" t="s">
        <v>51</v>
      </c>
      <c r="AS896" s="5" t="s">
        <v>181</v>
      </c>
    </row>
    <row r="897" spans="1:45" x14ac:dyDescent="0.35">
      <c r="A897" s="5" t="s">
        <v>3983</v>
      </c>
      <c r="B897" s="5" t="s">
        <v>3984</v>
      </c>
      <c r="C897" s="6" t="s">
        <v>3985</v>
      </c>
      <c r="D897" s="7">
        <v>220300</v>
      </c>
      <c r="E897" s="5" t="s">
        <v>48</v>
      </c>
      <c r="F897" s="5" t="s">
        <v>49</v>
      </c>
      <c r="G897" s="8"/>
      <c r="H897" s="8" t="str">
        <f>IF(F897="Bullet",MIN(G897,Assumptions!$B$6),"")</f>
        <v/>
      </c>
      <c r="I897" s="8">
        <v>2</v>
      </c>
      <c r="J897" s="8">
        <f>IF(F897="Monthly interest",MAX(0,Assumptions!$B$5-I897),"")</f>
        <v>1</v>
      </c>
      <c r="K897" s="7">
        <f t="shared" si="39"/>
        <v>7344</v>
      </c>
      <c r="L897" s="9">
        <v>46238</v>
      </c>
      <c r="M897" s="5" t="s">
        <v>69</v>
      </c>
      <c r="N897" s="5" t="s">
        <v>70</v>
      </c>
      <c r="O897" s="5" t="s">
        <v>71</v>
      </c>
      <c r="P897" s="5" t="s">
        <v>72</v>
      </c>
      <c r="Q897" s="5" t="s">
        <v>73</v>
      </c>
      <c r="R897" s="5" t="s">
        <v>74</v>
      </c>
      <c r="S897" s="5" t="s">
        <v>85</v>
      </c>
      <c r="T897" s="5" t="s">
        <v>57</v>
      </c>
      <c r="U897" s="5" t="s">
        <v>86</v>
      </c>
      <c r="V897" s="5" t="s">
        <v>553</v>
      </c>
      <c r="W897" s="5" t="s">
        <v>1029</v>
      </c>
      <c r="X897" s="5" t="s">
        <v>1030</v>
      </c>
      <c r="Y897" s="5" t="s">
        <v>3986</v>
      </c>
      <c r="Z897" s="9">
        <v>46146</v>
      </c>
      <c r="AA897" s="8">
        <v>12</v>
      </c>
      <c r="AB897" s="9">
        <f t="shared" si="40"/>
        <v>46511</v>
      </c>
      <c r="AC897" s="10">
        <v>20</v>
      </c>
      <c r="AD897" s="7">
        <f t="shared" si="41"/>
        <v>3672</v>
      </c>
      <c r="AE897" s="7">
        <f>IF(F897="Bullet",H897*AD897,MIN(MAX(I897,1),Assumptions!$B$6)*AD897)</f>
        <v>7344</v>
      </c>
      <c r="AF897" s="8">
        <f>IF(F897="Bullet",MAX(0,Assumptions!$B$4-AB897),MAX(0,Assumptions!$B$4-L897))</f>
        <v>60</v>
      </c>
      <c r="AG897" s="9">
        <v>46207</v>
      </c>
      <c r="AH897" s="8">
        <f>IF(AG897="","",Assumptions!$B$4-AG897)</f>
        <v>91</v>
      </c>
      <c r="AI897" s="5" t="s">
        <v>63</v>
      </c>
      <c r="AJ897" s="8">
        <v>3</v>
      </c>
      <c r="AK897" s="8">
        <v>1</v>
      </c>
      <c r="AL897" s="8">
        <v>776</v>
      </c>
      <c r="AM897" s="8">
        <v>2</v>
      </c>
      <c r="AN897" s="5" t="s">
        <v>63</v>
      </c>
      <c r="AO897" s="10">
        <v>68.2</v>
      </c>
      <c r="AP897" s="8">
        <v>38</v>
      </c>
      <c r="AQ897" s="9"/>
      <c r="AR897" s="5"/>
      <c r="AS897" s="5" t="s">
        <v>159</v>
      </c>
    </row>
    <row r="898" spans="1:45" x14ac:dyDescent="0.35">
      <c r="A898" s="5" t="s">
        <v>3987</v>
      </c>
      <c r="B898" s="5" t="s">
        <v>3988</v>
      </c>
      <c r="C898" s="6" t="s">
        <v>3989</v>
      </c>
      <c r="D898" s="7">
        <v>285900</v>
      </c>
      <c r="E898" s="5" t="s">
        <v>48</v>
      </c>
      <c r="F898" s="5" t="s">
        <v>68</v>
      </c>
      <c r="G898" s="8">
        <v>1</v>
      </c>
      <c r="H898" s="8">
        <f>IF(F898="Bullet",MIN(G898,Assumptions!$B$6),"")</f>
        <v>1</v>
      </c>
      <c r="I898" s="8"/>
      <c r="J898" s="8" t="str">
        <f>IF(F898="Monthly interest",MAX(0,Assumptions!$B$5-I898),"")</f>
        <v/>
      </c>
      <c r="K898" s="7">
        <f t="shared" ref="K898:K961" si="42">IF(F898="Bullet",G898*AD898,MAX(I898,1)*AD898)</f>
        <v>2859</v>
      </c>
      <c r="L898" s="9">
        <v>46250</v>
      </c>
      <c r="M898" s="5" t="s">
        <v>50</v>
      </c>
      <c r="N898" s="5" t="s">
        <v>51</v>
      </c>
      <c r="O898" s="5" t="s">
        <v>71</v>
      </c>
      <c r="P898" s="5" t="s">
        <v>53</v>
      </c>
      <c r="Q898" s="5" t="s">
        <v>73</v>
      </c>
      <c r="R898" s="5" t="s">
        <v>74</v>
      </c>
      <c r="S898" s="5" t="s">
        <v>185</v>
      </c>
      <c r="T898" s="5" t="s">
        <v>57</v>
      </c>
      <c r="U898" s="5" t="s">
        <v>58</v>
      </c>
      <c r="V898" s="5" t="s">
        <v>200</v>
      </c>
      <c r="W898" s="5" t="s">
        <v>433</v>
      </c>
      <c r="X898" s="5" t="s">
        <v>978</v>
      </c>
      <c r="Y898" s="5" t="s">
        <v>3990</v>
      </c>
      <c r="Z898" s="9">
        <v>46250</v>
      </c>
      <c r="AA898" s="8">
        <v>12</v>
      </c>
      <c r="AB898" s="9">
        <f t="shared" ref="AB898:AB961" si="43">EDATE(Z898,AA898)</f>
        <v>46615</v>
      </c>
      <c r="AC898" s="10">
        <v>12</v>
      </c>
      <c r="AD898" s="7">
        <f t="shared" ref="AD898:AD961" si="44">ROUND(D898*AC898/100/12,0)</f>
        <v>2859</v>
      </c>
      <c r="AE898" s="7">
        <f>IF(F898="Bullet",H898*AD898,MIN(MAX(I898,1),Assumptions!$B$6)*AD898)</f>
        <v>2859</v>
      </c>
      <c r="AF898" s="8">
        <f>IF(F898="Bullet",MAX(0,Assumptions!$B$4-AB898),MAX(0,Assumptions!$B$4-L898))</f>
        <v>0</v>
      </c>
      <c r="AG898" s="9"/>
      <c r="AH898" s="8" t="str">
        <f>IF(AG898="","",Assumptions!$B$4-AG898)</f>
        <v/>
      </c>
      <c r="AI898" s="5" t="s">
        <v>80</v>
      </c>
      <c r="AJ898" s="8"/>
      <c r="AK898" s="8">
        <v>0</v>
      </c>
      <c r="AL898" s="8">
        <v>732</v>
      </c>
      <c r="AM898" s="8">
        <v>1</v>
      </c>
      <c r="AN898" s="5" t="s">
        <v>63</v>
      </c>
      <c r="AO898" s="10">
        <v>74.599999999999994</v>
      </c>
      <c r="AP898" s="8">
        <v>8</v>
      </c>
      <c r="AQ898" s="9">
        <v>46293</v>
      </c>
      <c r="AR898" s="5" t="s">
        <v>51</v>
      </c>
      <c r="AS898" s="5" t="s">
        <v>64</v>
      </c>
    </row>
    <row r="899" spans="1:45" x14ac:dyDescent="0.35">
      <c r="A899" s="5" t="s">
        <v>3991</v>
      </c>
      <c r="B899" s="5" t="s">
        <v>2194</v>
      </c>
      <c r="C899" s="6" t="s">
        <v>3992</v>
      </c>
      <c r="D899" s="7">
        <v>57000</v>
      </c>
      <c r="E899" s="5" t="s">
        <v>48</v>
      </c>
      <c r="F899" s="5" t="s">
        <v>49</v>
      </c>
      <c r="G899" s="8"/>
      <c r="H899" s="8" t="str">
        <f>IF(F899="Bullet",MIN(G899,Assumptions!$B$6),"")</f>
        <v/>
      </c>
      <c r="I899" s="8">
        <v>2</v>
      </c>
      <c r="J899" s="8">
        <f>IF(F899="Monthly interest",MAX(0,Assumptions!$B$5-I899),"")</f>
        <v>1</v>
      </c>
      <c r="K899" s="7">
        <f t="shared" si="42"/>
        <v>1330</v>
      </c>
      <c r="L899" s="9">
        <v>46241</v>
      </c>
      <c r="M899" s="5" t="s">
        <v>116</v>
      </c>
      <c r="N899" s="5" t="s">
        <v>117</v>
      </c>
      <c r="O899" s="5" t="s">
        <v>118</v>
      </c>
      <c r="P899" s="5" t="s">
        <v>72</v>
      </c>
      <c r="Q899" s="5" t="s">
        <v>119</v>
      </c>
      <c r="R899" s="5" t="s">
        <v>120</v>
      </c>
      <c r="S899" s="5" t="s">
        <v>85</v>
      </c>
      <c r="T899" s="5" t="s">
        <v>57</v>
      </c>
      <c r="U899" s="5" t="s">
        <v>86</v>
      </c>
      <c r="V899" s="5" t="s">
        <v>96</v>
      </c>
      <c r="W899" s="5" t="s">
        <v>97</v>
      </c>
      <c r="X899" s="5" t="s">
        <v>3993</v>
      </c>
      <c r="Y899" s="5" t="s">
        <v>3994</v>
      </c>
      <c r="Z899" s="9">
        <v>46088</v>
      </c>
      <c r="AA899" s="8">
        <v>18</v>
      </c>
      <c r="AB899" s="9">
        <f t="shared" si="43"/>
        <v>46637</v>
      </c>
      <c r="AC899" s="10">
        <v>14</v>
      </c>
      <c r="AD899" s="7">
        <f t="shared" si="44"/>
        <v>665</v>
      </c>
      <c r="AE899" s="7">
        <f>IF(F899="Bullet",H899*AD899,MIN(MAX(I899,1),Assumptions!$B$6)*AD899)</f>
        <v>1330</v>
      </c>
      <c r="AF899" s="8">
        <f>IF(F899="Bullet",MAX(0,Assumptions!$B$4-AB899),MAX(0,Assumptions!$B$4-L899))</f>
        <v>57</v>
      </c>
      <c r="AG899" s="9">
        <v>46210</v>
      </c>
      <c r="AH899" s="8">
        <f>IF(AG899="","",Assumptions!$B$4-AG899)</f>
        <v>88</v>
      </c>
      <c r="AI899" s="5" t="s">
        <v>63</v>
      </c>
      <c r="AJ899" s="8">
        <v>2</v>
      </c>
      <c r="AK899" s="8">
        <v>1</v>
      </c>
      <c r="AL899" s="8">
        <v>595</v>
      </c>
      <c r="AM899" s="8">
        <v>1</v>
      </c>
      <c r="AN899" s="5" t="s">
        <v>63</v>
      </c>
      <c r="AO899" s="10">
        <v>57.3</v>
      </c>
      <c r="AP899" s="8">
        <v>59</v>
      </c>
      <c r="AQ899" s="9">
        <v>46286</v>
      </c>
      <c r="AR899" s="5" t="s">
        <v>51</v>
      </c>
      <c r="AS899" s="5" t="s">
        <v>190</v>
      </c>
    </row>
    <row r="900" spans="1:45" x14ac:dyDescent="0.35">
      <c r="A900" s="5" t="s">
        <v>3995</v>
      </c>
      <c r="B900" s="5" t="s">
        <v>3996</v>
      </c>
      <c r="C900" s="6" t="s">
        <v>3997</v>
      </c>
      <c r="D900" s="7">
        <v>121300</v>
      </c>
      <c r="E900" s="5" t="s">
        <v>48</v>
      </c>
      <c r="F900" s="5" t="s">
        <v>49</v>
      </c>
      <c r="G900" s="8"/>
      <c r="H900" s="8" t="str">
        <f>IF(F900="Bullet",MIN(G900,Assumptions!$B$6),"")</f>
        <v/>
      </c>
      <c r="I900" s="8">
        <v>2</v>
      </c>
      <c r="J900" s="8">
        <f>IF(F900="Monthly interest",MAX(0,Assumptions!$B$5-I900),"")</f>
        <v>1</v>
      </c>
      <c r="K900" s="7">
        <f t="shared" si="42"/>
        <v>2830</v>
      </c>
      <c r="L900" s="9">
        <v>46257</v>
      </c>
      <c r="M900" s="5" t="s">
        <v>116</v>
      </c>
      <c r="N900" s="5" t="s">
        <v>117</v>
      </c>
      <c r="O900" s="5" t="s">
        <v>118</v>
      </c>
      <c r="P900" s="5" t="s">
        <v>72</v>
      </c>
      <c r="Q900" s="5" t="s">
        <v>119</v>
      </c>
      <c r="R900" s="5" t="s">
        <v>120</v>
      </c>
      <c r="S900" s="5" t="s">
        <v>214</v>
      </c>
      <c r="T900" s="5" t="s">
        <v>57</v>
      </c>
      <c r="U900" s="5" t="s">
        <v>58</v>
      </c>
      <c r="V900" s="5" t="s">
        <v>215</v>
      </c>
      <c r="W900" s="5" t="s">
        <v>278</v>
      </c>
      <c r="X900" s="5" t="s">
        <v>1688</v>
      </c>
      <c r="Y900" s="5" t="s">
        <v>3998</v>
      </c>
      <c r="Z900" s="9">
        <v>46014</v>
      </c>
      <c r="AA900" s="8">
        <v>12</v>
      </c>
      <c r="AB900" s="9">
        <f t="shared" si="43"/>
        <v>46379</v>
      </c>
      <c r="AC900" s="10">
        <v>14</v>
      </c>
      <c r="AD900" s="7">
        <f t="shared" si="44"/>
        <v>1415</v>
      </c>
      <c r="AE900" s="7">
        <f>IF(F900="Bullet",H900*AD900,MIN(MAX(I900,1),Assumptions!$B$6)*AD900)</f>
        <v>2830</v>
      </c>
      <c r="AF900" s="8">
        <f>IF(F900="Bullet",MAX(0,Assumptions!$B$4-AB900),MAX(0,Assumptions!$B$4-L900))</f>
        <v>41</v>
      </c>
      <c r="AG900" s="9">
        <v>46226</v>
      </c>
      <c r="AH900" s="8">
        <f>IF(AG900="","",Assumptions!$B$4-AG900)</f>
        <v>72</v>
      </c>
      <c r="AI900" s="5" t="s">
        <v>63</v>
      </c>
      <c r="AJ900" s="8">
        <v>2</v>
      </c>
      <c r="AK900" s="8">
        <v>1</v>
      </c>
      <c r="AL900" s="8">
        <v>661</v>
      </c>
      <c r="AM900" s="8">
        <v>0</v>
      </c>
      <c r="AN900" s="5" t="s">
        <v>63</v>
      </c>
      <c r="AO900" s="10">
        <v>40</v>
      </c>
      <c r="AP900" s="8">
        <v>50</v>
      </c>
      <c r="AQ900" s="9">
        <v>46277</v>
      </c>
      <c r="AR900" s="5" t="s">
        <v>53</v>
      </c>
      <c r="AS900" s="5" t="s">
        <v>91</v>
      </c>
    </row>
    <row r="901" spans="1:45" x14ac:dyDescent="0.35">
      <c r="A901" s="5" t="s">
        <v>3999</v>
      </c>
      <c r="B901" s="5" t="s">
        <v>4000</v>
      </c>
      <c r="C901" s="6" t="s">
        <v>4001</v>
      </c>
      <c r="D901" s="7">
        <v>286400</v>
      </c>
      <c r="E901" s="5" t="s">
        <v>48</v>
      </c>
      <c r="F901" s="5" t="s">
        <v>49</v>
      </c>
      <c r="G901" s="8"/>
      <c r="H901" s="8" t="str">
        <f>IF(F901="Bullet",MIN(G901,Assumptions!$B$6),"")</f>
        <v/>
      </c>
      <c r="I901" s="8">
        <v>1</v>
      </c>
      <c r="J901" s="8">
        <f>IF(F901="Monthly interest",MAX(0,Assumptions!$B$5-I901),"")</f>
        <v>2</v>
      </c>
      <c r="K901" s="7">
        <f t="shared" si="42"/>
        <v>4773</v>
      </c>
      <c r="L901" s="9">
        <v>46270</v>
      </c>
      <c r="M901" s="5" t="s">
        <v>50</v>
      </c>
      <c r="N901" s="5" t="s">
        <v>51</v>
      </c>
      <c r="O901" s="5" t="s">
        <v>52</v>
      </c>
      <c r="P901" s="5" t="s">
        <v>53</v>
      </c>
      <c r="Q901" s="5" t="s">
        <v>54</v>
      </c>
      <c r="R901" s="5" t="s">
        <v>55</v>
      </c>
      <c r="S901" s="5" t="s">
        <v>56</v>
      </c>
      <c r="T901" s="5" t="s">
        <v>57</v>
      </c>
      <c r="U901" s="5" t="s">
        <v>58</v>
      </c>
      <c r="V901" s="5" t="s">
        <v>59</v>
      </c>
      <c r="W901" s="5" t="s">
        <v>323</v>
      </c>
      <c r="X901" s="5" t="s">
        <v>2471</v>
      </c>
      <c r="Y901" s="5" t="s">
        <v>4002</v>
      </c>
      <c r="Z901" s="9">
        <v>46058</v>
      </c>
      <c r="AA901" s="8">
        <v>18</v>
      </c>
      <c r="AB901" s="9">
        <f t="shared" si="43"/>
        <v>46604</v>
      </c>
      <c r="AC901" s="10">
        <v>20</v>
      </c>
      <c r="AD901" s="7">
        <f t="shared" si="44"/>
        <v>4773</v>
      </c>
      <c r="AE901" s="7">
        <f>IF(F901="Bullet",H901*AD901,MIN(MAX(I901,1),Assumptions!$B$6)*AD901)</f>
        <v>4773</v>
      </c>
      <c r="AF901" s="8">
        <f>IF(F901="Bullet",MAX(0,Assumptions!$B$4-AB901),MAX(0,Assumptions!$B$4-L901))</f>
        <v>28</v>
      </c>
      <c r="AG901" s="9">
        <v>46239</v>
      </c>
      <c r="AH901" s="8">
        <f>IF(AG901="","",Assumptions!$B$4-AG901)</f>
        <v>59</v>
      </c>
      <c r="AI901" s="5" t="s">
        <v>63</v>
      </c>
      <c r="AJ901" s="8">
        <v>2</v>
      </c>
      <c r="AK901" s="8">
        <v>0</v>
      </c>
      <c r="AL901" s="8">
        <v>785</v>
      </c>
      <c r="AM901" s="8">
        <v>1</v>
      </c>
      <c r="AN901" s="5" t="s">
        <v>63</v>
      </c>
      <c r="AO901" s="10">
        <v>75</v>
      </c>
      <c r="AP901" s="8">
        <v>21</v>
      </c>
      <c r="AQ901" s="9">
        <v>46286</v>
      </c>
      <c r="AR901" s="5" t="s">
        <v>51</v>
      </c>
      <c r="AS901" s="5" t="s">
        <v>64</v>
      </c>
    </row>
    <row r="902" spans="1:45" x14ac:dyDescent="0.35">
      <c r="A902" s="5" t="s">
        <v>4003</v>
      </c>
      <c r="B902" s="5" t="s">
        <v>4004</v>
      </c>
      <c r="C902" s="6" t="s">
        <v>4005</v>
      </c>
      <c r="D902" s="7">
        <v>119800</v>
      </c>
      <c r="E902" s="5" t="s">
        <v>48</v>
      </c>
      <c r="F902" s="5" t="s">
        <v>49</v>
      </c>
      <c r="G902" s="8"/>
      <c r="H902" s="8" t="str">
        <f>IF(F902="Bullet",MIN(G902,Assumptions!$B$6),"")</f>
        <v/>
      </c>
      <c r="I902" s="8">
        <v>1</v>
      </c>
      <c r="J902" s="8">
        <f>IF(F902="Monthly interest",MAX(0,Assumptions!$B$5-I902),"")</f>
        <v>2</v>
      </c>
      <c r="K902" s="7">
        <f t="shared" si="42"/>
        <v>2396</v>
      </c>
      <c r="L902" s="9">
        <v>46293</v>
      </c>
      <c r="M902" s="5" t="s">
        <v>50</v>
      </c>
      <c r="N902" s="5" t="s">
        <v>53</v>
      </c>
      <c r="O902" s="5" t="s">
        <v>95</v>
      </c>
      <c r="P902" s="5" t="s">
        <v>70</v>
      </c>
      <c r="Q902" s="5" t="s">
        <v>54</v>
      </c>
      <c r="R902" s="5" t="s">
        <v>55</v>
      </c>
      <c r="S902" s="5" t="s">
        <v>75</v>
      </c>
      <c r="T902" s="5" t="s">
        <v>63</v>
      </c>
      <c r="U902" s="5" t="s">
        <v>86</v>
      </c>
      <c r="V902" s="5" t="s">
        <v>76</v>
      </c>
      <c r="W902" s="5" t="s">
        <v>382</v>
      </c>
      <c r="X902" s="5" t="s">
        <v>2276</v>
      </c>
      <c r="Y902" s="5" t="s">
        <v>4006</v>
      </c>
      <c r="Z902" s="9">
        <v>46050</v>
      </c>
      <c r="AA902" s="8">
        <v>12</v>
      </c>
      <c r="AB902" s="9">
        <f t="shared" si="43"/>
        <v>46415</v>
      </c>
      <c r="AC902" s="10">
        <v>24</v>
      </c>
      <c r="AD902" s="7">
        <f t="shared" si="44"/>
        <v>2396</v>
      </c>
      <c r="AE902" s="7">
        <f>IF(F902="Bullet",H902*AD902,MIN(MAX(I902,1),Assumptions!$B$6)*AD902)</f>
        <v>2396</v>
      </c>
      <c r="AF902" s="8">
        <f>IF(F902="Bullet",MAX(0,Assumptions!$B$4-AB902),MAX(0,Assumptions!$B$4-L902))</f>
        <v>5</v>
      </c>
      <c r="AG902" s="9">
        <v>46265</v>
      </c>
      <c r="AH902" s="8">
        <f>IF(AG902="","",Assumptions!$B$4-AG902)</f>
        <v>33</v>
      </c>
      <c r="AI902" s="5" t="s">
        <v>63</v>
      </c>
      <c r="AJ902" s="8">
        <v>1</v>
      </c>
      <c r="AK902" s="8">
        <v>0</v>
      </c>
      <c r="AL902" s="8">
        <v>791</v>
      </c>
      <c r="AM902" s="8">
        <v>1</v>
      </c>
      <c r="AN902" s="5" t="s">
        <v>63</v>
      </c>
      <c r="AO902" s="10">
        <v>71.7</v>
      </c>
      <c r="AP902" s="8">
        <v>8</v>
      </c>
      <c r="AQ902" s="9">
        <v>46282</v>
      </c>
      <c r="AR902" s="5" t="s">
        <v>70</v>
      </c>
      <c r="AS902" s="5" t="s">
        <v>274</v>
      </c>
    </row>
    <row r="903" spans="1:45" x14ac:dyDescent="0.35">
      <c r="A903" s="5" t="s">
        <v>4007</v>
      </c>
      <c r="B903" s="5" t="s">
        <v>4008</v>
      </c>
      <c r="C903" s="6" t="s">
        <v>4009</v>
      </c>
      <c r="D903" s="7">
        <v>504700</v>
      </c>
      <c r="E903" s="5" t="s">
        <v>48</v>
      </c>
      <c r="F903" s="5" t="s">
        <v>68</v>
      </c>
      <c r="G903" s="8">
        <v>3</v>
      </c>
      <c r="H903" s="8">
        <f>IF(F903="Bullet",MIN(G903,Assumptions!$B$6),"")</f>
        <v>2</v>
      </c>
      <c r="I903" s="8"/>
      <c r="J903" s="8" t="str">
        <f>IF(F903="Monthly interest",MAX(0,Assumptions!$B$5-I903),"")</f>
        <v/>
      </c>
      <c r="K903" s="7">
        <f t="shared" si="42"/>
        <v>15141</v>
      </c>
      <c r="L903" s="9">
        <v>46195</v>
      </c>
      <c r="M903" s="5" t="s">
        <v>69</v>
      </c>
      <c r="N903" s="5" t="s">
        <v>70</v>
      </c>
      <c r="O903" s="5" t="s">
        <v>71</v>
      </c>
      <c r="P903" s="5" t="s">
        <v>72</v>
      </c>
      <c r="Q903" s="5" t="s">
        <v>73</v>
      </c>
      <c r="R903" s="5" t="s">
        <v>74</v>
      </c>
      <c r="S903" s="5" t="s">
        <v>185</v>
      </c>
      <c r="T903" s="5" t="s">
        <v>57</v>
      </c>
      <c r="U903" s="5" t="s">
        <v>104</v>
      </c>
      <c r="V903" s="5" t="s">
        <v>186</v>
      </c>
      <c r="W903" s="5" t="s">
        <v>694</v>
      </c>
      <c r="X903" s="5" t="s">
        <v>695</v>
      </c>
      <c r="Y903" s="5" t="s">
        <v>4010</v>
      </c>
      <c r="Z903" s="9">
        <v>46195</v>
      </c>
      <c r="AA903" s="8">
        <v>3</v>
      </c>
      <c r="AB903" s="9">
        <f t="shared" si="43"/>
        <v>46287</v>
      </c>
      <c r="AC903" s="10">
        <v>12</v>
      </c>
      <c r="AD903" s="7">
        <f t="shared" si="44"/>
        <v>5047</v>
      </c>
      <c r="AE903" s="7">
        <f>IF(F903="Bullet",H903*AD903,MIN(MAX(I903,1),Assumptions!$B$6)*AD903)</f>
        <v>10094</v>
      </c>
      <c r="AF903" s="8">
        <f>IF(F903="Bullet",MAX(0,Assumptions!$B$4-AB903),MAX(0,Assumptions!$B$4-L903))</f>
        <v>11</v>
      </c>
      <c r="AG903" s="9"/>
      <c r="AH903" s="8" t="str">
        <f>IF(AG903="","",Assumptions!$B$4-AG903)</f>
        <v/>
      </c>
      <c r="AI903" s="5" t="s">
        <v>80</v>
      </c>
      <c r="AJ903" s="8"/>
      <c r="AK903" s="8">
        <v>2</v>
      </c>
      <c r="AL903" s="8">
        <v>736</v>
      </c>
      <c r="AM903" s="8">
        <v>1</v>
      </c>
      <c r="AN903" s="5" t="s">
        <v>63</v>
      </c>
      <c r="AO903" s="10">
        <v>75.2</v>
      </c>
      <c r="AP903" s="8">
        <v>40</v>
      </c>
      <c r="AQ903" s="9">
        <v>46284</v>
      </c>
      <c r="AR903" s="5" t="s">
        <v>51</v>
      </c>
      <c r="AS903" s="5" t="s">
        <v>181</v>
      </c>
    </row>
    <row r="904" spans="1:45" x14ac:dyDescent="0.35">
      <c r="A904" s="5" t="s">
        <v>4011</v>
      </c>
      <c r="B904" s="5" t="s">
        <v>1440</v>
      </c>
      <c r="C904" s="6" t="s">
        <v>4012</v>
      </c>
      <c r="D904" s="7">
        <v>915900</v>
      </c>
      <c r="E904" s="5" t="s">
        <v>48</v>
      </c>
      <c r="F904" s="5" t="s">
        <v>68</v>
      </c>
      <c r="G904" s="8">
        <v>1</v>
      </c>
      <c r="H904" s="8">
        <f>IF(F904="Bullet",MIN(G904,Assumptions!$B$6),"")</f>
        <v>1</v>
      </c>
      <c r="I904" s="8"/>
      <c r="J904" s="8" t="str">
        <f>IF(F904="Monthly interest",MAX(0,Assumptions!$B$5-I904),"")</f>
        <v/>
      </c>
      <c r="K904" s="7">
        <f t="shared" si="42"/>
        <v>9922</v>
      </c>
      <c r="L904" s="9">
        <v>46250</v>
      </c>
      <c r="M904" s="5" t="s">
        <v>50</v>
      </c>
      <c r="N904" s="5" t="s">
        <v>51</v>
      </c>
      <c r="O904" s="5" t="s">
        <v>71</v>
      </c>
      <c r="P904" s="5" t="s">
        <v>53</v>
      </c>
      <c r="Q904" s="5" t="s">
        <v>73</v>
      </c>
      <c r="R904" s="5" t="s">
        <v>74</v>
      </c>
      <c r="S904" s="5" t="s">
        <v>185</v>
      </c>
      <c r="T904" s="5" t="s">
        <v>57</v>
      </c>
      <c r="U904" s="5" t="s">
        <v>104</v>
      </c>
      <c r="V904" s="5" t="s">
        <v>200</v>
      </c>
      <c r="W904" s="5" t="s">
        <v>201</v>
      </c>
      <c r="X904" s="5" t="s">
        <v>3401</v>
      </c>
      <c r="Y904" s="5" t="s">
        <v>4013</v>
      </c>
      <c r="Z904" s="9">
        <v>46250</v>
      </c>
      <c r="AA904" s="8">
        <v>12</v>
      </c>
      <c r="AB904" s="9">
        <f t="shared" si="43"/>
        <v>46615</v>
      </c>
      <c r="AC904" s="10">
        <v>13</v>
      </c>
      <c r="AD904" s="7">
        <f t="shared" si="44"/>
        <v>9922</v>
      </c>
      <c r="AE904" s="7">
        <f>IF(F904="Bullet",H904*AD904,MIN(MAX(I904,1),Assumptions!$B$6)*AD904)</f>
        <v>9922</v>
      </c>
      <c r="AF904" s="8">
        <f>IF(F904="Bullet",MAX(0,Assumptions!$B$4-AB904),MAX(0,Assumptions!$B$4-L904))</f>
        <v>0</v>
      </c>
      <c r="AG904" s="9"/>
      <c r="AH904" s="8" t="str">
        <f>IF(AG904="","",Assumptions!$B$4-AG904)</f>
        <v/>
      </c>
      <c r="AI904" s="5" t="s">
        <v>80</v>
      </c>
      <c r="AJ904" s="8"/>
      <c r="AK904" s="8">
        <v>0</v>
      </c>
      <c r="AL904" s="8">
        <v>726</v>
      </c>
      <c r="AM904" s="8">
        <v>0</v>
      </c>
      <c r="AN904" s="5" t="s">
        <v>63</v>
      </c>
      <c r="AO904" s="10">
        <v>70.8</v>
      </c>
      <c r="AP904" s="8">
        <v>7</v>
      </c>
      <c r="AQ904" s="9"/>
      <c r="AR904" s="5"/>
      <c r="AS904" s="5" t="s">
        <v>159</v>
      </c>
    </row>
    <row r="905" spans="1:45" x14ac:dyDescent="0.35">
      <c r="A905" s="5" t="s">
        <v>4014</v>
      </c>
      <c r="B905" s="5" t="s">
        <v>4015</v>
      </c>
      <c r="C905" s="6" t="s">
        <v>4016</v>
      </c>
      <c r="D905" s="7">
        <v>54000</v>
      </c>
      <c r="E905" s="5" t="s">
        <v>48</v>
      </c>
      <c r="F905" s="5" t="s">
        <v>68</v>
      </c>
      <c r="G905" s="8">
        <v>1</v>
      </c>
      <c r="H905" s="8">
        <f>IF(F905="Bullet",MIN(G905,Assumptions!$B$6),"")</f>
        <v>1</v>
      </c>
      <c r="I905" s="8"/>
      <c r="J905" s="8" t="str">
        <f>IF(F905="Monthly interest",MAX(0,Assumptions!$B$5-I905),"")</f>
        <v/>
      </c>
      <c r="K905" s="7">
        <f t="shared" si="42"/>
        <v>810</v>
      </c>
      <c r="L905" s="9">
        <v>46249</v>
      </c>
      <c r="M905" s="5" t="s">
        <v>50</v>
      </c>
      <c r="N905" s="5" t="s">
        <v>53</v>
      </c>
      <c r="O905" s="5" t="s">
        <v>103</v>
      </c>
      <c r="P905" s="5" t="s">
        <v>51</v>
      </c>
      <c r="Q905" s="5" t="s">
        <v>73</v>
      </c>
      <c r="R905" s="5" t="s">
        <v>74</v>
      </c>
      <c r="S905" s="5" t="s">
        <v>56</v>
      </c>
      <c r="T905" s="5" t="s">
        <v>57</v>
      </c>
      <c r="U905" s="5" t="s">
        <v>86</v>
      </c>
      <c r="V905" s="5" t="s">
        <v>59</v>
      </c>
      <c r="W905" s="5" t="s">
        <v>300</v>
      </c>
      <c r="X905" s="5" t="s">
        <v>1646</v>
      </c>
      <c r="Y905" s="5" t="s">
        <v>4017</v>
      </c>
      <c r="Z905" s="9">
        <v>46249</v>
      </c>
      <c r="AA905" s="8">
        <v>6</v>
      </c>
      <c r="AB905" s="9">
        <f t="shared" si="43"/>
        <v>46433</v>
      </c>
      <c r="AC905" s="10">
        <v>18</v>
      </c>
      <c r="AD905" s="7">
        <f t="shared" si="44"/>
        <v>810</v>
      </c>
      <c r="AE905" s="7">
        <f>IF(F905="Bullet",H905*AD905,MIN(MAX(I905,1),Assumptions!$B$6)*AD905)</f>
        <v>810</v>
      </c>
      <c r="AF905" s="8">
        <f>IF(F905="Bullet",MAX(0,Assumptions!$B$4-AB905),MAX(0,Assumptions!$B$4-L905))</f>
        <v>0</v>
      </c>
      <c r="AG905" s="9"/>
      <c r="AH905" s="8" t="str">
        <f>IF(AG905="","",Assumptions!$B$4-AG905)</f>
        <v/>
      </c>
      <c r="AI905" s="5" t="s">
        <v>80</v>
      </c>
      <c r="AJ905" s="8"/>
      <c r="AK905" s="8">
        <v>1</v>
      </c>
      <c r="AL905" s="8">
        <v>740</v>
      </c>
      <c r="AM905" s="8">
        <v>0</v>
      </c>
      <c r="AN905" s="5" t="s">
        <v>63</v>
      </c>
      <c r="AO905" s="10">
        <v>80.400000000000006</v>
      </c>
      <c r="AP905" s="8">
        <v>16</v>
      </c>
      <c r="AQ905" s="9">
        <v>46295</v>
      </c>
      <c r="AR905" s="5" t="s">
        <v>51</v>
      </c>
      <c r="AS905" s="5" t="s">
        <v>81</v>
      </c>
    </row>
    <row r="906" spans="1:45" x14ac:dyDescent="0.35">
      <c r="A906" s="5" t="s">
        <v>4018</v>
      </c>
      <c r="B906" s="5" t="s">
        <v>4019</v>
      </c>
      <c r="C906" s="6" t="s">
        <v>4020</v>
      </c>
      <c r="D906" s="7">
        <v>127200</v>
      </c>
      <c r="E906" s="5" t="s">
        <v>48</v>
      </c>
      <c r="F906" s="5" t="s">
        <v>68</v>
      </c>
      <c r="G906" s="8">
        <v>2</v>
      </c>
      <c r="H906" s="8">
        <f>IF(F906="Bullet",MIN(G906,Assumptions!$B$6),"")</f>
        <v>2</v>
      </c>
      <c r="I906" s="8"/>
      <c r="J906" s="8" t="str">
        <f>IF(F906="Monthly interest",MAX(0,Assumptions!$B$5-I906),"")</f>
        <v/>
      </c>
      <c r="K906" s="7">
        <f t="shared" si="42"/>
        <v>3180</v>
      </c>
      <c r="L906" s="9">
        <v>46217</v>
      </c>
      <c r="M906" s="5" t="s">
        <v>50</v>
      </c>
      <c r="N906" s="5" t="s">
        <v>53</v>
      </c>
      <c r="O906" s="5" t="s">
        <v>95</v>
      </c>
      <c r="P906" s="5" t="s">
        <v>70</v>
      </c>
      <c r="Q906" s="5" t="s">
        <v>73</v>
      </c>
      <c r="R906" s="5" t="s">
        <v>74</v>
      </c>
      <c r="S906" s="5" t="s">
        <v>85</v>
      </c>
      <c r="T906" s="5" t="s">
        <v>63</v>
      </c>
      <c r="U906" s="5" t="s">
        <v>58</v>
      </c>
      <c r="V906" s="5" t="s">
        <v>553</v>
      </c>
      <c r="W906" s="5" t="s">
        <v>554</v>
      </c>
      <c r="X906" s="5" t="s">
        <v>987</v>
      </c>
      <c r="Y906" s="5" t="s">
        <v>4021</v>
      </c>
      <c r="Z906" s="9">
        <v>46217</v>
      </c>
      <c r="AA906" s="8">
        <v>12</v>
      </c>
      <c r="AB906" s="9">
        <f t="shared" si="43"/>
        <v>46582</v>
      </c>
      <c r="AC906" s="10">
        <v>15</v>
      </c>
      <c r="AD906" s="7">
        <f t="shared" si="44"/>
        <v>1590</v>
      </c>
      <c r="AE906" s="7">
        <f>IF(F906="Bullet",H906*AD906,MIN(MAX(I906,1),Assumptions!$B$6)*AD906)</f>
        <v>3180</v>
      </c>
      <c r="AF906" s="8">
        <f>IF(F906="Bullet",MAX(0,Assumptions!$B$4-AB906),MAX(0,Assumptions!$B$4-L906))</f>
        <v>0</v>
      </c>
      <c r="AG906" s="9"/>
      <c r="AH906" s="8" t="str">
        <f>IF(AG906="","",Assumptions!$B$4-AG906)</f>
        <v/>
      </c>
      <c r="AI906" s="5" t="s">
        <v>80</v>
      </c>
      <c r="AJ906" s="8"/>
      <c r="AK906" s="8">
        <v>0</v>
      </c>
      <c r="AL906" s="8">
        <v>654</v>
      </c>
      <c r="AM906" s="8">
        <v>2</v>
      </c>
      <c r="AN906" s="5" t="s">
        <v>63</v>
      </c>
      <c r="AO906" s="10">
        <v>66.2</v>
      </c>
      <c r="AP906" s="8">
        <v>27</v>
      </c>
      <c r="AQ906" s="9">
        <v>46284</v>
      </c>
      <c r="AR906" s="5" t="s">
        <v>70</v>
      </c>
      <c r="AS906" s="5" t="s">
        <v>81</v>
      </c>
    </row>
    <row r="907" spans="1:45" x14ac:dyDescent="0.35">
      <c r="A907" s="5" t="s">
        <v>4022</v>
      </c>
      <c r="B907" s="5" t="s">
        <v>4023</v>
      </c>
      <c r="C907" s="6" t="s">
        <v>4024</v>
      </c>
      <c r="D907" s="7">
        <v>43500</v>
      </c>
      <c r="E907" s="5" t="s">
        <v>48</v>
      </c>
      <c r="F907" s="5" t="s">
        <v>68</v>
      </c>
      <c r="G907" s="8">
        <v>5</v>
      </c>
      <c r="H907" s="8">
        <f>IF(F907="Bullet",MIN(G907,Assumptions!$B$6),"")</f>
        <v>2</v>
      </c>
      <c r="I907" s="8"/>
      <c r="J907" s="8" t="str">
        <f>IF(F907="Monthly interest",MAX(0,Assumptions!$B$5-I907),"")</f>
        <v/>
      </c>
      <c r="K907" s="7">
        <f t="shared" si="42"/>
        <v>2175</v>
      </c>
      <c r="L907" s="9">
        <v>46136</v>
      </c>
      <c r="M907" s="5" t="s">
        <v>116</v>
      </c>
      <c r="N907" s="5" t="s">
        <v>117</v>
      </c>
      <c r="O907" s="5" t="s">
        <v>461</v>
      </c>
      <c r="P907" s="5" t="s">
        <v>72</v>
      </c>
      <c r="Q907" s="5" t="s">
        <v>169</v>
      </c>
      <c r="R907" s="5" t="s">
        <v>170</v>
      </c>
      <c r="S907" s="5" t="s">
        <v>56</v>
      </c>
      <c r="T907" s="5" t="s">
        <v>57</v>
      </c>
      <c r="U907" s="5" t="s">
        <v>104</v>
      </c>
      <c r="V907" s="5" t="s">
        <v>59</v>
      </c>
      <c r="W907" s="5" t="s">
        <v>323</v>
      </c>
      <c r="X907" s="5" t="s">
        <v>651</v>
      </c>
      <c r="Y907" s="5" t="s">
        <v>4025</v>
      </c>
      <c r="Z907" s="9">
        <v>46136</v>
      </c>
      <c r="AA907" s="8">
        <v>6</v>
      </c>
      <c r="AB907" s="9">
        <f t="shared" si="43"/>
        <v>46319</v>
      </c>
      <c r="AC907" s="10">
        <v>12</v>
      </c>
      <c r="AD907" s="7">
        <f t="shared" si="44"/>
        <v>435</v>
      </c>
      <c r="AE907" s="7">
        <f>IF(F907="Bullet",H907*AD907,MIN(MAX(I907,1),Assumptions!$B$6)*AD907)</f>
        <v>870</v>
      </c>
      <c r="AF907" s="8">
        <f>IF(F907="Bullet",MAX(0,Assumptions!$B$4-AB907),MAX(0,Assumptions!$B$4-L907))</f>
        <v>0</v>
      </c>
      <c r="AG907" s="9"/>
      <c r="AH907" s="8" t="str">
        <f>IF(AG907="","",Assumptions!$B$4-AG907)</f>
        <v/>
      </c>
      <c r="AI907" s="5" t="s">
        <v>80</v>
      </c>
      <c r="AJ907" s="8"/>
      <c r="AK907" s="8">
        <v>3</v>
      </c>
      <c r="AL907" s="8">
        <v>693</v>
      </c>
      <c r="AM907" s="8">
        <v>0</v>
      </c>
      <c r="AN907" s="5" t="s">
        <v>63</v>
      </c>
      <c r="AO907" s="10">
        <v>74</v>
      </c>
      <c r="AP907" s="8">
        <v>56</v>
      </c>
      <c r="AQ907" s="9">
        <v>46277</v>
      </c>
      <c r="AR907" s="5" t="s">
        <v>70</v>
      </c>
      <c r="AS907" s="5" t="s">
        <v>64</v>
      </c>
    </row>
    <row r="908" spans="1:45" x14ac:dyDescent="0.35">
      <c r="A908" s="5" t="s">
        <v>4026</v>
      </c>
      <c r="B908" s="5" t="s">
        <v>4027</v>
      </c>
      <c r="C908" s="6" t="s">
        <v>4028</v>
      </c>
      <c r="D908" s="7">
        <v>319400</v>
      </c>
      <c r="E908" s="5" t="s">
        <v>48</v>
      </c>
      <c r="F908" s="5" t="s">
        <v>49</v>
      </c>
      <c r="G908" s="8"/>
      <c r="H908" s="8" t="str">
        <f>IF(F908="Bullet",MIN(G908,Assumptions!$B$6),"")</f>
        <v/>
      </c>
      <c r="I908" s="8">
        <v>1</v>
      </c>
      <c r="J908" s="8">
        <f>IF(F908="Monthly interest",MAX(0,Assumptions!$B$5-I908),"")</f>
        <v>2</v>
      </c>
      <c r="K908" s="7">
        <f t="shared" si="42"/>
        <v>5856</v>
      </c>
      <c r="L908" s="9">
        <v>46290</v>
      </c>
      <c r="M908" s="5" t="s">
        <v>50</v>
      </c>
      <c r="N908" s="5" t="s">
        <v>53</v>
      </c>
      <c r="O908" s="5" t="s">
        <v>95</v>
      </c>
      <c r="P908" s="5" t="s">
        <v>70</v>
      </c>
      <c r="Q908" s="5" t="s">
        <v>54</v>
      </c>
      <c r="R908" s="5" t="s">
        <v>55</v>
      </c>
      <c r="S908" s="5" t="s">
        <v>56</v>
      </c>
      <c r="T908" s="5" t="s">
        <v>63</v>
      </c>
      <c r="U908" s="5" t="s">
        <v>58</v>
      </c>
      <c r="V908" s="5" t="s">
        <v>59</v>
      </c>
      <c r="W908" s="5" t="s">
        <v>126</v>
      </c>
      <c r="X908" s="5" t="s">
        <v>2821</v>
      </c>
      <c r="Y908" s="5" t="s">
        <v>4029</v>
      </c>
      <c r="Z908" s="9">
        <v>46137</v>
      </c>
      <c r="AA908" s="8">
        <v>12</v>
      </c>
      <c r="AB908" s="9">
        <f t="shared" si="43"/>
        <v>46502</v>
      </c>
      <c r="AC908" s="10">
        <v>22</v>
      </c>
      <c r="AD908" s="7">
        <f t="shared" si="44"/>
        <v>5856</v>
      </c>
      <c r="AE908" s="7">
        <f>IF(F908="Bullet",H908*AD908,MIN(MAX(I908,1),Assumptions!$B$6)*AD908)</f>
        <v>5856</v>
      </c>
      <c r="AF908" s="8">
        <f>IF(F908="Bullet",MAX(0,Assumptions!$B$4-AB908),MAX(0,Assumptions!$B$4-L908))</f>
        <v>8</v>
      </c>
      <c r="AG908" s="9">
        <v>46261</v>
      </c>
      <c r="AH908" s="8">
        <f>IF(AG908="","",Assumptions!$B$4-AG908)</f>
        <v>37</v>
      </c>
      <c r="AI908" s="5" t="s">
        <v>63</v>
      </c>
      <c r="AJ908" s="8">
        <v>1</v>
      </c>
      <c r="AK908" s="8">
        <v>0</v>
      </c>
      <c r="AL908" s="8">
        <v>759</v>
      </c>
      <c r="AM908" s="8">
        <v>0</v>
      </c>
      <c r="AN908" s="5" t="s">
        <v>63</v>
      </c>
      <c r="AO908" s="10">
        <v>62</v>
      </c>
      <c r="AP908" s="8">
        <v>21</v>
      </c>
      <c r="AQ908" s="9">
        <v>46295</v>
      </c>
      <c r="AR908" s="5" t="s">
        <v>51</v>
      </c>
      <c r="AS908" s="5" t="s">
        <v>64</v>
      </c>
    </row>
    <row r="909" spans="1:45" x14ac:dyDescent="0.35">
      <c r="A909" s="5" t="s">
        <v>4030</v>
      </c>
      <c r="B909" s="5" t="s">
        <v>4031</v>
      </c>
      <c r="C909" s="6" t="s">
        <v>4032</v>
      </c>
      <c r="D909" s="7">
        <v>304400</v>
      </c>
      <c r="E909" s="5" t="s">
        <v>48</v>
      </c>
      <c r="F909" s="5" t="s">
        <v>49</v>
      </c>
      <c r="G909" s="8"/>
      <c r="H909" s="8" t="str">
        <f>IF(F909="Bullet",MIN(G909,Assumptions!$B$6),"")</f>
        <v/>
      </c>
      <c r="I909" s="8">
        <v>1</v>
      </c>
      <c r="J909" s="8">
        <f>IF(F909="Monthly interest",MAX(0,Assumptions!$B$5-I909),"")</f>
        <v>2</v>
      </c>
      <c r="K909" s="7">
        <f t="shared" si="42"/>
        <v>4059</v>
      </c>
      <c r="L909" s="9">
        <v>46289</v>
      </c>
      <c r="M909" s="5" t="s">
        <v>69</v>
      </c>
      <c r="N909" s="5" t="s">
        <v>51</v>
      </c>
      <c r="O909" s="5" t="s">
        <v>52</v>
      </c>
      <c r="P909" s="5" t="s">
        <v>53</v>
      </c>
      <c r="Q909" s="5" t="s">
        <v>54</v>
      </c>
      <c r="R909" s="5" t="s">
        <v>55</v>
      </c>
      <c r="S909" s="5" t="s">
        <v>214</v>
      </c>
      <c r="T909" s="5" t="s">
        <v>57</v>
      </c>
      <c r="U909" s="5" t="s">
        <v>58</v>
      </c>
      <c r="V909" s="5" t="s">
        <v>215</v>
      </c>
      <c r="W909" s="5" t="s">
        <v>284</v>
      </c>
      <c r="X909" s="5" t="s">
        <v>3331</v>
      </c>
      <c r="Y909" s="5" t="s">
        <v>4033</v>
      </c>
      <c r="Z909" s="9">
        <v>46077</v>
      </c>
      <c r="AA909" s="8">
        <v>12</v>
      </c>
      <c r="AB909" s="9">
        <f t="shared" si="43"/>
        <v>46442</v>
      </c>
      <c r="AC909" s="10">
        <v>16</v>
      </c>
      <c r="AD909" s="7">
        <f t="shared" si="44"/>
        <v>4059</v>
      </c>
      <c r="AE909" s="7">
        <f>IF(F909="Bullet",H909*AD909,MIN(MAX(I909,1),Assumptions!$B$6)*AD909)</f>
        <v>4059</v>
      </c>
      <c r="AF909" s="8">
        <f>IF(F909="Bullet",MAX(0,Assumptions!$B$4-AB909),MAX(0,Assumptions!$B$4-L909))</f>
        <v>9</v>
      </c>
      <c r="AG909" s="9">
        <v>46258</v>
      </c>
      <c r="AH909" s="8">
        <f>IF(AG909="","",Assumptions!$B$4-AG909)</f>
        <v>40</v>
      </c>
      <c r="AI909" s="5" t="s">
        <v>63</v>
      </c>
      <c r="AJ909" s="8">
        <v>3</v>
      </c>
      <c r="AK909" s="8">
        <v>0</v>
      </c>
      <c r="AL909" s="8">
        <v>701</v>
      </c>
      <c r="AM909" s="8">
        <v>1</v>
      </c>
      <c r="AN909" s="5" t="s">
        <v>63</v>
      </c>
      <c r="AO909" s="10">
        <v>70.5</v>
      </c>
      <c r="AP909" s="8">
        <v>32</v>
      </c>
      <c r="AQ909" s="9">
        <v>46295</v>
      </c>
      <c r="AR909" s="5" t="s">
        <v>53</v>
      </c>
      <c r="AS909" s="5" t="s">
        <v>64</v>
      </c>
    </row>
    <row r="910" spans="1:45" x14ac:dyDescent="0.35">
      <c r="A910" s="5" t="s">
        <v>4034</v>
      </c>
      <c r="B910" s="5" t="s">
        <v>4035</v>
      </c>
      <c r="C910" s="6" t="s">
        <v>4036</v>
      </c>
      <c r="D910" s="7">
        <v>252000</v>
      </c>
      <c r="E910" s="5" t="s">
        <v>48</v>
      </c>
      <c r="F910" s="5" t="s">
        <v>49</v>
      </c>
      <c r="G910" s="8"/>
      <c r="H910" s="8" t="str">
        <f>IF(F910="Bullet",MIN(G910,Assumptions!$B$6),"")</f>
        <v/>
      </c>
      <c r="I910" s="8">
        <v>2</v>
      </c>
      <c r="J910" s="8">
        <f>IF(F910="Monthly interest",MAX(0,Assumptions!$B$5-I910),"")</f>
        <v>1</v>
      </c>
      <c r="K910" s="7">
        <f t="shared" si="42"/>
        <v>10080</v>
      </c>
      <c r="L910" s="9">
        <v>46239</v>
      </c>
      <c r="M910" s="5" t="s">
        <v>69</v>
      </c>
      <c r="N910" s="5" t="s">
        <v>70</v>
      </c>
      <c r="O910" s="5" t="s">
        <v>71</v>
      </c>
      <c r="P910" s="5" t="s">
        <v>72</v>
      </c>
      <c r="Q910" s="5" t="s">
        <v>73</v>
      </c>
      <c r="R910" s="5" t="s">
        <v>74</v>
      </c>
      <c r="S910" s="5" t="s">
        <v>56</v>
      </c>
      <c r="T910" s="5" t="s">
        <v>57</v>
      </c>
      <c r="U910" s="5" t="s">
        <v>58</v>
      </c>
      <c r="V910" s="5" t="s">
        <v>59</v>
      </c>
      <c r="W910" s="5" t="s">
        <v>126</v>
      </c>
      <c r="X910" s="5" t="s">
        <v>2161</v>
      </c>
      <c r="Y910" s="5" t="s">
        <v>4037</v>
      </c>
      <c r="Z910" s="9">
        <v>45996</v>
      </c>
      <c r="AA910" s="8">
        <v>12</v>
      </c>
      <c r="AB910" s="9">
        <f t="shared" si="43"/>
        <v>46361</v>
      </c>
      <c r="AC910" s="10">
        <v>24</v>
      </c>
      <c r="AD910" s="7">
        <f t="shared" si="44"/>
        <v>5040</v>
      </c>
      <c r="AE910" s="7">
        <f>IF(F910="Bullet",H910*AD910,MIN(MAX(I910,1),Assumptions!$B$6)*AD910)</f>
        <v>10080</v>
      </c>
      <c r="AF910" s="8">
        <f>IF(F910="Bullet",MAX(0,Assumptions!$B$4-AB910),MAX(0,Assumptions!$B$4-L910))</f>
        <v>59</v>
      </c>
      <c r="AG910" s="9">
        <v>46211</v>
      </c>
      <c r="AH910" s="8">
        <f>IF(AG910="","",Assumptions!$B$4-AG910)</f>
        <v>87</v>
      </c>
      <c r="AI910" s="5" t="s">
        <v>63</v>
      </c>
      <c r="AJ910" s="8">
        <v>2</v>
      </c>
      <c r="AK910" s="8">
        <v>1</v>
      </c>
      <c r="AL910" s="8">
        <v>728</v>
      </c>
      <c r="AM910" s="8">
        <v>0</v>
      </c>
      <c r="AN910" s="5" t="s">
        <v>63</v>
      </c>
      <c r="AO910" s="10">
        <v>66</v>
      </c>
      <c r="AP910" s="8">
        <v>45</v>
      </c>
      <c r="AQ910" s="9">
        <v>46282</v>
      </c>
      <c r="AR910" s="5" t="s">
        <v>70</v>
      </c>
      <c r="AS910" s="5" t="s">
        <v>190</v>
      </c>
    </row>
    <row r="911" spans="1:45" x14ac:dyDescent="0.35">
      <c r="A911" s="5" t="s">
        <v>4038</v>
      </c>
      <c r="B911" s="5" t="s">
        <v>3133</v>
      </c>
      <c r="C911" s="6" t="s">
        <v>4039</v>
      </c>
      <c r="D911" s="7">
        <v>253300</v>
      </c>
      <c r="E911" s="5" t="s">
        <v>48</v>
      </c>
      <c r="F911" s="5" t="s">
        <v>68</v>
      </c>
      <c r="G911" s="8">
        <v>4</v>
      </c>
      <c r="H911" s="8">
        <f>IF(F911="Bullet",MIN(G911,Assumptions!$B$6),"")</f>
        <v>2</v>
      </c>
      <c r="I911" s="8"/>
      <c r="J911" s="8" t="str">
        <f>IF(F911="Monthly interest",MAX(0,Assumptions!$B$5-I911),"")</f>
        <v/>
      </c>
      <c r="K911" s="7">
        <f t="shared" si="42"/>
        <v>10976</v>
      </c>
      <c r="L911" s="9">
        <v>46161</v>
      </c>
      <c r="M911" s="5" t="s">
        <v>69</v>
      </c>
      <c r="N911" s="5" t="s">
        <v>70</v>
      </c>
      <c r="O911" s="5" t="s">
        <v>71</v>
      </c>
      <c r="P911" s="5" t="s">
        <v>72</v>
      </c>
      <c r="Q911" s="5" t="s">
        <v>73</v>
      </c>
      <c r="R911" s="5" t="s">
        <v>74</v>
      </c>
      <c r="S911" s="5" t="s">
        <v>185</v>
      </c>
      <c r="T911" s="5" t="s">
        <v>57</v>
      </c>
      <c r="U911" s="5" t="s">
        <v>104</v>
      </c>
      <c r="V911" s="5" t="s">
        <v>186</v>
      </c>
      <c r="W911" s="5" t="s">
        <v>376</v>
      </c>
      <c r="X911" s="5" t="s">
        <v>2724</v>
      </c>
      <c r="Y911" s="5" t="s">
        <v>4040</v>
      </c>
      <c r="Z911" s="9">
        <v>46161</v>
      </c>
      <c r="AA911" s="8">
        <v>6</v>
      </c>
      <c r="AB911" s="9">
        <f t="shared" si="43"/>
        <v>46345</v>
      </c>
      <c r="AC911" s="10">
        <v>13</v>
      </c>
      <c r="AD911" s="7">
        <f t="shared" si="44"/>
        <v>2744</v>
      </c>
      <c r="AE911" s="7">
        <f>IF(F911="Bullet",H911*AD911,MIN(MAX(I911,1),Assumptions!$B$6)*AD911)</f>
        <v>5488</v>
      </c>
      <c r="AF911" s="8">
        <f>IF(F911="Bullet",MAX(0,Assumptions!$B$4-AB911),MAX(0,Assumptions!$B$4-L911))</f>
        <v>0</v>
      </c>
      <c r="AG911" s="9"/>
      <c r="AH911" s="8" t="str">
        <f>IF(AG911="","",Assumptions!$B$4-AG911)</f>
        <v/>
      </c>
      <c r="AI911" s="5" t="s">
        <v>80</v>
      </c>
      <c r="AJ911" s="8"/>
      <c r="AK911" s="8">
        <v>2</v>
      </c>
      <c r="AL911" s="8">
        <v>733</v>
      </c>
      <c r="AM911" s="8">
        <v>1</v>
      </c>
      <c r="AN911" s="5" t="s">
        <v>63</v>
      </c>
      <c r="AO911" s="10">
        <v>77.3</v>
      </c>
      <c r="AP911" s="8">
        <v>41</v>
      </c>
      <c r="AQ911" s="9"/>
      <c r="AR911" s="5"/>
      <c r="AS911" s="5" t="s">
        <v>159</v>
      </c>
    </row>
    <row r="912" spans="1:45" x14ac:dyDescent="0.35">
      <c r="A912" s="5" t="s">
        <v>4041</v>
      </c>
      <c r="B912" s="5" t="s">
        <v>4042</v>
      </c>
      <c r="C912" s="6" t="s">
        <v>4043</v>
      </c>
      <c r="D912" s="7">
        <v>52800</v>
      </c>
      <c r="E912" s="5" t="s">
        <v>48</v>
      </c>
      <c r="F912" s="5" t="s">
        <v>49</v>
      </c>
      <c r="G912" s="8"/>
      <c r="H912" s="8" t="str">
        <f>IF(F912="Bullet",MIN(G912,Assumptions!$B$6),"")</f>
        <v/>
      </c>
      <c r="I912" s="8">
        <v>2</v>
      </c>
      <c r="J912" s="8">
        <f>IF(F912="Monthly interest",MAX(0,Assumptions!$B$5-I912),"")</f>
        <v>1</v>
      </c>
      <c r="K912" s="7">
        <f t="shared" si="42"/>
        <v>1232</v>
      </c>
      <c r="L912" s="9">
        <v>46261</v>
      </c>
      <c r="M912" s="5" t="s">
        <v>69</v>
      </c>
      <c r="N912" s="5" t="s">
        <v>53</v>
      </c>
      <c r="O912" s="5" t="s">
        <v>71</v>
      </c>
      <c r="P912" s="5" t="s">
        <v>70</v>
      </c>
      <c r="Q912" s="5" t="s">
        <v>73</v>
      </c>
      <c r="R912" s="5" t="s">
        <v>74</v>
      </c>
      <c r="S912" s="5" t="s">
        <v>85</v>
      </c>
      <c r="T912" s="5" t="s">
        <v>57</v>
      </c>
      <c r="U912" s="5" t="s">
        <v>104</v>
      </c>
      <c r="V912" s="5" t="s">
        <v>96</v>
      </c>
      <c r="W912" s="5" t="s">
        <v>265</v>
      </c>
      <c r="X912" s="5" t="s">
        <v>1243</v>
      </c>
      <c r="Y912" s="5" t="s">
        <v>4044</v>
      </c>
      <c r="Z912" s="9">
        <v>46080</v>
      </c>
      <c r="AA912" s="8">
        <v>24</v>
      </c>
      <c r="AB912" s="9">
        <f t="shared" si="43"/>
        <v>46810</v>
      </c>
      <c r="AC912" s="10">
        <v>14</v>
      </c>
      <c r="AD912" s="7">
        <f t="shared" si="44"/>
        <v>616</v>
      </c>
      <c r="AE912" s="7">
        <f>IF(F912="Bullet",H912*AD912,MIN(MAX(I912,1),Assumptions!$B$6)*AD912)</f>
        <v>1232</v>
      </c>
      <c r="AF912" s="8">
        <f>IF(F912="Bullet",MAX(0,Assumptions!$B$4-AB912),MAX(0,Assumptions!$B$4-L912))</f>
        <v>37</v>
      </c>
      <c r="AG912" s="9">
        <v>46232</v>
      </c>
      <c r="AH912" s="8">
        <f>IF(AG912="","",Assumptions!$B$4-AG912)</f>
        <v>66</v>
      </c>
      <c r="AI912" s="5" t="s">
        <v>57</v>
      </c>
      <c r="AJ912" s="8">
        <v>3</v>
      </c>
      <c r="AK912" s="8">
        <v>1</v>
      </c>
      <c r="AL912" s="8">
        <v>721</v>
      </c>
      <c r="AM912" s="8">
        <v>1</v>
      </c>
      <c r="AN912" s="5" t="s">
        <v>63</v>
      </c>
      <c r="AO912" s="10">
        <v>59.8</v>
      </c>
      <c r="AP912" s="8">
        <v>43</v>
      </c>
      <c r="AQ912" s="9">
        <v>46293</v>
      </c>
      <c r="AR912" s="5" t="s">
        <v>51</v>
      </c>
      <c r="AS912" s="5" t="s">
        <v>81</v>
      </c>
    </row>
    <row r="913" spans="1:45" x14ac:dyDescent="0.35">
      <c r="A913" s="5" t="s">
        <v>4045</v>
      </c>
      <c r="B913" s="5" t="s">
        <v>4046</v>
      </c>
      <c r="C913" s="6" t="s">
        <v>4047</v>
      </c>
      <c r="D913" s="7">
        <v>794600</v>
      </c>
      <c r="E913" s="5" t="s">
        <v>48</v>
      </c>
      <c r="F913" s="5" t="s">
        <v>49</v>
      </c>
      <c r="G913" s="8"/>
      <c r="H913" s="8" t="str">
        <f>IF(F913="Bullet",MIN(G913,Assumptions!$B$6),"")</f>
        <v/>
      </c>
      <c r="I913" s="8">
        <v>2</v>
      </c>
      <c r="J913" s="8">
        <f>IF(F913="Monthly interest",MAX(0,Assumptions!$B$5-I913),"")</f>
        <v>1</v>
      </c>
      <c r="K913" s="7">
        <f t="shared" si="42"/>
        <v>31784</v>
      </c>
      <c r="L913" s="9">
        <v>46268</v>
      </c>
      <c r="M913" s="5" t="s">
        <v>116</v>
      </c>
      <c r="N913" s="5" t="s">
        <v>117</v>
      </c>
      <c r="O913" s="5" t="s">
        <v>118</v>
      </c>
      <c r="P913" s="5" t="s">
        <v>72</v>
      </c>
      <c r="Q913" s="5" t="s">
        <v>119</v>
      </c>
      <c r="R913" s="5" t="s">
        <v>120</v>
      </c>
      <c r="S913" s="5" t="s">
        <v>56</v>
      </c>
      <c r="T913" s="5" t="s">
        <v>57</v>
      </c>
      <c r="U913" s="5" t="s">
        <v>104</v>
      </c>
      <c r="V913" s="5" t="s">
        <v>59</v>
      </c>
      <c r="W913" s="5" t="s">
        <v>126</v>
      </c>
      <c r="X913" s="5" t="s">
        <v>2526</v>
      </c>
      <c r="Y913" s="5" t="s">
        <v>4048</v>
      </c>
      <c r="Z913" s="9">
        <v>46145</v>
      </c>
      <c r="AA913" s="8">
        <v>12</v>
      </c>
      <c r="AB913" s="9">
        <f t="shared" si="43"/>
        <v>46510</v>
      </c>
      <c r="AC913" s="10">
        <v>24</v>
      </c>
      <c r="AD913" s="7">
        <f t="shared" si="44"/>
        <v>15892</v>
      </c>
      <c r="AE913" s="7">
        <f>IF(F913="Bullet",H913*AD913,MIN(MAX(I913,1),Assumptions!$B$6)*AD913)</f>
        <v>31784</v>
      </c>
      <c r="AF913" s="8">
        <f>IF(F913="Bullet",MAX(0,Assumptions!$B$4-AB913),MAX(0,Assumptions!$B$4-L913))</f>
        <v>30</v>
      </c>
      <c r="AG913" s="9">
        <v>46237</v>
      </c>
      <c r="AH913" s="8">
        <f>IF(AG913="","",Assumptions!$B$4-AG913)</f>
        <v>61</v>
      </c>
      <c r="AI913" s="5" t="s">
        <v>63</v>
      </c>
      <c r="AJ913" s="8">
        <v>4</v>
      </c>
      <c r="AK913" s="8">
        <v>0</v>
      </c>
      <c r="AL913" s="8">
        <v>718</v>
      </c>
      <c r="AM913" s="8">
        <v>1</v>
      </c>
      <c r="AN913" s="5" t="s">
        <v>63</v>
      </c>
      <c r="AO913" s="10">
        <v>80.599999999999994</v>
      </c>
      <c r="AP913" s="8">
        <v>57</v>
      </c>
      <c r="AQ913" s="9">
        <v>46281</v>
      </c>
      <c r="AR913" s="5" t="s">
        <v>53</v>
      </c>
      <c r="AS913" s="5" t="s">
        <v>181</v>
      </c>
    </row>
    <row r="914" spans="1:45" x14ac:dyDescent="0.35">
      <c r="A914" s="5" t="s">
        <v>4049</v>
      </c>
      <c r="B914" s="5" t="s">
        <v>4050</v>
      </c>
      <c r="C914" s="6" t="s">
        <v>4051</v>
      </c>
      <c r="D914" s="7">
        <v>31100</v>
      </c>
      <c r="E914" s="5" t="s">
        <v>48</v>
      </c>
      <c r="F914" s="5" t="s">
        <v>49</v>
      </c>
      <c r="G914" s="8"/>
      <c r="H914" s="8" t="str">
        <f>IF(F914="Bullet",MIN(G914,Assumptions!$B$6),"")</f>
        <v/>
      </c>
      <c r="I914" s="8">
        <v>1</v>
      </c>
      <c r="J914" s="8">
        <f>IF(F914="Monthly interest",MAX(0,Assumptions!$B$5-I914),"")</f>
        <v>2</v>
      </c>
      <c r="K914" s="7">
        <f t="shared" si="42"/>
        <v>622</v>
      </c>
      <c r="L914" s="9">
        <v>46281</v>
      </c>
      <c r="M914" s="5" t="s">
        <v>69</v>
      </c>
      <c r="N914" s="5" t="s">
        <v>51</v>
      </c>
      <c r="O914" s="5" t="s">
        <v>152</v>
      </c>
      <c r="P914" s="5" t="s">
        <v>53</v>
      </c>
      <c r="Q914" s="5" t="s">
        <v>154</v>
      </c>
      <c r="R914" s="5" t="s">
        <v>155</v>
      </c>
      <c r="S914" s="5" t="s">
        <v>56</v>
      </c>
      <c r="T914" s="5" t="s">
        <v>57</v>
      </c>
      <c r="U914" s="5" t="s">
        <v>104</v>
      </c>
      <c r="V914" s="5" t="s">
        <v>59</v>
      </c>
      <c r="W914" s="5" t="s">
        <v>126</v>
      </c>
      <c r="X914" s="5" t="s">
        <v>1424</v>
      </c>
      <c r="Y914" s="5" t="s">
        <v>4052</v>
      </c>
      <c r="Z914" s="9">
        <v>46128</v>
      </c>
      <c r="AA914" s="8">
        <v>12</v>
      </c>
      <c r="AB914" s="9">
        <f t="shared" si="43"/>
        <v>46493</v>
      </c>
      <c r="AC914" s="10">
        <v>24</v>
      </c>
      <c r="AD914" s="7">
        <f t="shared" si="44"/>
        <v>622</v>
      </c>
      <c r="AE914" s="7">
        <f>IF(F914="Bullet",H914*AD914,MIN(MAX(I914,1),Assumptions!$B$6)*AD914)</f>
        <v>622</v>
      </c>
      <c r="AF914" s="8">
        <f>IF(F914="Bullet",MAX(0,Assumptions!$B$4-AB914),MAX(0,Assumptions!$B$4-L914))</f>
        <v>17</v>
      </c>
      <c r="AG914" s="9">
        <v>46255</v>
      </c>
      <c r="AH914" s="8">
        <f>IF(AG914="","",Assumptions!$B$4-AG914)</f>
        <v>43</v>
      </c>
      <c r="AI914" s="5" t="s">
        <v>57</v>
      </c>
      <c r="AJ914" s="8">
        <v>2</v>
      </c>
      <c r="AK914" s="8">
        <v>0</v>
      </c>
      <c r="AL914" s="8">
        <v>670</v>
      </c>
      <c r="AM914" s="8">
        <v>0</v>
      </c>
      <c r="AN914" s="5" t="s">
        <v>63</v>
      </c>
      <c r="AO914" s="10">
        <v>75.7</v>
      </c>
      <c r="AP914" s="8">
        <v>33</v>
      </c>
      <c r="AQ914" s="9">
        <v>46288</v>
      </c>
      <c r="AR914" s="5" t="s">
        <v>53</v>
      </c>
      <c r="AS914" s="5" t="s">
        <v>64</v>
      </c>
    </row>
    <row r="915" spans="1:45" x14ac:dyDescent="0.35">
      <c r="A915" s="5" t="s">
        <v>4053</v>
      </c>
      <c r="B915" s="5" t="s">
        <v>4054</v>
      </c>
      <c r="C915" s="6" t="s">
        <v>4055</v>
      </c>
      <c r="D915" s="7">
        <v>316300</v>
      </c>
      <c r="E915" s="5" t="s">
        <v>48</v>
      </c>
      <c r="F915" s="5" t="s">
        <v>49</v>
      </c>
      <c r="G915" s="8"/>
      <c r="H915" s="8" t="str">
        <f>IF(F915="Bullet",MIN(G915,Assumptions!$B$6),"")</f>
        <v/>
      </c>
      <c r="I915" s="8">
        <v>2</v>
      </c>
      <c r="J915" s="8">
        <f>IF(F915="Monthly interest",MAX(0,Assumptions!$B$5-I915),"")</f>
        <v>1</v>
      </c>
      <c r="K915" s="7">
        <f t="shared" si="42"/>
        <v>9490</v>
      </c>
      <c r="L915" s="9">
        <v>46255</v>
      </c>
      <c r="M915" s="5" t="s">
        <v>69</v>
      </c>
      <c r="N915" s="5" t="s">
        <v>70</v>
      </c>
      <c r="O915" s="5" t="s">
        <v>71</v>
      </c>
      <c r="P915" s="5" t="s">
        <v>72</v>
      </c>
      <c r="Q915" s="5" t="s">
        <v>73</v>
      </c>
      <c r="R915" s="5" t="s">
        <v>74</v>
      </c>
      <c r="S915" s="5" t="s">
        <v>185</v>
      </c>
      <c r="T915" s="5" t="s">
        <v>57</v>
      </c>
      <c r="U915" s="5" t="s">
        <v>104</v>
      </c>
      <c r="V915" s="5" t="s">
        <v>186</v>
      </c>
      <c r="W915" s="5" t="s">
        <v>329</v>
      </c>
      <c r="X915" s="5" t="s">
        <v>1454</v>
      </c>
      <c r="Y915" s="5" t="s">
        <v>4056</v>
      </c>
      <c r="Z915" s="9">
        <v>46194</v>
      </c>
      <c r="AA915" s="8">
        <v>24</v>
      </c>
      <c r="AB915" s="9">
        <f t="shared" si="43"/>
        <v>46925</v>
      </c>
      <c r="AC915" s="10">
        <v>18</v>
      </c>
      <c r="AD915" s="7">
        <f t="shared" si="44"/>
        <v>4745</v>
      </c>
      <c r="AE915" s="7">
        <f>IF(F915="Bullet",H915*AD915,MIN(MAX(I915,1),Assumptions!$B$6)*AD915)</f>
        <v>9490</v>
      </c>
      <c r="AF915" s="8">
        <f>IF(F915="Bullet",MAX(0,Assumptions!$B$4-AB915),MAX(0,Assumptions!$B$4-L915))</f>
        <v>43</v>
      </c>
      <c r="AG915" s="9">
        <v>46229</v>
      </c>
      <c r="AH915" s="8">
        <f>IF(AG915="","",Assumptions!$B$4-AG915)</f>
        <v>69</v>
      </c>
      <c r="AI915" s="5" t="s">
        <v>63</v>
      </c>
      <c r="AJ915" s="8">
        <v>2</v>
      </c>
      <c r="AK915" s="8">
        <v>0</v>
      </c>
      <c r="AL915" s="8">
        <v>720</v>
      </c>
      <c r="AM915" s="8">
        <v>1</v>
      </c>
      <c r="AN915" s="5" t="s">
        <v>63</v>
      </c>
      <c r="AO915" s="10">
        <v>74.400000000000006</v>
      </c>
      <c r="AP915" s="8">
        <v>46</v>
      </c>
      <c r="AQ915" s="9"/>
      <c r="AR915" s="5"/>
      <c r="AS915" s="5" t="s">
        <v>159</v>
      </c>
    </row>
    <row r="916" spans="1:45" x14ac:dyDescent="0.35">
      <c r="A916" s="5" t="s">
        <v>4057</v>
      </c>
      <c r="B916" s="5" t="s">
        <v>4058</v>
      </c>
      <c r="C916" s="6" t="s">
        <v>4059</v>
      </c>
      <c r="D916" s="7">
        <v>67400</v>
      </c>
      <c r="E916" s="5" t="s">
        <v>48</v>
      </c>
      <c r="F916" s="5" t="s">
        <v>68</v>
      </c>
      <c r="G916" s="8">
        <v>3</v>
      </c>
      <c r="H916" s="8">
        <f>IF(F916="Bullet",MIN(G916,Assumptions!$B$6),"")</f>
        <v>2</v>
      </c>
      <c r="I916" s="8"/>
      <c r="J916" s="8" t="str">
        <f>IF(F916="Monthly interest",MAX(0,Assumptions!$B$5-I916),"")</f>
        <v/>
      </c>
      <c r="K916" s="7">
        <f t="shared" si="42"/>
        <v>2022</v>
      </c>
      <c r="L916" s="9">
        <v>46182</v>
      </c>
      <c r="M916" s="5" t="s">
        <v>116</v>
      </c>
      <c r="N916" s="5" t="s">
        <v>117</v>
      </c>
      <c r="O916" s="5" t="s">
        <v>207</v>
      </c>
      <c r="P916" s="5" t="s">
        <v>72</v>
      </c>
      <c r="Q916" s="5" t="s">
        <v>73</v>
      </c>
      <c r="R916" s="5" t="s">
        <v>74</v>
      </c>
      <c r="S916" s="5" t="s">
        <v>253</v>
      </c>
      <c r="T916" s="5" t="s">
        <v>63</v>
      </c>
      <c r="U916" s="5" t="s">
        <v>104</v>
      </c>
      <c r="V916" s="5" t="s">
        <v>186</v>
      </c>
      <c r="W916" s="5" t="s">
        <v>187</v>
      </c>
      <c r="X916" s="5" t="s">
        <v>734</v>
      </c>
      <c r="Y916" s="5" t="s">
        <v>4060</v>
      </c>
      <c r="Z916" s="9">
        <v>46182</v>
      </c>
      <c r="AA916" s="8">
        <v>6</v>
      </c>
      <c r="AB916" s="9">
        <f t="shared" si="43"/>
        <v>46365</v>
      </c>
      <c r="AC916" s="10">
        <v>12</v>
      </c>
      <c r="AD916" s="7">
        <f t="shared" si="44"/>
        <v>674</v>
      </c>
      <c r="AE916" s="7">
        <f>IF(F916="Bullet",H916*AD916,MIN(MAX(I916,1),Assumptions!$B$6)*AD916)</f>
        <v>1348</v>
      </c>
      <c r="AF916" s="8">
        <f>IF(F916="Bullet",MAX(0,Assumptions!$B$4-AB916),MAX(0,Assumptions!$B$4-L916))</f>
        <v>0</v>
      </c>
      <c r="AG916" s="9"/>
      <c r="AH916" s="8" t="str">
        <f>IF(AG916="","",Assumptions!$B$4-AG916)</f>
        <v/>
      </c>
      <c r="AI916" s="5" t="s">
        <v>80</v>
      </c>
      <c r="AJ916" s="8"/>
      <c r="AK916" s="8">
        <v>4</v>
      </c>
      <c r="AL916" s="8">
        <v>679</v>
      </c>
      <c r="AM916" s="8">
        <v>3</v>
      </c>
      <c r="AN916" s="5" t="s">
        <v>63</v>
      </c>
      <c r="AO916" s="10">
        <v>72.900000000000006</v>
      </c>
      <c r="AP916" s="8">
        <v>51</v>
      </c>
      <c r="AQ916" s="9">
        <v>46292</v>
      </c>
      <c r="AR916" s="5" t="s">
        <v>51</v>
      </c>
      <c r="AS916" s="5" t="s">
        <v>91</v>
      </c>
    </row>
    <row r="917" spans="1:45" x14ac:dyDescent="0.35">
      <c r="A917" s="5" t="s">
        <v>4061</v>
      </c>
      <c r="B917" s="5" t="s">
        <v>2656</v>
      </c>
      <c r="C917" s="6" t="s">
        <v>4062</v>
      </c>
      <c r="D917" s="7">
        <v>165300</v>
      </c>
      <c r="E917" s="5" t="s">
        <v>48</v>
      </c>
      <c r="F917" s="5" t="s">
        <v>49</v>
      </c>
      <c r="G917" s="8"/>
      <c r="H917" s="8" t="str">
        <f>IF(F917="Bullet",MIN(G917,Assumptions!$B$6),"")</f>
        <v/>
      </c>
      <c r="I917" s="8">
        <v>2</v>
      </c>
      <c r="J917" s="8">
        <f>IF(F917="Monthly interest",MAX(0,Assumptions!$B$5-I917),"")</f>
        <v>1</v>
      </c>
      <c r="K917" s="7">
        <f t="shared" si="42"/>
        <v>4408</v>
      </c>
      <c r="L917" s="9">
        <v>46251</v>
      </c>
      <c r="M917" s="5" t="s">
        <v>116</v>
      </c>
      <c r="N917" s="5" t="s">
        <v>117</v>
      </c>
      <c r="O917" s="5" t="s">
        <v>118</v>
      </c>
      <c r="P917" s="5" t="s">
        <v>72</v>
      </c>
      <c r="Q917" s="5" t="s">
        <v>119</v>
      </c>
      <c r="R917" s="5" t="s">
        <v>120</v>
      </c>
      <c r="S917" s="5" t="s">
        <v>85</v>
      </c>
      <c r="T917" s="5" t="s">
        <v>63</v>
      </c>
      <c r="U917" s="5" t="s">
        <v>86</v>
      </c>
      <c r="V917" s="5" t="s">
        <v>96</v>
      </c>
      <c r="W917" s="5" t="s">
        <v>265</v>
      </c>
      <c r="X917" s="5" t="s">
        <v>266</v>
      </c>
      <c r="Y917" s="5" t="s">
        <v>4063</v>
      </c>
      <c r="Z917" s="9">
        <v>46098</v>
      </c>
      <c r="AA917" s="8">
        <v>12</v>
      </c>
      <c r="AB917" s="9">
        <f t="shared" si="43"/>
        <v>46463</v>
      </c>
      <c r="AC917" s="10">
        <v>16</v>
      </c>
      <c r="AD917" s="7">
        <f t="shared" si="44"/>
        <v>2204</v>
      </c>
      <c r="AE917" s="7">
        <f>IF(F917="Bullet",H917*AD917,MIN(MAX(I917,1),Assumptions!$B$6)*AD917)</f>
        <v>4408</v>
      </c>
      <c r="AF917" s="8">
        <f>IF(F917="Bullet",MAX(0,Assumptions!$B$4-AB917),MAX(0,Assumptions!$B$4-L917))</f>
        <v>47</v>
      </c>
      <c r="AG917" s="9">
        <v>46223</v>
      </c>
      <c r="AH917" s="8">
        <f>IF(AG917="","",Assumptions!$B$4-AG917)</f>
        <v>75</v>
      </c>
      <c r="AI917" s="5" t="s">
        <v>57</v>
      </c>
      <c r="AJ917" s="8">
        <v>3</v>
      </c>
      <c r="AK917" s="8">
        <v>3</v>
      </c>
      <c r="AL917" s="8">
        <v>583</v>
      </c>
      <c r="AM917" s="8">
        <v>3</v>
      </c>
      <c r="AN917" s="5" t="s">
        <v>57</v>
      </c>
      <c r="AO917" s="10">
        <v>58.9</v>
      </c>
      <c r="AP917" s="8">
        <v>90</v>
      </c>
      <c r="AQ917" s="9">
        <v>46280</v>
      </c>
      <c r="AR917" s="5" t="s">
        <v>51</v>
      </c>
      <c r="AS917" s="5" t="s">
        <v>64</v>
      </c>
    </row>
    <row r="918" spans="1:45" x14ac:dyDescent="0.35">
      <c r="A918" s="5" t="s">
        <v>4064</v>
      </c>
      <c r="B918" s="5" t="s">
        <v>2521</v>
      </c>
      <c r="C918" s="6" t="s">
        <v>4065</v>
      </c>
      <c r="D918" s="7">
        <v>47700</v>
      </c>
      <c r="E918" s="5" t="s">
        <v>48</v>
      </c>
      <c r="F918" s="5" t="s">
        <v>68</v>
      </c>
      <c r="G918" s="8">
        <v>2</v>
      </c>
      <c r="H918" s="8">
        <f>IF(F918="Bullet",MIN(G918,Assumptions!$B$6),"")</f>
        <v>2</v>
      </c>
      <c r="I918" s="8"/>
      <c r="J918" s="8" t="str">
        <f>IF(F918="Monthly interest",MAX(0,Assumptions!$B$5-I918),"")</f>
        <v/>
      </c>
      <c r="K918" s="7">
        <f t="shared" si="42"/>
        <v>954</v>
      </c>
      <c r="L918" s="9">
        <v>46225</v>
      </c>
      <c r="M918" s="5" t="s">
        <v>50</v>
      </c>
      <c r="N918" s="5" t="s">
        <v>53</v>
      </c>
      <c r="O918" s="5" t="s">
        <v>152</v>
      </c>
      <c r="P918" s="5" t="s">
        <v>153</v>
      </c>
      <c r="Q918" s="5" t="s">
        <v>154</v>
      </c>
      <c r="R918" s="5" t="s">
        <v>155</v>
      </c>
      <c r="S918" s="5" t="s">
        <v>75</v>
      </c>
      <c r="T918" s="5" t="s">
        <v>63</v>
      </c>
      <c r="U918" s="5" t="s">
        <v>104</v>
      </c>
      <c r="V918" s="5" t="s">
        <v>76</v>
      </c>
      <c r="W918" s="5" t="s">
        <v>547</v>
      </c>
      <c r="X918" s="5" t="s">
        <v>3727</v>
      </c>
      <c r="Y918" s="5" t="s">
        <v>4066</v>
      </c>
      <c r="Z918" s="9">
        <v>46225</v>
      </c>
      <c r="AA918" s="8">
        <v>6</v>
      </c>
      <c r="AB918" s="9">
        <f t="shared" si="43"/>
        <v>46409</v>
      </c>
      <c r="AC918" s="10">
        <v>12</v>
      </c>
      <c r="AD918" s="7">
        <f t="shared" si="44"/>
        <v>477</v>
      </c>
      <c r="AE918" s="7">
        <f>IF(F918="Bullet",H918*AD918,MIN(MAX(I918,1),Assumptions!$B$6)*AD918)</f>
        <v>954</v>
      </c>
      <c r="AF918" s="8">
        <f>IF(F918="Bullet",MAX(0,Assumptions!$B$4-AB918),MAX(0,Assumptions!$B$4-L918))</f>
        <v>0</v>
      </c>
      <c r="AG918" s="9"/>
      <c r="AH918" s="8" t="str">
        <f>IF(AG918="","",Assumptions!$B$4-AG918)</f>
        <v/>
      </c>
      <c r="AI918" s="5" t="s">
        <v>80</v>
      </c>
      <c r="AJ918" s="8"/>
      <c r="AK918" s="8">
        <v>0</v>
      </c>
      <c r="AL918" s="8">
        <v>717</v>
      </c>
      <c r="AM918" s="8">
        <v>1</v>
      </c>
      <c r="AN918" s="5" t="s">
        <v>63</v>
      </c>
      <c r="AO918" s="10">
        <v>76.599999999999994</v>
      </c>
      <c r="AP918" s="8">
        <v>11</v>
      </c>
      <c r="AQ918" s="9"/>
      <c r="AR918" s="5"/>
      <c r="AS918" s="5" t="s">
        <v>159</v>
      </c>
    </row>
    <row r="919" spans="1:45" x14ac:dyDescent="0.35">
      <c r="A919" s="5" t="s">
        <v>4067</v>
      </c>
      <c r="B919" s="5" t="s">
        <v>4068</v>
      </c>
      <c r="C919" s="6" t="s">
        <v>4069</v>
      </c>
      <c r="D919" s="7">
        <v>71100</v>
      </c>
      <c r="E919" s="5" t="s">
        <v>48</v>
      </c>
      <c r="F919" s="5" t="s">
        <v>49</v>
      </c>
      <c r="G919" s="8"/>
      <c r="H919" s="8" t="str">
        <f>IF(F919="Bullet",MIN(G919,Assumptions!$B$6),"")</f>
        <v/>
      </c>
      <c r="I919" s="8">
        <v>1</v>
      </c>
      <c r="J919" s="8">
        <f>IF(F919="Monthly interest",MAX(0,Assumptions!$B$5-I919),"")</f>
        <v>2</v>
      </c>
      <c r="K919" s="7">
        <f t="shared" si="42"/>
        <v>830</v>
      </c>
      <c r="L919" s="9">
        <v>46296</v>
      </c>
      <c r="M919" s="5" t="s">
        <v>50</v>
      </c>
      <c r="N919" s="5" t="s">
        <v>53</v>
      </c>
      <c r="O919" s="5" t="s">
        <v>132</v>
      </c>
      <c r="P919" s="5" t="s">
        <v>51</v>
      </c>
      <c r="Q919" s="5" t="s">
        <v>54</v>
      </c>
      <c r="R919" s="5" t="s">
        <v>55</v>
      </c>
      <c r="S919" s="5" t="s">
        <v>185</v>
      </c>
      <c r="T919" s="5" t="s">
        <v>57</v>
      </c>
      <c r="U919" s="5" t="s">
        <v>58</v>
      </c>
      <c r="V919" s="5" t="s">
        <v>200</v>
      </c>
      <c r="W919" s="5" t="s">
        <v>201</v>
      </c>
      <c r="X919" s="5" t="s">
        <v>4070</v>
      </c>
      <c r="Y919" s="5" t="s">
        <v>4071</v>
      </c>
      <c r="Z919" s="9">
        <v>46023</v>
      </c>
      <c r="AA919" s="8">
        <v>12</v>
      </c>
      <c r="AB919" s="9">
        <f t="shared" si="43"/>
        <v>46388</v>
      </c>
      <c r="AC919" s="10">
        <v>14</v>
      </c>
      <c r="AD919" s="7">
        <f t="shared" si="44"/>
        <v>830</v>
      </c>
      <c r="AE919" s="7">
        <f>IF(F919="Bullet",H919*AD919,MIN(MAX(I919,1),Assumptions!$B$6)*AD919)</f>
        <v>830</v>
      </c>
      <c r="AF919" s="8">
        <f>IF(F919="Bullet",MAX(0,Assumptions!$B$4-AB919),MAX(0,Assumptions!$B$4-L919))</f>
        <v>2</v>
      </c>
      <c r="AG919" s="9">
        <v>46270</v>
      </c>
      <c r="AH919" s="8">
        <f>IF(AG919="","",Assumptions!$B$4-AG919)</f>
        <v>28</v>
      </c>
      <c r="AI919" s="5" t="s">
        <v>57</v>
      </c>
      <c r="AJ919" s="8">
        <v>1</v>
      </c>
      <c r="AK919" s="8">
        <v>0</v>
      </c>
      <c r="AL919" s="8" t="s">
        <v>80</v>
      </c>
      <c r="AM919" s="8">
        <v>1</v>
      </c>
      <c r="AN919" s="5" t="s">
        <v>63</v>
      </c>
      <c r="AO919" s="10">
        <v>61.1</v>
      </c>
      <c r="AP919" s="8">
        <v>26</v>
      </c>
      <c r="AQ919" s="9">
        <v>46294</v>
      </c>
      <c r="AR919" s="5" t="s">
        <v>51</v>
      </c>
      <c r="AS919" s="5" t="s">
        <v>91</v>
      </c>
    </row>
    <row r="920" spans="1:45" x14ac:dyDescent="0.35">
      <c r="A920" s="5" t="s">
        <v>4072</v>
      </c>
      <c r="B920" s="5" t="s">
        <v>4073</v>
      </c>
      <c r="C920" s="6" t="s">
        <v>4074</v>
      </c>
      <c r="D920" s="7">
        <v>89000</v>
      </c>
      <c r="E920" s="5" t="s">
        <v>48</v>
      </c>
      <c r="F920" s="5" t="s">
        <v>49</v>
      </c>
      <c r="G920" s="8"/>
      <c r="H920" s="8" t="str">
        <f>IF(F920="Bullet",MIN(G920,Assumptions!$B$6),"")</f>
        <v/>
      </c>
      <c r="I920" s="8">
        <v>1</v>
      </c>
      <c r="J920" s="8">
        <f>IF(F920="Monthly interest",MAX(0,Assumptions!$B$5-I920),"")</f>
        <v>2</v>
      </c>
      <c r="K920" s="7">
        <f t="shared" si="42"/>
        <v>1632</v>
      </c>
      <c r="L920" s="9">
        <v>46278</v>
      </c>
      <c r="M920" s="5" t="s">
        <v>50</v>
      </c>
      <c r="N920" s="5" t="s">
        <v>53</v>
      </c>
      <c r="O920" s="5" t="s">
        <v>103</v>
      </c>
      <c r="P920" s="5" t="s">
        <v>51</v>
      </c>
      <c r="Q920" s="5" t="s">
        <v>54</v>
      </c>
      <c r="R920" s="5" t="s">
        <v>55</v>
      </c>
      <c r="S920" s="5" t="s">
        <v>185</v>
      </c>
      <c r="T920" s="5" t="s">
        <v>57</v>
      </c>
      <c r="U920" s="5" t="s">
        <v>86</v>
      </c>
      <c r="V920" s="5" t="s">
        <v>186</v>
      </c>
      <c r="W920" s="5" t="s">
        <v>694</v>
      </c>
      <c r="X920" s="5" t="s">
        <v>2057</v>
      </c>
      <c r="Y920" s="5" t="s">
        <v>4075</v>
      </c>
      <c r="Z920" s="9">
        <v>46094</v>
      </c>
      <c r="AA920" s="8">
        <v>18</v>
      </c>
      <c r="AB920" s="9">
        <f t="shared" si="43"/>
        <v>46643</v>
      </c>
      <c r="AC920" s="10">
        <v>22</v>
      </c>
      <c r="AD920" s="7">
        <f t="shared" si="44"/>
        <v>1632</v>
      </c>
      <c r="AE920" s="7">
        <f>IF(F920="Bullet",H920*AD920,MIN(MAX(I920,1),Assumptions!$B$6)*AD920)</f>
        <v>1632</v>
      </c>
      <c r="AF920" s="8">
        <f>IF(F920="Bullet",MAX(0,Assumptions!$B$4-AB920),MAX(0,Assumptions!$B$4-L920))</f>
        <v>20</v>
      </c>
      <c r="AG920" s="9">
        <v>46247</v>
      </c>
      <c r="AH920" s="8">
        <f>IF(AG920="","",Assumptions!$B$4-AG920)</f>
        <v>51</v>
      </c>
      <c r="AI920" s="5" t="s">
        <v>57</v>
      </c>
      <c r="AJ920" s="8">
        <v>1</v>
      </c>
      <c r="AK920" s="8">
        <v>0</v>
      </c>
      <c r="AL920" s="8">
        <v>753</v>
      </c>
      <c r="AM920" s="8">
        <v>2</v>
      </c>
      <c r="AN920" s="5" t="s">
        <v>63</v>
      </c>
      <c r="AO920" s="10">
        <v>67.5</v>
      </c>
      <c r="AP920" s="8">
        <v>22</v>
      </c>
      <c r="AQ920" s="9">
        <v>46289</v>
      </c>
      <c r="AR920" s="5" t="s">
        <v>51</v>
      </c>
      <c r="AS920" s="5" t="s">
        <v>81</v>
      </c>
    </row>
    <row r="921" spans="1:45" x14ac:dyDescent="0.35">
      <c r="A921" s="5" t="s">
        <v>4076</v>
      </c>
      <c r="B921" s="5" t="s">
        <v>4077</v>
      </c>
      <c r="C921" s="6" t="s">
        <v>4078</v>
      </c>
      <c r="D921" s="7">
        <v>259700</v>
      </c>
      <c r="E921" s="5" t="s">
        <v>48</v>
      </c>
      <c r="F921" s="5" t="s">
        <v>49</v>
      </c>
      <c r="G921" s="8"/>
      <c r="H921" s="8" t="str">
        <f>IF(F921="Bullet",MIN(G921,Assumptions!$B$6),"")</f>
        <v/>
      </c>
      <c r="I921" s="8">
        <v>1</v>
      </c>
      <c r="J921" s="8">
        <f>IF(F921="Monthly interest",MAX(0,Assumptions!$B$5-I921),"")</f>
        <v>2</v>
      </c>
      <c r="K921" s="7">
        <f t="shared" si="42"/>
        <v>3030</v>
      </c>
      <c r="L921" s="9">
        <v>46297</v>
      </c>
      <c r="M921" s="5" t="s">
        <v>50</v>
      </c>
      <c r="N921" s="5" t="s">
        <v>53</v>
      </c>
      <c r="O921" s="5" t="s">
        <v>103</v>
      </c>
      <c r="P921" s="5" t="s">
        <v>70</v>
      </c>
      <c r="Q921" s="5" t="s">
        <v>54</v>
      </c>
      <c r="R921" s="5" t="s">
        <v>55</v>
      </c>
      <c r="S921" s="5" t="s">
        <v>253</v>
      </c>
      <c r="T921" s="5" t="s">
        <v>63</v>
      </c>
      <c r="U921" s="5" t="s">
        <v>86</v>
      </c>
      <c r="V921" s="5" t="s">
        <v>76</v>
      </c>
      <c r="W921" s="5" t="s">
        <v>77</v>
      </c>
      <c r="X921" s="5" t="s">
        <v>2899</v>
      </c>
      <c r="Y921" s="5" t="s">
        <v>4079</v>
      </c>
      <c r="Z921" s="9">
        <v>46114</v>
      </c>
      <c r="AA921" s="8">
        <v>24</v>
      </c>
      <c r="AB921" s="9">
        <f t="shared" si="43"/>
        <v>46845</v>
      </c>
      <c r="AC921" s="10">
        <v>14</v>
      </c>
      <c r="AD921" s="7">
        <f t="shared" si="44"/>
        <v>3030</v>
      </c>
      <c r="AE921" s="7">
        <f>IF(F921="Bullet",H921*AD921,MIN(MAX(I921,1),Assumptions!$B$6)*AD921)</f>
        <v>3030</v>
      </c>
      <c r="AF921" s="8">
        <f>IF(F921="Bullet",MAX(0,Assumptions!$B$4-AB921),MAX(0,Assumptions!$B$4-L921))</f>
        <v>1</v>
      </c>
      <c r="AG921" s="9">
        <v>46269</v>
      </c>
      <c r="AH921" s="8">
        <f>IF(AG921="","",Assumptions!$B$4-AG921)</f>
        <v>29</v>
      </c>
      <c r="AI921" s="5" t="s">
        <v>57</v>
      </c>
      <c r="AJ921" s="8">
        <v>1</v>
      </c>
      <c r="AK921" s="8">
        <v>0</v>
      </c>
      <c r="AL921" s="8">
        <v>799</v>
      </c>
      <c r="AM921" s="8">
        <v>2</v>
      </c>
      <c r="AN921" s="5" t="s">
        <v>63</v>
      </c>
      <c r="AO921" s="10">
        <v>49.6</v>
      </c>
      <c r="AP921" s="8">
        <v>16</v>
      </c>
      <c r="AQ921" s="9">
        <v>46289</v>
      </c>
      <c r="AR921" s="5" t="s">
        <v>51</v>
      </c>
      <c r="AS921" s="5" t="s">
        <v>81</v>
      </c>
    </row>
    <row r="922" spans="1:45" x14ac:dyDescent="0.35">
      <c r="A922" s="5" t="s">
        <v>4080</v>
      </c>
      <c r="B922" s="5" t="s">
        <v>4081</v>
      </c>
      <c r="C922" s="6" t="s">
        <v>4082</v>
      </c>
      <c r="D922" s="7">
        <v>189400</v>
      </c>
      <c r="E922" s="5" t="s">
        <v>48</v>
      </c>
      <c r="F922" s="5" t="s">
        <v>68</v>
      </c>
      <c r="G922" s="8">
        <v>4</v>
      </c>
      <c r="H922" s="8">
        <f>IF(F922="Bullet",MIN(G922,Assumptions!$B$6),"")</f>
        <v>2</v>
      </c>
      <c r="I922" s="8"/>
      <c r="J922" s="8" t="str">
        <f>IF(F922="Monthly interest",MAX(0,Assumptions!$B$5-I922),"")</f>
        <v/>
      </c>
      <c r="K922" s="7">
        <f t="shared" si="42"/>
        <v>9472</v>
      </c>
      <c r="L922" s="9">
        <v>46168</v>
      </c>
      <c r="M922" s="5" t="s">
        <v>50</v>
      </c>
      <c r="N922" s="5" t="s">
        <v>53</v>
      </c>
      <c r="O922" s="5" t="s">
        <v>71</v>
      </c>
      <c r="P922" s="5" t="s">
        <v>70</v>
      </c>
      <c r="Q922" s="5" t="s">
        <v>73</v>
      </c>
      <c r="R922" s="5" t="s">
        <v>74</v>
      </c>
      <c r="S922" s="5" t="s">
        <v>75</v>
      </c>
      <c r="T922" s="5" t="s">
        <v>63</v>
      </c>
      <c r="U922" s="5" t="s">
        <v>58</v>
      </c>
      <c r="V922" s="5" t="s">
        <v>76</v>
      </c>
      <c r="W922" s="5" t="s">
        <v>77</v>
      </c>
      <c r="X922" s="5" t="s">
        <v>4083</v>
      </c>
      <c r="Y922" s="5" t="s">
        <v>4084</v>
      </c>
      <c r="Z922" s="9">
        <v>46168</v>
      </c>
      <c r="AA922" s="8">
        <v>12</v>
      </c>
      <c r="AB922" s="9">
        <f t="shared" si="43"/>
        <v>46533</v>
      </c>
      <c r="AC922" s="10">
        <v>15</v>
      </c>
      <c r="AD922" s="7">
        <f t="shared" si="44"/>
        <v>2368</v>
      </c>
      <c r="AE922" s="7">
        <f>IF(F922="Bullet",H922*AD922,MIN(MAX(I922,1),Assumptions!$B$6)*AD922)</f>
        <v>4736</v>
      </c>
      <c r="AF922" s="8">
        <f>IF(F922="Bullet",MAX(0,Assumptions!$B$4-AB922),MAX(0,Assumptions!$B$4-L922))</f>
        <v>0</v>
      </c>
      <c r="AG922" s="9"/>
      <c r="AH922" s="8" t="str">
        <f>IF(AG922="","",Assumptions!$B$4-AG922)</f>
        <v/>
      </c>
      <c r="AI922" s="5" t="s">
        <v>80</v>
      </c>
      <c r="AJ922" s="8"/>
      <c r="AK922" s="8">
        <v>1</v>
      </c>
      <c r="AL922" s="8">
        <v>649</v>
      </c>
      <c r="AM922" s="8">
        <v>0</v>
      </c>
      <c r="AN922" s="5" t="s">
        <v>63</v>
      </c>
      <c r="AO922" s="10">
        <v>66.5</v>
      </c>
      <c r="AP922" s="8">
        <v>30</v>
      </c>
      <c r="AQ922" s="9">
        <v>46296</v>
      </c>
      <c r="AR922" s="5" t="s">
        <v>70</v>
      </c>
      <c r="AS922" s="5" t="s">
        <v>81</v>
      </c>
    </row>
    <row r="923" spans="1:45" x14ac:dyDescent="0.35">
      <c r="A923" s="5" t="s">
        <v>4085</v>
      </c>
      <c r="B923" s="5" t="s">
        <v>2812</v>
      </c>
      <c r="C923" s="6" t="s">
        <v>4086</v>
      </c>
      <c r="D923" s="7">
        <v>123900</v>
      </c>
      <c r="E923" s="5" t="s">
        <v>48</v>
      </c>
      <c r="F923" s="5" t="s">
        <v>68</v>
      </c>
      <c r="G923" s="8">
        <v>2</v>
      </c>
      <c r="H923" s="8">
        <f>IF(F923="Bullet",MIN(G923,Assumptions!$B$6),"")</f>
        <v>2</v>
      </c>
      <c r="I923" s="8"/>
      <c r="J923" s="8" t="str">
        <f>IF(F923="Monthly interest",MAX(0,Assumptions!$B$5-I923),"")</f>
        <v/>
      </c>
      <c r="K923" s="7">
        <f t="shared" si="42"/>
        <v>2684</v>
      </c>
      <c r="L923" s="9">
        <v>46235</v>
      </c>
      <c r="M923" s="5" t="s">
        <v>50</v>
      </c>
      <c r="N923" s="5" t="s">
        <v>51</v>
      </c>
      <c r="O923" s="5" t="s">
        <v>71</v>
      </c>
      <c r="P923" s="5" t="s">
        <v>53</v>
      </c>
      <c r="Q923" s="5" t="s">
        <v>73</v>
      </c>
      <c r="R923" s="5" t="s">
        <v>74</v>
      </c>
      <c r="S923" s="5" t="s">
        <v>214</v>
      </c>
      <c r="T923" s="5" t="s">
        <v>57</v>
      </c>
      <c r="U923" s="5" t="s">
        <v>86</v>
      </c>
      <c r="V923" s="5" t="s">
        <v>215</v>
      </c>
      <c r="W923" s="5" t="s">
        <v>242</v>
      </c>
      <c r="X923" s="5" t="s">
        <v>2834</v>
      </c>
      <c r="Y923" s="5" t="s">
        <v>4087</v>
      </c>
      <c r="Z923" s="9">
        <v>46235</v>
      </c>
      <c r="AA923" s="8">
        <v>6</v>
      </c>
      <c r="AB923" s="9">
        <f t="shared" si="43"/>
        <v>46419</v>
      </c>
      <c r="AC923" s="10">
        <v>13</v>
      </c>
      <c r="AD923" s="7">
        <f t="shared" si="44"/>
        <v>1342</v>
      </c>
      <c r="AE923" s="7">
        <f>IF(F923="Bullet",H923*AD923,MIN(MAX(I923,1),Assumptions!$B$6)*AD923)</f>
        <v>2684</v>
      </c>
      <c r="AF923" s="8">
        <f>IF(F923="Bullet",MAX(0,Assumptions!$B$4-AB923),MAX(0,Assumptions!$B$4-L923))</f>
        <v>0</v>
      </c>
      <c r="AG923" s="9"/>
      <c r="AH923" s="8" t="str">
        <f>IF(AG923="","",Assumptions!$B$4-AG923)</f>
        <v/>
      </c>
      <c r="AI923" s="5" t="s">
        <v>80</v>
      </c>
      <c r="AJ923" s="8"/>
      <c r="AK923" s="8">
        <v>1</v>
      </c>
      <c r="AL923" s="8">
        <v>710</v>
      </c>
      <c r="AM923" s="8">
        <v>0</v>
      </c>
      <c r="AN923" s="5" t="s">
        <v>63</v>
      </c>
      <c r="AO923" s="10">
        <v>77.5</v>
      </c>
      <c r="AP923" s="8">
        <v>21</v>
      </c>
      <c r="AQ923" s="9">
        <v>46296</v>
      </c>
      <c r="AR923" s="5" t="s">
        <v>70</v>
      </c>
      <c r="AS923" s="5" t="s">
        <v>81</v>
      </c>
    </row>
    <row r="924" spans="1:45" x14ac:dyDescent="0.35">
      <c r="A924" s="5" t="s">
        <v>4088</v>
      </c>
      <c r="B924" s="5" t="s">
        <v>4089</v>
      </c>
      <c r="C924" s="6" t="s">
        <v>4090</v>
      </c>
      <c r="D924" s="7">
        <v>166800</v>
      </c>
      <c r="E924" s="5" t="s">
        <v>48</v>
      </c>
      <c r="F924" s="5" t="s">
        <v>68</v>
      </c>
      <c r="G924" s="8">
        <v>4</v>
      </c>
      <c r="H924" s="8">
        <f>IF(F924="Bullet",MIN(G924,Assumptions!$B$6),"")</f>
        <v>2</v>
      </c>
      <c r="I924" s="8"/>
      <c r="J924" s="8" t="str">
        <f>IF(F924="Monthly interest",MAX(0,Assumptions!$B$5-I924),"")</f>
        <v/>
      </c>
      <c r="K924" s="7">
        <f t="shared" si="42"/>
        <v>7228</v>
      </c>
      <c r="L924" s="9">
        <v>46175</v>
      </c>
      <c r="M924" s="5" t="s">
        <v>69</v>
      </c>
      <c r="N924" s="5" t="s">
        <v>53</v>
      </c>
      <c r="O924" s="5" t="s">
        <v>71</v>
      </c>
      <c r="P924" s="5" t="s">
        <v>70</v>
      </c>
      <c r="Q924" s="5" t="s">
        <v>73</v>
      </c>
      <c r="R924" s="5" t="s">
        <v>74</v>
      </c>
      <c r="S924" s="5" t="s">
        <v>85</v>
      </c>
      <c r="T924" s="5" t="s">
        <v>57</v>
      </c>
      <c r="U924" s="5" t="s">
        <v>86</v>
      </c>
      <c r="V924" s="5" t="s">
        <v>177</v>
      </c>
      <c r="W924" s="5" t="s">
        <v>345</v>
      </c>
      <c r="X924" s="5" t="s">
        <v>4091</v>
      </c>
      <c r="Y924" s="5" t="s">
        <v>4092</v>
      </c>
      <c r="Z924" s="9">
        <v>46175</v>
      </c>
      <c r="AA924" s="8">
        <v>6</v>
      </c>
      <c r="AB924" s="9">
        <f t="shared" si="43"/>
        <v>46358</v>
      </c>
      <c r="AC924" s="10">
        <v>13</v>
      </c>
      <c r="AD924" s="7">
        <f t="shared" si="44"/>
        <v>1807</v>
      </c>
      <c r="AE924" s="7">
        <f>IF(F924="Bullet",H924*AD924,MIN(MAX(I924,1),Assumptions!$B$6)*AD924)</f>
        <v>3614</v>
      </c>
      <c r="AF924" s="8">
        <f>IF(F924="Bullet",MAX(0,Assumptions!$B$4-AB924),MAX(0,Assumptions!$B$4-L924))</f>
        <v>0</v>
      </c>
      <c r="AG924" s="9"/>
      <c r="AH924" s="8" t="str">
        <f>IF(AG924="","",Assumptions!$B$4-AG924)</f>
        <v/>
      </c>
      <c r="AI924" s="5" t="s">
        <v>80</v>
      </c>
      <c r="AJ924" s="8"/>
      <c r="AK924" s="8">
        <v>1</v>
      </c>
      <c r="AL924" s="8">
        <v>661</v>
      </c>
      <c r="AM924" s="8">
        <v>1</v>
      </c>
      <c r="AN924" s="5" t="s">
        <v>63</v>
      </c>
      <c r="AO924" s="10">
        <v>79.8</v>
      </c>
      <c r="AP924" s="8">
        <v>46</v>
      </c>
      <c r="AQ924" s="9">
        <v>46284</v>
      </c>
      <c r="AR924" s="5" t="s">
        <v>51</v>
      </c>
      <c r="AS924" s="5" t="s">
        <v>181</v>
      </c>
    </row>
    <row r="925" spans="1:45" x14ac:dyDescent="0.35">
      <c r="A925" s="5" t="s">
        <v>4093</v>
      </c>
      <c r="B925" s="5" t="s">
        <v>4094</v>
      </c>
      <c r="C925" s="6" t="s">
        <v>4095</v>
      </c>
      <c r="D925" s="7">
        <v>68600</v>
      </c>
      <c r="E925" s="5" t="s">
        <v>48</v>
      </c>
      <c r="F925" s="5" t="s">
        <v>49</v>
      </c>
      <c r="G925" s="8"/>
      <c r="H925" s="8" t="str">
        <f>IF(F925="Bullet",MIN(G925,Assumptions!$B$6),"")</f>
        <v/>
      </c>
      <c r="I925" s="8">
        <v>1</v>
      </c>
      <c r="J925" s="8">
        <f>IF(F925="Monthly interest",MAX(0,Assumptions!$B$5-I925),"")</f>
        <v>2</v>
      </c>
      <c r="K925" s="7">
        <f t="shared" si="42"/>
        <v>1143</v>
      </c>
      <c r="L925" s="9">
        <v>46277</v>
      </c>
      <c r="M925" s="5" t="s">
        <v>50</v>
      </c>
      <c r="N925" s="5" t="s">
        <v>53</v>
      </c>
      <c r="O925" s="5" t="s">
        <v>103</v>
      </c>
      <c r="P925" s="5" t="s">
        <v>70</v>
      </c>
      <c r="Q925" s="5" t="s">
        <v>54</v>
      </c>
      <c r="R925" s="5" t="s">
        <v>55</v>
      </c>
      <c r="S925" s="5" t="s">
        <v>185</v>
      </c>
      <c r="T925" s="5" t="s">
        <v>63</v>
      </c>
      <c r="U925" s="5" t="s">
        <v>104</v>
      </c>
      <c r="V925" s="5" t="s">
        <v>200</v>
      </c>
      <c r="W925" s="5" t="s">
        <v>767</v>
      </c>
      <c r="X925" s="5" t="s">
        <v>997</v>
      </c>
      <c r="Y925" s="5" t="s">
        <v>4096</v>
      </c>
      <c r="Z925" s="9">
        <v>46124</v>
      </c>
      <c r="AA925" s="8">
        <v>12</v>
      </c>
      <c r="AB925" s="9">
        <f t="shared" si="43"/>
        <v>46489</v>
      </c>
      <c r="AC925" s="10">
        <v>20</v>
      </c>
      <c r="AD925" s="7">
        <f t="shared" si="44"/>
        <v>1143</v>
      </c>
      <c r="AE925" s="7">
        <f>IF(F925="Bullet",H925*AD925,MIN(MAX(I925,1),Assumptions!$B$6)*AD925)</f>
        <v>1143</v>
      </c>
      <c r="AF925" s="8">
        <f>IF(F925="Bullet",MAX(0,Assumptions!$B$4-AB925),MAX(0,Assumptions!$B$4-L925))</f>
        <v>21</v>
      </c>
      <c r="AG925" s="9">
        <v>46247</v>
      </c>
      <c r="AH925" s="8">
        <f>IF(AG925="","",Assumptions!$B$4-AG925)</f>
        <v>51</v>
      </c>
      <c r="AI925" s="5" t="s">
        <v>63</v>
      </c>
      <c r="AJ925" s="8">
        <v>2</v>
      </c>
      <c r="AK925" s="8">
        <v>1</v>
      </c>
      <c r="AL925" s="8" t="s">
        <v>80</v>
      </c>
      <c r="AM925" s="8">
        <v>1</v>
      </c>
      <c r="AN925" s="5" t="s">
        <v>63</v>
      </c>
      <c r="AO925" s="10">
        <v>73.2</v>
      </c>
      <c r="AP925" s="8">
        <v>30</v>
      </c>
      <c r="AQ925" s="9">
        <v>46288</v>
      </c>
      <c r="AR925" s="5" t="s">
        <v>51</v>
      </c>
      <c r="AS925" s="5" t="s">
        <v>81</v>
      </c>
    </row>
    <row r="926" spans="1:45" x14ac:dyDescent="0.35">
      <c r="A926" s="5" t="s">
        <v>4097</v>
      </c>
      <c r="B926" s="5" t="s">
        <v>2449</v>
      </c>
      <c r="C926" s="6" t="s">
        <v>4098</v>
      </c>
      <c r="D926" s="7">
        <v>177200</v>
      </c>
      <c r="E926" s="5" t="s">
        <v>48</v>
      </c>
      <c r="F926" s="5" t="s">
        <v>68</v>
      </c>
      <c r="G926" s="8">
        <v>2</v>
      </c>
      <c r="H926" s="8">
        <f>IF(F926="Bullet",MIN(G926,Assumptions!$B$6),"")</f>
        <v>2</v>
      </c>
      <c r="I926" s="8"/>
      <c r="J926" s="8" t="str">
        <f>IF(F926="Monthly interest",MAX(0,Assumptions!$B$5-I926),"")</f>
        <v/>
      </c>
      <c r="K926" s="7">
        <f t="shared" si="42"/>
        <v>3840</v>
      </c>
      <c r="L926" s="9">
        <v>46235</v>
      </c>
      <c r="M926" s="5" t="s">
        <v>116</v>
      </c>
      <c r="N926" s="5" t="s">
        <v>117</v>
      </c>
      <c r="O926" s="5" t="s">
        <v>207</v>
      </c>
      <c r="P926" s="5" t="s">
        <v>72</v>
      </c>
      <c r="Q926" s="5" t="s">
        <v>73</v>
      </c>
      <c r="R926" s="5" t="s">
        <v>74</v>
      </c>
      <c r="S926" s="5" t="s">
        <v>253</v>
      </c>
      <c r="T926" s="5" t="s">
        <v>57</v>
      </c>
      <c r="U926" s="5" t="s">
        <v>58</v>
      </c>
      <c r="V926" s="5" t="s">
        <v>96</v>
      </c>
      <c r="W926" s="5" t="s">
        <v>171</v>
      </c>
      <c r="X926" s="5" t="s">
        <v>3348</v>
      </c>
      <c r="Y926" s="5" t="s">
        <v>4099</v>
      </c>
      <c r="Z926" s="9">
        <v>46235</v>
      </c>
      <c r="AA926" s="8">
        <v>3</v>
      </c>
      <c r="AB926" s="9">
        <f t="shared" si="43"/>
        <v>46327</v>
      </c>
      <c r="AC926" s="10">
        <v>13</v>
      </c>
      <c r="AD926" s="7">
        <f t="shared" si="44"/>
        <v>1920</v>
      </c>
      <c r="AE926" s="7">
        <f>IF(F926="Bullet",H926*AD926,MIN(MAX(I926,1),Assumptions!$B$6)*AD926)</f>
        <v>3840</v>
      </c>
      <c r="AF926" s="8">
        <f>IF(F926="Bullet",MAX(0,Assumptions!$B$4-AB926),MAX(0,Assumptions!$B$4-L926))</f>
        <v>0</v>
      </c>
      <c r="AG926" s="9"/>
      <c r="AH926" s="8" t="str">
        <f>IF(AG926="","",Assumptions!$B$4-AG926)</f>
        <v/>
      </c>
      <c r="AI926" s="5" t="s">
        <v>80</v>
      </c>
      <c r="AJ926" s="8"/>
      <c r="AK926" s="8">
        <v>1</v>
      </c>
      <c r="AL926" s="8">
        <v>699</v>
      </c>
      <c r="AM926" s="8">
        <v>4</v>
      </c>
      <c r="AN926" s="5" t="s">
        <v>57</v>
      </c>
      <c r="AO926" s="10">
        <v>84.7</v>
      </c>
      <c r="AP926" s="8">
        <v>51</v>
      </c>
      <c r="AQ926" s="9">
        <v>46292</v>
      </c>
      <c r="AR926" s="5" t="s">
        <v>53</v>
      </c>
      <c r="AS926" s="5" t="s">
        <v>81</v>
      </c>
    </row>
    <row r="927" spans="1:45" x14ac:dyDescent="0.35">
      <c r="A927" s="5" t="s">
        <v>4100</v>
      </c>
      <c r="B927" s="5" t="s">
        <v>4101</v>
      </c>
      <c r="C927" s="6" t="s">
        <v>4102</v>
      </c>
      <c r="D927" s="7">
        <v>120600</v>
      </c>
      <c r="E927" s="5" t="s">
        <v>48</v>
      </c>
      <c r="F927" s="5" t="s">
        <v>49</v>
      </c>
      <c r="G927" s="8"/>
      <c r="H927" s="8" t="str">
        <f>IF(F927="Bullet",MIN(G927,Assumptions!$B$6),"")</f>
        <v/>
      </c>
      <c r="I927" s="8">
        <v>1</v>
      </c>
      <c r="J927" s="8">
        <f>IF(F927="Monthly interest",MAX(0,Assumptions!$B$5-I927),"")</f>
        <v>2</v>
      </c>
      <c r="K927" s="7">
        <f t="shared" si="42"/>
        <v>2010</v>
      </c>
      <c r="L927" s="9">
        <v>46293</v>
      </c>
      <c r="M927" s="5" t="s">
        <v>50</v>
      </c>
      <c r="N927" s="5" t="s">
        <v>51</v>
      </c>
      <c r="O927" s="5" t="s">
        <v>52</v>
      </c>
      <c r="P927" s="5" t="s">
        <v>53</v>
      </c>
      <c r="Q927" s="5" t="s">
        <v>54</v>
      </c>
      <c r="R927" s="5" t="s">
        <v>55</v>
      </c>
      <c r="S927" s="5" t="s">
        <v>214</v>
      </c>
      <c r="T927" s="5" t="s">
        <v>57</v>
      </c>
      <c r="U927" s="5" t="s">
        <v>86</v>
      </c>
      <c r="V927" s="5" t="s">
        <v>215</v>
      </c>
      <c r="W927" s="5" t="s">
        <v>284</v>
      </c>
      <c r="X927" s="5" t="s">
        <v>4103</v>
      </c>
      <c r="Y927" s="5" t="s">
        <v>4104</v>
      </c>
      <c r="Z927" s="9">
        <v>46231</v>
      </c>
      <c r="AA927" s="8">
        <v>24</v>
      </c>
      <c r="AB927" s="9">
        <f t="shared" si="43"/>
        <v>46962</v>
      </c>
      <c r="AC927" s="10">
        <v>20</v>
      </c>
      <c r="AD927" s="7">
        <f t="shared" si="44"/>
        <v>2010</v>
      </c>
      <c r="AE927" s="7">
        <f>IF(F927="Bullet",H927*AD927,MIN(MAX(I927,1),Assumptions!$B$6)*AD927)</f>
        <v>2010</v>
      </c>
      <c r="AF927" s="8">
        <f>IF(F927="Bullet",MAX(0,Assumptions!$B$4-AB927),MAX(0,Assumptions!$B$4-L927))</f>
        <v>5</v>
      </c>
      <c r="AG927" s="9">
        <v>46264</v>
      </c>
      <c r="AH927" s="8">
        <f>IF(AG927="","",Assumptions!$B$4-AG927)</f>
        <v>34</v>
      </c>
      <c r="AI927" s="5" t="s">
        <v>63</v>
      </c>
      <c r="AJ927" s="8">
        <v>3</v>
      </c>
      <c r="AK927" s="8">
        <v>1</v>
      </c>
      <c r="AL927" s="8">
        <v>795</v>
      </c>
      <c r="AM927" s="8">
        <v>0</v>
      </c>
      <c r="AN927" s="5" t="s">
        <v>63</v>
      </c>
      <c r="AO927" s="10">
        <v>61.8</v>
      </c>
      <c r="AP927" s="8">
        <v>25</v>
      </c>
      <c r="AQ927" s="9">
        <v>46297</v>
      </c>
      <c r="AR927" s="5" t="s">
        <v>51</v>
      </c>
      <c r="AS927" s="5" t="s">
        <v>190</v>
      </c>
    </row>
    <row r="928" spans="1:45" x14ac:dyDescent="0.35">
      <c r="A928" s="5" t="s">
        <v>4105</v>
      </c>
      <c r="B928" s="5" t="s">
        <v>282</v>
      </c>
      <c r="C928" s="6" t="s">
        <v>4106</v>
      </c>
      <c r="D928" s="7">
        <v>213100</v>
      </c>
      <c r="E928" s="5" t="s">
        <v>48</v>
      </c>
      <c r="F928" s="5" t="s">
        <v>49</v>
      </c>
      <c r="G928" s="8"/>
      <c r="H928" s="8" t="str">
        <f>IF(F928="Bullet",MIN(G928,Assumptions!$B$6),"")</f>
        <v/>
      </c>
      <c r="I928" s="8">
        <v>2</v>
      </c>
      <c r="J928" s="8">
        <f>IF(F928="Monthly interest",MAX(0,Assumptions!$B$5-I928),"")</f>
        <v>1</v>
      </c>
      <c r="K928" s="7">
        <f t="shared" si="42"/>
        <v>5682</v>
      </c>
      <c r="L928" s="9">
        <v>46240</v>
      </c>
      <c r="M928" s="5" t="s">
        <v>69</v>
      </c>
      <c r="N928" s="5" t="s">
        <v>70</v>
      </c>
      <c r="O928" s="5" t="s">
        <v>71</v>
      </c>
      <c r="P928" s="5" t="s">
        <v>72</v>
      </c>
      <c r="Q928" s="5" t="s">
        <v>73</v>
      </c>
      <c r="R928" s="5" t="s">
        <v>74</v>
      </c>
      <c r="S928" s="5" t="s">
        <v>214</v>
      </c>
      <c r="T928" s="5" t="s">
        <v>57</v>
      </c>
      <c r="U928" s="5" t="s">
        <v>86</v>
      </c>
      <c r="V928" s="5" t="s">
        <v>215</v>
      </c>
      <c r="W928" s="5" t="s">
        <v>284</v>
      </c>
      <c r="X928" s="5" t="s">
        <v>4107</v>
      </c>
      <c r="Y928" s="5" t="s">
        <v>4108</v>
      </c>
      <c r="Z928" s="9">
        <v>46028</v>
      </c>
      <c r="AA928" s="8">
        <v>12</v>
      </c>
      <c r="AB928" s="9">
        <f t="shared" si="43"/>
        <v>46393</v>
      </c>
      <c r="AC928" s="10">
        <v>16</v>
      </c>
      <c r="AD928" s="7">
        <f t="shared" si="44"/>
        <v>2841</v>
      </c>
      <c r="AE928" s="7">
        <f>IF(F928="Bullet",H928*AD928,MIN(MAX(I928,1),Assumptions!$B$6)*AD928)</f>
        <v>5682</v>
      </c>
      <c r="AF928" s="8">
        <f>IF(F928="Bullet",MAX(0,Assumptions!$B$4-AB928),MAX(0,Assumptions!$B$4-L928))</f>
        <v>58</v>
      </c>
      <c r="AG928" s="9">
        <v>46209</v>
      </c>
      <c r="AH928" s="8">
        <f>IF(AG928="","",Assumptions!$B$4-AG928)</f>
        <v>89</v>
      </c>
      <c r="AI928" s="5" t="s">
        <v>63</v>
      </c>
      <c r="AJ928" s="8">
        <v>3</v>
      </c>
      <c r="AK928" s="8">
        <v>0</v>
      </c>
      <c r="AL928" s="8">
        <v>736</v>
      </c>
      <c r="AM928" s="8">
        <v>1</v>
      </c>
      <c r="AN928" s="5" t="s">
        <v>63</v>
      </c>
      <c r="AO928" s="10">
        <v>76.099999999999994</v>
      </c>
      <c r="AP928" s="8">
        <v>40</v>
      </c>
      <c r="AQ928" s="9">
        <v>46285</v>
      </c>
      <c r="AR928" s="5" t="s">
        <v>53</v>
      </c>
      <c r="AS928" s="5" t="s">
        <v>81</v>
      </c>
    </row>
    <row r="929" spans="1:45" x14ac:dyDescent="0.35">
      <c r="A929" s="5" t="s">
        <v>4109</v>
      </c>
      <c r="B929" s="5" t="s">
        <v>4110</v>
      </c>
      <c r="C929" s="6" t="s">
        <v>4111</v>
      </c>
      <c r="D929" s="7">
        <v>117300</v>
      </c>
      <c r="E929" s="5" t="s">
        <v>48</v>
      </c>
      <c r="F929" s="5" t="s">
        <v>68</v>
      </c>
      <c r="G929" s="8">
        <v>3</v>
      </c>
      <c r="H929" s="8">
        <f>IF(F929="Bullet",MIN(G929,Assumptions!$B$6),"")</f>
        <v>2</v>
      </c>
      <c r="I929" s="8"/>
      <c r="J929" s="8" t="str">
        <f>IF(F929="Monthly interest",MAX(0,Assumptions!$B$5-I929),"")</f>
        <v/>
      </c>
      <c r="K929" s="7">
        <f t="shared" si="42"/>
        <v>3519</v>
      </c>
      <c r="L929" s="9">
        <v>46196</v>
      </c>
      <c r="M929" s="5" t="s">
        <v>116</v>
      </c>
      <c r="N929" s="5" t="s">
        <v>117</v>
      </c>
      <c r="O929" s="5" t="s">
        <v>207</v>
      </c>
      <c r="P929" s="5" t="s">
        <v>72</v>
      </c>
      <c r="Q929" s="5" t="s">
        <v>73</v>
      </c>
      <c r="R929" s="5" t="s">
        <v>74</v>
      </c>
      <c r="S929" s="5" t="s">
        <v>56</v>
      </c>
      <c r="T929" s="5" t="s">
        <v>57</v>
      </c>
      <c r="U929" s="5" t="s">
        <v>86</v>
      </c>
      <c r="V929" s="5" t="s">
        <v>59</v>
      </c>
      <c r="W929" s="5" t="s">
        <v>60</v>
      </c>
      <c r="X929" s="5" t="s">
        <v>933</v>
      </c>
      <c r="Y929" s="5" t="s">
        <v>4112</v>
      </c>
      <c r="Z929" s="9">
        <v>46196</v>
      </c>
      <c r="AA929" s="8">
        <v>6</v>
      </c>
      <c r="AB929" s="9">
        <f t="shared" si="43"/>
        <v>46379</v>
      </c>
      <c r="AC929" s="10">
        <v>12</v>
      </c>
      <c r="AD929" s="7">
        <f t="shared" si="44"/>
        <v>1173</v>
      </c>
      <c r="AE929" s="7">
        <f>IF(F929="Bullet",H929*AD929,MIN(MAX(I929,1),Assumptions!$B$6)*AD929)</f>
        <v>2346</v>
      </c>
      <c r="AF929" s="8">
        <f>IF(F929="Bullet",MAX(0,Assumptions!$B$4-AB929),MAX(0,Assumptions!$B$4-L929))</f>
        <v>0</v>
      </c>
      <c r="AG929" s="9"/>
      <c r="AH929" s="8" t="str">
        <f>IF(AG929="","",Assumptions!$B$4-AG929)</f>
        <v/>
      </c>
      <c r="AI929" s="5" t="s">
        <v>80</v>
      </c>
      <c r="AJ929" s="8"/>
      <c r="AK929" s="8">
        <v>2</v>
      </c>
      <c r="AL929" s="8">
        <v>532</v>
      </c>
      <c r="AM929" s="8">
        <v>0</v>
      </c>
      <c r="AN929" s="5" t="s">
        <v>63</v>
      </c>
      <c r="AO929" s="10">
        <v>57</v>
      </c>
      <c r="AP929" s="8">
        <v>49</v>
      </c>
      <c r="AQ929" s="9">
        <v>46277</v>
      </c>
      <c r="AR929" s="5" t="s">
        <v>70</v>
      </c>
      <c r="AS929" s="5" t="s">
        <v>64</v>
      </c>
    </row>
    <row r="930" spans="1:45" x14ac:dyDescent="0.35">
      <c r="A930" s="5" t="s">
        <v>4113</v>
      </c>
      <c r="B930" s="5" t="s">
        <v>741</v>
      </c>
      <c r="C930" s="6" t="s">
        <v>4114</v>
      </c>
      <c r="D930" s="7">
        <v>128200</v>
      </c>
      <c r="E930" s="5" t="s">
        <v>48</v>
      </c>
      <c r="F930" s="5" t="s">
        <v>49</v>
      </c>
      <c r="G930" s="8"/>
      <c r="H930" s="8" t="str">
        <f>IF(F930="Bullet",MIN(G930,Assumptions!$B$6),"")</f>
        <v/>
      </c>
      <c r="I930" s="8">
        <v>2</v>
      </c>
      <c r="J930" s="8">
        <f>IF(F930="Monthly interest",MAX(0,Assumptions!$B$5-I930),"")</f>
        <v>1</v>
      </c>
      <c r="K930" s="7">
        <f t="shared" si="42"/>
        <v>3206</v>
      </c>
      <c r="L930" s="9">
        <v>46268</v>
      </c>
      <c r="M930" s="5" t="s">
        <v>116</v>
      </c>
      <c r="N930" s="5" t="s">
        <v>117</v>
      </c>
      <c r="O930" s="5" t="s">
        <v>118</v>
      </c>
      <c r="P930" s="5" t="s">
        <v>72</v>
      </c>
      <c r="Q930" s="5" t="s">
        <v>119</v>
      </c>
      <c r="R930" s="5" t="s">
        <v>120</v>
      </c>
      <c r="S930" s="5" t="s">
        <v>56</v>
      </c>
      <c r="T930" s="5" t="s">
        <v>57</v>
      </c>
      <c r="U930" s="5" t="s">
        <v>86</v>
      </c>
      <c r="V930" s="5" t="s">
        <v>59</v>
      </c>
      <c r="W930" s="5" t="s">
        <v>467</v>
      </c>
      <c r="X930" s="5" t="s">
        <v>675</v>
      </c>
      <c r="Y930" s="5" t="s">
        <v>4115</v>
      </c>
      <c r="Z930" s="9">
        <v>46176</v>
      </c>
      <c r="AA930" s="8">
        <v>12</v>
      </c>
      <c r="AB930" s="9">
        <f t="shared" si="43"/>
        <v>46541</v>
      </c>
      <c r="AC930" s="10">
        <v>15</v>
      </c>
      <c r="AD930" s="7">
        <f t="shared" si="44"/>
        <v>1603</v>
      </c>
      <c r="AE930" s="7">
        <f>IF(F930="Bullet",H930*AD930,MIN(MAX(I930,1),Assumptions!$B$6)*AD930)</f>
        <v>3206</v>
      </c>
      <c r="AF930" s="8">
        <f>IF(F930="Bullet",MAX(0,Assumptions!$B$4-AB930),MAX(0,Assumptions!$B$4-L930))</f>
        <v>30</v>
      </c>
      <c r="AG930" s="9">
        <v>46239</v>
      </c>
      <c r="AH930" s="8">
        <f>IF(AG930="","",Assumptions!$B$4-AG930)</f>
        <v>59</v>
      </c>
      <c r="AI930" s="5" t="s">
        <v>63</v>
      </c>
      <c r="AJ930" s="8">
        <v>2</v>
      </c>
      <c r="AK930" s="8">
        <v>0</v>
      </c>
      <c r="AL930" s="8">
        <v>700</v>
      </c>
      <c r="AM930" s="8">
        <v>0</v>
      </c>
      <c r="AN930" s="5" t="s">
        <v>63</v>
      </c>
      <c r="AO930" s="10">
        <v>69.900000000000006</v>
      </c>
      <c r="AP930" s="8">
        <v>48</v>
      </c>
      <c r="AQ930" s="9">
        <v>46274</v>
      </c>
      <c r="AR930" s="5" t="s">
        <v>70</v>
      </c>
      <c r="AS930" s="5" t="s">
        <v>81</v>
      </c>
    </row>
    <row r="931" spans="1:45" x14ac:dyDescent="0.35">
      <c r="A931" s="5" t="s">
        <v>4116</v>
      </c>
      <c r="B931" s="5" t="s">
        <v>4117</v>
      </c>
      <c r="C931" s="6" t="s">
        <v>4118</v>
      </c>
      <c r="D931" s="7">
        <v>135700</v>
      </c>
      <c r="E931" s="5" t="s">
        <v>48</v>
      </c>
      <c r="F931" s="5" t="s">
        <v>49</v>
      </c>
      <c r="G931" s="8"/>
      <c r="H931" s="8" t="str">
        <f>IF(F931="Bullet",MIN(G931,Assumptions!$B$6),"")</f>
        <v/>
      </c>
      <c r="I931" s="8">
        <v>2</v>
      </c>
      <c r="J931" s="8">
        <f>IF(F931="Monthly interest",MAX(0,Assumptions!$B$5-I931),"")</f>
        <v>1</v>
      </c>
      <c r="K931" s="7">
        <f t="shared" si="42"/>
        <v>4524</v>
      </c>
      <c r="L931" s="9">
        <v>46266</v>
      </c>
      <c r="M931" s="5" t="s">
        <v>69</v>
      </c>
      <c r="N931" s="5" t="s">
        <v>70</v>
      </c>
      <c r="O931" s="5" t="s">
        <v>531</v>
      </c>
      <c r="P931" s="5" t="s">
        <v>72</v>
      </c>
      <c r="Q931" s="5" t="s">
        <v>73</v>
      </c>
      <c r="R931" s="5" t="s">
        <v>74</v>
      </c>
      <c r="S931" s="5" t="s">
        <v>56</v>
      </c>
      <c r="T931" s="5" t="s">
        <v>57</v>
      </c>
      <c r="U931" s="5" t="s">
        <v>104</v>
      </c>
      <c r="V931" s="5" t="s">
        <v>59</v>
      </c>
      <c r="W931" s="5" t="s">
        <v>467</v>
      </c>
      <c r="X931" s="5" t="s">
        <v>3238</v>
      </c>
      <c r="Y931" s="5" t="s">
        <v>4119</v>
      </c>
      <c r="Z931" s="9">
        <v>45992</v>
      </c>
      <c r="AA931" s="8">
        <v>24</v>
      </c>
      <c r="AB931" s="9">
        <f t="shared" si="43"/>
        <v>46722</v>
      </c>
      <c r="AC931" s="10">
        <v>20</v>
      </c>
      <c r="AD931" s="7">
        <f t="shared" si="44"/>
        <v>2262</v>
      </c>
      <c r="AE931" s="7">
        <f>IF(F931="Bullet",H931*AD931,MIN(MAX(I931,1),Assumptions!$B$6)*AD931)</f>
        <v>4524</v>
      </c>
      <c r="AF931" s="8">
        <f>IF(F931="Bullet",MAX(0,Assumptions!$B$4-AB931),MAX(0,Assumptions!$B$4-L931))</f>
        <v>32</v>
      </c>
      <c r="AG931" s="9">
        <v>46238</v>
      </c>
      <c r="AH931" s="8">
        <f>IF(AG931="","",Assumptions!$B$4-AG931)</f>
        <v>60</v>
      </c>
      <c r="AI931" s="5" t="s">
        <v>63</v>
      </c>
      <c r="AJ931" s="8">
        <v>4</v>
      </c>
      <c r="AK931" s="8">
        <v>1</v>
      </c>
      <c r="AL931" s="8">
        <v>742</v>
      </c>
      <c r="AM931" s="8">
        <v>2</v>
      </c>
      <c r="AN931" s="5" t="s">
        <v>63</v>
      </c>
      <c r="AO931" s="10">
        <v>65.400000000000006</v>
      </c>
      <c r="AP931" s="8">
        <v>44</v>
      </c>
      <c r="AQ931" s="9">
        <v>46277</v>
      </c>
      <c r="AR931" s="5" t="s">
        <v>53</v>
      </c>
      <c r="AS931" s="5" t="s">
        <v>81</v>
      </c>
    </row>
    <row r="932" spans="1:45" x14ac:dyDescent="0.35">
      <c r="A932" s="5" t="s">
        <v>4120</v>
      </c>
      <c r="B932" s="5" t="s">
        <v>4121</v>
      </c>
      <c r="C932" s="6" t="s">
        <v>4122</v>
      </c>
      <c r="D932" s="7">
        <v>19900</v>
      </c>
      <c r="E932" s="5" t="s">
        <v>48</v>
      </c>
      <c r="F932" s="5" t="s">
        <v>49</v>
      </c>
      <c r="G932" s="8"/>
      <c r="H932" s="8" t="str">
        <f>IF(F932="Bullet",MIN(G932,Assumptions!$B$6),"")</f>
        <v/>
      </c>
      <c r="I932" s="8">
        <v>1</v>
      </c>
      <c r="J932" s="8">
        <f>IF(F932="Monthly interest",MAX(0,Assumptions!$B$5-I932),"")</f>
        <v>2</v>
      </c>
      <c r="K932" s="7">
        <f t="shared" si="42"/>
        <v>299</v>
      </c>
      <c r="L932" s="9">
        <v>46289</v>
      </c>
      <c r="M932" s="5" t="s">
        <v>50</v>
      </c>
      <c r="N932" s="5" t="s">
        <v>51</v>
      </c>
      <c r="O932" s="5" t="s">
        <v>152</v>
      </c>
      <c r="P932" s="5" t="s">
        <v>53</v>
      </c>
      <c r="Q932" s="5" t="s">
        <v>154</v>
      </c>
      <c r="R932" s="5" t="s">
        <v>155</v>
      </c>
      <c r="S932" s="5" t="s">
        <v>214</v>
      </c>
      <c r="T932" s="5" t="s">
        <v>57</v>
      </c>
      <c r="U932" s="5" t="s">
        <v>104</v>
      </c>
      <c r="V932" s="5" t="s">
        <v>215</v>
      </c>
      <c r="W932" s="5" t="s">
        <v>232</v>
      </c>
      <c r="X932" s="5" t="s">
        <v>3573</v>
      </c>
      <c r="Y932" s="5" t="s">
        <v>4123</v>
      </c>
      <c r="Z932" s="9">
        <v>46077</v>
      </c>
      <c r="AA932" s="8">
        <v>24</v>
      </c>
      <c r="AB932" s="9">
        <f t="shared" si="43"/>
        <v>46807</v>
      </c>
      <c r="AC932" s="10">
        <v>18</v>
      </c>
      <c r="AD932" s="7">
        <f t="shared" si="44"/>
        <v>299</v>
      </c>
      <c r="AE932" s="7">
        <f>IF(F932="Bullet",H932*AD932,MIN(MAX(I932,1),Assumptions!$B$6)*AD932)</f>
        <v>299</v>
      </c>
      <c r="AF932" s="8">
        <f>IF(F932="Bullet",MAX(0,Assumptions!$B$4-AB932),MAX(0,Assumptions!$B$4-L932))</f>
        <v>9</v>
      </c>
      <c r="AG932" s="9">
        <v>46261</v>
      </c>
      <c r="AH932" s="8">
        <f>IF(AG932="","",Assumptions!$B$4-AG932)</f>
        <v>37</v>
      </c>
      <c r="AI932" s="5" t="s">
        <v>63</v>
      </c>
      <c r="AJ932" s="8">
        <v>1</v>
      </c>
      <c r="AK932" s="8">
        <v>0</v>
      </c>
      <c r="AL932" s="8">
        <v>708</v>
      </c>
      <c r="AM932" s="8">
        <v>2</v>
      </c>
      <c r="AN932" s="5" t="s">
        <v>63</v>
      </c>
      <c r="AO932" s="10">
        <v>67</v>
      </c>
      <c r="AP932" s="8">
        <v>24</v>
      </c>
      <c r="AQ932" s="9">
        <v>46286</v>
      </c>
      <c r="AR932" s="5" t="s">
        <v>51</v>
      </c>
      <c r="AS932" s="5" t="s">
        <v>64</v>
      </c>
    </row>
    <row r="933" spans="1:45" x14ac:dyDescent="0.35">
      <c r="A933" s="5" t="s">
        <v>4124</v>
      </c>
      <c r="B933" s="5" t="s">
        <v>2784</v>
      </c>
      <c r="C933" s="6" t="s">
        <v>4125</v>
      </c>
      <c r="D933" s="7">
        <v>777100</v>
      </c>
      <c r="E933" s="5" t="s">
        <v>48</v>
      </c>
      <c r="F933" s="5" t="s">
        <v>49</v>
      </c>
      <c r="G933" s="8"/>
      <c r="H933" s="8" t="str">
        <f>IF(F933="Bullet",MIN(G933,Assumptions!$B$6),"")</f>
        <v/>
      </c>
      <c r="I933" s="8">
        <v>1</v>
      </c>
      <c r="J933" s="8">
        <f>IF(F933="Monthly interest",MAX(0,Assumptions!$B$5-I933),"")</f>
        <v>2</v>
      </c>
      <c r="K933" s="7">
        <f t="shared" si="42"/>
        <v>15542</v>
      </c>
      <c r="L933" s="9">
        <v>46286</v>
      </c>
      <c r="M933" s="5" t="s">
        <v>50</v>
      </c>
      <c r="N933" s="5" t="s">
        <v>51</v>
      </c>
      <c r="O933" s="5" t="s">
        <v>52</v>
      </c>
      <c r="P933" s="5" t="s">
        <v>53</v>
      </c>
      <c r="Q933" s="5" t="s">
        <v>54</v>
      </c>
      <c r="R933" s="5" t="s">
        <v>55</v>
      </c>
      <c r="S933" s="5" t="s">
        <v>214</v>
      </c>
      <c r="T933" s="5" t="s">
        <v>57</v>
      </c>
      <c r="U933" s="5" t="s">
        <v>58</v>
      </c>
      <c r="V933" s="5" t="s">
        <v>215</v>
      </c>
      <c r="W933" s="5" t="s">
        <v>216</v>
      </c>
      <c r="X933" s="5" t="s">
        <v>2540</v>
      </c>
      <c r="Y933" s="5" t="s">
        <v>4126</v>
      </c>
      <c r="Z933" s="9">
        <v>46133</v>
      </c>
      <c r="AA933" s="8">
        <v>18</v>
      </c>
      <c r="AB933" s="9">
        <f t="shared" si="43"/>
        <v>46681</v>
      </c>
      <c r="AC933" s="10">
        <v>24</v>
      </c>
      <c r="AD933" s="7">
        <f t="shared" si="44"/>
        <v>15542</v>
      </c>
      <c r="AE933" s="7">
        <f>IF(F933="Bullet",H933*AD933,MIN(MAX(I933,1),Assumptions!$B$6)*AD933)</f>
        <v>15542</v>
      </c>
      <c r="AF933" s="8">
        <f>IF(F933="Bullet",MAX(0,Assumptions!$B$4-AB933),MAX(0,Assumptions!$B$4-L933))</f>
        <v>12</v>
      </c>
      <c r="AG933" s="9">
        <v>46255</v>
      </c>
      <c r="AH933" s="8">
        <f>IF(AG933="","",Assumptions!$B$4-AG933)</f>
        <v>43</v>
      </c>
      <c r="AI933" s="5" t="s">
        <v>63</v>
      </c>
      <c r="AJ933" s="8">
        <v>1</v>
      </c>
      <c r="AK933" s="8">
        <v>0</v>
      </c>
      <c r="AL933" s="8">
        <v>684</v>
      </c>
      <c r="AM933" s="8">
        <v>1</v>
      </c>
      <c r="AN933" s="5" t="s">
        <v>63</v>
      </c>
      <c r="AO933" s="10">
        <v>70.8</v>
      </c>
      <c r="AP933" s="8">
        <v>20</v>
      </c>
      <c r="AQ933" s="9">
        <v>46282</v>
      </c>
      <c r="AR933" s="5" t="s">
        <v>53</v>
      </c>
      <c r="AS933" s="5" t="s">
        <v>274</v>
      </c>
    </row>
    <row r="934" spans="1:45" x14ac:dyDescent="0.35">
      <c r="A934" s="5" t="s">
        <v>4127</v>
      </c>
      <c r="B934" s="5" t="s">
        <v>2360</v>
      </c>
      <c r="C934" s="6" t="s">
        <v>4128</v>
      </c>
      <c r="D934" s="7">
        <v>127700</v>
      </c>
      <c r="E934" s="5" t="s">
        <v>48</v>
      </c>
      <c r="F934" s="5" t="s">
        <v>49</v>
      </c>
      <c r="G934" s="8"/>
      <c r="H934" s="8" t="str">
        <f>IF(F934="Bullet",MIN(G934,Assumptions!$B$6),"")</f>
        <v/>
      </c>
      <c r="I934" s="8">
        <v>2</v>
      </c>
      <c r="J934" s="8">
        <f>IF(F934="Monthly interest",MAX(0,Assumptions!$B$5-I934),"")</f>
        <v>1</v>
      </c>
      <c r="K934" s="7">
        <f t="shared" si="42"/>
        <v>2980</v>
      </c>
      <c r="L934" s="9">
        <v>46257</v>
      </c>
      <c r="M934" s="5" t="s">
        <v>116</v>
      </c>
      <c r="N934" s="5" t="s">
        <v>117</v>
      </c>
      <c r="O934" s="5" t="s">
        <v>118</v>
      </c>
      <c r="P934" s="5" t="s">
        <v>72</v>
      </c>
      <c r="Q934" s="5" t="s">
        <v>119</v>
      </c>
      <c r="R934" s="5" t="s">
        <v>120</v>
      </c>
      <c r="S934" s="5" t="s">
        <v>56</v>
      </c>
      <c r="T934" s="5" t="s">
        <v>63</v>
      </c>
      <c r="U934" s="5" t="s">
        <v>104</v>
      </c>
      <c r="V934" s="5" t="s">
        <v>59</v>
      </c>
      <c r="W934" s="5" t="s">
        <v>194</v>
      </c>
      <c r="X934" s="5" t="s">
        <v>580</v>
      </c>
      <c r="Y934" s="5" t="s">
        <v>4129</v>
      </c>
      <c r="Z934" s="9">
        <v>46165</v>
      </c>
      <c r="AA934" s="8">
        <v>12</v>
      </c>
      <c r="AB934" s="9">
        <f t="shared" si="43"/>
        <v>46530</v>
      </c>
      <c r="AC934" s="10">
        <v>14</v>
      </c>
      <c r="AD934" s="7">
        <f t="shared" si="44"/>
        <v>1490</v>
      </c>
      <c r="AE934" s="7">
        <f>IF(F934="Bullet",H934*AD934,MIN(MAX(I934,1),Assumptions!$B$6)*AD934)</f>
        <v>2980</v>
      </c>
      <c r="AF934" s="8">
        <f>IF(F934="Bullet",MAX(0,Assumptions!$B$4-AB934),MAX(0,Assumptions!$B$4-L934))</f>
        <v>41</v>
      </c>
      <c r="AG934" s="9">
        <v>46229</v>
      </c>
      <c r="AH934" s="8">
        <f>IF(AG934="","",Assumptions!$B$4-AG934)</f>
        <v>69</v>
      </c>
      <c r="AI934" s="5" t="s">
        <v>63</v>
      </c>
      <c r="AJ934" s="8">
        <v>2</v>
      </c>
      <c r="AK934" s="8">
        <v>0</v>
      </c>
      <c r="AL934" s="8">
        <v>665</v>
      </c>
      <c r="AM934" s="8">
        <v>0</v>
      </c>
      <c r="AN934" s="5" t="s">
        <v>63</v>
      </c>
      <c r="AO934" s="10">
        <v>78</v>
      </c>
      <c r="AP934" s="8">
        <v>48</v>
      </c>
      <c r="AQ934" s="9">
        <v>46284</v>
      </c>
      <c r="AR934" s="5" t="s">
        <v>53</v>
      </c>
      <c r="AS934" s="5" t="s">
        <v>81</v>
      </c>
    </row>
    <row r="935" spans="1:45" x14ac:dyDescent="0.35">
      <c r="A935" s="5" t="s">
        <v>4130</v>
      </c>
      <c r="B935" s="5" t="s">
        <v>4131</v>
      </c>
      <c r="C935" s="6" t="s">
        <v>4132</v>
      </c>
      <c r="D935" s="7">
        <v>147000</v>
      </c>
      <c r="E935" s="5" t="s">
        <v>48</v>
      </c>
      <c r="F935" s="5" t="s">
        <v>49</v>
      </c>
      <c r="G935" s="8"/>
      <c r="H935" s="8" t="str">
        <f>IF(F935="Bullet",MIN(G935,Assumptions!$B$6),"")</f>
        <v/>
      </c>
      <c r="I935" s="8">
        <v>2</v>
      </c>
      <c r="J935" s="8">
        <f>IF(F935="Monthly interest",MAX(0,Assumptions!$B$5-I935),"")</f>
        <v>1</v>
      </c>
      <c r="K935" s="7">
        <f t="shared" si="42"/>
        <v>5880</v>
      </c>
      <c r="L935" s="9">
        <v>46240</v>
      </c>
      <c r="M935" s="5" t="s">
        <v>69</v>
      </c>
      <c r="N935" s="5" t="s">
        <v>53</v>
      </c>
      <c r="O935" s="5" t="s">
        <v>71</v>
      </c>
      <c r="P935" s="5" t="s">
        <v>70</v>
      </c>
      <c r="Q935" s="5" t="s">
        <v>73</v>
      </c>
      <c r="R935" s="5" t="s">
        <v>74</v>
      </c>
      <c r="S935" s="5" t="s">
        <v>75</v>
      </c>
      <c r="T935" s="5" t="s">
        <v>57</v>
      </c>
      <c r="U935" s="5" t="s">
        <v>58</v>
      </c>
      <c r="V935" s="5" t="s">
        <v>76</v>
      </c>
      <c r="W935" s="5" t="s">
        <v>547</v>
      </c>
      <c r="X935" s="5" t="s">
        <v>3727</v>
      </c>
      <c r="Y935" s="5" t="s">
        <v>4133</v>
      </c>
      <c r="Z935" s="9">
        <v>46059</v>
      </c>
      <c r="AA935" s="8">
        <v>12</v>
      </c>
      <c r="AB935" s="9">
        <f t="shared" si="43"/>
        <v>46424</v>
      </c>
      <c r="AC935" s="10">
        <v>24</v>
      </c>
      <c r="AD935" s="7">
        <f t="shared" si="44"/>
        <v>2940</v>
      </c>
      <c r="AE935" s="7">
        <f>IF(F935="Bullet",H935*AD935,MIN(MAX(I935,1),Assumptions!$B$6)*AD935)</f>
        <v>5880</v>
      </c>
      <c r="AF935" s="8">
        <f>IF(F935="Bullet",MAX(0,Assumptions!$B$4-AB935),MAX(0,Assumptions!$B$4-L935))</f>
        <v>58</v>
      </c>
      <c r="AG935" s="9">
        <v>46210</v>
      </c>
      <c r="AH935" s="8">
        <f>IF(AG935="","",Assumptions!$B$4-AG935)</f>
        <v>88</v>
      </c>
      <c r="AI935" s="5" t="s">
        <v>63</v>
      </c>
      <c r="AJ935" s="8">
        <v>2</v>
      </c>
      <c r="AK935" s="8">
        <v>1</v>
      </c>
      <c r="AL935" s="8">
        <v>737</v>
      </c>
      <c r="AM935" s="8">
        <v>0</v>
      </c>
      <c r="AN935" s="5" t="s">
        <v>63</v>
      </c>
      <c r="AO935" s="10">
        <v>76.900000000000006</v>
      </c>
      <c r="AP935" s="8">
        <v>42</v>
      </c>
      <c r="AQ935" s="9">
        <v>46283</v>
      </c>
      <c r="AR935" s="5" t="s">
        <v>70</v>
      </c>
      <c r="AS935" s="5" t="s">
        <v>81</v>
      </c>
    </row>
    <row r="936" spans="1:45" x14ac:dyDescent="0.35">
      <c r="A936" s="5" t="s">
        <v>4134</v>
      </c>
      <c r="B936" s="5" t="s">
        <v>4135</v>
      </c>
      <c r="C936" s="6" t="s">
        <v>4136</v>
      </c>
      <c r="D936" s="7">
        <v>232700</v>
      </c>
      <c r="E936" s="5" t="s">
        <v>48</v>
      </c>
      <c r="F936" s="5" t="s">
        <v>49</v>
      </c>
      <c r="G936" s="8"/>
      <c r="H936" s="8" t="str">
        <f>IF(F936="Bullet",MIN(G936,Assumptions!$B$6),"")</f>
        <v/>
      </c>
      <c r="I936" s="8">
        <v>1</v>
      </c>
      <c r="J936" s="8">
        <f>IF(F936="Monthly interest",MAX(0,Assumptions!$B$5-I936),"")</f>
        <v>2</v>
      </c>
      <c r="K936" s="7">
        <f t="shared" si="42"/>
        <v>2715</v>
      </c>
      <c r="L936" s="9">
        <v>46292</v>
      </c>
      <c r="M936" s="5" t="s">
        <v>69</v>
      </c>
      <c r="N936" s="5" t="s">
        <v>53</v>
      </c>
      <c r="O936" s="5" t="s">
        <v>95</v>
      </c>
      <c r="P936" s="5" t="s">
        <v>70</v>
      </c>
      <c r="Q936" s="5" t="s">
        <v>54</v>
      </c>
      <c r="R936" s="5" t="s">
        <v>55</v>
      </c>
      <c r="S936" s="5" t="s">
        <v>253</v>
      </c>
      <c r="T936" s="5" t="s">
        <v>63</v>
      </c>
      <c r="U936" s="5" t="s">
        <v>86</v>
      </c>
      <c r="V936" s="5" t="s">
        <v>76</v>
      </c>
      <c r="W936" s="5" t="s">
        <v>146</v>
      </c>
      <c r="X936" s="5" t="s">
        <v>3784</v>
      </c>
      <c r="Y936" s="5" t="s">
        <v>4137</v>
      </c>
      <c r="Z936" s="9">
        <v>46139</v>
      </c>
      <c r="AA936" s="8">
        <v>18</v>
      </c>
      <c r="AB936" s="9">
        <f t="shared" si="43"/>
        <v>46687</v>
      </c>
      <c r="AC936" s="10">
        <v>14</v>
      </c>
      <c r="AD936" s="7">
        <f t="shared" si="44"/>
        <v>2715</v>
      </c>
      <c r="AE936" s="7">
        <f>IF(F936="Bullet",H936*AD936,MIN(MAX(I936,1),Assumptions!$B$6)*AD936)</f>
        <v>2715</v>
      </c>
      <c r="AF936" s="8">
        <f>IF(F936="Bullet",MAX(0,Assumptions!$B$4-AB936),MAX(0,Assumptions!$B$4-L936))</f>
        <v>6</v>
      </c>
      <c r="AG936" s="9">
        <v>46266</v>
      </c>
      <c r="AH936" s="8">
        <f>IF(AG936="","",Assumptions!$B$4-AG936)</f>
        <v>32</v>
      </c>
      <c r="AI936" s="5" t="s">
        <v>63</v>
      </c>
      <c r="AJ936" s="8">
        <v>1</v>
      </c>
      <c r="AK936" s="8">
        <v>0</v>
      </c>
      <c r="AL936" s="8">
        <v>695</v>
      </c>
      <c r="AM936" s="8">
        <v>1</v>
      </c>
      <c r="AN936" s="5" t="s">
        <v>57</v>
      </c>
      <c r="AO936" s="10">
        <v>86.6</v>
      </c>
      <c r="AP936" s="8">
        <v>47</v>
      </c>
      <c r="AQ936" s="9"/>
      <c r="AR936" s="5"/>
      <c r="AS936" s="5" t="s">
        <v>159</v>
      </c>
    </row>
    <row r="937" spans="1:45" x14ac:dyDescent="0.35">
      <c r="A937" s="5" t="s">
        <v>4138</v>
      </c>
      <c r="B937" s="5" t="s">
        <v>4139</v>
      </c>
      <c r="C937" s="6" t="s">
        <v>4140</v>
      </c>
      <c r="D937" s="7">
        <v>231100</v>
      </c>
      <c r="E937" s="5" t="s">
        <v>48</v>
      </c>
      <c r="F937" s="5" t="s">
        <v>49</v>
      </c>
      <c r="G937" s="8"/>
      <c r="H937" s="8" t="str">
        <f>IF(F937="Bullet",MIN(G937,Assumptions!$B$6),"")</f>
        <v/>
      </c>
      <c r="I937" s="8">
        <v>1</v>
      </c>
      <c r="J937" s="8">
        <f>IF(F937="Monthly interest",MAX(0,Assumptions!$B$5-I937),"")</f>
        <v>2</v>
      </c>
      <c r="K937" s="7">
        <f t="shared" si="42"/>
        <v>2889</v>
      </c>
      <c r="L937" s="9">
        <v>46282</v>
      </c>
      <c r="M937" s="5" t="s">
        <v>69</v>
      </c>
      <c r="N937" s="5" t="s">
        <v>53</v>
      </c>
      <c r="O937" s="5" t="s">
        <v>132</v>
      </c>
      <c r="P937" s="5" t="s">
        <v>70</v>
      </c>
      <c r="Q937" s="5" t="s">
        <v>54</v>
      </c>
      <c r="R937" s="5" t="s">
        <v>55</v>
      </c>
      <c r="S937" s="5" t="s">
        <v>85</v>
      </c>
      <c r="T937" s="5" t="s">
        <v>57</v>
      </c>
      <c r="U937" s="5" t="s">
        <v>58</v>
      </c>
      <c r="V937" s="5" t="s">
        <v>133</v>
      </c>
      <c r="W937" s="5" t="s">
        <v>317</v>
      </c>
      <c r="X937" s="5" t="s">
        <v>891</v>
      </c>
      <c r="Y937" s="5" t="s">
        <v>4141</v>
      </c>
      <c r="Z937" s="9">
        <v>46220</v>
      </c>
      <c r="AA937" s="8">
        <v>12</v>
      </c>
      <c r="AB937" s="9">
        <f t="shared" si="43"/>
        <v>46585</v>
      </c>
      <c r="AC937" s="10">
        <v>15</v>
      </c>
      <c r="AD937" s="7">
        <f t="shared" si="44"/>
        <v>2889</v>
      </c>
      <c r="AE937" s="7">
        <f>IF(F937="Bullet",H937*AD937,MIN(MAX(I937,1),Assumptions!$B$6)*AD937)</f>
        <v>2889</v>
      </c>
      <c r="AF937" s="8">
        <f>IF(F937="Bullet",MAX(0,Assumptions!$B$4-AB937),MAX(0,Assumptions!$B$4-L937))</f>
        <v>16</v>
      </c>
      <c r="AG937" s="9">
        <v>46252</v>
      </c>
      <c r="AH937" s="8">
        <f>IF(AG937="","",Assumptions!$B$4-AG937)</f>
        <v>46</v>
      </c>
      <c r="AI937" s="5" t="s">
        <v>63</v>
      </c>
      <c r="AJ937" s="8">
        <v>2</v>
      </c>
      <c r="AK937" s="8">
        <v>0</v>
      </c>
      <c r="AL937" s="8">
        <v>668</v>
      </c>
      <c r="AM937" s="8">
        <v>0</v>
      </c>
      <c r="AN937" s="5" t="s">
        <v>63</v>
      </c>
      <c r="AO937" s="10">
        <v>65.7</v>
      </c>
      <c r="AP937" s="8">
        <v>34</v>
      </c>
      <c r="AQ937" s="9">
        <v>46276</v>
      </c>
      <c r="AR937" s="5" t="s">
        <v>51</v>
      </c>
      <c r="AS937" s="5" t="s">
        <v>91</v>
      </c>
    </row>
    <row r="938" spans="1:45" x14ac:dyDescent="0.35">
      <c r="A938" s="5" t="s">
        <v>4142</v>
      </c>
      <c r="B938" s="5" t="s">
        <v>741</v>
      </c>
      <c r="C938" s="6" t="s">
        <v>4143</v>
      </c>
      <c r="D938" s="7">
        <v>15000</v>
      </c>
      <c r="E938" s="5" t="s">
        <v>48</v>
      </c>
      <c r="F938" s="5" t="s">
        <v>49</v>
      </c>
      <c r="G938" s="8"/>
      <c r="H938" s="8" t="str">
        <f>IF(F938="Bullet",MIN(G938,Assumptions!$B$6),"")</f>
        <v/>
      </c>
      <c r="I938" s="8">
        <v>1</v>
      </c>
      <c r="J938" s="8">
        <f>IF(F938="Monthly interest",MAX(0,Assumptions!$B$5-I938),"")</f>
        <v>2</v>
      </c>
      <c r="K938" s="7">
        <f t="shared" si="42"/>
        <v>250</v>
      </c>
      <c r="L938" s="9">
        <v>46298</v>
      </c>
      <c r="M938" s="5" t="s">
        <v>69</v>
      </c>
      <c r="N938" s="5" t="s">
        <v>51</v>
      </c>
      <c r="O938" s="5" t="s">
        <v>152</v>
      </c>
      <c r="P938" s="5" t="s">
        <v>53</v>
      </c>
      <c r="Q938" s="5" t="s">
        <v>154</v>
      </c>
      <c r="R938" s="5" t="s">
        <v>155</v>
      </c>
      <c r="S938" s="5" t="s">
        <v>56</v>
      </c>
      <c r="T938" s="5" t="s">
        <v>57</v>
      </c>
      <c r="U938" s="5" t="s">
        <v>86</v>
      </c>
      <c r="V938" s="5" t="s">
        <v>59</v>
      </c>
      <c r="W938" s="5" t="s">
        <v>467</v>
      </c>
      <c r="X938" s="5" t="s">
        <v>4144</v>
      </c>
      <c r="Y938" s="5" t="s">
        <v>4145</v>
      </c>
      <c r="Z938" s="9">
        <v>46025</v>
      </c>
      <c r="AA938" s="8">
        <v>12</v>
      </c>
      <c r="AB938" s="9">
        <f t="shared" si="43"/>
        <v>46390</v>
      </c>
      <c r="AC938" s="10">
        <v>20</v>
      </c>
      <c r="AD938" s="7">
        <f t="shared" si="44"/>
        <v>250</v>
      </c>
      <c r="AE938" s="7">
        <f>IF(F938="Bullet",H938*AD938,MIN(MAX(I938,1),Assumptions!$B$6)*AD938)</f>
        <v>250</v>
      </c>
      <c r="AF938" s="8">
        <f>IF(F938="Bullet",MAX(0,Assumptions!$B$4-AB938),MAX(0,Assumptions!$B$4-L938))</f>
        <v>0</v>
      </c>
      <c r="AG938" s="9">
        <v>46271</v>
      </c>
      <c r="AH938" s="8">
        <f>IF(AG938="","",Assumptions!$B$4-AG938)</f>
        <v>27</v>
      </c>
      <c r="AI938" s="5" t="s">
        <v>63</v>
      </c>
      <c r="AJ938" s="8">
        <v>1</v>
      </c>
      <c r="AK938" s="8">
        <v>0</v>
      </c>
      <c r="AL938" s="8">
        <v>700</v>
      </c>
      <c r="AM938" s="8">
        <v>0</v>
      </c>
      <c r="AN938" s="5" t="s">
        <v>63</v>
      </c>
      <c r="AO938" s="10">
        <v>86.1</v>
      </c>
      <c r="AP938" s="8">
        <v>36</v>
      </c>
      <c r="AQ938" s="9">
        <v>46292</v>
      </c>
      <c r="AR938" s="5" t="s">
        <v>51</v>
      </c>
      <c r="AS938" s="5" t="s">
        <v>64</v>
      </c>
    </row>
    <row r="939" spans="1:45" x14ac:dyDescent="0.35">
      <c r="A939" s="5" t="s">
        <v>4146</v>
      </c>
      <c r="B939" s="5" t="s">
        <v>150</v>
      </c>
      <c r="C939" s="6" t="s">
        <v>4147</v>
      </c>
      <c r="D939" s="7">
        <v>254300</v>
      </c>
      <c r="E939" s="5" t="s">
        <v>48</v>
      </c>
      <c r="F939" s="5" t="s">
        <v>49</v>
      </c>
      <c r="G939" s="8"/>
      <c r="H939" s="8" t="str">
        <f>IF(F939="Bullet",MIN(G939,Assumptions!$B$6),"")</f>
        <v/>
      </c>
      <c r="I939" s="8">
        <v>1</v>
      </c>
      <c r="J939" s="8">
        <f>IF(F939="Monthly interest",MAX(0,Assumptions!$B$5-I939),"")</f>
        <v>2</v>
      </c>
      <c r="K939" s="7">
        <f t="shared" si="42"/>
        <v>3179</v>
      </c>
      <c r="L939" s="9">
        <v>46282</v>
      </c>
      <c r="M939" s="5" t="s">
        <v>69</v>
      </c>
      <c r="N939" s="5" t="s">
        <v>51</v>
      </c>
      <c r="O939" s="5" t="s">
        <v>52</v>
      </c>
      <c r="P939" s="5" t="s">
        <v>53</v>
      </c>
      <c r="Q939" s="5" t="s">
        <v>54</v>
      </c>
      <c r="R939" s="5" t="s">
        <v>55</v>
      </c>
      <c r="S939" s="5" t="s">
        <v>56</v>
      </c>
      <c r="T939" s="5" t="s">
        <v>57</v>
      </c>
      <c r="U939" s="5" t="s">
        <v>58</v>
      </c>
      <c r="V939" s="5" t="s">
        <v>59</v>
      </c>
      <c r="W939" s="5" t="s">
        <v>323</v>
      </c>
      <c r="X939" s="5" t="s">
        <v>1923</v>
      </c>
      <c r="Y939" s="5" t="s">
        <v>4148</v>
      </c>
      <c r="Z939" s="9">
        <v>46129</v>
      </c>
      <c r="AA939" s="8">
        <v>12</v>
      </c>
      <c r="AB939" s="9">
        <f t="shared" si="43"/>
        <v>46494</v>
      </c>
      <c r="AC939" s="10">
        <v>15</v>
      </c>
      <c r="AD939" s="7">
        <f t="shared" si="44"/>
        <v>3179</v>
      </c>
      <c r="AE939" s="7">
        <f>IF(F939="Bullet",H939*AD939,MIN(MAX(I939,1),Assumptions!$B$6)*AD939)</f>
        <v>3179</v>
      </c>
      <c r="AF939" s="8">
        <f>IF(F939="Bullet",MAX(0,Assumptions!$B$4-AB939),MAX(0,Assumptions!$B$4-L939))</f>
        <v>16</v>
      </c>
      <c r="AG939" s="9">
        <v>46252</v>
      </c>
      <c r="AH939" s="8">
        <f>IF(AG939="","",Assumptions!$B$4-AG939)</f>
        <v>46</v>
      </c>
      <c r="AI939" s="5" t="s">
        <v>63</v>
      </c>
      <c r="AJ939" s="8">
        <v>2</v>
      </c>
      <c r="AK939" s="8">
        <v>0</v>
      </c>
      <c r="AL939" s="8">
        <v>660</v>
      </c>
      <c r="AM939" s="8">
        <v>0</v>
      </c>
      <c r="AN939" s="5" t="s">
        <v>57</v>
      </c>
      <c r="AO939" s="10">
        <v>61.8</v>
      </c>
      <c r="AP939" s="8">
        <v>34</v>
      </c>
      <c r="AQ939" s="9">
        <v>46291</v>
      </c>
      <c r="AR939" s="5" t="s">
        <v>51</v>
      </c>
      <c r="AS939" s="5" t="s">
        <v>64</v>
      </c>
    </row>
    <row r="940" spans="1:45" x14ac:dyDescent="0.35">
      <c r="A940" s="5" t="s">
        <v>4149</v>
      </c>
      <c r="B940" s="5" t="s">
        <v>4150</v>
      </c>
      <c r="C940" s="6" t="s">
        <v>4151</v>
      </c>
      <c r="D940" s="7">
        <v>81000</v>
      </c>
      <c r="E940" s="5" t="s">
        <v>48</v>
      </c>
      <c r="F940" s="5" t="s">
        <v>68</v>
      </c>
      <c r="G940" s="8">
        <v>1</v>
      </c>
      <c r="H940" s="8">
        <f>IF(F940="Bullet",MIN(G940,Assumptions!$B$6),"")</f>
        <v>1</v>
      </c>
      <c r="I940" s="8"/>
      <c r="J940" s="8" t="str">
        <f>IF(F940="Monthly interest",MAX(0,Assumptions!$B$5-I940),"")</f>
        <v/>
      </c>
      <c r="K940" s="7">
        <f t="shared" si="42"/>
        <v>945</v>
      </c>
      <c r="L940" s="9">
        <v>46249</v>
      </c>
      <c r="M940" s="5" t="s">
        <v>50</v>
      </c>
      <c r="N940" s="5" t="s">
        <v>53</v>
      </c>
      <c r="O940" s="5" t="s">
        <v>95</v>
      </c>
      <c r="P940" s="5" t="s">
        <v>70</v>
      </c>
      <c r="Q940" s="5" t="s">
        <v>73</v>
      </c>
      <c r="R940" s="5" t="s">
        <v>74</v>
      </c>
      <c r="S940" s="5" t="s">
        <v>56</v>
      </c>
      <c r="T940" s="5" t="s">
        <v>63</v>
      </c>
      <c r="U940" s="5" t="s">
        <v>58</v>
      </c>
      <c r="V940" s="5" t="s">
        <v>59</v>
      </c>
      <c r="W940" s="5" t="s">
        <v>126</v>
      </c>
      <c r="X940" s="5" t="s">
        <v>127</v>
      </c>
      <c r="Y940" s="5" t="s">
        <v>4152</v>
      </c>
      <c r="Z940" s="9">
        <v>46249</v>
      </c>
      <c r="AA940" s="8">
        <v>6</v>
      </c>
      <c r="AB940" s="9">
        <f t="shared" si="43"/>
        <v>46433</v>
      </c>
      <c r="AC940" s="10">
        <v>14</v>
      </c>
      <c r="AD940" s="7">
        <f t="shared" si="44"/>
        <v>945</v>
      </c>
      <c r="AE940" s="7">
        <f>IF(F940="Bullet",H940*AD940,MIN(MAX(I940,1),Assumptions!$B$6)*AD940)</f>
        <v>945</v>
      </c>
      <c r="AF940" s="8">
        <f>IF(F940="Bullet",MAX(0,Assumptions!$B$4-AB940),MAX(0,Assumptions!$B$4-L940))</f>
        <v>0</v>
      </c>
      <c r="AG940" s="9"/>
      <c r="AH940" s="8" t="str">
        <f>IF(AG940="","",Assumptions!$B$4-AG940)</f>
        <v/>
      </c>
      <c r="AI940" s="5" t="s">
        <v>80</v>
      </c>
      <c r="AJ940" s="8"/>
      <c r="AK940" s="8">
        <v>0</v>
      </c>
      <c r="AL940" s="8">
        <v>678</v>
      </c>
      <c r="AM940" s="8">
        <v>2</v>
      </c>
      <c r="AN940" s="5" t="s">
        <v>63</v>
      </c>
      <c r="AO940" s="10">
        <v>67.7</v>
      </c>
      <c r="AP940" s="8">
        <v>14</v>
      </c>
      <c r="AQ940" s="9">
        <v>46292</v>
      </c>
      <c r="AR940" s="5" t="s">
        <v>53</v>
      </c>
      <c r="AS940" s="5" t="s">
        <v>91</v>
      </c>
    </row>
    <row r="941" spans="1:45" x14ac:dyDescent="0.35">
      <c r="A941" s="5" t="s">
        <v>4153</v>
      </c>
      <c r="B941" s="5" t="s">
        <v>4154</v>
      </c>
      <c r="C941" s="6" t="s">
        <v>4155</v>
      </c>
      <c r="D941" s="7">
        <v>138300</v>
      </c>
      <c r="E941" s="5" t="s">
        <v>48</v>
      </c>
      <c r="F941" s="5" t="s">
        <v>49</v>
      </c>
      <c r="G941" s="8"/>
      <c r="H941" s="8" t="str">
        <f>IF(F941="Bullet",MIN(G941,Assumptions!$B$6),"")</f>
        <v/>
      </c>
      <c r="I941" s="8">
        <v>1</v>
      </c>
      <c r="J941" s="8">
        <f>IF(F941="Monthly interest",MAX(0,Assumptions!$B$5-I941),"")</f>
        <v>2</v>
      </c>
      <c r="K941" s="7">
        <f t="shared" si="42"/>
        <v>1729</v>
      </c>
      <c r="L941" s="9">
        <v>46278</v>
      </c>
      <c r="M941" s="5" t="s">
        <v>69</v>
      </c>
      <c r="N941" s="5" t="s">
        <v>51</v>
      </c>
      <c r="O941" s="5" t="s">
        <v>52</v>
      </c>
      <c r="P941" s="5" t="s">
        <v>53</v>
      </c>
      <c r="Q941" s="5" t="s">
        <v>54</v>
      </c>
      <c r="R941" s="5" t="s">
        <v>55</v>
      </c>
      <c r="S941" s="5" t="s">
        <v>75</v>
      </c>
      <c r="T941" s="5" t="s">
        <v>57</v>
      </c>
      <c r="U941" s="5" t="s">
        <v>104</v>
      </c>
      <c r="V941" s="5" t="s">
        <v>76</v>
      </c>
      <c r="W941" s="5" t="s">
        <v>105</v>
      </c>
      <c r="X941" s="5" t="s">
        <v>565</v>
      </c>
      <c r="Y941" s="5" t="s">
        <v>4156</v>
      </c>
      <c r="Z941" s="9">
        <v>46155</v>
      </c>
      <c r="AA941" s="8">
        <v>18</v>
      </c>
      <c r="AB941" s="9">
        <f t="shared" si="43"/>
        <v>46704</v>
      </c>
      <c r="AC941" s="10">
        <v>15</v>
      </c>
      <c r="AD941" s="7">
        <f t="shared" si="44"/>
        <v>1729</v>
      </c>
      <c r="AE941" s="7">
        <f>IF(F941="Bullet",H941*AD941,MIN(MAX(I941,1),Assumptions!$B$6)*AD941)</f>
        <v>1729</v>
      </c>
      <c r="AF941" s="8">
        <f>IF(F941="Bullet",MAX(0,Assumptions!$B$4-AB941),MAX(0,Assumptions!$B$4-L941))</f>
        <v>20</v>
      </c>
      <c r="AG941" s="9">
        <v>46252</v>
      </c>
      <c r="AH941" s="8">
        <f>IF(AG941="","",Assumptions!$B$4-AG941)</f>
        <v>46</v>
      </c>
      <c r="AI941" s="5" t="s">
        <v>63</v>
      </c>
      <c r="AJ941" s="8">
        <v>1</v>
      </c>
      <c r="AK941" s="8">
        <v>0</v>
      </c>
      <c r="AL941" s="8">
        <v>606</v>
      </c>
      <c r="AM941" s="8">
        <v>2</v>
      </c>
      <c r="AN941" s="5" t="s">
        <v>63</v>
      </c>
      <c r="AO941" s="10">
        <v>70.5</v>
      </c>
      <c r="AP941" s="8">
        <v>36</v>
      </c>
      <c r="AQ941" s="9">
        <v>46274</v>
      </c>
      <c r="AR941" s="5" t="s">
        <v>53</v>
      </c>
      <c r="AS941" s="5" t="s">
        <v>181</v>
      </c>
    </row>
    <row r="942" spans="1:45" x14ac:dyDescent="0.35">
      <c r="A942" s="5" t="s">
        <v>4157</v>
      </c>
      <c r="B942" s="5" t="s">
        <v>1776</v>
      </c>
      <c r="C942" s="6" t="s">
        <v>4158</v>
      </c>
      <c r="D942" s="7">
        <v>32900</v>
      </c>
      <c r="E942" s="5" t="s">
        <v>48</v>
      </c>
      <c r="F942" s="5" t="s">
        <v>68</v>
      </c>
      <c r="G942" s="8">
        <v>3</v>
      </c>
      <c r="H942" s="8">
        <f>IF(F942="Bullet",MIN(G942,Assumptions!$B$6),"")</f>
        <v>2</v>
      </c>
      <c r="I942" s="8"/>
      <c r="J942" s="8" t="str">
        <f>IF(F942="Monthly interest",MAX(0,Assumptions!$B$5-I942),"")</f>
        <v/>
      </c>
      <c r="K942" s="7">
        <f t="shared" si="42"/>
        <v>1317</v>
      </c>
      <c r="L942" s="9">
        <v>46190</v>
      </c>
      <c r="M942" s="5" t="s">
        <v>50</v>
      </c>
      <c r="N942" s="5" t="s">
        <v>53</v>
      </c>
      <c r="O942" s="5" t="s">
        <v>152</v>
      </c>
      <c r="P942" s="5" t="s">
        <v>153</v>
      </c>
      <c r="Q942" s="5" t="s">
        <v>154</v>
      </c>
      <c r="R942" s="5" t="s">
        <v>155</v>
      </c>
      <c r="S942" s="5" t="s">
        <v>214</v>
      </c>
      <c r="T942" s="5" t="s">
        <v>63</v>
      </c>
      <c r="U942" s="5" t="s">
        <v>86</v>
      </c>
      <c r="V942" s="5" t="s">
        <v>215</v>
      </c>
      <c r="W942" s="5" t="s">
        <v>232</v>
      </c>
      <c r="X942" s="5" t="s">
        <v>542</v>
      </c>
      <c r="Y942" s="5" t="s">
        <v>4159</v>
      </c>
      <c r="Z942" s="9">
        <v>46190</v>
      </c>
      <c r="AA942" s="8">
        <v>6</v>
      </c>
      <c r="AB942" s="9">
        <f t="shared" si="43"/>
        <v>46373</v>
      </c>
      <c r="AC942" s="10">
        <v>16</v>
      </c>
      <c r="AD942" s="7">
        <f t="shared" si="44"/>
        <v>439</v>
      </c>
      <c r="AE942" s="7">
        <f>IF(F942="Bullet",H942*AD942,MIN(MAX(I942,1),Assumptions!$B$6)*AD942)</f>
        <v>878</v>
      </c>
      <c r="AF942" s="8">
        <f>IF(F942="Bullet",MAX(0,Assumptions!$B$4-AB942),MAX(0,Assumptions!$B$4-L942))</f>
        <v>0</v>
      </c>
      <c r="AG942" s="9"/>
      <c r="AH942" s="8" t="str">
        <f>IF(AG942="","",Assumptions!$B$4-AG942)</f>
        <v/>
      </c>
      <c r="AI942" s="5" t="s">
        <v>80</v>
      </c>
      <c r="AJ942" s="8"/>
      <c r="AK942" s="8">
        <v>1</v>
      </c>
      <c r="AL942" s="8">
        <v>774</v>
      </c>
      <c r="AM942" s="8">
        <v>2</v>
      </c>
      <c r="AN942" s="5" t="s">
        <v>63</v>
      </c>
      <c r="AO942" s="10">
        <v>61.4</v>
      </c>
      <c r="AP942" s="8">
        <v>15</v>
      </c>
      <c r="AQ942" s="9">
        <v>46286</v>
      </c>
      <c r="AR942" s="5" t="s">
        <v>70</v>
      </c>
      <c r="AS942" s="5" t="s">
        <v>64</v>
      </c>
    </row>
    <row r="943" spans="1:45" x14ac:dyDescent="0.35">
      <c r="A943" s="5" t="s">
        <v>4160</v>
      </c>
      <c r="B943" s="5" t="s">
        <v>558</v>
      </c>
      <c r="C943" s="6" t="s">
        <v>4161</v>
      </c>
      <c r="D943" s="7">
        <v>536600</v>
      </c>
      <c r="E943" s="5" t="s">
        <v>48</v>
      </c>
      <c r="F943" s="5" t="s">
        <v>49</v>
      </c>
      <c r="G943" s="8"/>
      <c r="H943" s="8" t="str">
        <f>IF(F943="Bullet",MIN(G943,Assumptions!$B$6),"")</f>
        <v/>
      </c>
      <c r="I943" s="8">
        <v>2</v>
      </c>
      <c r="J943" s="8">
        <f>IF(F943="Monthly interest",MAX(0,Assumptions!$B$5-I943),"")</f>
        <v>1</v>
      </c>
      <c r="K943" s="7">
        <f t="shared" si="42"/>
        <v>21464</v>
      </c>
      <c r="L943" s="9">
        <v>46242</v>
      </c>
      <c r="M943" s="5" t="s">
        <v>69</v>
      </c>
      <c r="N943" s="5" t="s">
        <v>70</v>
      </c>
      <c r="O943" s="5" t="s">
        <v>71</v>
      </c>
      <c r="P943" s="5" t="s">
        <v>72</v>
      </c>
      <c r="Q943" s="5" t="s">
        <v>73</v>
      </c>
      <c r="R943" s="5" t="s">
        <v>74</v>
      </c>
      <c r="S943" s="5" t="s">
        <v>185</v>
      </c>
      <c r="T943" s="5" t="s">
        <v>63</v>
      </c>
      <c r="U943" s="5" t="s">
        <v>86</v>
      </c>
      <c r="V943" s="5" t="s">
        <v>186</v>
      </c>
      <c r="W943" s="5" t="s">
        <v>694</v>
      </c>
      <c r="X943" s="5" t="s">
        <v>1342</v>
      </c>
      <c r="Y943" s="5" t="s">
        <v>4162</v>
      </c>
      <c r="Z943" s="9">
        <v>46150</v>
      </c>
      <c r="AA943" s="8">
        <v>12</v>
      </c>
      <c r="AB943" s="9">
        <f t="shared" si="43"/>
        <v>46515</v>
      </c>
      <c r="AC943" s="10">
        <v>24</v>
      </c>
      <c r="AD943" s="7">
        <f t="shared" si="44"/>
        <v>10732</v>
      </c>
      <c r="AE943" s="7">
        <f>IF(F943="Bullet",H943*AD943,MIN(MAX(I943,1),Assumptions!$B$6)*AD943)</f>
        <v>21464</v>
      </c>
      <c r="AF943" s="8">
        <f>IF(F943="Bullet",MAX(0,Assumptions!$B$4-AB943),MAX(0,Assumptions!$B$4-L943))</f>
        <v>56</v>
      </c>
      <c r="AG943" s="9">
        <v>46216</v>
      </c>
      <c r="AH943" s="8">
        <f>IF(AG943="","",Assumptions!$B$4-AG943)</f>
        <v>82</v>
      </c>
      <c r="AI943" s="5" t="s">
        <v>63</v>
      </c>
      <c r="AJ943" s="8">
        <v>2</v>
      </c>
      <c r="AK943" s="8">
        <v>0</v>
      </c>
      <c r="AL943" s="8">
        <v>692</v>
      </c>
      <c r="AM943" s="8">
        <v>1</v>
      </c>
      <c r="AN943" s="5" t="s">
        <v>63</v>
      </c>
      <c r="AO943" s="10">
        <v>67.7</v>
      </c>
      <c r="AP943" s="8">
        <v>39</v>
      </c>
      <c r="AQ943" s="9">
        <v>46294</v>
      </c>
      <c r="AR943" s="5" t="s">
        <v>51</v>
      </c>
      <c r="AS943" s="5" t="s">
        <v>81</v>
      </c>
    </row>
    <row r="944" spans="1:45" x14ac:dyDescent="0.35">
      <c r="A944" s="5" t="s">
        <v>4163</v>
      </c>
      <c r="B944" s="5" t="s">
        <v>4164</v>
      </c>
      <c r="C944" s="6" t="s">
        <v>4165</v>
      </c>
      <c r="D944" s="7">
        <v>118400</v>
      </c>
      <c r="E944" s="5" t="s">
        <v>48</v>
      </c>
      <c r="F944" s="5" t="s">
        <v>68</v>
      </c>
      <c r="G944" s="8">
        <v>2</v>
      </c>
      <c r="H944" s="8">
        <f>IF(F944="Bullet",MIN(G944,Assumptions!$B$6),"")</f>
        <v>2</v>
      </c>
      <c r="I944" s="8"/>
      <c r="J944" s="8" t="str">
        <f>IF(F944="Monthly interest",MAX(0,Assumptions!$B$5-I944),"")</f>
        <v/>
      </c>
      <c r="K944" s="7">
        <f t="shared" si="42"/>
        <v>3158</v>
      </c>
      <c r="L944" s="9">
        <v>46214</v>
      </c>
      <c r="M944" s="5" t="s">
        <v>50</v>
      </c>
      <c r="N944" s="5" t="s">
        <v>53</v>
      </c>
      <c r="O944" s="5" t="s">
        <v>103</v>
      </c>
      <c r="P944" s="5" t="s">
        <v>51</v>
      </c>
      <c r="Q944" s="5" t="s">
        <v>73</v>
      </c>
      <c r="R944" s="5" t="s">
        <v>74</v>
      </c>
      <c r="S944" s="5" t="s">
        <v>85</v>
      </c>
      <c r="T944" s="5" t="s">
        <v>57</v>
      </c>
      <c r="U944" s="5" t="s">
        <v>58</v>
      </c>
      <c r="V944" s="5" t="s">
        <v>96</v>
      </c>
      <c r="W944" s="5" t="s">
        <v>97</v>
      </c>
      <c r="X944" s="5" t="s">
        <v>4166</v>
      </c>
      <c r="Y944" s="5" t="s">
        <v>4167</v>
      </c>
      <c r="Z944" s="9">
        <v>46214</v>
      </c>
      <c r="AA944" s="8">
        <v>12</v>
      </c>
      <c r="AB944" s="9">
        <f t="shared" si="43"/>
        <v>46579</v>
      </c>
      <c r="AC944" s="10">
        <v>16</v>
      </c>
      <c r="AD944" s="7">
        <f t="shared" si="44"/>
        <v>1579</v>
      </c>
      <c r="AE944" s="7">
        <f>IF(F944="Bullet",H944*AD944,MIN(MAX(I944,1),Assumptions!$B$6)*AD944)</f>
        <v>3158</v>
      </c>
      <c r="AF944" s="8">
        <f>IF(F944="Bullet",MAX(0,Assumptions!$B$4-AB944),MAX(0,Assumptions!$B$4-L944))</f>
        <v>0</v>
      </c>
      <c r="AG944" s="9"/>
      <c r="AH944" s="8" t="str">
        <f>IF(AG944="","",Assumptions!$B$4-AG944)</f>
        <v/>
      </c>
      <c r="AI944" s="5" t="s">
        <v>80</v>
      </c>
      <c r="AJ944" s="8"/>
      <c r="AK944" s="8">
        <v>1</v>
      </c>
      <c r="AL944" s="8">
        <v>677</v>
      </c>
      <c r="AM944" s="8">
        <v>0</v>
      </c>
      <c r="AN944" s="5" t="s">
        <v>57</v>
      </c>
      <c r="AO944" s="10">
        <v>69.900000000000006</v>
      </c>
      <c r="AP944" s="8">
        <v>26</v>
      </c>
      <c r="AQ944" s="9">
        <v>46287</v>
      </c>
      <c r="AR944" s="5" t="s">
        <v>51</v>
      </c>
      <c r="AS944" s="5" t="s">
        <v>81</v>
      </c>
    </row>
    <row r="945" spans="1:45" x14ac:dyDescent="0.35">
      <c r="A945" s="5" t="s">
        <v>4168</v>
      </c>
      <c r="B945" s="5" t="s">
        <v>4169</v>
      </c>
      <c r="C945" s="6" t="s">
        <v>4170</v>
      </c>
      <c r="D945" s="7">
        <v>139200</v>
      </c>
      <c r="E945" s="5" t="s">
        <v>48</v>
      </c>
      <c r="F945" s="5" t="s">
        <v>49</v>
      </c>
      <c r="G945" s="8"/>
      <c r="H945" s="8" t="str">
        <f>IF(F945="Bullet",MIN(G945,Assumptions!$B$6),"")</f>
        <v/>
      </c>
      <c r="I945" s="8">
        <v>2</v>
      </c>
      <c r="J945" s="8">
        <f>IF(F945="Monthly interest",MAX(0,Assumptions!$B$5-I945),"")</f>
        <v>1</v>
      </c>
      <c r="K945" s="7">
        <f t="shared" si="42"/>
        <v>3480</v>
      </c>
      <c r="L945" s="9">
        <v>46239</v>
      </c>
      <c r="M945" s="5" t="s">
        <v>69</v>
      </c>
      <c r="N945" s="5" t="s">
        <v>53</v>
      </c>
      <c r="O945" s="5" t="s">
        <v>71</v>
      </c>
      <c r="P945" s="5" t="s">
        <v>70</v>
      </c>
      <c r="Q945" s="5" t="s">
        <v>73</v>
      </c>
      <c r="R945" s="5" t="s">
        <v>74</v>
      </c>
      <c r="S945" s="5" t="s">
        <v>85</v>
      </c>
      <c r="T945" s="5" t="s">
        <v>57</v>
      </c>
      <c r="U945" s="5" t="s">
        <v>58</v>
      </c>
      <c r="V945" s="5" t="s">
        <v>177</v>
      </c>
      <c r="W945" s="5" t="s">
        <v>345</v>
      </c>
      <c r="X945" s="5" t="s">
        <v>456</v>
      </c>
      <c r="Y945" s="5" t="s">
        <v>4171</v>
      </c>
      <c r="Z945" s="9">
        <v>46027</v>
      </c>
      <c r="AA945" s="8">
        <v>24</v>
      </c>
      <c r="AB945" s="9">
        <f t="shared" si="43"/>
        <v>46757</v>
      </c>
      <c r="AC945" s="10">
        <v>15</v>
      </c>
      <c r="AD945" s="7">
        <f t="shared" si="44"/>
        <v>1740</v>
      </c>
      <c r="AE945" s="7">
        <f>IF(F945="Bullet",H945*AD945,MIN(MAX(I945,1),Assumptions!$B$6)*AD945)</f>
        <v>3480</v>
      </c>
      <c r="AF945" s="8">
        <f>IF(F945="Bullet",MAX(0,Assumptions!$B$4-AB945),MAX(0,Assumptions!$B$4-L945))</f>
        <v>59</v>
      </c>
      <c r="AG945" s="9">
        <v>46212</v>
      </c>
      <c r="AH945" s="8">
        <f>IF(AG945="","",Assumptions!$B$4-AG945)</f>
        <v>86</v>
      </c>
      <c r="AI945" s="5" t="s">
        <v>63</v>
      </c>
      <c r="AJ945" s="8">
        <v>3</v>
      </c>
      <c r="AK945" s="8">
        <v>1</v>
      </c>
      <c r="AL945" s="8">
        <v>783</v>
      </c>
      <c r="AM945" s="8">
        <v>3</v>
      </c>
      <c r="AN945" s="5" t="s">
        <v>63</v>
      </c>
      <c r="AO945" s="10">
        <v>75.3</v>
      </c>
      <c r="AP945" s="8">
        <v>41</v>
      </c>
      <c r="AQ945" s="9">
        <v>46288</v>
      </c>
      <c r="AR945" s="5" t="s">
        <v>70</v>
      </c>
      <c r="AS945" s="5" t="s">
        <v>64</v>
      </c>
    </row>
    <row r="946" spans="1:45" x14ac:dyDescent="0.35">
      <c r="A946" s="5" t="s">
        <v>4172</v>
      </c>
      <c r="B946" s="5" t="s">
        <v>950</v>
      </c>
      <c r="C946" s="6" t="s">
        <v>4173</v>
      </c>
      <c r="D946" s="7">
        <v>170500</v>
      </c>
      <c r="E946" s="5" t="s">
        <v>48</v>
      </c>
      <c r="F946" s="5" t="s">
        <v>49</v>
      </c>
      <c r="G946" s="8"/>
      <c r="H946" s="8" t="str">
        <f>IF(F946="Bullet",MIN(G946,Assumptions!$B$6),"")</f>
        <v/>
      </c>
      <c r="I946" s="8">
        <v>1</v>
      </c>
      <c r="J946" s="8">
        <f>IF(F946="Monthly interest",MAX(0,Assumptions!$B$5-I946),"")</f>
        <v>2</v>
      </c>
      <c r="K946" s="7">
        <f t="shared" si="42"/>
        <v>1989</v>
      </c>
      <c r="L946" s="9">
        <v>46278</v>
      </c>
      <c r="M946" s="5" t="s">
        <v>50</v>
      </c>
      <c r="N946" s="5" t="s">
        <v>51</v>
      </c>
      <c r="O946" s="5" t="s">
        <v>52</v>
      </c>
      <c r="P946" s="5" t="s">
        <v>53</v>
      </c>
      <c r="Q946" s="5" t="s">
        <v>54</v>
      </c>
      <c r="R946" s="5" t="s">
        <v>55</v>
      </c>
      <c r="S946" s="5" t="s">
        <v>185</v>
      </c>
      <c r="T946" s="5" t="s">
        <v>57</v>
      </c>
      <c r="U946" s="5" t="s">
        <v>86</v>
      </c>
      <c r="V946" s="5" t="s">
        <v>200</v>
      </c>
      <c r="W946" s="5" t="s">
        <v>767</v>
      </c>
      <c r="X946" s="5" t="s">
        <v>997</v>
      </c>
      <c r="Y946" s="5" t="s">
        <v>4174</v>
      </c>
      <c r="Z946" s="9">
        <v>46155</v>
      </c>
      <c r="AA946" s="8">
        <v>12</v>
      </c>
      <c r="AB946" s="9">
        <f t="shared" si="43"/>
        <v>46520</v>
      </c>
      <c r="AC946" s="10">
        <v>14</v>
      </c>
      <c r="AD946" s="7">
        <f t="shared" si="44"/>
        <v>1989</v>
      </c>
      <c r="AE946" s="7">
        <f>IF(F946="Bullet",H946*AD946,MIN(MAX(I946,1),Assumptions!$B$6)*AD946)</f>
        <v>1989</v>
      </c>
      <c r="AF946" s="8">
        <f>IF(F946="Bullet",MAX(0,Assumptions!$B$4-AB946),MAX(0,Assumptions!$B$4-L946))</f>
        <v>20</v>
      </c>
      <c r="AG946" s="9">
        <v>46249</v>
      </c>
      <c r="AH946" s="8">
        <f>IF(AG946="","",Assumptions!$B$4-AG946)</f>
        <v>49</v>
      </c>
      <c r="AI946" s="5" t="s">
        <v>57</v>
      </c>
      <c r="AJ946" s="8">
        <v>1</v>
      </c>
      <c r="AK946" s="8">
        <v>0</v>
      </c>
      <c r="AL946" s="8">
        <v>900</v>
      </c>
      <c r="AM946" s="8">
        <v>2</v>
      </c>
      <c r="AN946" s="5" t="s">
        <v>63</v>
      </c>
      <c r="AO946" s="10">
        <v>63.5</v>
      </c>
      <c r="AP946" s="8">
        <v>8</v>
      </c>
      <c r="AQ946" s="9">
        <v>46286</v>
      </c>
      <c r="AR946" s="5" t="s">
        <v>51</v>
      </c>
      <c r="AS946" s="5" t="s">
        <v>64</v>
      </c>
    </row>
    <row r="947" spans="1:45" x14ac:dyDescent="0.35">
      <c r="A947" s="5" t="s">
        <v>4175</v>
      </c>
      <c r="B947" s="5" t="s">
        <v>4176</v>
      </c>
      <c r="C947" s="6" t="s">
        <v>4177</v>
      </c>
      <c r="D947" s="7">
        <v>109800</v>
      </c>
      <c r="E947" s="5" t="s">
        <v>48</v>
      </c>
      <c r="F947" s="5" t="s">
        <v>49</v>
      </c>
      <c r="G947" s="8"/>
      <c r="H947" s="8" t="str">
        <f>IF(F947="Bullet",MIN(G947,Assumptions!$B$6),"")</f>
        <v/>
      </c>
      <c r="I947" s="8">
        <v>1</v>
      </c>
      <c r="J947" s="8">
        <f>IF(F947="Monthly interest",MAX(0,Assumptions!$B$5-I947),"")</f>
        <v>2</v>
      </c>
      <c r="K947" s="7">
        <f t="shared" si="42"/>
        <v>1647</v>
      </c>
      <c r="L947" s="9">
        <v>46290</v>
      </c>
      <c r="M947" s="5" t="s">
        <v>69</v>
      </c>
      <c r="N947" s="5" t="s">
        <v>51</v>
      </c>
      <c r="O947" s="5" t="s">
        <v>52</v>
      </c>
      <c r="P947" s="5" t="s">
        <v>53</v>
      </c>
      <c r="Q947" s="5" t="s">
        <v>54</v>
      </c>
      <c r="R947" s="5" t="s">
        <v>55</v>
      </c>
      <c r="S947" s="5" t="s">
        <v>56</v>
      </c>
      <c r="T947" s="5" t="s">
        <v>57</v>
      </c>
      <c r="U947" s="5" t="s">
        <v>86</v>
      </c>
      <c r="V947" s="5" t="s">
        <v>59</v>
      </c>
      <c r="W947" s="5" t="s">
        <v>323</v>
      </c>
      <c r="X947" s="5" t="s">
        <v>651</v>
      </c>
      <c r="Y947" s="5" t="s">
        <v>4178</v>
      </c>
      <c r="Z947" s="9">
        <v>46228</v>
      </c>
      <c r="AA947" s="8">
        <v>18</v>
      </c>
      <c r="AB947" s="9">
        <f t="shared" si="43"/>
        <v>46777</v>
      </c>
      <c r="AC947" s="10">
        <v>18</v>
      </c>
      <c r="AD947" s="7">
        <f t="shared" si="44"/>
        <v>1647</v>
      </c>
      <c r="AE947" s="7">
        <f>IF(F947="Bullet",H947*AD947,MIN(MAX(I947,1),Assumptions!$B$6)*AD947)</f>
        <v>1647</v>
      </c>
      <c r="AF947" s="8">
        <f>IF(F947="Bullet",MAX(0,Assumptions!$B$4-AB947),MAX(0,Assumptions!$B$4-L947))</f>
        <v>8</v>
      </c>
      <c r="AG947" s="9">
        <v>46262</v>
      </c>
      <c r="AH947" s="8">
        <f>IF(AG947="","",Assumptions!$B$4-AG947)</f>
        <v>36</v>
      </c>
      <c r="AI947" s="5" t="s">
        <v>63</v>
      </c>
      <c r="AJ947" s="8">
        <v>1</v>
      </c>
      <c r="AK947" s="8">
        <v>0</v>
      </c>
      <c r="AL947" s="8">
        <v>581</v>
      </c>
      <c r="AM947" s="8">
        <v>0</v>
      </c>
      <c r="AN947" s="5" t="s">
        <v>63</v>
      </c>
      <c r="AO947" s="10">
        <v>52.6</v>
      </c>
      <c r="AP947" s="8">
        <v>38</v>
      </c>
      <c r="AQ947" s="9">
        <v>46284</v>
      </c>
      <c r="AR947" s="5" t="s">
        <v>53</v>
      </c>
      <c r="AS947" s="5" t="s">
        <v>190</v>
      </c>
    </row>
    <row r="948" spans="1:45" x14ac:dyDescent="0.35">
      <c r="A948" s="5" t="s">
        <v>4179</v>
      </c>
      <c r="B948" s="5" t="s">
        <v>130</v>
      </c>
      <c r="C948" s="6" t="s">
        <v>4180</v>
      </c>
      <c r="D948" s="7">
        <v>209300</v>
      </c>
      <c r="E948" s="5" t="s">
        <v>48</v>
      </c>
      <c r="F948" s="5" t="s">
        <v>68</v>
      </c>
      <c r="G948" s="8">
        <v>3</v>
      </c>
      <c r="H948" s="8">
        <f>IF(F948="Bullet",MIN(G948,Assumptions!$B$6),"")</f>
        <v>2</v>
      </c>
      <c r="I948" s="8"/>
      <c r="J948" s="8" t="str">
        <f>IF(F948="Monthly interest",MAX(0,Assumptions!$B$5-I948),"")</f>
        <v/>
      </c>
      <c r="K948" s="7">
        <f t="shared" si="42"/>
        <v>7326</v>
      </c>
      <c r="L948" s="9">
        <v>46205</v>
      </c>
      <c r="M948" s="5" t="s">
        <v>50</v>
      </c>
      <c r="N948" s="5" t="s">
        <v>53</v>
      </c>
      <c r="O948" s="5" t="s">
        <v>71</v>
      </c>
      <c r="P948" s="5" t="s">
        <v>51</v>
      </c>
      <c r="Q948" s="5" t="s">
        <v>73</v>
      </c>
      <c r="R948" s="5" t="s">
        <v>74</v>
      </c>
      <c r="S948" s="5" t="s">
        <v>85</v>
      </c>
      <c r="T948" s="5" t="s">
        <v>57</v>
      </c>
      <c r="U948" s="5" t="s">
        <v>86</v>
      </c>
      <c r="V948" s="5" t="s">
        <v>133</v>
      </c>
      <c r="W948" s="5" t="s">
        <v>134</v>
      </c>
      <c r="X948" s="5" t="s">
        <v>1854</v>
      </c>
      <c r="Y948" s="5" t="s">
        <v>4181</v>
      </c>
      <c r="Z948" s="9">
        <v>46205</v>
      </c>
      <c r="AA948" s="8">
        <v>12</v>
      </c>
      <c r="AB948" s="9">
        <f t="shared" si="43"/>
        <v>46570</v>
      </c>
      <c r="AC948" s="10">
        <v>14</v>
      </c>
      <c r="AD948" s="7">
        <f t="shared" si="44"/>
        <v>2442</v>
      </c>
      <c r="AE948" s="7">
        <f>IF(F948="Bullet",H948*AD948,MIN(MAX(I948,1),Assumptions!$B$6)*AD948)</f>
        <v>4884</v>
      </c>
      <c r="AF948" s="8">
        <f>IF(F948="Bullet",MAX(0,Assumptions!$B$4-AB948),MAX(0,Assumptions!$B$4-L948))</f>
        <v>0</v>
      </c>
      <c r="AG948" s="9"/>
      <c r="AH948" s="8" t="str">
        <f>IF(AG948="","",Assumptions!$B$4-AG948)</f>
        <v/>
      </c>
      <c r="AI948" s="5" t="s">
        <v>80</v>
      </c>
      <c r="AJ948" s="8"/>
      <c r="AK948" s="8">
        <v>0</v>
      </c>
      <c r="AL948" s="8">
        <v>702</v>
      </c>
      <c r="AM948" s="8">
        <v>0</v>
      </c>
      <c r="AN948" s="5" t="s">
        <v>63</v>
      </c>
      <c r="AO948" s="10">
        <v>74.099999999999994</v>
      </c>
      <c r="AP948" s="8">
        <v>21</v>
      </c>
      <c r="AQ948" s="9">
        <v>46293</v>
      </c>
      <c r="AR948" s="5" t="s">
        <v>51</v>
      </c>
      <c r="AS948" s="5" t="s">
        <v>64</v>
      </c>
    </row>
    <row r="949" spans="1:45" x14ac:dyDescent="0.35">
      <c r="A949" s="5" t="s">
        <v>4182</v>
      </c>
      <c r="B949" s="5" t="s">
        <v>4183</v>
      </c>
      <c r="C949" s="6" t="s">
        <v>4184</v>
      </c>
      <c r="D949" s="7">
        <v>15000</v>
      </c>
      <c r="E949" s="5" t="s">
        <v>48</v>
      </c>
      <c r="F949" s="5" t="s">
        <v>68</v>
      </c>
      <c r="G949" s="8">
        <v>4</v>
      </c>
      <c r="H949" s="8">
        <f>IF(F949="Bullet",MIN(G949,Assumptions!$B$6),"")</f>
        <v>2</v>
      </c>
      <c r="I949" s="8"/>
      <c r="J949" s="8" t="str">
        <f>IF(F949="Monthly interest",MAX(0,Assumptions!$B$5-I949),"")</f>
        <v/>
      </c>
      <c r="K949" s="7">
        <f t="shared" si="42"/>
        <v>600</v>
      </c>
      <c r="L949" s="9">
        <v>46153</v>
      </c>
      <c r="M949" s="5" t="s">
        <v>50</v>
      </c>
      <c r="N949" s="5" t="s">
        <v>53</v>
      </c>
      <c r="O949" s="5" t="s">
        <v>152</v>
      </c>
      <c r="P949" s="5" t="s">
        <v>153</v>
      </c>
      <c r="Q949" s="5" t="s">
        <v>154</v>
      </c>
      <c r="R949" s="5" t="s">
        <v>155</v>
      </c>
      <c r="S949" s="5" t="s">
        <v>185</v>
      </c>
      <c r="T949" s="5" t="s">
        <v>57</v>
      </c>
      <c r="U949" s="5" t="s">
        <v>86</v>
      </c>
      <c r="V949" s="5" t="s">
        <v>186</v>
      </c>
      <c r="W949" s="5" t="s">
        <v>376</v>
      </c>
      <c r="X949" s="5" t="s">
        <v>3839</v>
      </c>
      <c r="Y949" s="5" t="s">
        <v>4185</v>
      </c>
      <c r="Z949" s="9">
        <v>46153</v>
      </c>
      <c r="AA949" s="8">
        <v>12</v>
      </c>
      <c r="AB949" s="9">
        <f t="shared" si="43"/>
        <v>46518</v>
      </c>
      <c r="AC949" s="10">
        <v>12</v>
      </c>
      <c r="AD949" s="7">
        <f t="shared" si="44"/>
        <v>150</v>
      </c>
      <c r="AE949" s="7">
        <f>IF(F949="Bullet",H949*AD949,MIN(MAX(I949,1),Assumptions!$B$6)*AD949)</f>
        <v>300</v>
      </c>
      <c r="AF949" s="8">
        <f>IF(F949="Bullet",MAX(0,Assumptions!$B$4-AB949),MAX(0,Assumptions!$B$4-L949))</f>
        <v>0</v>
      </c>
      <c r="AG949" s="9"/>
      <c r="AH949" s="8" t="str">
        <f>IF(AG949="","",Assumptions!$B$4-AG949)</f>
        <v/>
      </c>
      <c r="AI949" s="5" t="s">
        <v>80</v>
      </c>
      <c r="AJ949" s="8"/>
      <c r="AK949" s="8">
        <v>0</v>
      </c>
      <c r="AL949" s="8">
        <v>709</v>
      </c>
      <c r="AM949" s="8">
        <v>2</v>
      </c>
      <c r="AN949" s="5" t="s">
        <v>63</v>
      </c>
      <c r="AO949" s="10">
        <v>69.5</v>
      </c>
      <c r="AP949" s="8">
        <v>24</v>
      </c>
      <c r="AQ949" s="9">
        <v>46294</v>
      </c>
      <c r="AR949" s="5" t="s">
        <v>70</v>
      </c>
      <c r="AS949" s="5" t="s">
        <v>64</v>
      </c>
    </row>
    <row r="950" spans="1:45" x14ac:dyDescent="0.35">
      <c r="A950" s="5" t="s">
        <v>4186</v>
      </c>
      <c r="B950" s="5" t="s">
        <v>3867</v>
      </c>
      <c r="C950" s="6" t="s">
        <v>4187</v>
      </c>
      <c r="D950" s="7">
        <v>392000</v>
      </c>
      <c r="E950" s="5" t="s">
        <v>48</v>
      </c>
      <c r="F950" s="5" t="s">
        <v>68</v>
      </c>
      <c r="G950" s="8">
        <v>1</v>
      </c>
      <c r="H950" s="8">
        <f>IF(F950="Bullet",MIN(G950,Assumptions!$B$6),"")</f>
        <v>1</v>
      </c>
      <c r="I950" s="8"/>
      <c r="J950" s="8" t="str">
        <f>IF(F950="Monthly interest",MAX(0,Assumptions!$B$5-I950),"")</f>
        <v/>
      </c>
      <c r="K950" s="7">
        <f t="shared" si="42"/>
        <v>4573</v>
      </c>
      <c r="L950" s="9">
        <v>46265</v>
      </c>
      <c r="M950" s="5" t="s">
        <v>50</v>
      </c>
      <c r="N950" s="5" t="s">
        <v>53</v>
      </c>
      <c r="O950" s="5" t="s">
        <v>103</v>
      </c>
      <c r="P950" s="5" t="s">
        <v>51</v>
      </c>
      <c r="Q950" s="5" t="s">
        <v>73</v>
      </c>
      <c r="R950" s="5" t="s">
        <v>74</v>
      </c>
      <c r="S950" s="5" t="s">
        <v>185</v>
      </c>
      <c r="T950" s="5" t="s">
        <v>57</v>
      </c>
      <c r="U950" s="5" t="s">
        <v>104</v>
      </c>
      <c r="V950" s="5" t="s">
        <v>200</v>
      </c>
      <c r="W950" s="5" t="s">
        <v>767</v>
      </c>
      <c r="X950" s="5" t="s">
        <v>768</v>
      </c>
      <c r="Y950" s="5" t="s">
        <v>4188</v>
      </c>
      <c r="Z950" s="9">
        <v>46265</v>
      </c>
      <c r="AA950" s="8">
        <v>12</v>
      </c>
      <c r="AB950" s="9">
        <f t="shared" si="43"/>
        <v>46630</v>
      </c>
      <c r="AC950" s="10">
        <v>14</v>
      </c>
      <c r="AD950" s="7">
        <f t="shared" si="44"/>
        <v>4573</v>
      </c>
      <c r="AE950" s="7">
        <f>IF(F950="Bullet",H950*AD950,MIN(MAX(I950,1),Assumptions!$B$6)*AD950)</f>
        <v>4573</v>
      </c>
      <c r="AF950" s="8">
        <f>IF(F950="Bullet",MAX(0,Assumptions!$B$4-AB950),MAX(0,Assumptions!$B$4-L950))</f>
        <v>0</v>
      </c>
      <c r="AG950" s="9"/>
      <c r="AH950" s="8" t="str">
        <f>IF(AG950="","",Assumptions!$B$4-AG950)</f>
        <v/>
      </c>
      <c r="AI950" s="5" t="s">
        <v>80</v>
      </c>
      <c r="AJ950" s="8"/>
      <c r="AK950" s="8">
        <v>1</v>
      </c>
      <c r="AL950" s="8">
        <v>792</v>
      </c>
      <c r="AM950" s="8">
        <v>0</v>
      </c>
      <c r="AN950" s="5" t="s">
        <v>63</v>
      </c>
      <c r="AO950" s="10">
        <v>72.5</v>
      </c>
      <c r="AP950" s="8">
        <v>6</v>
      </c>
      <c r="AQ950" s="9">
        <v>46282</v>
      </c>
      <c r="AR950" s="5" t="s">
        <v>51</v>
      </c>
      <c r="AS950" s="5" t="s">
        <v>81</v>
      </c>
    </row>
    <row r="951" spans="1:45" x14ac:dyDescent="0.35">
      <c r="A951" s="5" t="s">
        <v>4189</v>
      </c>
      <c r="B951" s="5" t="s">
        <v>4190</v>
      </c>
      <c r="C951" s="6" t="s">
        <v>4191</v>
      </c>
      <c r="D951" s="7">
        <v>28200</v>
      </c>
      <c r="E951" s="5" t="s">
        <v>48</v>
      </c>
      <c r="F951" s="5" t="s">
        <v>68</v>
      </c>
      <c r="G951" s="8">
        <v>4</v>
      </c>
      <c r="H951" s="8">
        <f>IF(F951="Bullet",MIN(G951,Assumptions!$B$6),"")</f>
        <v>2</v>
      </c>
      <c r="I951" s="8"/>
      <c r="J951" s="8" t="str">
        <f>IF(F951="Monthly interest",MAX(0,Assumptions!$B$5-I951),"")</f>
        <v/>
      </c>
      <c r="K951" s="7">
        <f t="shared" si="42"/>
        <v>1692</v>
      </c>
      <c r="L951" s="9">
        <v>46161</v>
      </c>
      <c r="M951" s="5" t="s">
        <v>69</v>
      </c>
      <c r="N951" s="5" t="s">
        <v>53</v>
      </c>
      <c r="O951" s="5" t="s">
        <v>152</v>
      </c>
      <c r="P951" s="5" t="s">
        <v>153</v>
      </c>
      <c r="Q951" s="5" t="s">
        <v>154</v>
      </c>
      <c r="R951" s="5" t="s">
        <v>155</v>
      </c>
      <c r="S951" s="5" t="s">
        <v>56</v>
      </c>
      <c r="T951" s="5" t="s">
        <v>57</v>
      </c>
      <c r="U951" s="5" t="s">
        <v>58</v>
      </c>
      <c r="V951" s="5" t="s">
        <v>59</v>
      </c>
      <c r="W951" s="5" t="s">
        <v>156</v>
      </c>
      <c r="X951" s="5" t="s">
        <v>670</v>
      </c>
      <c r="Y951" s="5" t="s">
        <v>4192</v>
      </c>
      <c r="Z951" s="9">
        <v>46161</v>
      </c>
      <c r="AA951" s="8">
        <v>6</v>
      </c>
      <c r="AB951" s="9">
        <f t="shared" si="43"/>
        <v>46345</v>
      </c>
      <c r="AC951" s="10">
        <v>18</v>
      </c>
      <c r="AD951" s="7">
        <f t="shared" si="44"/>
        <v>423</v>
      </c>
      <c r="AE951" s="7">
        <f>IF(F951="Bullet",H951*AD951,MIN(MAX(I951,1),Assumptions!$B$6)*AD951)</f>
        <v>846</v>
      </c>
      <c r="AF951" s="8">
        <f>IF(F951="Bullet",MAX(0,Assumptions!$B$4-AB951),MAX(0,Assumptions!$B$4-L951))</f>
        <v>0</v>
      </c>
      <c r="AG951" s="9"/>
      <c r="AH951" s="8" t="str">
        <f>IF(AG951="","",Assumptions!$B$4-AG951)</f>
        <v/>
      </c>
      <c r="AI951" s="5" t="s">
        <v>80</v>
      </c>
      <c r="AJ951" s="8"/>
      <c r="AK951" s="8">
        <v>1</v>
      </c>
      <c r="AL951" s="8">
        <v>706</v>
      </c>
      <c r="AM951" s="8">
        <v>1</v>
      </c>
      <c r="AN951" s="5" t="s">
        <v>63</v>
      </c>
      <c r="AO951" s="10">
        <v>81.8</v>
      </c>
      <c r="AP951" s="8">
        <v>36</v>
      </c>
      <c r="AQ951" s="9">
        <v>46273</v>
      </c>
      <c r="AR951" s="5" t="s">
        <v>72</v>
      </c>
      <c r="AS951" s="5" t="s">
        <v>91</v>
      </c>
    </row>
    <row r="952" spans="1:45" x14ac:dyDescent="0.35">
      <c r="A952" s="5" t="s">
        <v>4193</v>
      </c>
      <c r="B952" s="5" t="s">
        <v>3224</v>
      </c>
      <c r="C952" s="6" t="s">
        <v>4194</v>
      </c>
      <c r="D952" s="7">
        <v>72800</v>
      </c>
      <c r="E952" s="5" t="s">
        <v>48</v>
      </c>
      <c r="F952" s="5" t="s">
        <v>49</v>
      </c>
      <c r="G952" s="8"/>
      <c r="H952" s="8" t="str">
        <f>IF(F952="Bullet",MIN(G952,Assumptions!$B$6),"")</f>
        <v/>
      </c>
      <c r="I952" s="8">
        <v>2</v>
      </c>
      <c r="J952" s="8">
        <f>IF(F952="Monthly interest",MAX(0,Assumptions!$B$5-I952),"")</f>
        <v>1</v>
      </c>
      <c r="K952" s="7">
        <f t="shared" si="42"/>
        <v>2426</v>
      </c>
      <c r="L952" s="9">
        <v>46246</v>
      </c>
      <c r="M952" s="5" t="s">
        <v>69</v>
      </c>
      <c r="N952" s="5" t="s">
        <v>53</v>
      </c>
      <c r="O952" s="5" t="s">
        <v>71</v>
      </c>
      <c r="P952" s="5" t="s">
        <v>70</v>
      </c>
      <c r="Q952" s="5" t="s">
        <v>73</v>
      </c>
      <c r="R952" s="5" t="s">
        <v>74</v>
      </c>
      <c r="S952" s="5" t="s">
        <v>75</v>
      </c>
      <c r="T952" s="5" t="s">
        <v>57</v>
      </c>
      <c r="U952" s="5" t="s">
        <v>86</v>
      </c>
      <c r="V952" s="5" t="s">
        <v>76</v>
      </c>
      <c r="W952" s="5" t="s">
        <v>146</v>
      </c>
      <c r="X952" s="5" t="s">
        <v>3784</v>
      </c>
      <c r="Y952" s="5" t="s">
        <v>4195</v>
      </c>
      <c r="Z952" s="9">
        <v>46003</v>
      </c>
      <c r="AA952" s="8">
        <v>18</v>
      </c>
      <c r="AB952" s="9">
        <f t="shared" si="43"/>
        <v>46550</v>
      </c>
      <c r="AC952" s="10">
        <v>20</v>
      </c>
      <c r="AD952" s="7">
        <f t="shared" si="44"/>
        <v>1213</v>
      </c>
      <c r="AE952" s="7">
        <f>IF(F952="Bullet",H952*AD952,MIN(MAX(I952,1),Assumptions!$B$6)*AD952)</f>
        <v>2426</v>
      </c>
      <c r="AF952" s="8">
        <f>IF(F952="Bullet",MAX(0,Assumptions!$B$4-AB952),MAX(0,Assumptions!$B$4-L952))</f>
        <v>52</v>
      </c>
      <c r="AG952" s="9">
        <v>46219</v>
      </c>
      <c r="AH952" s="8">
        <f>IF(AG952="","",Assumptions!$B$4-AG952)</f>
        <v>79</v>
      </c>
      <c r="AI952" s="5" t="s">
        <v>63</v>
      </c>
      <c r="AJ952" s="8">
        <v>2</v>
      </c>
      <c r="AK952" s="8">
        <v>2</v>
      </c>
      <c r="AL952" s="8">
        <v>727</v>
      </c>
      <c r="AM952" s="8">
        <v>0</v>
      </c>
      <c r="AN952" s="5" t="s">
        <v>63</v>
      </c>
      <c r="AO952" s="10">
        <v>72.599999999999994</v>
      </c>
      <c r="AP952" s="8">
        <v>47</v>
      </c>
      <c r="AQ952" s="9">
        <v>46297</v>
      </c>
      <c r="AR952" s="5" t="s">
        <v>70</v>
      </c>
      <c r="AS952" s="5" t="s">
        <v>81</v>
      </c>
    </row>
    <row r="953" spans="1:45" x14ac:dyDescent="0.35">
      <c r="A953" s="5" t="s">
        <v>4196</v>
      </c>
      <c r="B953" s="5" t="s">
        <v>4197</v>
      </c>
      <c r="C953" s="6" t="s">
        <v>4198</v>
      </c>
      <c r="D953" s="7">
        <v>110400</v>
      </c>
      <c r="E953" s="5" t="s">
        <v>48</v>
      </c>
      <c r="F953" s="5" t="s">
        <v>68</v>
      </c>
      <c r="G953" s="8">
        <v>1</v>
      </c>
      <c r="H953" s="8">
        <f>IF(F953="Bullet",MIN(G953,Assumptions!$B$6),"")</f>
        <v>1</v>
      </c>
      <c r="I953" s="8"/>
      <c r="J953" s="8" t="str">
        <f>IF(F953="Monthly interest",MAX(0,Assumptions!$B$5-I953),"")</f>
        <v/>
      </c>
      <c r="K953" s="7">
        <f t="shared" si="42"/>
        <v>1288</v>
      </c>
      <c r="L953" s="9">
        <v>46247</v>
      </c>
      <c r="M953" s="5" t="s">
        <v>50</v>
      </c>
      <c r="N953" s="5" t="s">
        <v>53</v>
      </c>
      <c r="O953" s="5" t="s">
        <v>103</v>
      </c>
      <c r="P953" s="5" t="s">
        <v>51</v>
      </c>
      <c r="Q953" s="5" t="s">
        <v>73</v>
      </c>
      <c r="R953" s="5" t="s">
        <v>74</v>
      </c>
      <c r="S953" s="5" t="s">
        <v>56</v>
      </c>
      <c r="T953" s="5" t="s">
        <v>57</v>
      </c>
      <c r="U953" s="5" t="s">
        <v>104</v>
      </c>
      <c r="V953" s="5" t="s">
        <v>59</v>
      </c>
      <c r="W953" s="5" t="s">
        <v>194</v>
      </c>
      <c r="X953" s="5" t="s">
        <v>2879</v>
      </c>
      <c r="Y953" s="5" t="s">
        <v>4199</v>
      </c>
      <c r="Z953" s="9">
        <v>46247</v>
      </c>
      <c r="AA953" s="8">
        <v>12</v>
      </c>
      <c r="AB953" s="9">
        <f t="shared" si="43"/>
        <v>46612</v>
      </c>
      <c r="AC953" s="10">
        <v>14</v>
      </c>
      <c r="AD953" s="7">
        <f t="shared" si="44"/>
        <v>1288</v>
      </c>
      <c r="AE953" s="7">
        <f>IF(F953="Bullet",H953*AD953,MIN(MAX(I953,1),Assumptions!$B$6)*AD953)</f>
        <v>1288</v>
      </c>
      <c r="AF953" s="8">
        <f>IF(F953="Bullet",MAX(0,Assumptions!$B$4-AB953),MAX(0,Assumptions!$B$4-L953))</f>
        <v>0</v>
      </c>
      <c r="AG953" s="9"/>
      <c r="AH953" s="8" t="str">
        <f>IF(AG953="","",Assumptions!$B$4-AG953)</f>
        <v/>
      </c>
      <c r="AI953" s="5" t="s">
        <v>80</v>
      </c>
      <c r="AJ953" s="8"/>
      <c r="AK953" s="8">
        <v>0</v>
      </c>
      <c r="AL953" s="8">
        <v>808</v>
      </c>
      <c r="AM953" s="8">
        <v>1</v>
      </c>
      <c r="AN953" s="5" t="s">
        <v>63</v>
      </c>
      <c r="AO953" s="10">
        <v>76.099999999999994</v>
      </c>
      <c r="AP953" s="8">
        <v>0</v>
      </c>
      <c r="AQ953" s="9">
        <v>46289</v>
      </c>
      <c r="AR953" s="5" t="s">
        <v>51</v>
      </c>
      <c r="AS953" s="5" t="s">
        <v>81</v>
      </c>
    </row>
    <row r="954" spans="1:45" x14ac:dyDescent="0.35">
      <c r="A954" s="5" t="s">
        <v>4200</v>
      </c>
      <c r="B954" s="5" t="s">
        <v>985</v>
      </c>
      <c r="C954" s="6" t="s">
        <v>4201</v>
      </c>
      <c r="D954" s="7">
        <v>285500</v>
      </c>
      <c r="E954" s="5" t="s">
        <v>48</v>
      </c>
      <c r="F954" s="5" t="s">
        <v>68</v>
      </c>
      <c r="G954" s="8">
        <v>3</v>
      </c>
      <c r="H954" s="8">
        <f>IF(F954="Bullet",MIN(G954,Assumptions!$B$6),"")</f>
        <v>2</v>
      </c>
      <c r="I954" s="8"/>
      <c r="J954" s="8" t="str">
        <f>IF(F954="Monthly interest",MAX(0,Assumptions!$B$5-I954),"")</f>
        <v/>
      </c>
      <c r="K954" s="7">
        <f t="shared" si="42"/>
        <v>12849</v>
      </c>
      <c r="L954" s="9">
        <v>46194</v>
      </c>
      <c r="M954" s="5" t="s">
        <v>50</v>
      </c>
      <c r="N954" s="5" t="s">
        <v>53</v>
      </c>
      <c r="O954" s="5" t="s">
        <v>71</v>
      </c>
      <c r="P954" s="5" t="s">
        <v>51</v>
      </c>
      <c r="Q954" s="5" t="s">
        <v>73</v>
      </c>
      <c r="R954" s="5" t="s">
        <v>74</v>
      </c>
      <c r="S954" s="5" t="s">
        <v>85</v>
      </c>
      <c r="T954" s="5" t="s">
        <v>57</v>
      </c>
      <c r="U954" s="5" t="s">
        <v>58</v>
      </c>
      <c r="V954" s="5" t="s">
        <v>96</v>
      </c>
      <c r="W954" s="5" t="s">
        <v>265</v>
      </c>
      <c r="X954" s="5" t="s">
        <v>4202</v>
      </c>
      <c r="Y954" s="5" t="s">
        <v>4203</v>
      </c>
      <c r="Z954" s="9">
        <v>46194</v>
      </c>
      <c r="AA954" s="8">
        <v>3</v>
      </c>
      <c r="AB954" s="9">
        <f t="shared" si="43"/>
        <v>46286</v>
      </c>
      <c r="AC954" s="10">
        <v>18</v>
      </c>
      <c r="AD954" s="7">
        <f t="shared" si="44"/>
        <v>4283</v>
      </c>
      <c r="AE954" s="7">
        <f>IF(F954="Bullet",H954*AD954,MIN(MAX(I954,1),Assumptions!$B$6)*AD954)</f>
        <v>8566</v>
      </c>
      <c r="AF954" s="8">
        <f>IF(F954="Bullet",MAX(0,Assumptions!$B$4-AB954),MAX(0,Assumptions!$B$4-L954))</f>
        <v>12</v>
      </c>
      <c r="AG954" s="9"/>
      <c r="AH954" s="8" t="str">
        <f>IF(AG954="","",Assumptions!$B$4-AG954)</f>
        <v/>
      </c>
      <c r="AI954" s="5" t="s">
        <v>80</v>
      </c>
      <c r="AJ954" s="8"/>
      <c r="AK954" s="8">
        <v>1</v>
      </c>
      <c r="AL954" s="8">
        <v>740</v>
      </c>
      <c r="AM954" s="8">
        <v>0</v>
      </c>
      <c r="AN954" s="5" t="s">
        <v>63</v>
      </c>
      <c r="AO954" s="10">
        <v>63.9</v>
      </c>
      <c r="AP954" s="8">
        <v>29</v>
      </c>
      <c r="AQ954" s="9">
        <v>46293</v>
      </c>
      <c r="AR954" s="5" t="s">
        <v>70</v>
      </c>
      <c r="AS954" s="5" t="s">
        <v>64</v>
      </c>
    </row>
    <row r="955" spans="1:45" x14ac:dyDescent="0.35">
      <c r="A955" s="5" t="s">
        <v>4204</v>
      </c>
      <c r="B955" s="5" t="s">
        <v>3801</v>
      </c>
      <c r="C955" s="6" t="s">
        <v>4205</v>
      </c>
      <c r="D955" s="7">
        <v>44000</v>
      </c>
      <c r="E955" s="5" t="s">
        <v>48</v>
      </c>
      <c r="F955" s="5" t="s">
        <v>68</v>
      </c>
      <c r="G955" s="8">
        <v>6</v>
      </c>
      <c r="H955" s="8">
        <f>IF(F955="Bullet",MIN(G955,Assumptions!$B$6),"")</f>
        <v>2</v>
      </c>
      <c r="I955" s="8"/>
      <c r="J955" s="8" t="str">
        <f>IF(F955="Monthly interest",MAX(0,Assumptions!$B$5-I955),"")</f>
        <v/>
      </c>
      <c r="K955" s="7">
        <f t="shared" si="42"/>
        <v>2640</v>
      </c>
      <c r="L955" s="9">
        <v>46102</v>
      </c>
      <c r="M955" s="5" t="s">
        <v>116</v>
      </c>
      <c r="N955" s="5" t="s">
        <v>117</v>
      </c>
      <c r="O955" s="5" t="s">
        <v>461</v>
      </c>
      <c r="P955" s="5" t="s">
        <v>72</v>
      </c>
      <c r="Q955" s="5" t="s">
        <v>169</v>
      </c>
      <c r="R955" s="5" t="s">
        <v>170</v>
      </c>
      <c r="S955" s="5" t="s">
        <v>56</v>
      </c>
      <c r="T955" s="5" t="s">
        <v>57</v>
      </c>
      <c r="U955" s="5" t="s">
        <v>86</v>
      </c>
      <c r="V955" s="5" t="s">
        <v>59</v>
      </c>
      <c r="W955" s="5" t="s">
        <v>156</v>
      </c>
      <c r="X955" s="5" t="s">
        <v>2781</v>
      </c>
      <c r="Y955" s="5" t="s">
        <v>4206</v>
      </c>
      <c r="Z955" s="9">
        <v>46102</v>
      </c>
      <c r="AA955" s="8">
        <v>6</v>
      </c>
      <c r="AB955" s="9">
        <f t="shared" si="43"/>
        <v>46286</v>
      </c>
      <c r="AC955" s="10">
        <v>12</v>
      </c>
      <c r="AD955" s="7">
        <f t="shared" si="44"/>
        <v>440</v>
      </c>
      <c r="AE955" s="7">
        <f>IF(F955="Bullet",H955*AD955,MIN(MAX(I955,1),Assumptions!$B$6)*AD955)</f>
        <v>880</v>
      </c>
      <c r="AF955" s="8">
        <f>IF(F955="Bullet",MAX(0,Assumptions!$B$4-AB955),MAX(0,Assumptions!$B$4-L955))</f>
        <v>12</v>
      </c>
      <c r="AG955" s="9"/>
      <c r="AH955" s="8" t="str">
        <f>IF(AG955="","",Assumptions!$B$4-AG955)</f>
        <v/>
      </c>
      <c r="AI955" s="5" t="s">
        <v>80</v>
      </c>
      <c r="AJ955" s="8"/>
      <c r="AK955" s="8">
        <v>2</v>
      </c>
      <c r="AL955" s="8">
        <v>725</v>
      </c>
      <c r="AM955" s="8">
        <v>3</v>
      </c>
      <c r="AN955" s="5" t="s">
        <v>63</v>
      </c>
      <c r="AO955" s="10">
        <v>66</v>
      </c>
      <c r="AP955" s="8">
        <v>62</v>
      </c>
      <c r="AQ955" s="9">
        <v>46274</v>
      </c>
      <c r="AR955" s="5" t="s">
        <v>53</v>
      </c>
      <c r="AS955" s="5" t="s">
        <v>81</v>
      </c>
    </row>
    <row r="956" spans="1:45" x14ac:dyDescent="0.35">
      <c r="A956" s="5" t="s">
        <v>4207</v>
      </c>
      <c r="B956" s="5" t="s">
        <v>4208</v>
      </c>
      <c r="C956" s="6" t="s">
        <v>4209</v>
      </c>
      <c r="D956" s="7">
        <v>155100</v>
      </c>
      <c r="E956" s="5" t="s">
        <v>48</v>
      </c>
      <c r="F956" s="5" t="s">
        <v>68</v>
      </c>
      <c r="G956" s="8">
        <v>6</v>
      </c>
      <c r="H956" s="8">
        <f>IF(F956="Bullet",MIN(G956,Assumptions!$B$6),"")</f>
        <v>2</v>
      </c>
      <c r="I956" s="8"/>
      <c r="J956" s="8" t="str">
        <f>IF(F956="Monthly interest",MAX(0,Assumptions!$B$5-I956),"")</f>
        <v/>
      </c>
      <c r="K956" s="7">
        <f t="shared" si="42"/>
        <v>9306</v>
      </c>
      <c r="L956" s="9">
        <v>46093</v>
      </c>
      <c r="M956" s="5" t="s">
        <v>116</v>
      </c>
      <c r="N956" s="5" t="s">
        <v>117</v>
      </c>
      <c r="O956" s="5" t="s">
        <v>461</v>
      </c>
      <c r="P956" s="5" t="s">
        <v>72</v>
      </c>
      <c r="Q956" s="5" t="s">
        <v>169</v>
      </c>
      <c r="R956" s="5" t="s">
        <v>170</v>
      </c>
      <c r="S956" s="5" t="s">
        <v>75</v>
      </c>
      <c r="T956" s="5" t="s">
        <v>57</v>
      </c>
      <c r="U956" s="5" t="s">
        <v>104</v>
      </c>
      <c r="V956" s="5" t="s">
        <v>76</v>
      </c>
      <c r="W956" s="5" t="s">
        <v>444</v>
      </c>
      <c r="X956" s="5" t="s">
        <v>3591</v>
      </c>
      <c r="Y956" s="5" t="s">
        <v>4210</v>
      </c>
      <c r="Z956" s="9">
        <v>46093</v>
      </c>
      <c r="AA956" s="8">
        <v>6</v>
      </c>
      <c r="AB956" s="9">
        <f t="shared" si="43"/>
        <v>46277</v>
      </c>
      <c r="AC956" s="10">
        <v>12</v>
      </c>
      <c r="AD956" s="7">
        <f t="shared" si="44"/>
        <v>1551</v>
      </c>
      <c r="AE956" s="7">
        <f>IF(F956="Bullet",H956*AD956,MIN(MAX(I956,1),Assumptions!$B$6)*AD956)</f>
        <v>3102</v>
      </c>
      <c r="AF956" s="8">
        <f>IF(F956="Bullet",MAX(0,Assumptions!$B$4-AB956),MAX(0,Assumptions!$B$4-L956))</f>
        <v>21</v>
      </c>
      <c r="AG956" s="9"/>
      <c r="AH956" s="8" t="str">
        <f>IF(AG956="","",Assumptions!$B$4-AG956)</f>
        <v/>
      </c>
      <c r="AI956" s="5" t="s">
        <v>80</v>
      </c>
      <c r="AJ956" s="8"/>
      <c r="AK956" s="8">
        <v>3</v>
      </c>
      <c r="AL956" s="8">
        <v>724</v>
      </c>
      <c r="AM956" s="8">
        <v>2</v>
      </c>
      <c r="AN956" s="5" t="s">
        <v>63</v>
      </c>
      <c r="AO956" s="10">
        <v>80.7</v>
      </c>
      <c r="AP956" s="8">
        <v>77</v>
      </c>
      <c r="AQ956" s="9">
        <v>46280</v>
      </c>
      <c r="AR956" s="5" t="s">
        <v>70</v>
      </c>
      <c r="AS956" s="5" t="s">
        <v>274</v>
      </c>
    </row>
    <row r="957" spans="1:45" x14ac:dyDescent="0.35">
      <c r="A957" s="5" t="s">
        <v>4211</v>
      </c>
      <c r="B957" s="5" t="s">
        <v>4212</v>
      </c>
      <c r="C957" s="6" t="s">
        <v>4213</v>
      </c>
      <c r="D957" s="7">
        <v>84000</v>
      </c>
      <c r="E957" s="5" t="s">
        <v>48</v>
      </c>
      <c r="F957" s="5" t="s">
        <v>49</v>
      </c>
      <c r="G957" s="8"/>
      <c r="H957" s="8" t="str">
        <f>IF(F957="Bullet",MIN(G957,Assumptions!$B$6),"")</f>
        <v/>
      </c>
      <c r="I957" s="8">
        <v>1</v>
      </c>
      <c r="J957" s="8">
        <f>IF(F957="Monthly interest",MAX(0,Assumptions!$B$5-I957),"")</f>
        <v>2</v>
      </c>
      <c r="K957" s="7">
        <f t="shared" si="42"/>
        <v>1400</v>
      </c>
      <c r="L957" s="9">
        <v>46290</v>
      </c>
      <c r="M957" s="5" t="s">
        <v>69</v>
      </c>
      <c r="N957" s="5" t="s">
        <v>53</v>
      </c>
      <c r="O957" s="5" t="s">
        <v>95</v>
      </c>
      <c r="P957" s="5" t="s">
        <v>70</v>
      </c>
      <c r="Q957" s="5" t="s">
        <v>54</v>
      </c>
      <c r="R957" s="5" t="s">
        <v>55</v>
      </c>
      <c r="S957" s="5" t="s">
        <v>56</v>
      </c>
      <c r="T957" s="5" t="s">
        <v>63</v>
      </c>
      <c r="U957" s="5" t="s">
        <v>86</v>
      </c>
      <c r="V957" s="5" t="s">
        <v>59</v>
      </c>
      <c r="W957" s="5" t="s">
        <v>194</v>
      </c>
      <c r="X957" s="5" t="s">
        <v>1121</v>
      </c>
      <c r="Y957" s="5" t="s">
        <v>4214</v>
      </c>
      <c r="Z957" s="9">
        <v>46078</v>
      </c>
      <c r="AA957" s="8">
        <v>24</v>
      </c>
      <c r="AB957" s="9">
        <f t="shared" si="43"/>
        <v>46808</v>
      </c>
      <c r="AC957" s="10">
        <v>20</v>
      </c>
      <c r="AD957" s="7">
        <f t="shared" si="44"/>
        <v>1400</v>
      </c>
      <c r="AE957" s="7">
        <f>IF(F957="Bullet",H957*AD957,MIN(MAX(I957,1),Assumptions!$B$6)*AD957)</f>
        <v>1400</v>
      </c>
      <c r="AF957" s="8">
        <f>IF(F957="Bullet",MAX(0,Assumptions!$B$4-AB957),MAX(0,Assumptions!$B$4-L957))</f>
        <v>8</v>
      </c>
      <c r="AG957" s="9">
        <v>46262</v>
      </c>
      <c r="AH957" s="8">
        <f>IF(AG957="","",Assumptions!$B$4-AG957)</f>
        <v>36</v>
      </c>
      <c r="AI957" s="5" t="s">
        <v>63</v>
      </c>
      <c r="AJ957" s="8">
        <v>1</v>
      </c>
      <c r="AK957" s="8">
        <v>0</v>
      </c>
      <c r="AL957" s="8">
        <v>662</v>
      </c>
      <c r="AM957" s="8">
        <v>2</v>
      </c>
      <c r="AN957" s="5" t="s">
        <v>57</v>
      </c>
      <c r="AO957" s="10">
        <v>72.7</v>
      </c>
      <c r="AP957" s="8">
        <v>42</v>
      </c>
      <c r="AQ957" s="9">
        <v>46297</v>
      </c>
      <c r="AR957" s="5" t="s">
        <v>51</v>
      </c>
      <c r="AS957" s="5" t="s">
        <v>274</v>
      </c>
    </row>
    <row r="958" spans="1:45" x14ac:dyDescent="0.35">
      <c r="A958" s="5" t="s">
        <v>4215</v>
      </c>
      <c r="B958" s="5" t="s">
        <v>93</v>
      </c>
      <c r="C958" s="6" t="s">
        <v>4216</v>
      </c>
      <c r="D958" s="7">
        <v>42300</v>
      </c>
      <c r="E958" s="5" t="s">
        <v>48</v>
      </c>
      <c r="F958" s="5" t="s">
        <v>49</v>
      </c>
      <c r="G958" s="8"/>
      <c r="H958" s="8" t="str">
        <f>IF(F958="Bullet",MIN(G958,Assumptions!$B$6),"")</f>
        <v/>
      </c>
      <c r="I958" s="8">
        <v>2</v>
      </c>
      <c r="J958" s="8">
        <f>IF(F958="Monthly interest",MAX(0,Assumptions!$B$5-I958),"")</f>
        <v>1</v>
      </c>
      <c r="K958" s="7">
        <f t="shared" si="42"/>
        <v>1410</v>
      </c>
      <c r="L958" s="9">
        <v>46254</v>
      </c>
      <c r="M958" s="5" t="s">
        <v>116</v>
      </c>
      <c r="N958" s="5" t="s">
        <v>117</v>
      </c>
      <c r="O958" s="5" t="s">
        <v>450</v>
      </c>
      <c r="P958" s="5" t="s">
        <v>72</v>
      </c>
      <c r="Q958" s="5" t="s">
        <v>154</v>
      </c>
      <c r="R958" s="5" t="s">
        <v>155</v>
      </c>
      <c r="S958" s="5" t="s">
        <v>85</v>
      </c>
      <c r="T958" s="5" t="s">
        <v>63</v>
      </c>
      <c r="U958" s="5" t="s">
        <v>86</v>
      </c>
      <c r="V958" s="5" t="s">
        <v>96</v>
      </c>
      <c r="W958" s="5" t="s">
        <v>97</v>
      </c>
      <c r="X958" s="5" t="s">
        <v>3993</v>
      </c>
      <c r="Y958" s="5" t="s">
        <v>4217</v>
      </c>
      <c r="Z958" s="9">
        <v>46073</v>
      </c>
      <c r="AA958" s="8">
        <v>18</v>
      </c>
      <c r="AB958" s="9">
        <f t="shared" si="43"/>
        <v>46619</v>
      </c>
      <c r="AC958" s="10">
        <v>20</v>
      </c>
      <c r="AD958" s="7">
        <f t="shared" si="44"/>
        <v>705</v>
      </c>
      <c r="AE958" s="7">
        <f>IF(F958="Bullet",H958*AD958,MIN(MAX(I958,1),Assumptions!$B$6)*AD958)</f>
        <v>1410</v>
      </c>
      <c r="AF958" s="8">
        <f>IF(F958="Bullet",MAX(0,Assumptions!$B$4-AB958),MAX(0,Assumptions!$B$4-L958))</f>
        <v>44</v>
      </c>
      <c r="AG958" s="9">
        <v>46223</v>
      </c>
      <c r="AH958" s="8">
        <f>IF(AG958="","",Assumptions!$B$4-AG958)</f>
        <v>75</v>
      </c>
      <c r="AI958" s="5" t="s">
        <v>63</v>
      </c>
      <c r="AJ958" s="8">
        <v>2</v>
      </c>
      <c r="AK958" s="8">
        <v>0</v>
      </c>
      <c r="AL958" s="8">
        <v>608</v>
      </c>
      <c r="AM958" s="8">
        <v>1</v>
      </c>
      <c r="AN958" s="5" t="s">
        <v>57</v>
      </c>
      <c r="AO958" s="10">
        <v>70.7</v>
      </c>
      <c r="AP958" s="8">
        <v>64</v>
      </c>
      <c r="AQ958" s="9">
        <v>46291</v>
      </c>
      <c r="AR958" s="5" t="s">
        <v>70</v>
      </c>
      <c r="AS958" s="5" t="s">
        <v>274</v>
      </c>
    </row>
    <row r="959" spans="1:45" x14ac:dyDescent="0.35">
      <c r="A959" s="5" t="s">
        <v>4218</v>
      </c>
      <c r="B959" s="5" t="s">
        <v>1586</v>
      </c>
      <c r="C959" s="6" t="s">
        <v>4219</v>
      </c>
      <c r="D959" s="7">
        <v>124700</v>
      </c>
      <c r="E959" s="5" t="s">
        <v>48</v>
      </c>
      <c r="F959" s="5" t="s">
        <v>49</v>
      </c>
      <c r="G959" s="8"/>
      <c r="H959" s="8" t="str">
        <f>IF(F959="Bullet",MIN(G959,Assumptions!$B$6),"")</f>
        <v/>
      </c>
      <c r="I959" s="8">
        <v>2</v>
      </c>
      <c r="J959" s="8">
        <f>IF(F959="Monthly interest",MAX(0,Assumptions!$B$5-I959),"")</f>
        <v>1</v>
      </c>
      <c r="K959" s="7">
        <f t="shared" si="42"/>
        <v>4988</v>
      </c>
      <c r="L959" s="9">
        <v>46251</v>
      </c>
      <c r="M959" s="5" t="s">
        <v>69</v>
      </c>
      <c r="N959" s="5" t="s">
        <v>53</v>
      </c>
      <c r="O959" s="5" t="s">
        <v>71</v>
      </c>
      <c r="P959" s="5" t="s">
        <v>70</v>
      </c>
      <c r="Q959" s="5" t="s">
        <v>73</v>
      </c>
      <c r="R959" s="5" t="s">
        <v>74</v>
      </c>
      <c r="S959" s="5" t="s">
        <v>75</v>
      </c>
      <c r="T959" s="5" t="s">
        <v>57</v>
      </c>
      <c r="U959" s="5" t="s">
        <v>104</v>
      </c>
      <c r="V959" s="5" t="s">
        <v>76</v>
      </c>
      <c r="W959" s="5" t="s">
        <v>444</v>
      </c>
      <c r="X959" s="5" t="s">
        <v>4220</v>
      </c>
      <c r="Y959" s="5" t="s">
        <v>4221</v>
      </c>
      <c r="Z959" s="9">
        <v>46129</v>
      </c>
      <c r="AA959" s="8">
        <v>12</v>
      </c>
      <c r="AB959" s="9">
        <f t="shared" si="43"/>
        <v>46494</v>
      </c>
      <c r="AC959" s="10">
        <v>24</v>
      </c>
      <c r="AD959" s="7">
        <f t="shared" si="44"/>
        <v>2494</v>
      </c>
      <c r="AE959" s="7">
        <f>IF(F959="Bullet",H959*AD959,MIN(MAX(I959,1),Assumptions!$B$6)*AD959)</f>
        <v>4988</v>
      </c>
      <c r="AF959" s="8">
        <f>IF(F959="Bullet",MAX(0,Assumptions!$B$4-AB959),MAX(0,Assumptions!$B$4-L959))</f>
        <v>47</v>
      </c>
      <c r="AG959" s="9">
        <v>46223</v>
      </c>
      <c r="AH959" s="8">
        <f>IF(AG959="","",Assumptions!$B$4-AG959)</f>
        <v>75</v>
      </c>
      <c r="AI959" s="5" t="s">
        <v>57</v>
      </c>
      <c r="AJ959" s="8">
        <v>2</v>
      </c>
      <c r="AK959" s="8">
        <v>0</v>
      </c>
      <c r="AL959" s="8">
        <v>724</v>
      </c>
      <c r="AM959" s="8">
        <v>1</v>
      </c>
      <c r="AN959" s="5" t="s">
        <v>63</v>
      </c>
      <c r="AO959" s="10">
        <v>69.2</v>
      </c>
      <c r="AP959" s="8">
        <v>42</v>
      </c>
      <c r="AQ959" s="9">
        <v>46285</v>
      </c>
      <c r="AR959" s="5" t="s">
        <v>51</v>
      </c>
      <c r="AS959" s="5" t="s">
        <v>81</v>
      </c>
    </row>
    <row r="960" spans="1:45" x14ac:dyDescent="0.35">
      <c r="A960" s="5" t="s">
        <v>4222</v>
      </c>
      <c r="B960" s="5" t="s">
        <v>4223</v>
      </c>
      <c r="C960" s="6" t="s">
        <v>4224</v>
      </c>
      <c r="D960" s="7">
        <v>112200</v>
      </c>
      <c r="E960" s="5" t="s">
        <v>48</v>
      </c>
      <c r="F960" s="5" t="s">
        <v>49</v>
      </c>
      <c r="G960" s="8"/>
      <c r="H960" s="8" t="str">
        <f>IF(F960="Bullet",MIN(G960,Assumptions!$B$6),"")</f>
        <v/>
      </c>
      <c r="I960" s="8">
        <v>2</v>
      </c>
      <c r="J960" s="8">
        <f>IF(F960="Monthly interest",MAX(0,Assumptions!$B$5-I960),"")</f>
        <v>1</v>
      </c>
      <c r="K960" s="7">
        <f t="shared" si="42"/>
        <v>2618</v>
      </c>
      <c r="L960" s="9">
        <v>46260</v>
      </c>
      <c r="M960" s="5" t="s">
        <v>116</v>
      </c>
      <c r="N960" s="5" t="s">
        <v>117</v>
      </c>
      <c r="O960" s="5" t="s">
        <v>118</v>
      </c>
      <c r="P960" s="5" t="s">
        <v>72</v>
      </c>
      <c r="Q960" s="5" t="s">
        <v>119</v>
      </c>
      <c r="R960" s="5" t="s">
        <v>120</v>
      </c>
      <c r="S960" s="5" t="s">
        <v>214</v>
      </c>
      <c r="T960" s="5" t="s">
        <v>63</v>
      </c>
      <c r="U960" s="5" t="s">
        <v>86</v>
      </c>
      <c r="V960" s="5" t="s">
        <v>215</v>
      </c>
      <c r="W960" s="5" t="s">
        <v>284</v>
      </c>
      <c r="X960" s="5" t="s">
        <v>4103</v>
      </c>
      <c r="Y960" s="5" t="s">
        <v>4225</v>
      </c>
      <c r="Z960" s="9">
        <v>46017</v>
      </c>
      <c r="AA960" s="8">
        <v>18</v>
      </c>
      <c r="AB960" s="9">
        <f t="shared" si="43"/>
        <v>46564</v>
      </c>
      <c r="AC960" s="10">
        <v>14</v>
      </c>
      <c r="AD960" s="7">
        <f t="shared" si="44"/>
        <v>1309</v>
      </c>
      <c r="AE960" s="7">
        <f>IF(F960="Bullet",H960*AD960,MIN(MAX(I960,1),Assumptions!$B$6)*AD960)</f>
        <v>2618</v>
      </c>
      <c r="AF960" s="8">
        <f>IF(F960="Bullet",MAX(0,Assumptions!$B$4-AB960),MAX(0,Assumptions!$B$4-L960))</f>
        <v>38</v>
      </c>
      <c r="AG960" s="9">
        <v>46232</v>
      </c>
      <c r="AH960" s="8">
        <f>IF(AG960="","",Assumptions!$B$4-AG960)</f>
        <v>66</v>
      </c>
      <c r="AI960" s="5" t="s">
        <v>57</v>
      </c>
      <c r="AJ960" s="8">
        <v>2</v>
      </c>
      <c r="AK960" s="8">
        <v>2</v>
      </c>
      <c r="AL960" s="8">
        <v>709</v>
      </c>
      <c r="AM960" s="8">
        <v>1</v>
      </c>
      <c r="AN960" s="5" t="s">
        <v>63</v>
      </c>
      <c r="AO960" s="10">
        <v>83.2</v>
      </c>
      <c r="AP960" s="8">
        <v>63</v>
      </c>
      <c r="AQ960" s="9">
        <v>46294</v>
      </c>
      <c r="AR960" s="5" t="s">
        <v>51</v>
      </c>
      <c r="AS960" s="5" t="s">
        <v>91</v>
      </c>
    </row>
    <row r="961" spans="1:45" x14ac:dyDescent="0.35">
      <c r="A961" s="5" t="s">
        <v>4226</v>
      </c>
      <c r="B961" s="5" t="s">
        <v>4227</v>
      </c>
      <c r="C961" s="6" t="s">
        <v>4228</v>
      </c>
      <c r="D961" s="7">
        <v>105100</v>
      </c>
      <c r="E961" s="5" t="s">
        <v>48</v>
      </c>
      <c r="F961" s="5" t="s">
        <v>49</v>
      </c>
      <c r="G961" s="8"/>
      <c r="H961" s="8" t="str">
        <f>IF(F961="Bullet",MIN(G961,Assumptions!$B$6),"")</f>
        <v/>
      </c>
      <c r="I961" s="8">
        <v>1</v>
      </c>
      <c r="J961" s="8">
        <f>IF(F961="Monthly interest",MAX(0,Assumptions!$B$5-I961),"")</f>
        <v>2</v>
      </c>
      <c r="K961" s="7">
        <f t="shared" si="42"/>
        <v>1401</v>
      </c>
      <c r="L961" s="9">
        <v>46273</v>
      </c>
      <c r="M961" s="5" t="s">
        <v>69</v>
      </c>
      <c r="N961" s="5" t="s">
        <v>53</v>
      </c>
      <c r="O961" s="5" t="s">
        <v>95</v>
      </c>
      <c r="P961" s="5" t="s">
        <v>70</v>
      </c>
      <c r="Q961" s="5" t="s">
        <v>54</v>
      </c>
      <c r="R961" s="5" t="s">
        <v>55</v>
      </c>
      <c r="S961" s="5" t="s">
        <v>214</v>
      </c>
      <c r="T961" s="5" t="s">
        <v>63</v>
      </c>
      <c r="U961" s="5" t="s">
        <v>86</v>
      </c>
      <c r="V961" s="5" t="s">
        <v>215</v>
      </c>
      <c r="W961" s="5" t="s">
        <v>232</v>
      </c>
      <c r="X961" s="5" t="s">
        <v>3406</v>
      </c>
      <c r="Y961" s="5" t="s">
        <v>4229</v>
      </c>
      <c r="Z961" s="9">
        <v>46120</v>
      </c>
      <c r="AA961" s="8">
        <v>18</v>
      </c>
      <c r="AB961" s="9">
        <f t="shared" si="43"/>
        <v>46668</v>
      </c>
      <c r="AC961" s="10">
        <v>16</v>
      </c>
      <c r="AD961" s="7">
        <f t="shared" si="44"/>
        <v>1401</v>
      </c>
      <c r="AE961" s="7">
        <f>IF(F961="Bullet",H961*AD961,MIN(MAX(I961,1),Assumptions!$B$6)*AD961)</f>
        <v>1401</v>
      </c>
      <c r="AF961" s="8">
        <f>IF(F961="Bullet",MAX(0,Assumptions!$B$4-AB961),MAX(0,Assumptions!$B$4-L961))</f>
        <v>25</v>
      </c>
      <c r="AG961" s="9">
        <v>46242</v>
      </c>
      <c r="AH961" s="8">
        <f>IF(AG961="","",Assumptions!$B$4-AG961)</f>
        <v>56</v>
      </c>
      <c r="AI961" s="5" t="s">
        <v>63</v>
      </c>
      <c r="AJ961" s="8">
        <v>3</v>
      </c>
      <c r="AK961" s="8">
        <v>0</v>
      </c>
      <c r="AL961" s="8">
        <v>713</v>
      </c>
      <c r="AM961" s="8">
        <v>1</v>
      </c>
      <c r="AN961" s="5" t="s">
        <v>63</v>
      </c>
      <c r="AO961" s="10">
        <v>72.900000000000006</v>
      </c>
      <c r="AP961" s="8">
        <v>35</v>
      </c>
      <c r="AQ961" s="9">
        <v>46283</v>
      </c>
      <c r="AR961" s="5" t="s">
        <v>53</v>
      </c>
      <c r="AS961" s="5" t="s">
        <v>91</v>
      </c>
    </row>
    <row r="962" spans="1:45" x14ac:dyDescent="0.35">
      <c r="A962" s="5" t="s">
        <v>4230</v>
      </c>
      <c r="B962" s="5" t="s">
        <v>1336</v>
      </c>
      <c r="C962" s="6" t="s">
        <v>4231</v>
      </c>
      <c r="D962" s="7">
        <v>129100</v>
      </c>
      <c r="E962" s="5" t="s">
        <v>48</v>
      </c>
      <c r="F962" s="5" t="s">
        <v>68</v>
      </c>
      <c r="G962" s="8">
        <v>2</v>
      </c>
      <c r="H962" s="8">
        <f>IF(F962="Bullet",MIN(G962,Assumptions!$B$6),"")</f>
        <v>2</v>
      </c>
      <c r="I962" s="8"/>
      <c r="J962" s="8" t="str">
        <f>IF(F962="Monthly interest",MAX(0,Assumptions!$B$5-I962),"")</f>
        <v/>
      </c>
      <c r="K962" s="7">
        <f t="shared" ref="K962:K1025" si="45">IF(F962="Bullet",G962*AD962,MAX(I962,1)*AD962)</f>
        <v>3012</v>
      </c>
      <c r="L962" s="9">
        <v>46229</v>
      </c>
      <c r="M962" s="5" t="s">
        <v>50</v>
      </c>
      <c r="N962" s="5" t="s">
        <v>51</v>
      </c>
      <c r="O962" s="5" t="s">
        <v>71</v>
      </c>
      <c r="P962" s="5" t="s">
        <v>53</v>
      </c>
      <c r="Q962" s="5" t="s">
        <v>73</v>
      </c>
      <c r="R962" s="5" t="s">
        <v>74</v>
      </c>
      <c r="S962" s="5" t="s">
        <v>185</v>
      </c>
      <c r="T962" s="5" t="s">
        <v>57</v>
      </c>
      <c r="U962" s="5" t="s">
        <v>58</v>
      </c>
      <c r="V962" s="5" t="s">
        <v>186</v>
      </c>
      <c r="W962" s="5" t="s">
        <v>187</v>
      </c>
      <c r="X962" s="5" t="s">
        <v>1145</v>
      </c>
      <c r="Y962" s="5" t="s">
        <v>4232</v>
      </c>
      <c r="Z962" s="9">
        <v>46229</v>
      </c>
      <c r="AA962" s="8">
        <v>6</v>
      </c>
      <c r="AB962" s="9">
        <f t="shared" ref="AB962:AB1025" si="46">EDATE(Z962,AA962)</f>
        <v>46413</v>
      </c>
      <c r="AC962" s="10">
        <v>14</v>
      </c>
      <c r="AD962" s="7">
        <f t="shared" ref="AD962:AD1025" si="47">ROUND(D962*AC962/100/12,0)</f>
        <v>1506</v>
      </c>
      <c r="AE962" s="7">
        <f>IF(F962="Bullet",H962*AD962,MIN(MAX(I962,1),Assumptions!$B$6)*AD962)</f>
        <v>3012</v>
      </c>
      <c r="AF962" s="8">
        <f>IF(F962="Bullet",MAX(0,Assumptions!$B$4-AB962),MAX(0,Assumptions!$B$4-L962))</f>
        <v>0</v>
      </c>
      <c r="AG962" s="9"/>
      <c r="AH962" s="8" t="str">
        <f>IF(AG962="","",Assumptions!$B$4-AG962)</f>
        <v/>
      </c>
      <c r="AI962" s="5" t="s">
        <v>80</v>
      </c>
      <c r="AJ962" s="8"/>
      <c r="AK962" s="8">
        <v>1</v>
      </c>
      <c r="AL962" s="8">
        <v>748</v>
      </c>
      <c r="AM962" s="8">
        <v>0</v>
      </c>
      <c r="AN962" s="5" t="s">
        <v>63</v>
      </c>
      <c r="AO962" s="10">
        <v>68.5</v>
      </c>
      <c r="AP962" s="8">
        <v>5</v>
      </c>
      <c r="AQ962" s="9">
        <v>46288</v>
      </c>
      <c r="AR962" s="5" t="s">
        <v>70</v>
      </c>
      <c r="AS962" s="5" t="s">
        <v>190</v>
      </c>
    </row>
    <row r="963" spans="1:45" x14ac:dyDescent="0.35">
      <c r="A963" s="5" t="s">
        <v>4233</v>
      </c>
      <c r="B963" s="5" t="s">
        <v>4208</v>
      </c>
      <c r="C963" s="6" t="s">
        <v>4234</v>
      </c>
      <c r="D963" s="7">
        <v>67000</v>
      </c>
      <c r="E963" s="5" t="s">
        <v>48</v>
      </c>
      <c r="F963" s="5" t="s">
        <v>49</v>
      </c>
      <c r="G963" s="8"/>
      <c r="H963" s="8" t="str">
        <f>IF(F963="Bullet",MIN(G963,Assumptions!$B$6),"")</f>
        <v/>
      </c>
      <c r="I963" s="8">
        <v>1</v>
      </c>
      <c r="J963" s="8">
        <f>IF(F963="Monthly interest",MAX(0,Assumptions!$B$5-I963),"")</f>
        <v>2</v>
      </c>
      <c r="K963" s="7">
        <f t="shared" si="45"/>
        <v>782</v>
      </c>
      <c r="L963" s="9">
        <v>46296</v>
      </c>
      <c r="M963" s="5" t="s">
        <v>50</v>
      </c>
      <c r="N963" s="5" t="s">
        <v>53</v>
      </c>
      <c r="O963" s="5" t="s">
        <v>95</v>
      </c>
      <c r="P963" s="5" t="s">
        <v>70</v>
      </c>
      <c r="Q963" s="5" t="s">
        <v>54</v>
      </c>
      <c r="R963" s="5" t="s">
        <v>55</v>
      </c>
      <c r="S963" s="5" t="s">
        <v>75</v>
      </c>
      <c r="T963" s="5" t="s">
        <v>63</v>
      </c>
      <c r="U963" s="5" t="s">
        <v>58</v>
      </c>
      <c r="V963" s="5" t="s">
        <v>76</v>
      </c>
      <c r="W963" s="5" t="s">
        <v>306</v>
      </c>
      <c r="X963" s="5" t="s">
        <v>621</v>
      </c>
      <c r="Y963" s="5" t="s">
        <v>4235</v>
      </c>
      <c r="Z963" s="9">
        <v>46174</v>
      </c>
      <c r="AA963" s="8">
        <v>12</v>
      </c>
      <c r="AB963" s="9">
        <f t="shared" si="46"/>
        <v>46539</v>
      </c>
      <c r="AC963" s="10">
        <v>14</v>
      </c>
      <c r="AD963" s="7">
        <f t="shared" si="47"/>
        <v>782</v>
      </c>
      <c r="AE963" s="7">
        <f>IF(F963="Bullet",H963*AD963,MIN(MAX(I963,1),Assumptions!$B$6)*AD963)</f>
        <v>782</v>
      </c>
      <c r="AF963" s="8">
        <f>IF(F963="Bullet",MAX(0,Assumptions!$B$4-AB963),MAX(0,Assumptions!$B$4-L963))</f>
        <v>2</v>
      </c>
      <c r="AG963" s="9">
        <v>46270</v>
      </c>
      <c r="AH963" s="8">
        <f>IF(AG963="","",Assumptions!$B$4-AG963)</f>
        <v>28</v>
      </c>
      <c r="AI963" s="5" t="s">
        <v>63</v>
      </c>
      <c r="AJ963" s="8">
        <v>2</v>
      </c>
      <c r="AK963" s="8">
        <v>0</v>
      </c>
      <c r="AL963" s="8">
        <v>842</v>
      </c>
      <c r="AM963" s="8">
        <v>3</v>
      </c>
      <c r="AN963" s="5" t="s">
        <v>63</v>
      </c>
      <c r="AO963" s="10">
        <v>86.3</v>
      </c>
      <c r="AP963" s="8">
        <v>19</v>
      </c>
      <c r="AQ963" s="9"/>
      <c r="AR963" s="5"/>
      <c r="AS963" s="5" t="s">
        <v>159</v>
      </c>
    </row>
    <row r="964" spans="1:45" x14ac:dyDescent="0.35">
      <c r="A964" s="5" t="s">
        <v>4236</v>
      </c>
      <c r="B964" s="5" t="s">
        <v>4237</v>
      </c>
      <c r="C964" s="6" t="s">
        <v>4238</v>
      </c>
      <c r="D964" s="7">
        <v>36500</v>
      </c>
      <c r="E964" s="5" t="s">
        <v>48</v>
      </c>
      <c r="F964" s="5" t="s">
        <v>49</v>
      </c>
      <c r="G964" s="8"/>
      <c r="H964" s="8" t="str">
        <f>IF(F964="Bullet",MIN(G964,Assumptions!$B$6),"")</f>
        <v/>
      </c>
      <c r="I964" s="8">
        <v>1</v>
      </c>
      <c r="J964" s="8">
        <f>IF(F964="Monthly interest",MAX(0,Assumptions!$B$5-I964),"")</f>
        <v>2</v>
      </c>
      <c r="K964" s="7">
        <f t="shared" si="45"/>
        <v>730</v>
      </c>
      <c r="L964" s="9">
        <v>46283</v>
      </c>
      <c r="M964" s="5" t="s">
        <v>50</v>
      </c>
      <c r="N964" s="5" t="s">
        <v>51</v>
      </c>
      <c r="O964" s="5" t="s">
        <v>152</v>
      </c>
      <c r="P964" s="5" t="s">
        <v>53</v>
      </c>
      <c r="Q964" s="5" t="s">
        <v>154</v>
      </c>
      <c r="R964" s="5" t="s">
        <v>155</v>
      </c>
      <c r="S964" s="5" t="s">
        <v>56</v>
      </c>
      <c r="T964" s="5" t="s">
        <v>57</v>
      </c>
      <c r="U964" s="5" t="s">
        <v>104</v>
      </c>
      <c r="V964" s="5" t="s">
        <v>59</v>
      </c>
      <c r="W964" s="5" t="s">
        <v>126</v>
      </c>
      <c r="X964" s="5" t="s">
        <v>1583</v>
      </c>
      <c r="Y964" s="5" t="s">
        <v>4239</v>
      </c>
      <c r="Z964" s="9">
        <v>46221</v>
      </c>
      <c r="AA964" s="8">
        <v>12</v>
      </c>
      <c r="AB964" s="9">
        <f t="shared" si="46"/>
        <v>46586</v>
      </c>
      <c r="AC964" s="10">
        <v>24</v>
      </c>
      <c r="AD964" s="7">
        <f t="shared" si="47"/>
        <v>730</v>
      </c>
      <c r="AE964" s="7">
        <f>IF(F964="Bullet",H964*AD964,MIN(MAX(I964,1),Assumptions!$B$6)*AD964)</f>
        <v>730</v>
      </c>
      <c r="AF964" s="8">
        <f>IF(F964="Bullet",MAX(0,Assumptions!$B$4-AB964),MAX(0,Assumptions!$B$4-L964))</f>
        <v>15</v>
      </c>
      <c r="AG964" s="9">
        <v>46254</v>
      </c>
      <c r="AH964" s="8">
        <f>IF(AG964="","",Assumptions!$B$4-AG964)</f>
        <v>44</v>
      </c>
      <c r="AI964" s="5" t="s">
        <v>63</v>
      </c>
      <c r="AJ964" s="8">
        <v>1</v>
      </c>
      <c r="AK964" s="8">
        <v>0</v>
      </c>
      <c r="AL964" s="8">
        <v>689</v>
      </c>
      <c r="AM964" s="8">
        <v>2</v>
      </c>
      <c r="AN964" s="5" t="s">
        <v>63</v>
      </c>
      <c r="AO964" s="10">
        <v>76</v>
      </c>
      <c r="AP964" s="8">
        <v>27</v>
      </c>
      <c r="AQ964" s="9">
        <v>46276</v>
      </c>
      <c r="AR964" s="5" t="s">
        <v>53</v>
      </c>
      <c r="AS964" s="5" t="s">
        <v>81</v>
      </c>
    </row>
    <row r="965" spans="1:45" x14ac:dyDescent="0.35">
      <c r="A965" s="5" t="s">
        <v>4240</v>
      </c>
      <c r="B965" s="5" t="s">
        <v>1902</v>
      </c>
      <c r="C965" s="6" t="s">
        <v>4241</v>
      </c>
      <c r="D965" s="7">
        <v>304200</v>
      </c>
      <c r="E965" s="5" t="s">
        <v>48</v>
      </c>
      <c r="F965" s="5" t="s">
        <v>49</v>
      </c>
      <c r="G965" s="8"/>
      <c r="H965" s="8" t="str">
        <f>IF(F965="Bullet",MIN(G965,Assumptions!$B$6),"")</f>
        <v/>
      </c>
      <c r="I965" s="8">
        <v>1</v>
      </c>
      <c r="J965" s="8">
        <f>IF(F965="Monthly interest",MAX(0,Assumptions!$B$5-I965),"")</f>
        <v>2</v>
      </c>
      <c r="K965" s="7">
        <f t="shared" si="45"/>
        <v>3803</v>
      </c>
      <c r="L965" s="9">
        <v>46282</v>
      </c>
      <c r="M965" s="5" t="s">
        <v>50</v>
      </c>
      <c r="N965" s="5" t="s">
        <v>53</v>
      </c>
      <c r="O965" s="5" t="s">
        <v>95</v>
      </c>
      <c r="P965" s="5" t="s">
        <v>70</v>
      </c>
      <c r="Q965" s="5" t="s">
        <v>54</v>
      </c>
      <c r="R965" s="5" t="s">
        <v>55</v>
      </c>
      <c r="S965" s="5" t="s">
        <v>185</v>
      </c>
      <c r="T965" s="5" t="s">
        <v>63</v>
      </c>
      <c r="U965" s="5" t="s">
        <v>104</v>
      </c>
      <c r="V965" s="5" t="s">
        <v>186</v>
      </c>
      <c r="W965" s="5" t="s">
        <v>694</v>
      </c>
      <c r="X965" s="5" t="s">
        <v>4242</v>
      </c>
      <c r="Y965" s="5" t="s">
        <v>4243</v>
      </c>
      <c r="Z965" s="9">
        <v>46098</v>
      </c>
      <c r="AA965" s="8">
        <v>12</v>
      </c>
      <c r="AB965" s="9">
        <f t="shared" si="46"/>
        <v>46463</v>
      </c>
      <c r="AC965" s="10">
        <v>15</v>
      </c>
      <c r="AD965" s="7">
        <f t="shared" si="47"/>
        <v>3803</v>
      </c>
      <c r="AE965" s="7">
        <f>IF(F965="Bullet",H965*AD965,MIN(MAX(I965,1),Assumptions!$B$6)*AD965)</f>
        <v>3803</v>
      </c>
      <c r="AF965" s="8">
        <f>IF(F965="Bullet",MAX(0,Assumptions!$B$4-AB965),MAX(0,Assumptions!$B$4-L965))</f>
        <v>16</v>
      </c>
      <c r="AG965" s="9">
        <v>46255</v>
      </c>
      <c r="AH965" s="8">
        <f>IF(AG965="","",Assumptions!$B$4-AG965)</f>
        <v>43</v>
      </c>
      <c r="AI965" s="5" t="s">
        <v>57</v>
      </c>
      <c r="AJ965" s="8">
        <v>1</v>
      </c>
      <c r="AK965" s="8">
        <v>0</v>
      </c>
      <c r="AL965" s="8">
        <v>705</v>
      </c>
      <c r="AM965" s="8">
        <v>0</v>
      </c>
      <c r="AN965" s="5" t="s">
        <v>63</v>
      </c>
      <c r="AO965" s="10">
        <v>58.2</v>
      </c>
      <c r="AP965" s="8">
        <v>20</v>
      </c>
      <c r="AQ965" s="9">
        <v>46288</v>
      </c>
      <c r="AR965" s="5" t="s">
        <v>51</v>
      </c>
      <c r="AS965" s="5" t="s">
        <v>64</v>
      </c>
    </row>
    <row r="966" spans="1:45" x14ac:dyDescent="0.35">
      <c r="A966" s="5" t="s">
        <v>4244</v>
      </c>
      <c r="B966" s="5" t="s">
        <v>4245</v>
      </c>
      <c r="C966" s="6" t="s">
        <v>4246</v>
      </c>
      <c r="D966" s="7">
        <v>155400</v>
      </c>
      <c r="E966" s="5" t="s">
        <v>48</v>
      </c>
      <c r="F966" s="5" t="s">
        <v>49</v>
      </c>
      <c r="G966" s="8"/>
      <c r="H966" s="8" t="str">
        <f>IF(F966="Bullet",MIN(G966,Assumptions!$B$6),"")</f>
        <v/>
      </c>
      <c r="I966" s="8">
        <v>1</v>
      </c>
      <c r="J966" s="8">
        <f>IF(F966="Monthly interest",MAX(0,Assumptions!$B$5-I966),"")</f>
        <v>2</v>
      </c>
      <c r="K966" s="7">
        <f t="shared" si="45"/>
        <v>3108</v>
      </c>
      <c r="L966" s="9">
        <v>46282</v>
      </c>
      <c r="M966" s="5" t="s">
        <v>50</v>
      </c>
      <c r="N966" s="5" t="s">
        <v>51</v>
      </c>
      <c r="O966" s="5" t="s">
        <v>52</v>
      </c>
      <c r="P966" s="5" t="s">
        <v>53</v>
      </c>
      <c r="Q966" s="5" t="s">
        <v>54</v>
      </c>
      <c r="R966" s="5" t="s">
        <v>55</v>
      </c>
      <c r="S966" s="5" t="s">
        <v>75</v>
      </c>
      <c r="T966" s="5" t="s">
        <v>57</v>
      </c>
      <c r="U966" s="5" t="s">
        <v>58</v>
      </c>
      <c r="V966" s="5" t="s">
        <v>76</v>
      </c>
      <c r="W966" s="5" t="s">
        <v>146</v>
      </c>
      <c r="X966" s="5" t="s">
        <v>3285</v>
      </c>
      <c r="Y966" s="5" t="s">
        <v>4247</v>
      </c>
      <c r="Z966" s="9">
        <v>46159</v>
      </c>
      <c r="AA966" s="8">
        <v>12</v>
      </c>
      <c r="AB966" s="9">
        <f t="shared" si="46"/>
        <v>46524</v>
      </c>
      <c r="AC966" s="10">
        <v>24</v>
      </c>
      <c r="AD966" s="7">
        <f t="shared" si="47"/>
        <v>3108</v>
      </c>
      <c r="AE966" s="7">
        <f>IF(F966="Bullet",H966*AD966,MIN(MAX(I966,1),Assumptions!$B$6)*AD966)</f>
        <v>3108</v>
      </c>
      <c r="AF966" s="8">
        <f>IF(F966="Bullet",MAX(0,Assumptions!$B$4-AB966),MAX(0,Assumptions!$B$4-L966))</f>
        <v>16</v>
      </c>
      <c r="AG966" s="9">
        <v>46252</v>
      </c>
      <c r="AH966" s="8">
        <f>IF(AG966="","",Assumptions!$B$4-AG966)</f>
        <v>46</v>
      </c>
      <c r="AI966" s="5" t="s">
        <v>63</v>
      </c>
      <c r="AJ966" s="8">
        <v>2</v>
      </c>
      <c r="AK966" s="8">
        <v>1</v>
      </c>
      <c r="AL966" s="8">
        <v>756</v>
      </c>
      <c r="AM966" s="8">
        <v>1</v>
      </c>
      <c r="AN966" s="5" t="s">
        <v>63</v>
      </c>
      <c r="AO966" s="10">
        <v>75.7</v>
      </c>
      <c r="AP966" s="8">
        <v>30</v>
      </c>
      <c r="AQ966" s="9">
        <v>46282</v>
      </c>
      <c r="AR966" s="5" t="s">
        <v>53</v>
      </c>
      <c r="AS966" s="5" t="s">
        <v>64</v>
      </c>
    </row>
    <row r="967" spans="1:45" x14ac:dyDescent="0.35">
      <c r="A967" s="5" t="s">
        <v>4248</v>
      </c>
      <c r="B967" s="5" t="s">
        <v>4249</v>
      </c>
      <c r="C967" s="6" t="s">
        <v>4250</v>
      </c>
      <c r="D967" s="7">
        <v>77500</v>
      </c>
      <c r="E967" s="5" t="s">
        <v>48</v>
      </c>
      <c r="F967" s="5" t="s">
        <v>49</v>
      </c>
      <c r="G967" s="8"/>
      <c r="H967" s="8" t="str">
        <f>IF(F967="Bullet",MIN(G967,Assumptions!$B$6),"")</f>
        <v/>
      </c>
      <c r="I967" s="8">
        <v>2</v>
      </c>
      <c r="J967" s="8">
        <f>IF(F967="Monthly interest",MAX(0,Assumptions!$B$5-I967),"")</f>
        <v>1</v>
      </c>
      <c r="K967" s="7">
        <f t="shared" si="45"/>
        <v>2584</v>
      </c>
      <c r="L967" s="9">
        <v>46258</v>
      </c>
      <c r="M967" s="5" t="s">
        <v>69</v>
      </c>
      <c r="N967" s="5" t="s">
        <v>53</v>
      </c>
      <c r="O967" s="5" t="s">
        <v>71</v>
      </c>
      <c r="P967" s="5" t="s">
        <v>70</v>
      </c>
      <c r="Q967" s="5" t="s">
        <v>73</v>
      </c>
      <c r="R967" s="5" t="s">
        <v>74</v>
      </c>
      <c r="S967" s="5" t="s">
        <v>185</v>
      </c>
      <c r="T967" s="5" t="s">
        <v>57</v>
      </c>
      <c r="U967" s="5" t="s">
        <v>86</v>
      </c>
      <c r="V967" s="5" t="s">
        <v>186</v>
      </c>
      <c r="W967" s="5" t="s">
        <v>376</v>
      </c>
      <c r="X967" s="5" t="s">
        <v>1010</v>
      </c>
      <c r="Y967" s="5" t="s">
        <v>4251</v>
      </c>
      <c r="Z967" s="9">
        <v>45985</v>
      </c>
      <c r="AA967" s="8">
        <v>12</v>
      </c>
      <c r="AB967" s="9">
        <f t="shared" si="46"/>
        <v>46350</v>
      </c>
      <c r="AC967" s="10">
        <v>20</v>
      </c>
      <c r="AD967" s="7">
        <f t="shared" si="47"/>
        <v>1292</v>
      </c>
      <c r="AE967" s="7">
        <f>IF(F967="Bullet",H967*AD967,MIN(MAX(I967,1),Assumptions!$B$6)*AD967)</f>
        <v>2584</v>
      </c>
      <c r="AF967" s="8">
        <f>IF(F967="Bullet",MAX(0,Assumptions!$B$4-AB967),MAX(0,Assumptions!$B$4-L967))</f>
        <v>40</v>
      </c>
      <c r="AG967" s="9">
        <v>46230</v>
      </c>
      <c r="AH967" s="8">
        <f>IF(AG967="","",Assumptions!$B$4-AG967)</f>
        <v>68</v>
      </c>
      <c r="AI967" s="5" t="s">
        <v>63</v>
      </c>
      <c r="AJ967" s="8">
        <v>2</v>
      </c>
      <c r="AK967" s="8">
        <v>0</v>
      </c>
      <c r="AL967" s="8">
        <v>765</v>
      </c>
      <c r="AM967" s="8">
        <v>2</v>
      </c>
      <c r="AN967" s="5" t="s">
        <v>63</v>
      </c>
      <c r="AO967" s="10">
        <v>63.4</v>
      </c>
      <c r="AP967" s="8">
        <v>37</v>
      </c>
      <c r="AQ967" s="9">
        <v>46275</v>
      </c>
      <c r="AR967" s="5" t="s">
        <v>51</v>
      </c>
      <c r="AS967" s="5" t="s">
        <v>91</v>
      </c>
    </row>
    <row r="968" spans="1:45" x14ac:dyDescent="0.35">
      <c r="A968" s="5" t="s">
        <v>4252</v>
      </c>
      <c r="B968" s="5" t="s">
        <v>2676</v>
      </c>
      <c r="C968" s="6" t="s">
        <v>4253</v>
      </c>
      <c r="D968" s="7">
        <v>220300</v>
      </c>
      <c r="E968" s="5" t="s">
        <v>48</v>
      </c>
      <c r="F968" s="5" t="s">
        <v>49</v>
      </c>
      <c r="G968" s="8"/>
      <c r="H968" s="8" t="str">
        <f>IF(F968="Bullet",MIN(G968,Assumptions!$B$6),"")</f>
        <v/>
      </c>
      <c r="I968" s="8">
        <v>2</v>
      </c>
      <c r="J968" s="8">
        <f>IF(F968="Monthly interest",MAX(0,Assumptions!$B$5-I968),"")</f>
        <v>1</v>
      </c>
      <c r="K968" s="7">
        <f t="shared" si="45"/>
        <v>8812</v>
      </c>
      <c r="L968" s="9">
        <v>46242</v>
      </c>
      <c r="M968" s="5" t="s">
        <v>69</v>
      </c>
      <c r="N968" s="5" t="s">
        <v>70</v>
      </c>
      <c r="O968" s="5" t="s">
        <v>71</v>
      </c>
      <c r="P968" s="5" t="s">
        <v>72</v>
      </c>
      <c r="Q968" s="5" t="s">
        <v>73</v>
      </c>
      <c r="R968" s="5" t="s">
        <v>74</v>
      </c>
      <c r="S968" s="5" t="s">
        <v>85</v>
      </c>
      <c r="T968" s="5" t="s">
        <v>57</v>
      </c>
      <c r="U968" s="5" t="s">
        <v>58</v>
      </c>
      <c r="V968" s="5" t="s">
        <v>553</v>
      </c>
      <c r="W968" s="5" t="s">
        <v>554</v>
      </c>
      <c r="X968" s="5" t="s">
        <v>4254</v>
      </c>
      <c r="Y968" s="5" t="s">
        <v>4255</v>
      </c>
      <c r="Z968" s="9">
        <v>46150</v>
      </c>
      <c r="AA968" s="8">
        <v>12</v>
      </c>
      <c r="AB968" s="9">
        <f t="shared" si="46"/>
        <v>46515</v>
      </c>
      <c r="AC968" s="10">
        <v>24</v>
      </c>
      <c r="AD968" s="7">
        <f t="shared" si="47"/>
        <v>4406</v>
      </c>
      <c r="AE968" s="7">
        <f>IF(F968="Bullet",H968*AD968,MIN(MAX(I968,1),Assumptions!$B$6)*AD968)</f>
        <v>8812</v>
      </c>
      <c r="AF968" s="8">
        <f>IF(F968="Bullet",MAX(0,Assumptions!$B$4-AB968),MAX(0,Assumptions!$B$4-L968))</f>
        <v>56</v>
      </c>
      <c r="AG968" s="9">
        <v>46213</v>
      </c>
      <c r="AH968" s="8">
        <f>IF(AG968="","",Assumptions!$B$4-AG968)</f>
        <v>85</v>
      </c>
      <c r="AI968" s="5" t="s">
        <v>63</v>
      </c>
      <c r="AJ968" s="8">
        <v>3</v>
      </c>
      <c r="AK968" s="8">
        <v>0</v>
      </c>
      <c r="AL968" s="8">
        <v>708</v>
      </c>
      <c r="AM968" s="8">
        <v>1</v>
      </c>
      <c r="AN968" s="5" t="s">
        <v>63</v>
      </c>
      <c r="AO968" s="10">
        <v>59.1</v>
      </c>
      <c r="AP968" s="8">
        <v>46</v>
      </c>
      <c r="AQ968" s="9">
        <v>46275</v>
      </c>
      <c r="AR968" s="5" t="s">
        <v>70</v>
      </c>
      <c r="AS968" s="5" t="s">
        <v>91</v>
      </c>
    </row>
    <row r="969" spans="1:45" x14ac:dyDescent="0.35">
      <c r="A969" s="5" t="s">
        <v>4256</v>
      </c>
      <c r="B969" s="5" t="s">
        <v>411</v>
      </c>
      <c r="C969" s="6" t="s">
        <v>4257</v>
      </c>
      <c r="D969" s="7">
        <v>288200</v>
      </c>
      <c r="E969" s="5" t="s">
        <v>48</v>
      </c>
      <c r="F969" s="5" t="s">
        <v>68</v>
      </c>
      <c r="G969" s="8">
        <v>1</v>
      </c>
      <c r="H969" s="8">
        <f>IF(F969="Bullet",MIN(G969,Assumptions!$B$6),"")</f>
        <v>1</v>
      </c>
      <c r="I969" s="8"/>
      <c r="J969" s="8" t="str">
        <f>IF(F969="Monthly interest",MAX(0,Assumptions!$B$5-I969),"")</f>
        <v/>
      </c>
      <c r="K969" s="7">
        <f t="shared" si="45"/>
        <v>3843</v>
      </c>
      <c r="L969" s="9">
        <v>46255</v>
      </c>
      <c r="M969" s="5" t="s">
        <v>50</v>
      </c>
      <c r="N969" s="5" t="s">
        <v>70</v>
      </c>
      <c r="O969" s="5" t="s">
        <v>271</v>
      </c>
      <c r="P969" s="5" t="s">
        <v>72</v>
      </c>
      <c r="Q969" s="5" t="s">
        <v>73</v>
      </c>
      <c r="R969" s="5" t="s">
        <v>74</v>
      </c>
      <c r="S969" s="5" t="s">
        <v>75</v>
      </c>
      <c r="T969" s="5" t="s">
        <v>57</v>
      </c>
      <c r="U969" s="5" t="s">
        <v>86</v>
      </c>
      <c r="V969" s="5" t="s">
        <v>76</v>
      </c>
      <c r="W969" s="5" t="s">
        <v>140</v>
      </c>
      <c r="X969" s="5" t="s">
        <v>829</v>
      </c>
      <c r="Y969" s="5" t="s">
        <v>4258</v>
      </c>
      <c r="Z969" s="9">
        <v>46255</v>
      </c>
      <c r="AA969" s="8">
        <v>12</v>
      </c>
      <c r="AB969" s="9">
        <f t="shared" si="46"/>
        <v>46620</v>
      </c>
      <c r="AC969" s="10">
        <v>16</v>
      </c>
      <c r="AD969" s="7">
        <f t="shared" si="47"/>
        <v>3843</v>
      </c>
      <c r="AE969" s="7">
        <f>IF(F969="Bullet",H969*AD969,MIN(MAX(I969,1),Assumptions!$B$6)*AD969)</f>
        <v>3843</v>
      </c>
      <c r="AF969" s="8">
        <f>IF(F969="Bullet",MAX(0,Assumptions!$B$4-AB969),MAX(0,Assumptions!$B$4-L969))</f>
        <v>0</v>
      </c>
      <c r="AG969" s="9"/>
      <c r="AH969" s="8" t="str">
        <f>IF(AG969="","",Assumptions!$B$4-AG969)</f>
        <v/>
      </c>
      <c r="AI969" s="5" t="s">
        <v>80</v>
      </c>
      <c r="AJ969" s="8"/>
      <c r="AK969" s="8">
        <v>0</v>
      </c>
      <c r="AL969" s="8">
        <v>720</v>
      </c>
      <c r="AM969" s="8">
        <v>0</v>
      </c>
      <c r="AN969" s="5" t="s">
        <v>63</v>
      </c>
      <c r="AO969" s="10">
        <v>67.8</v>
      </c>
      <c r="AP969" s="8">
        <v>3</v>
      </c>
      <c r="AQ969" s="9">
        <v>46286</v>
      </c>
      <c r="AR969" s="5" t="s">
        <v>51</v>
      </c>
      <c r="AS969" s="5" t="s">
        <v>274</v>
      </c>
    </row>
    <row r="970" spans="1:45" x14ac:dyDescent="0.35">
      <c r="A970" s="5" t="s">
        <v>4259</v>
      </c>
      <c r="B970" s="5" t="s">
        <v>4260</v>
      </c>
      <c r="C970" s="6" t="s">
        <v>4261</v>
      </c>
      <c r="D970" s="7">
        <v>168400</v>
      </c>
      <c r="E970" s="5" t="s">
        <v>48</v>
      </c>
      <c r="F970" s="5" t="s">
        <v>49</v>
      </c>
      <c r="G970" s="8"/>
      <c r="H970" s="8" t="str">
        <f>IF(F970="Bullet",MIN(G970,Assumptions!$B$6),"")</f>
        <v/>
      </c>
      <c r="I970" s="8">
        <v>2</v>
      </c>
      <c r="J970" s="8">
        <f>IF(F970="Monthly interest",MAX(0,Assumptions!$B$5-I970),"")</f>
        <v>1</v>
      </c>
      <c r="K970" s="7">
        <f t="shared" si="45"/>
        <v>6174</v>
      </c>
      <c r="L970" s="9">
        <v>46238</v>
      </c>
      <c r="M970" s="5" t="s">
        <v>116</v>
      </c>
      <c r="N970" s="5" t="s">
        <v>117</v>
      </c>
      <c r="O970" s="5" t="s">
        <v>118</v>
      </c>
      <c r="P970" s="5" t="s">
        <v>72</v>
      </c>
      <c r="Q970" s="5" t="s">
        <v>119</v>
      </c>
      <c r="R970" s="5" t="s">
        <v>120</v>
      </c>
      <c r="S970" s="5" t="s">
        <v>85</v>
      </c>
      <c r="T970" s="5" t="s">
        <v>57</v>
      </c>
      <c r="U970" s="5" t="s">
        <v>104</v>
      </c>
      <c r="V970" s="5" t="s">
        <v>133</v>
      </c>
      <c r="W970" s="5" t="s">
        <v>317</v>
      </c>
      <c r="X970" s="5" t="s">
        <v>4262</v>
      </c>
      <c r="Y970" s="5" t="s">
        <v>4263</v>
      </c>
      <c r="Z970" s="9">
        <v>46026</v>
      </c>
      <c r="AA970" s="8">
        <v>18</v>
      </c>
      <c r="AB970" s="9">
        <f t="shared" si="46"/>
        <v>46572</v>
      </c>
      <c r="AC970" s="10">
        <v>22</v>
      </c>
      <c r="AD970" s="7">
        <f t="shared" si="47"/>
        <v>3087</v>
      </c>
      <c r="AE970" s="7">
        <f>IF(F970="Bullet",H970*AD970,MIN(MAX(I970,1),Assumptions!$B$6)*AD970)</f>
        <v>6174</v>
      </c>
      <c r="AF970" s="8">
        <f>IF(F970="Bullet",MAX(0,Assumptions!$B$4-AB970),MAX(0,Assumptions!$B$4-L970))</f>
        <v>60</v>
      </c>
      <c r="AG970" s="9">
        <v>46209</v>
      </c>
      <c r="AH970" s="8">
        <f>IF(AG970="","",Assumptions!$B$4-AG970)</f>
        <v>89</v>
      </c>
      <c r="AI970" s="5" t="s">
        <v>63</v>
      </c>
      <c r="AJ970" s="8">
        <v>2</v>
      </c>
      <c r="AK970" s="8">
        <v>0</v>
      </c>
      <c r="AL970" s="8">
        <v>675</v>
      </c>
      <c r="AM970" s="8">
        <v>4</v>
      </c>
      <c r="AN970" s="5" t="s">
        <v>63</v>
      </c>
      <c r="AO970" s="10">
        <v>66.3</v>
      </c>
      <c r="AP970" s="8">
        <v>50</v>
      </c>
      <c r="AQ970" s="9">
        <v>46286</v>
      </c>
      <c r="AR970" s="5" t="s">
        <v>70</v>
      </c>
      <c r="AS970" s="5" t="s">
        <v>190</v>
      </c>
    </row>
    <row r="971" spans="1:45" x14ac:dyDescent="0.35">
      <c r="A971" s="5" t="s">
        <v>4264</v>
      </c>
      <c r="B971" s="5" t="s">
        <v>4265</v>
      </c>
      <c r="C971" s="6" t="s">
        <v>4266</v>
      </c>
      <c r="D971" s="7">
        <v>438300</v>
      </c>
      <c r="E971" s="5" t="s">
        <v>48</v>
      </c>
      <c r="F971" s="5" t="s">
        <v>49</v>
      </c>
      <c r="G971" s="8"/>
      <c r="H971" s="8" t="str">
        <f>IF(F971="Bullet",MIN(G971,Assumptions!$B$6),"")</f>
        <v/>
      </c>
      <c r="I971" s="8">
        <v>2</v>
      </c>
      <c r="J971" s="8">
        <f>IF(F971="Monthly interest",MAX(0,Assumptions!$B$5-I971),"")</f>
        <v>1</v>
      </c>
      <c r="K971" s="7">
        <f t="shared" si="45"/>
        <v>16072</v>
      </c>
      <c r="L971" s="9">
        <v>46268</v>
      </c>
      <c r="M971" s="5" t="s">
        <v>116</v>
      </c>
      <c r="N971" s="5" t="s">
        <v>117</v>
      </c>
      <c r="O971" s="5" t="s">
        <v>118</v>
      </c>
      <c r="P971" s="5" t="s">
        <v>72</v>
      </c>
      <c r="Q971" s="5" t="s">
        <v>119</v>
      </c>
      <c r="R971" s="5" t="s">
        <v>120</v>
      </c>
      <c r="S971" s="5" t="s">
        <v>85</v>
      </c>
      <c r="T971" s="5" t="s">
        <v>63</v>
      </c>
      <c r="U971" s="5" t="s">
        <v>86</v>
      </c>
      <c r="V971" s="5" t="s">
        <v>87</v>
      </c>
      <c r="W971" s="5" t="s">
        <v>254</v>
      </c>
      <c r="X971" s="5" t="s">
        <v>255</v>
      </c>
      <c r="Y971" s="5" t="s">
        <v>4267</v>
      </c>
      <c r="Z971" s="9">
        <v>46056</v>
      </c>
      <c r="AA971" s="8">
        <v>18</v>
      </c>
      <c r="AB971" s="9">
        <f t="shared" si="46"/>
        <v>46602</v>
      </c>
      <c r="AC971" s="10">
        <v>22</v>
      </c>
      <c r="AD971" s="7">
        <f t="shared" si="47"/>
        <v>8036</v>
      </c>
      <c r="AE971" s="7">
        <f>IF(F971="Bullet",H971*AD971,MIN(MAX(I971,1),Assumptions!$B$6)*AD971)</f>
        <v>16072</v>
      </c>
      <c r="AF971" s="8">
        <f>IF(F971="Bullet",MAX(0,Assumptions!$B$4-AB971),MAX(0,Assumptions!$B$4-L971))</f>
        <v>30</v>
      </c>
      <c r="AG971" s="9">
        <v>46238</v>
      </c>
      <c r="AH971" s="8">
        <f>IF(AG971="","",Assumptions!$B$4-AG971)</f>
        <v>60</v>
      </c>
      <c r="AI971" s="5" t="s">
        <v>57</v>
      </c>
      <c r="AJ971" s="8">
        <v>3</v>
      </c>
      <c r="AK971" s="8">
        <v>0</v>
      </c>
      <c r="AL971" s="8">
        <v>613</v>
      </c>
      <c r="AM971" s="8">
        <v>2</v>
      </c>
      <c r="AN971" s="5" t="s">
        <v>63</v>
      </c>
      <c r="AO971" s="10">
        <v>84.2</v>
      </c>
      <c r="AP971" s="8">
        <v>72</v>
      </c>
      <c r="AQ971" s="9"/>
      <c r="AR971" s="5"/>
      <c r="AS971" s="5" t="s">
        <v>159</v>
      </c>
    </row>
    <row r="972" spans="1:45" x14ac:dyDescent="0.35">
      <c r="A972" s="5" t="s">
        <v>4268</v>
      </c>
      <c r="B972" s="5" t="s">
        <v>4269</v>
      </c>
      <c r="C972" s="6" t="s">
        <v>4270</v>
      </c>
      <c r="D972" s="7">
        <v>838200</v>
      </c>
      <c r="E972" s="5" t="s">
        <v>48</v>
      </c>
      <c r="F972" s="5" t="s">
        <v>49</v>
      </c>
      <c r="G972" s="8"/>
      <c r="H972" s="8" t="str">
        <f>IF(F972="Bullet",MIN(G972,Assumptions!$B$6),"")</f>
        <v/>
      </c>
      <c r="I972" s="8">
        <v>1</v>
      </c>
      <c r="J972" s="8">
        <f>IF(F972="Monthly interest",MAX(0,Assumptions!$B$5-I972),"")</f>
        <v>2</v>
      </c>
      <c r="K972" s="7">
        <f t="shared" si="45"/>
        <v>16764</v>
      </c>
      <c r="L972" s="9">
        <v>46284</v>
      </c>
      <c r="M972" s="5" t="s">
        <v>50</v>
      </c>
      <c r="N972" s="5" t="s">
        <v>53</v>
      </c>
      <c r="O972" s="5" t="s">
        <v>103</v>
      </c>
      <c r="P972" s="5" t="s">
        <v>51</v>
      </c>
      <c r="Q972" s="5" t="s">
        <v>54</v>
      </c>
      <c r="R972" s="5" t="s">
        <v>55</v>
      </c>
      <c r="S972" s="5" t="s">
        <v>85</v>
      </c>
      <c r="T972" s="5" t="s">
        <v>57</v>
      </c>
      <c r="U972" s="5" t="s">
        <v>58</v>
      </c>
      <c r="V972" s="5" t="s">
        <v>96</v>
      </c>
      <c r="W972" s="5" t="s">
        <v>171</v>
      </c>
      <c r="X972" s="5" t="s">
        <v>3448</v>
      </c>
      <c r="Y972" s="5" t="s">
        <v>4271</v>
      </c>
      <c r="Z972" s="9">
        <v>46010</v>
      </c>
      <c r="AA972" s="8">
        <v>18</v>
      </c>
      <c r="AB972" s="9">
        <f t="shared" si="46"/>
        <v>46557</v>
      </c>
      <c r="AC972" s="10">
        <v>24</v>
      </c>
      <c r="AD972" s="7">
        <f t="shared" si="47"/>
        <v>16764</v>
      </c>
      <c r="AE972" s="7">
        <f>IF(F972="Bullet",H972*AD972,MIN(MAX(I972,1),Assumptions!$B$6)*AD972)</f>
        <v>16764</v>
      </c>
      <c r="AF972" s="8">
        <f>IF(F972="Bullet",MAX(0,Assumptions!$B$4-AB972),MAX(0,Assumptions!$B$4-L972))</f>
        <v>14</v>
      </c>
      <c r="AG972" s="9">
        <v>46256</v>
      </c>
      <c r="AH972" s="8">
        <f>IF(AG972="","",Assumptions!$B$4-AG972)</f>
        <v>42</v>
      </c>
      <c r="AI972" s="5" t="s">
        <v>63</v>
      </c>
      <c r="AJ972" s="8">
        <v>1</v>
      </c>
      <c r="AK972" s="8">
        <v>0</v>
      </c>
      <c r="AL972" s="8">
        <v>738</v>
      </c>
      <c r="AM972" s="8">
        <v>2</v>
      </c>
      <c r="AN972" s="5" t="s">
        <v>63</v>
      </c>
      <c r="AO972" s="10">
        <v>78.2</v>
      </c>
      <c r="AP972" s="8">
        <v>25</v>
      </c>
      <c r="AQ972" s="9">
        <v>46289</v>
      </c>
      <c r="AR972" s="5" t="s">
        <v>51</v>
      </c>
      <c r="AS972" s="5" t="s">
        <v>81</v>
      </c>
    </row>
    <row r="973" spans="1:45" x14ac:dyDescent="0.35">
      <c r="A973" s="5" t="s">
        <v>4272</v>
      </c>
      <c r="B973" s="5" t="s">
        <v>4273</v>
      </c>
      <c r="C973" s="6" t="s">
        <v>4274</v>
      </c>
      <c r="D973" s="7">
        <v>427700</v>
      </c>
      <c r="E973" s="5" t="s">
        <v>48</v>
      </c>
      <c r="F973" s="5" t="s">
        <v>49</v>
      </c>
      <c r="G973" s="8"/>
      <c r="H973" s="8" t="str">
        <f>IF(F973="Bullet",MIN(G973,Assumptions!$B$6),"")</f>
        <v/>
      </c>
      <c r="I973" s="8">
        <v>1</v>
      </c>
      <c r="J973" s="8">
        <f>IF(F973="Monthly interest",MAX(0,Assumptions!$B$5-I973),"")</f>
        <v>2</v>
      </c>
      <c r="K973" s="7">
        <f t="shared" si="45"/>
        <v>4990</v>
      </c>
      <c r="L973" s="9">
        <v>46281</v>
      </c>
      <c r="M973" s="5" t="s">
        <v>69</v>
      </c>
      <c r="N973" s="5" t="s">
        <v>51</v>
      </c>
      <c r="O973" s="5" t="s">
        <v>52</v>
      </c>
      <c r="P973" s="5" t="s">
        <v>53</v>
      </c>
      <c r="Q973" s="5" t="s">
        <v>54</v>
      </c>
      <c r="R973" s="5" t="s">
        <v>55</v>
      </c>
      <c r="S973" s="5" t="s">
        <v>214</v>
      </c>
      <c r="T973" s="5" t="s">
        <v>57</v>
      </c>
      <c r="U973" s="5" t="s">
        <v>104</v>
      </c>
      <c r="V973" s="5" t="s">
        <v>215</v>
      </c>
      <c r="W973" s="5" t="s">
        <v>232</v>
      </c>
      <c r="X973" s="5" t="s">
        <v>1927</v>
      </c>
      <c r="Y973" s="5" t="s">
        <v>4275</v>
      </c>
      <c r="Z973" s="9">
        <v>46097</v>
      </c>
      <c r="AA973" s="8">
        <v>18</v>
      </c>
      <c r="AB973" s="9">
        <f t="shared" si="46"/>
        <v>46646</v>
      </c>
      <c r="AC973" s="10">
        <v>14</v>
      </c>
      <c r="AD973" s="7">
        <f t="shared" si="47"/>
        <v>4990</v>
      </c>
      <c r="AE973" s="7">
        <f>IF(F973="Bullet",H973*AD973,MIN(MAX(I973,1),Assumptions!$B$6)*AD973)</f>
        <v>4990</v>
      </c>
      <c r="AF973" s="8">
        <f>IF(F973="Bullet",MAX(0,Assumptions!$B$4-AB973),MAX(0,Assumptions!$B$4-L973))</f>
        <v>17</v>
      </c>
      <c r="AG973" s="9">
        <v>46250</v>
      </c>
      <c r="AH973" s="8">
        <f>IF(AG973="","",Assumptions!$B$4-AG973)</f>
        <v>48</v>
      </c>
      <c r="AI973" s="5" t="s">
        <v>63</v>
      </c>
      <c r="AJ973" s="8">
        <v>1</v>
      </c>
      <c r="AK973" s="8">
        <v>1</v>
      </c>
      <c r="AL973" s="8">
        <v>728</v>
      </c>
      <c r="AM973" s="8">
        <v>1</v>
      </c>
      <c r="AN973" s="5" t="s">
        <v>63</v>
      </c>
      <c r="AO973" s="10">
        <v>65.7</v>
      </c>
      <c r="AP973" s="8">
        <v>31</v>
      </c>
      <c r="AQ973" s="9"/>
      <c r="AR973" s="5"/>
      <c r="AS973" s="5" t="s">
        <v>159</v>
      </c>
    </row>
    <row r="974" spans="1:45" x14ac:dyDescent="0.35">
      <c r="A974" s="5" t="s">
        <v>4276</v>
      </c>
      <c r="B974" s="5" t="s">
        <v>4277</v>
      </c>
      <c r="C974" s="6" t="s">
        <v>4278</v>
      </c>
      <c r="D974" s="7">
        <v>236000</v>
      </c>
      <c r="E974" s="5" t="s">
        <v>48</v>
      </c>
      <c r="F974" s="5" t="s">
        <v>49</v>
      </c>
      <c r="G974" s="8"/>
      <c r="H974" s="8" t="str">
        <f>IF(F974="Bullet",MIN(G974,Assumptions!$B$6),"")</f>
        <v/>
      </c>
      <c r="I974" s="8">
        <v>1</v>
      </c>
      <c r="J974" s="8">
        <f>IF(F974="Monthly interest",MAX(0,Assumptions!$B$5-I974),"")</f>
        <v>2</v>
      </c>
      <c r="K974" s="7">
        <f t="shared" si="45"/>
        <v>4327</v>
      </c>
      <c r="L974" s="9">
        <v>46272</v>
      </c>
      <c r="M974" s="5" t="s">
        <v>69</v>
      </c>
      <c r="N974" s="5" t="s">
        <v>53</v>
      </c>
      <c r="O974" s="5" t="s">
        <v>103</v>
      </c>
      <c r="P974" s="5" t="s">
        <v>70</v>
      </c>
      <c r="Q974" s="5" t="s">
        <v>54</v>
      </c>
      <c r="R974" s="5" t="s">
        <v>55</v>
      </c>
      <c r="S974" s="5" t="s">
        <v>253</v>
      </c>
      <c r="T974" s="5" t="s">
        <v>57</v>
      </c>
      <c r="U974" s="5" t="s">
        <v>86</v>
      </c>
      <c r="V974" s="5" t="s">
        <v>76</v>
      </c>
      <c r="W974" s="5" t="s">
        <v>105</v>
      </c>
      <c r="X974" s="5" t="s">
        <v>914</v>
      </c>
      <c r="Y974" s="5" t="s">
        <v>4279</v>
      </c>
      <c r="Z974" s="9">
        <v>46210</v>
      </c>
      <c r="AA974" s="8">
        <v>12</v>
      </c>
      <c r="AB974" s="9">
        <f t="shared" si="46"/>
        <v>46575</v>
      </c>
      <c r="AC974" s="10">
        <v>22</v>
      </c>
      <c r="AD974" s="7">
        <f t="shared" si="47"/>
        <v>4327</v>
      </c>
      <c r="AE974" s="7">
        <f>IF(F974="Bullet",H974*AD974,MIN(MAX(I974,1),Assumptions!$B$6)*AD974)</f>
        <v>4327</v>
      </c>
      <c r="AF974" s="8">
        <f>IF(F974="Bullet",MAX(0,Assumptions!$B$4-AB974),MAX(0,Assumptions!$B$4-L974))</f>
        <v>26</v>
      </c>
      <c r="AG974" s="9">
        <v>46243</v>
      </c>
      <c r="AH974" s="8">
        <f>IF(AG974="","",Assumptions!$B$4-AG974)</f>
        <v>55</v>
      </c>
      <c r="AI974" s="5" t="s">
        <v>63</v>
      </c>
      <c r="AJ974" s="8">
        <v>1</v>
      </c>
      <c r="AK974" s="8">
        <v>1</v>
      </c>
      <c r="AL974" s="8">
        <v>694</v>
      </c>
      <c r="AM974" s="8">
        <v>1</v>
      </c>
      <c r="AN974" s="5" t="s">
        <v>63</v>
      </c>
      <c r="AO974" s="10">
        <v>71.5</v>
      </c>
      <c r="AP974" s="8">
        <v>33</v>
      </c>
      <c r="AQ974" s="9">
        <v>46290</v>
      </c>
      <c r="AR974" s="5" t="s">
        <v>51</v>
      </c>
      <c r="AS974" s="5" t="s">
        <v>81</v>
      </c>
    </row>
    <row r="975" spans="1:45" x14ac:dyDescent="0.35">
      <c r="A975" s="5" t="s">
        <v>4280</v>
      </c>
      <c r="B975" s="5" t="s">
        <v>246</v>
      </c>
      <c r="C975" s="6" t="s">
        <v>4281</v>
      </c>
      <c r="D975" s="7">
        <v>55900</v>
      </c>
      <c r="E975" s="5" t="s">
        <v>48</v>
      </c>
      <c r="F975" s="5" t="s">
        <v>68</v>
      </c>
      <c r="G975" s="8">
        <v>4</v>
      </c>
      <c r="H975" s="8">
        <f>IF(F975="Bullet",MIN(G975,Assumptions!$B$6),"")</f>
        <v>2</v>
      </c>
      <c r="I975" s="8"/>
      <c r="J975" s="8" t="str">
        <f>IF(F975="Monthly interest",MAX(0,Assumptions!$B$5-I975),"")</f>
        <v/>
      </c>
      <c r="K975" s="7">
        <f t="shared" si="45"/>
        <v>2796</v>
      </c>
      <c r="L975" s="9">
        <v>46156</v>
      </c>
      <c r="M975" s="5" t="s">
        <v>69</v>
      </c>
      <c r="N975" s="5" t="s">
        <v>53</v>
      </c>
      <c r="O975" s="5" t="s">
        <v>71</v>
      </c>
      <c r="P975" s="5" t="s">
        <v>70</v>
      </c>
      <c r="Q975" s="5" t="s">
        <v>73</v>
      </c>
      <c r="R975" s="5" t="s">
        <v>74</v>
      </c>
      <c r="S975" s="5" t="s">
        <v>56</v>
      </c>
      <c r="T975" s="5" t="s">
        <v>57</v>
      </c>
      <c r="U975" s="5" t="s">
        <v>104</v>
      </c>
      <c r="V975" s="5" t="s">
        <v>59</v>
      </c>
      <c r="W975" s="5" t="s">
        <v>126</v>
      </c>
      <c r="X975" s="5" t="s">
        <v>2526</v>
      </c>
      <c r="Y975" s="5" t="s">
        <v>4282</v>
      </c>
      <c r="Z975" s="9">
        <v>46156</v>
      </c>
      <c r="AA975" s="8">
        <v>6</v>
      </c>
      <c r="AB975" s="9">
        <f t="shared" si="46"/>
        <v>46340</v>
      </c>
      <c r="AC975" s="10">
        <v>15</v>
      </c>
      <c r="AD975" s="7">
        <f t="shared" si="47"/>
        <v>699</v>
      </c>
      <c r="AE975" s="7">
        <f>IF(F975="Bullet",H975*AD975,MIN(MAX(I975,1),Assumptions!$B$6)*AD975)</f>
        <v>1398</v>
      </c>
      <c r="AF975" s="8">
        <f>IF(F975="Bullet",MAX(0,Assumptions!$B$4-AB975),MAX(0,Assumptions!$B$4-L975))</f>
        <v>0</v>
      </c>
      <c r="AG975" s="9"/>
      <c r="AH975" s="8" t="str">
        <f>IF(AG975="","",Assumptions!$B$4-AG975)</f>
        <v/>
      </c>
      <c r="AI975" s="5" t="s">
        <v>80</v>
      </c>
      <c r="AJ975" s="8"/>
      <c r="AK975" s="8">
        <v>1</v>
      </c>
      <c r="AL975" s="8">
        <v>705</v>
      </c>
      <c r="AM975" s="8">
        <v>1</v>
      </c>
      <c r="AN975" s="5" t="s">
        <v>63</v>
      </c>
      <c r="AO975" s="10">
        <v>83.9</v>
      </c>
      <c r="AP975" s="8">
        <v>42</v>
      </c>
      <c r="AQ975" s="9">
        <v>46280</v>
      </c>
      <c r="AR975" s="5" t="s">
        <v>70</v>
      </c>
      <c r="AS975" s="5" t="s">
        <v>190</v>
      </c>
    </row>
    <row r="976" spans="1:45" x14ac:dyDescent="0.35">
      <c r="A976" s="5" t="s">
        <v>4283</v>
      </c>
      <c r="B976" s="5" t="s">
        <v>4284</v>
      </c>
      <c r="C976" s="6" t="s">
        <v>4285</v>
      </c>
      <c r="D976" s="7">
        <v>57900</v>
      </c>
      <c r="E976" s="5" t="s">
        <v>48</v>
      </c>
      <c r="F976" s="5" t="s">
        <v>68</v>
      </c>
      <c r="G976" s="8">
        <v>2</v>
      </c>
      <c r="H976" s="8">
        <f>IF(F976="Bullet",MIN(G976,Assumptions!$B$6),"")</f>
        <v>2</v>
      </c>
      <c r="I976" s="8"/>
      <c r="J976" s="8" t="str">
        <f>IF(F976="Monthly interest",MAX(0,Assumptions!$B$5-I976),"")</f>
        <v/>
      </c>
      <c r="K976" s="7">
        <f t="shared" si="45"/>
        <v>1158</v>
      </c>
      <c r="L976" s="9">
        <v>46228</v>
      </c>
      <c r="M976" s="5" t="s">
        <v>50</v>
      </c>
      <c r="N976" s="5" t="s">
        <v>51</v>
      </c>
      <c r="O976" s="5" t="s">
        <v>71</v>
      </c>
      <c r="P976" s="5" t="s">
        <v>53</v>
      </c>
      <c r="Q976" s="5" t="s">
        <v>73</v>
      </c>
      <c r="R976" s="5" t="s">
        <v>74</v>
      </c>
      <c r="S976" s="5" t="s">
        <v>214</v>
      </c>
      <c r="T976" s="5" t="s">
        <v>57</v>
      </c>
      <c r="U976" s="5" t="s">
        <v>86</v>
      </c>
      <c r="V976" s="5" t="s">
        <v>215</v>
      </c>
      <c r="W976" s="5" t="s">
        <v>1057</v>
      </c>
      <c r="X976" s="5" t="s">
        <v>3604</v>
      </c>
      <c r="Y976" s="5" t="s">
        <v>4286</v>
      </c>
      <c r="Z976" s="9">
        <v>46228</v>
      </c>
      <c r="AA976" s="8">
        <v>6</v>
      </c>
      <c r="AB976" s="9">
        <f t="shared" si="46"/>
        <v>46412</v>
      </c>
      <c r="AC976" s="10">
        <v>12</v>
      </c>
      <c r="AD976" s="7">
        <f t="shared" si="47"/>
        <v>579</v>
      </c>
      <c r="AE976" s="7">
        <f>IF(F976="Bullet",H976*AD976,MIN(MAX(I976,1),Assumptions!$B$6)*AD976)</f>
        <v>1158</v>
      </c>
      <c r="AF976" s="8">
        <f>IF(F976="Bullet",MAX(0,Assumptions!$B$4-AB976),MAX(0,Assumptions!$B$4-L976))</f>
        <v>0</v>
      </c>
      <c r="AG976" s="9"/>
      <c r="AH976" s="8" t="str">
        <f>IF(AG976="","",Assumptions!$B$4-AG976)</f>
        <v/>
      </c>
      <c r="AI976" s="5" t="s">
        <v>80</v>
      </c>
      <c r="AJ976" s="8"/>
      <c r="AK976" s="8">
        <v>1</v>
      </c>
      <c r="AL976" s="8" t="s">
        <v>80</v>
      </c>
      <c r="AM976" s="8">
        <v>0</v>
      </c>
      <c r="AN976" s="5" t="s">
        <v>63</v>
      </c>
      <c r="AO976" s="10">
        <v>71.099999999999994</v>
      </c>
      <c r="AP976" s="8">
        <v>19</v>
      </c>
      <c r="AQ976" s="9">
        <v>46287</v>
      </c>
      <c r="AR976" s="5" t="s">
        <v>70</v>
      </c>
      <c r="AS976" s="5" t="s">
        <v>81</v>
      </c>
    </row>
    <row r="977" spans="1:45" x14ac:dyDescent="0.35">
      <c r="A977" s="5" t="s">
        <v>4287</v>
      </c>
      <c r="B977" s="5" t="s">
        <v>865</v>
      </c>
      <c r="C977" s="6" t="s">
        <v>4288</v>
      </c>
      <c r="D977" s="7">
        <v>220900</v>
      </c>
      <c r="E977" s="5" t="s">
        <v>48</v>
      </c>
      <c r="F977" s="5" t="s">
        <v>68</v>
      </c>
      <c r="G977" s="8">
        <v>4</v>
      </c>
      <c r="H977" s="8">
        <f>IF(F977="Bullet",MIN(G977,Assumptions!$B$6),"")</f>
        <v>2</v>
      </c>
      <c r="I977" s="8"/>
      <c r="J977" s="8" t="str">
        <f>IF(F977="Monthly interest",MAX(0,Assumptions!$B$5-I977),"")</f>
        <v/>
      </c>
      <c r="K977" s="7">
        <f t="shared" si="45"/>
        <v>9572</v>
      </c>
      <c r="L977" s="9">
        <v>46155</v>
      </c>
      <c r="M977" s="5" t="s">
        <v>50</v>
      </c>
      <c r="N977" s="5" t="s">
        <v>53</v>
      </c>
      <c r="O977" s="5" t="s">
        <v>71</v>
      </c>
      <c r="P977" s="5" t="s">
        <v>70</v>
      </c>
      <c r="Q977" s="5" t="s">
        <v>73</v>
      </c>
      <c r="R977" s="5" t="s">
        <v>74</v>
      </c>
      <c r="S977" s="5" t="s">
        <v>185</v>
      </c>
      <c r="T977" s="5" t="s">
        <v>63</v>
      </c>
      <c r="U977" s="5" t="s">
        <v>104</v>
      </c>
      <c r="V977" s="5" t="s">
        <v>186</v>
      </c>
      <c r="W977" s="5" t="s">
        <v>187</v>
      </c>
      <c r="X977" s="5" t="s">
        <v>188</v>
      </c>
      <c r="Y977" s="5" t="s">
        <v>4289</v>
      </c>
      <c r="Z977" s="9">
        <v>46155</v>
      </c>
      <c r="AA977" s="8">
        <v>12</v>
      </c>
      <c r="AB977" s="9">
        <f t="shared" si="46"/>
        <v>46520</v>
      </c>
      <c r="AC977" s="10">
        <v>13</v>
      </c>
      <c r="AD977" s="7">
        <f t="shared" si="47"/>
        <v>2393</v>
      </c>
      <c r="AE977" s="7">
        <f>IF(F977="Bullet",H977*AD977,MIN(MAX(I977,1),Assumptions!$B$6)*AD977)</f>
        <v>4786</v>
      </c>
      <c r="AF977" s="8">
        <f>IF(F977="Bullet",MAX(0,Assumptions!$B$4-AB977),MAX(0,Assumptions!$B$4-L977))</f>
        <v>0</v>
      </c>
      <c r="AG977" s="9"/>
      <c r="AH977" s="8" t="str">
        <f>IF(AG977="","",Assumptions!$B$4-AG977)</f>
        <v/>
      </c>
      <c r="AI977" s="5" t="s">
        <v>80</v>
      </c>
      <c r="AJ977" s="8"/>
      <c r="AK977" s="8">
        <v>0</v>
      </c>
      <c r="AL977" s="8">
        <v>687</v>
      </c>
      <c r="AM977" s="8">
        <v>1</v>
      </c>
      <c r="AN977" s="5" t="s">
        <v>63</v>
      </c>
      <c r="AO977" s="10">
        <v>67.3</v>
      </c>
      <c r="AP977" s="8">
        <v>30</v>
      </c>
      <c r="AQ977" s="9">
        <v>46285</v>
      </c>
      <c r="AR977" s="5" t="s">
        <v>51</v>
      </c>
      <c r="AS977" s="5" t="s">
        <v>91</v>
      </c>
    </row>
    <row r="978" spans="1:45" x14ac:dyDescent="0.35">
      <c r="A978" s="5" t="s">
        <v>4290</v>
      </c>
      <c r="B978" s="5" t="s">
        <v>2235</v>
      </c>
      <c r="C978" s="6" t="s">
        <v>4291</v>
      </c>
      <c r="D978" s="7">
        <v>28900</v>
      </c>
      <c r="E978" s="5" t="s">
        <v>48</v>
      </c>
      <c r="F978" s="5" t="s">
        <v>49</v>
      </c>
      <c r="G978" s="8"/>
      <c r="H978" s="8" t="str">
        <f>IF(F978="Bullet",MIN(G978,Assumptions!$B$6),"")</f>
        <v/>
      </c>
      <c r="I978" s="8">
        <v>2</v>
      </c>
      <c r="J978" s="8">
        <f>IF(F978="Monthly interest",MAX(0,Assumptions!$B$5-I978),"")</f>
        <v>1</v>
      </c>
      <c r="K978" s="7">
        <f t="shared" si="45"/>
        <v>770</v>
      </c>
      <c r="L978" s="9">
        <v>46266</v>
      </c>
      <c r="M978" s="5" t="s">
        <v>69</v>
      </c>
      <c r="N978" s="5" t="s">
        <v>53</v>
      </c>
      <c r="O978" s="5" t="s">
        <v>152</v>
      </c>
      <c r="P978" s="5" t="s">
        <v>153</v>
      </c>
      <c r="Q978" s="5" t="s">
        <v>154</v>
      </c>
      <c r="R978" s="5" t="s">
        <v>155</v>
      </c>
      <c r="S978" s="5" t="s">
        <v>75</v>
      </c>
      <c r="T978" s="5" t="s">
        <v>57</v>
      </c>
      <c r="U978" s="5" t="s">
        <v>104</v>
      </c>
      <c r="V978" s="5" t="s">
        <v>76</v>
      </c>
      <c r="W978" s="5" t="s">
        <v>382</v>
      </c>
      <c r="X978" s="5" t="s">
        <v>575</v>
      </c>
      <c r="Y978" s="5" t="s">
        <v>4292</v>
      </c>
      <c r="Z978" s="9">
        <v>46082</v>
      </c>
      <c r="AA978" s="8">
        <v>12</v>
      </c>
      <c r="AB978" s="9">
        <f t="shared" si="46"/>
        <v>46447</v>
      </c>
      <c r="AC978" s="10">
        <v>16</v>
      </c>
      <c r="AD978" s="7">
        <f t="shared" si="47"/>
        <v>385</v>
      </c>
      <c r="AE978" s="7">
        <f>IF(F978="Bullet",H978*AD978,MIN(MAX(I978,1),Assumptions!$B$6)*AD978)</f>
        <v>770</v>
      </c>
      <c r="AF978" s="8">
        <f>IF(F978="Bullet",MAX(0,Assumptions!$B$4-AB978),MAX(0,Assumptions!$B$4-L978))</f>
        <v>32</v>
      </c>
      <c r="AG978" s="9">
        <v>46239</v>
      </c>
      <c r="AH978" s="8">
        <f>IF(AG978="","",Assumptions!$B$4-AG978)</f>
        <v>59</v>
      </c>
      <c r="AI978" s="5" t="s">
        <v>63</v>
      </c>
      <c r="AJ978" s="8">
        <v>2</v>
      </c>
      <c r="AK978" s="8">
        <v>1</v>
      </c>
      <c r="AL978" s="8">
        <v>742</v>
      </c>
      <c r="AM978" s="8">
        <v>2</v>
      </c>
      <c r="AN978" s="5" t="s">
        <v>63</v>
      </c>
      <c r="AO978" s="10">
        <v>63.8</v>
      </c>
      <c r="AP978" s="8">
        <v>46</v>
      </c>
      <c r="AQ978" s="9">
        <v>46275</v>
      </c>
      <c r="AR978" s="5" t="s">
        <v>72</v>
      </c>
      <c r="AS978" s="5" t="s">
        <v>64</v>
      </c>
    </row>
    <row r="979" spans="1:45" x14ac:dyDescent="0.35">
      <c r="A979" s="5" t="s">
        <v>4293</v>
      </c>
      <c r="B979" s="5" t="s">
        <v>4294</v>
      </c>
      <c r="C979" s="6" t="s">
        <v>4295</v>
      </c>
      <c r="D979" s="7">
        <v>123300</v>
      </c>
      <c r="E979" s="5" t="s">
        <v>48</v>
      </c>
      <c r="F979" s="5" t="s">
        <v>68</v>
      </c>
      <c r="G979" s="8">
        <v>2</v>
      </c>
      <c r="H979" s="8">
        <f>IF(F979="Bullet",MIN(G979,Assumptions!$B$6),"")</f>
        <v>2</v>
      </c>
      <c r="I979" s="8"/>
      <c r="J979" s="8" t="str">
        <f>IF(F979="Monthly interest",MAX(0,Assumptions!$B$5-I979),"")</f>
        <v/>
      </c>
      <c r="K979" s="7">
        <f t="shared" si="45"/>
        <v>3082</v>
      </c>
      <c r="L979" s="9">
        <v>46229</v>
      </c>
      <c r="M979" s="5" t="s">
        <v>50</v>
      </c>
      <c r="N979" s="5" t="s">
        <v>51</v>
      </c>
      <c r="O979" s="5" t="s">
        <v>71</v>
      </c>
      <c r="P979" s="5" t="s">
        <v>53</v>
      </c>
      <c r="Q979" s="5" t="s">
        <v>73</v>
      </c>
      <c r="R979" s="5" t="s">
        <v>74</v>
      </c>
      <c r="S979" s="5" t="s">
        <v>75</v>
      </c>
      <c r="T979" s="5" t="s">
        <v>57</v>
      </c>
      <c r="U979" s="5" t="s">
        <v>58</v>
      </c>
      <c r="V979" s="5" t="s">
        <v>76</v>
      </c>
      <c r="W979" s="5" t="s">
        <v>306</v>
      </c>
      <c r="X979" s="5" t="s">
        <v>413</v>
      </c>
      <c r="Y979" s="5" t="s">
        <v>4296</v>
      </c>
      <c r="Z979" s="9">
        <v>46229</v>
      </c>
      <c r="AA979" s="8">
        <v>12</v>
      </c>
      <c r="AB979" s="9">
        <f t="shared" si="46"/>
        <v>46594</v>
      </c>
      <c r="AC979" s="10">
        <v>15</v>
      </c>
      <c r="AD979" s="7">
        <f t="shared" si="47"/>
        <v>1541</v>
      </c>
      <c r="AE979" s="7">
        <f>IF(F979="Bullet",H979*AD979,MIN(MAX(I979,1),Assumptions!$B$6)*AD979)</f>
        <v>3082</v>
      </c>
      <c r="AF979" s="8">
        <f>IF(F979="Bullet",MAX(0,Assumptions!$B$4-AB979),MAX(0,Assumptions!$B$4-L979))</f>
        <v>0</v>
      </c>
      <c r="AG979" s="9"/>
      <c r="AH979" s="8" t="str">
        <f>IF(AG979="","",Assumptions!$B$4-AG979)</f>
        <v/>
      </c>
      <c r="AI979" s="5" t="s">
        <v>80</v>
      </c>
      <c r="AJ979" s="8"/>
      <c r="AK979" s="8">
        <v>1</v>
      </c>
      <c r="AL979" s="8">
        <v>750</v>
      </c>
      <c r="AM979" s="8">
        <v>1</v>
      </c>
      <c r="AN979" s="5" t="s">
        <v>63</v>
      </c>
      <c r="AO979" s="10">
        <v>69.7</v>
      </c>
      <c r="AP979" s="8">
        <v>13</v>
      </c>
      <c r="AQ979" s="9">
        <v>46288</v>
      </c>
      <c r="AR979" s="5" t="s">
        <v>53</v>
      </c>
      <c r="AS979" s="5" t="s">
        <v>64</v>
      </c>
    </row>
    <row r="980" spans="1:45" x14ac:dyDescent="0.35">
      <c r="A980" s="5" t="s">
        <v>4297</v>
      </c>
      <c r="B980" s="5" t="s">
        <v>4298</v>
      </c>
      <c r="C980" s="6" t="s">
        <v>4299</v>
      </c>
      <c r="D980" s="7">
        <v>38400</v>
      </c>
      <c r="E980" s="5" t="s">
        <v>48</v>
      </c>
      <c r="F980" s="5" t="s">
        <v>49</v>
      </c>
      <c r="G980" s="8"/>
      <c r="H980" s="8" t="str">
        <f>IF(F980="Bullet",MIN(G980,Assumptions!$B$6),"")</f>
        <v/>
      </c>
      <c r="I980" s="8">
        <v>2</v>
      </c>
      <c r="J980" s="8">
        <f>IF(F980="Monthly interest",MAX(0,Assumptions!$B$5-I980),"")</f>
        <v>1</v>
      </c>
      <c r="K980" s="7">
        <f t="shared" si="45"/>
        <v>1408</v>
      </c>
      <c r="L980" s="9">
        <v>46242</v>
      </c>
      <c r="M980" s="5" t="s">
        <v>69</v>
      </c>
      <c r="N980" s="5" t="s">
        <v>53</v>
      </c>
      <c r="O980" s="5" t="s">
        <v>152</v>
      </c>
      <c r="P980" s="5" t="s">
        <v>153</v>
      </c>
      <c r="Q980" s="5" t="s">
        <v>154</v>
      </c>
      <c r="R980" s="5" t="s">
        <v>155</v>
      </c>
      <c r="S980" s="5" t="s">
        <v>75</v>
      </c>
      <c r="T980" s="5" t="s">
        <v>57</v>
      </c>
      <c r="U980" s="5" t="s">
        <v>58</v>
      </c>
      <c r="V980" s="5" t="s">
        <v>76</v>
      </c>
      <c r="W980" s="5" t="s">
        <v>77</v>
      </c>
      <c r="X980" s="5" t="s">
        <v>78</v>
      </c>
      <c r="Y980" s="5" t="s">
        <v>4300</v>
      </c>
      <c r="Z980" s="9">
        <v>46061</v>
      </c>
      <c r="AA980" s="8">
        <v>12</v>
      </c>
      <c r="AB980" s="9">
        <f t="shared" si="46"/>
        <v>46426</v>
      </c>
      <c r="AC980" s="10">
        <v>22</v>
      </c>
      <c r="AD980" s="7">
        <f t="shared" si="47"/>
        <v>704</v>
      </c>
      <c r="AE980" s="7">
        <f>IF(F980="Bullet",H980*AD980,MIN(MAX(I980,1),Assumptions!$B$6)*AD980)</f>
        <v>1408</v>
      </c>
      <c r="AF980" s="8">
        <f>IF(F980="Bullet",MAX(0,Assumptions!$B$4-AB980),MAX(0,Assumptions!$B$4-L980))</f>
        <v>56</v>
      </c>
      <c r="AG980" s="9">
        <v>46215</v>
      </c>
      <c r="AH980" s="8">
        <f>IF(AG980="","",Assumptions!$B$4-AG980)</f>
        <v>83</v>
      </c>
      <c r="AI980" s="5" t="s">
        <v>63</v>
      </c>
      <c r="AJ980" s="8">
        <v>2</v>
      </c>
      <c r="AK980" s="8">
        <v>1</v>
      </c>
      <c r="AL980" s="8">
        <v>699</v>
      </c>
      <c r="AM980" s="8">
        <v>1</v>
      </c>
      <c r="AN980" s="5" t="s">
        <v>63</v>
      </c>
      <c r="AO980" s="10">
        <v>64.5</v>
      </c>
      <c r="AP980" s="8">
        <v>46</v>
      </c>
      <c r="AQ980" s="9"/>
      <c r="AR980" s="5"/>
      <c r="AS980" s="5" t="s">
        <v>159</v>
      </c>
    </row>
    <row r="981" spans="1:45" x14ac:dyDescent="0.35">
      <c r="A981" s="5" t="s">
        <v>4301</v>
      </c>
      <c r="B981" s="5" t="s">
        <v>4302</v>
      </c>
      <c r="C981" s="6" t="s">
        <v>4303</v>
      </c>
      <c r="D981" s="7">
        <v>252400</v>
      </c>
      <c r="E981" s="5" t="s">
        <v>48</v>
      </c>
      <c r="F981" s="5" t="s">
        <v>68</v>
      </c>
      <c r="G981" s="8">
        <v>4</v>
      </c>
      <c r="H981" s="8">
        <f>IF(F981="Bullet",MIN(G981,Assumptions!$B$6),"")</f>
        <v>2</v>
      </c>
      <c r="I981" s="8"/>
      <c r="J981" s="8" t="str">
        <f>IF(F981="Monthly interest",MAX(0,Assumptions!$B$5-I981),"")</f>
        <v/>
      </c>
      <c r="K981" s="7">
        <f t="shared" si="45"/>
        <v>11780</v>
      </c>
      <c r="L981" s="9">
        <v>46153</v>
      </c>
      <c r="M981" s="5" t="s">
        <v>69</v>
      </c>
      <c r="N981" s="5" t="s">
        <v>70</v>
      </c>
      <c r="O981" s="5" t="s">
        <v>71</v>
      </c>
      <c r="P981" s="5" t="s">
        <v>72</v>
      </c>
      <c r="Q981" s="5" t="s">
        <v>73</v>
      </c>
      <c r="R981" s="5" t="s">
        <v>74</v>
      </c>
      <c r="S981" s="5" t="s">
        <v>214</v>
      </c>
      <c r="T981" s="5" t="s">
        <v>57</v>
      </c>
      <c r="U981" s="5" t="s">
        <v>104</v>
      </c>
      <c r="V981" s="5" t="s">
        <v>215</v>
      </c>
      <c r="W981" s="5" t="s">
        <v>1057</v>
      </c>
      <c r="X981" s="5" t="s">
        <v>4304</v>
      </c>
      <c r="Y981" s="5" t="s">
        <v>4305</v>
      </c>
      <c r="Z981" s="9">
        <v>46153</v>
      </c>
      <c r="AA981" s="8">
        <v>6</v>
      </c>
      <c r="AB981" s="9">
        <f t="shared" si="46"/>
        <v>46337</v>
      </c>
      <c r="AC981" s="10">
        <v>14</v>
      </c>
      <c r="AD981" s="7">
        <f t="shared" si="47"/>
        <v>2945</v>
      </c>
      <c r="AE981" s="7">
        <f>IF(F981="Bullet",H981*AD981,MIN(MAX(I981,1),Assumptions!$B$6)*AD981)</f>
        <v>5890</v>
      </c>
      <c r="AF981" s="8">
        <f>IF(F981="Bullet",MAX(0,Assumptions!$B$4-AB981),MAX(0,Assumptions!$B$4-L981))</f>
        <v>0</v>
      </c>
      <c r="AG981" s="9"/>
      <c r="AH981" s="8" t="str">
        <f>IF(AG981="","",Assumptions!$B$4-AG981)</f>
        <v/>
      </c>
      <c r="AI981" s="5" t="s">
        <v>80</v>
      </c>
      <c r="AJ981" s="8"/>
      <c r="AK981" s="8">
        <v>2</v>
      </c>
      <c r="AL981" s="8">
        <v>695</v>
      </c>
      <c r="AM981" s="8">
        <v>2</v>
      </c>
      <c r="AN981" s="5" t="s">
        <v>63</v>
      </c>
      <c r="AO981" s="10">
        <v>58.8</v>
      </c>
      <c r="AP981" s="8">
        <v>39</v>
      </c>
      <c r="AQ981" s="9">
        <v>46294</v>
      </c>
      <c r="AR981" s="5" t="s">
        <v>72</v>
      </c>
      <c r="AS981" s="5" t="s">
        <v>64</v>
      </c>
    </row>
    <row r="982" spans="1:45" x14ac:dyDescent="0.35">
      <c r="A982" s="5" t="s">
        <v>4306</v>
      </c>
      <c r="B982" s="5" t="s">
        <v>4307</v>
      </c>
      <c r="C982" s="6" t="s">
        <v>4308</v>
      </c>
      <c r="D982" s="7">
        <v>66700</v>
      </c>
      <c r="E982" s="5" t="s">
        <v>48</v>
      </c>
      <c r="F982" s="5" t="s">
        <v>49</v>
      </c>
      <c r="G982" s="8"/>
      <c r="H982" s="8" t="str">
        <f>IF(F982="Bullet",MIN(G982,Assumptions!$B$6),"")</f>
        <v/>
      </c>
      <c r="I982" s="8">
        <v>1</v>
      </c>
      <c r="J982" s="8">
        <f>IF(F982="Monthly interest",MAX(0,Assumptions!$B$5-I982),"")</f>
        <v>2</v>
      </c>
      <c r="K982" s="7">
        <f t="shared" si="45"/>
        <v>778</v>
      </c>
      <c r="L982" s="9">
        <v>46296</v>
      </c>
      <c r="M982" s="5" t="s">
        <v>69</v>
      </c>
      <c r="N982" s="5" t="s">
        <v>51</v>
      </c>
      <c r="O982" s="5" t="s">
        <v>52</v>
      </c>
      <c r="P982" s="5" t="s">
        <v>53</v>
      </c>
      <c r="Q982" s="5" t="s">
        <v>54</v>
      </c>
      <c r="R982" s="5" t="s">
        <v>55</v>
      </c>
      <c r="S982" s="5" t="s">
        <v>85</v>
      </c>
      <c r="T982" s="5" t="s">
        <v>57</v>
      </c>
      <c r="U982" s="5" t="s">
        <v>86</v>
      </c>
      <c r="V982" s="5" t="s">
        <v>553</v>
      </c>
      <c r="W982" s="5" t="s">
        <v>554</v>
      </c>
      <c r="X982" s="5" t="s">
        <v>555</v>
      </c>
      <c r="Y982" s="5" t="s">
        <v>4309</v>
      </c>
      <c r="Z982" s="9">
        <v>46113</v>
      </c>
      <c r="AA982" s="8">
        <v>18</v>
      </c>
      <c r="AB982" s="9">
        <f t="shared" si="46"/>
        <v>46661</v>
      </c>
      <c r="AC982" s="10">
        <v>14</v>
      </c>
      <c r="AD982" s="7">
        <f t="shared" si="47"/>
        <v>778</v>
      </c>
      <c r="AE982" s="7">
        <f>IF(F982="Bullet",H982*AD982,MIN(MAX(I982,1),Assumptions!$B$6)*AD982)</f>
        <v>778</v>
      </c>
      <c r="AF982" s="8">
        <f>IF(F982="Bullet",MAX(0,Assumptions!$B$4-AB982),MAX(0,Assumptions!$B$4-L982))</f>
        <v>2</v>
      </c>
      <c r="AG982" s="9">
        <v>46268</v>
      </c>
      <c r="AH982" s="8">
        <f>IF(AG982="","",Assumptions!$B$4-AG982)</f>
        <v>30</v>
      </c>
      <c r="AI982" s="5" t="s">
        <v>57</v>
      </c>
      <c r="AJ982" s="8">
        <v>2</v>
      </c>
      <c r="AK982" s="8">
        <v>0</v>
      </c>
      <c r="AL982" s="8">
        <v>710</v>
      </c>
      <c r="AM982" s="8">
        <v>0</v>
      </c>
      <c r="AN982" s="5" t="s">
        <v>57</v>
      </c>
      <c r="AO982" s="10">
        <v>86.3</v>
      </c>
      <c r="AP982" s="8">
        <v>41</v>
      </c>
      <c r="AQ982" s="9">
        <v>46274</v>
      </c>
      <c r="AR982" s="5" t="s">
        <v>53</v>
      </c>
      <c r="AS982" s="5" t="s">
        <v>91</v>
      </c>
    </row>
    <row r="983" spans="1:45" x14ac:dyDescent="0.35">
      <c r="A983" s="5" t="s">
        <v>4310</v>
      </c>
      <c r="B983" s="5" t="s">
        <v>4311</v>
      </c>
      <c r="C983" s="6" t="s">
        <v>4312</v>
      </c>
      <c r="D983" s="7">
        <v>62800</v>
      </c>
      <c r="E983" s="5" t="s">
        <v>48</v>
      </c>
      <c r="F983" s="5" t="s">
        <v>49</v>
      </c>
      <c r="G983" s="8"/>
      <c r="H983" s="8" t="str">
        <f>IF(F983="Bullet",MIN(G983,Assumptions!$B$6),"")</f>
        <v/>
      </c>
      <c r="I983" s="8">
        <v>1</v>
      </c>
      <c r="J983" s="8">
        <f>IF(F983="Monthly interest",MAX(0,Assumptions!$B$5-I983),"")</f>
        <v>2</v>
      </c>
      <c r="K983" s="7">
        <f t="shared" si="45"/>
        <v>733</v>
      </c>
      <c r="L983" s="9">
        <v>46285</v>
      </c>
      <c r="M983" s="5" t="s">
        <v>50</v>
      </c>
      <c r="N983" s="5" t="s">
        <v>53</v>
      </c>
      <c r="O983" s="5" t="s">
        <v>132</v>
      </c>
      <c r="P983" s="5" t="s">
        <v>51</v>
      </c>
      <c r="Q983" s="5" t="s">
        <v>54</v>
      </c>
      <c r="R983" s="5" t="s">
        <v>55</v>
      </c>
      <c r="S983" s="5" t="s">
        <v>253</v>
      </c>
      <c r="T983" s="5" t="s">
        <v>57</v>
      </c>
      <c r="U983" s="5" t="s">
        <v>86</v>
      </c>
      <c r="V983" s="5" t="s">
        <v>59</v>
      </c>
      <c r="W983" s="5" t="s">
        <v>323</v>
      </c>
      <c r="X983" s="5" t="s">
        <v>1309</v>
      </c>
      <c r="Y983" s="5" t="s">
        <v>4313</v>
      </c>
      <c r="Z983" s="9">
        <v>46162</v>
      </c>
      <c r="AA983" s="8">
        <v>12</v>
      </c>
      <c r="AB983" s="9">
        <f t="shared" si="46"/>
        <v>46527</v>
      </c>
      <c r="AC983" s="10">
        <v>14</v>
      </c>
      <c r="AD983" s="7">
        <f t="shared" si="47"/>
        <v>733</v>
      </c>
      <c r="AE983" s="7">
        <f>IF(F983="Bullet",H983*AD983,MIN(MAX(I983,1),Assumptions!$B$6)*AD983)</f>
        <v>733</v>
      </c>
      <c r="AF983" s="8">
        <f>IF(F983="Bullet",MAX(0,Assumptions!$B$4-AB983),MAX(0,Assumptions!$B$4-L983))</f>
        <v>13</v>
      </c>
      <c r="AG983" s="9">
        <v>46255</v>
      </c>
      <c r="AH983" s="8">
        <f>IF(AG983="","",Assumptions!$B$4-AG983)</f>
        <v>43</v>
      </c>
      <c r="AI983" s="5" t="s">
        <v>57</v>
      </c>
      <c r="AJ983" s="8">
        <v>1</v>
      </c>
      <c r="AK983" s="8">
        <v>0</v>
      </c>
      <c r="AL983" s="8">
        <v>800</v>
      </c>
      <c r="AM983" s="8">
        <v>1</v>
      </c>
      <c r="AN983" s="5" t="s">
        <v>63</v>
      </c>
      <c r="AO983" s="10">
        <v>67.5</v>
      </c>
      <c r="AP983" s="8">
        <v>14</v>
      </c>
      <c r="AQ983" s="9">
        <v>46284</v>
      </c>
      <c r="AR983" s="5" t="s">
        <v>51</v>
      </c>
      <c r="AS983" s="5" t="s">
        <v>91</v>
      </c>
    </row>
    <row r="984" spans="1:45" x14ac:dyDescent="0.35">
      <c r="A984" s="5" t="s">
        <v>4314</v>
      </c>
      <c r="B984" s="5" t="s">
        <v>4315</v>
      </c>
      <c r="C984" s="6" t="s">
        <v>4316</v>
      </c>
      <c r="D984" s="7">
        <v>68100</v>
      </c>
      <c r="E984" s="5" t="s">
        <v>48</v>
      </c>
      <c r="F984" s="5" t="s">
        <v>49</v>
      </c>
      <c r="G984" s="8"/>
      <c r="H984" s="8" t="str">
        <f>IF(F984="Bullet",MIN(G984,Assumptions!$B$6),"")</f>
        <v/>
      </c>
      <c r="I984" s="8">
        <v>2</v>
      </c>
      <c r="J984" s="8">
        <f>IF(F984="Monthly interest",MAX(0,Assumptions!$B$5-I984),"")</f>
        <v>1</v>
      </c>
      <c r="K984" s="7">
        <f t="shared" si="45"/>
        <v>2270</v>
      </c>
      <c r="L984" s="9">
        <v>46240</v>
      </c>
      <c r="M984" s="5" t="s">
        <v>69</v>
      </c>
      <c r="N984" s="5" t="s">
        <v>53</v>
      </c>
      <c r="O984" s="5" t="s">
        <v>71</v>
      </c>
      <c r="P984" s="5" t="s">
        <v>70</v>
      </c>
      <c r="Q984" s="5" t="s">
        <v>73</v>
      </c>
      <c r="R984" s="5" t="s">
        <v>74</v>
      </c>
      <c r="S984" s="5" t="s">
        <v>85</v>
      </c>
      <c r="T984" s="5" t="s">
        <v>57</v>
      </c>
      <c r="U984" s="5" t="s">
        <v>104</v>
      </c>
      <c r="V984" s="5" t="s">
        <v>177</v>
      </c>
      <c r="W984" s="5" t="s">
        <v>208</v>
      </c>
      <c r="X984" s="5" t="s">
        <v>209</v>
      </c>
      <c r="Y984" s="5" t="s">
        <v>4317</v>
      </c>
      <c r="Z984" s="9">
        <v>45967</v>
      </c>
      <c r="AA984" s="8">
        <v>12</v>
      </c>
      <c r="AB984" s="9">
        <f t="shared" si="46"/>
        <v>46332</v>
      </c>
      <c r="AC984" s="10">
        <v>20</v>
      </c>
      <c r="AD984" s="7">
        <f t="shared" si="47"/>
        <v>1135</v>
      </c>
      <c r="AE984" s="7">
        <f>IF(F984="Bullet",H984*AD984,MIN(MAX(I984,1),Assumptions!$B$6)*AD984)</f>
        <v>2270</v>
      </c>
      <c r="AF984" s="8">
        <f>IF(F984="Bullet",MAX(0,Assumptions!$B$4-AB984),MAX(0,Assumptions!$B$4-L984))</f>
        <v>58</v>
      </c>
      <c r="AG984" s="9">
        <v>46209</v>
      </c>
      <c r="AH984" s="8">
        <f>IF(AG984="","",Assumptions!$B$4-AG984)</f>
        <v>89</v>
      </c>
      <c r="AI984" s="5" t="s">
        <v>63</v>
      </c>
      <c r="AJ984" s="8">
        <v>2</v>
      </c>
      <c r="AK984" s="8">
        <v>0</v>
      </c>
      <c r="AL984" s="8" t="s">
        <v>80</v>
      </c>
      <c r="AM984" s="8">
        <v>1</v>
      </c>
      <c r="AN984" s="5" t="s">
        <v>63</v>
      </c>
      <c r="AO984" s="10">
        <v>77.400000000000006</v>
      </c>
      <c r="AP984" s="8">
        <v>42</v>
      </c>
      <c r="AQ984" s="9"/>
      <c r="AR984" s="5"/>
      <c r="AS984" s="5" t="s">
        <v>159</v>
      </c>
    </row>
    <row r="985" spans="1:45" x14ac:dyDescent="0.35">
      <c r="A985" s="5" t="s">
        <v>4318</v>
      </c>
      <c r="B985" s="5" t="s">
        <v>3116</v>
      </c>
      <c r="C985" s="6" t="s">
        <v>4319</v>
      </c>
      <c r="D985" s="7">
        <v>243200</v>
      </c>
      <c r="E985" s="5" t="s">
        <v>48</v>
      </c>
      <c r="F985" s="5" t="s">
        <v>68</v>
      </c>
      <c r="G985" s="8">
        <v>4</v>
      </c>
      <c r="H985" s="8">
        <f>IF(F985="Bullet",MIN(G985,Assumptions!$B$6),"")</f>
        <v>2</v>
      </c>
      <c r="I985" s="8"/>
      <c r="J985" s="8" t="str">
        <f>IF(F985="Monthly interest",MAX(0,Assumptions!$B$5-I985),"")</f>
        <v/>
      </c>
      <c r="K985" s="7">
        <f t="shared" si="45"/>
        <v>9728</v>
      </c>
      <c r="L985" s="9">
        <v>46155</v>
      </c>
      <c r="M985" s="5" t="s">
        <v>116</v>
      </c>
      <c r="N985" s="5" t="s">
        <v>117</v>
      </c>
      <c r="O985" s="5" t="s">
        <v>207</v>
      </c>
      <c r="P985" s="5" t="s">
        <v>72</v>
      </c>
      <c r="Q985" s="5" t="s">
        <v>73</v>
      </c>
      <c r="R985" s="5" t="s">
        <v>74</v>
      </c>
      <c r="S985" s="5" t="s">
        <v>85</v>
      </c>
      <c r="T985" s="5" t="s">
        <v>63</v>
      </c>
      <c r="U985" s="5" t="s">
        <v>58</v>
      </c>
      <c r="V985" s="5" t="s">
        <v>133</v>
      </c>
      <c r="W985" s="5" t="s">
        <v>134</v>
      </c>
      <c r="X985" s="5" t="s">
        <v>135</v>
      </c>
      <c r="Y985" s="5" t="s">
        <v>4320</v>
      </c>
      <c r="Z985" s="9">
        <v>46155</v>
      </c>
      <c r="AA985" s="8">
        <v>6</v>
      </c>
      <c r="AB985" s="9">
        <f t="shared" si="46"/>
        <v>46339</v>
      </c>
      <c r="AC985" s="10">
        <v>12</v>
      </c>
      <c r="AD985" s="7">
        <f t="shared" si="47"/>
        <v>2432</v>
      </c>
      <c r="AE985" s="7">
        <f>IF(F985="Bullet",H985*AD985,MIN(MAX(I985,1),Assumptions!$B$6)*AD985)</f>
        <v>4864</v>
      </c>
      <c r="AF985" s="8">
        <f>IF(F985="Bullet",MAX(0,Assumptions!$B$4-AB985),MAX(0,Assumptions!$B$4-L985))</f>
        <v>0</v>
      </c>
      <c r="AG985" s="9"/>
      <c r="AH985" s="8" t="str">
        <f>IF(AG985="","",Assumptions!$B$4-AG985)</f>
        <v/>
      </c>
      <c r="AI985" s="5" t="s">
        <v>80</v>
      </c>
      <c r="AJ985" s="8"/>
      <c r="AK985" s="8">
        <v>0</v>
      </c>
      <c r="AL985" s="8">
        <v>663</v>
      </c>
      <c r="AM985" s="8">
        <v>0</v>
      </c>
      <c r="AN985" s="5" t="s">
        <v>57</v>
      </c>
      <c r="AO985" s="10">
        <v>88</v>
      </c>
      <c r="AP985" s="8">
        <v>55</v>
      </c>
      <c r="AQ985" s="9">
        <v>46285</v>
      </c>
      <c r="AR985" s="5" t="s">
        <v>53</v>
      </c>
      <c r="AS985" s="5" t="s">
        <v>81</v>
      </c>
    </row>
    <row r="986" spans="1:45" x14ac:dyDescent="0.35">
      <c r="A986" s="5" t="s">
        <v>4321</v>
      </c>
      <c r="B986" s="5" t="s">
        <v>4322</v>
      </c>
      <c r="C986" s="6" t="s">
        <v>4323</v>
      </c>
      <c r="D986" s="7">
        <v>63900</v>
      </c>
      <c r="E986" s="5" t="s">
        <v>48</v>
      </c>
      <c r="F986" s="5" t="s">
        <v>49</v>
      </c>
      <c r="G986" s="8"/>
      <c r="H986" s="8" t="str">
        <f>IF(F986="Bullet",MIN(G986,Assumptions!$B$6),"")</f>
        <v/>
      </c>
      <c r="I986" s="8">
        <v>2</v>
      </c>
      <c r="J986" s="8">
        <f>IF(F986="Monthly interest",MAX(0,Assumptions!$B$5-I986),"")</f>
        <v>1</v>
      </c>
      <c r="K986" s="7">
        <f t="shared" si="45"/>
        <v>2344</v>
      </c>
      <c r="L986" s="9">
        <v>46251</v>
      </c>
      <c r="M986" s="5" t="s">
        <v>69</v>
      </c>
      <c r="N986" s="5" t="s">
        <v>53</v>
      </c>
      <c r="O986" s="5" t="s">
        <v>71</v>
      </c>
      <c r="P986" s="5" t="s">
        <v>70</v>
      </c>
      <c r="Q986" s="5" t="s">
        <v>73</v>
      </c>
      <c r="R986" s="5" t="s">
        <v>74</v>
      </c>
      <c r="S986" s="5" t="s">
        <v>75</v>
      </c>
      <c r="T986" s="5" t="s">
        <v>63</v>
      </c>
      <c r="U986" s="5" t="s">
        <v>58</v>
      </c>
      <c r="V986" s="5" t="s">
        <v>76</v>
      </c>
      <c r="W986" s="5" t="s">
        <v>146</v>
      </c>
      <c r="X986" s="5" t="s">
        <v>3784</v>
      </c>
      <c r="Y986" s="5" t="s">
        <v>4324</v>
      </c>
      <c r="Z986" s="9">
        <v>46098</v>
      </c>
      <c r="AA986" s="8">
        <v>12</v>
      </c>
      <c r="AB986" s="9">
        <f t="shared" si="46"/>
        <v>46463</v>
      </c>
      <c r="AC986" s="10">
        <v>22</v>
      </c>
      <c r="AD986" s="7">
        <f t="shared" si="47"/>
        <v>1172</v>
      </c>
      <c r="AE986" s="7">
        <f>IF(F986="Bullet",H986*AD986,MIN(MAX(I986,1),Assumptions!$B$6)*AD986)</f>
        <v>2344</v>
      </c>
      <c r="AF986" s="8">
        <f>IF(F986="Bullet",MAX(0,Assumptions!$B$4-AB986),MAX(0,Assumptions!$B$4-L986))</f>
        <v>47</v>
      </c>
      <c r="AG986" s="9">
        <v>46221</v>
      </c>
      <c r="AH986" s="8">
        <f>IF(AG986="","",Assumptions!$B$4-AG986)</f>
        <v>77</v>
      </c>
      <c r="AI986" s="5" t="s">
        <v>63</v>
      </c>
      <c r="AJ986" s="8">
        <v>2</v>
      </c>
      <c r="AK986" s="8">
        <v>0</v>
      </c>
      <c r="AL986" s="8">
        <v>820</v>
      </c>
      <c r="AM986" s="8">
        <v>2</v>
      </c>
      <c r="AN986" s="5" t="s">
        <v>63</v>
      </c>
      <c r="AO986" s="10">
        <v>68.5</v>
      </c>
      <c r="AP986" s="8">
        <v>32</v>
      </c>
      <c r="AQ986" s="9">
        <v>46274</v>
      </c>
      <c r="AR986" s="5" t="s">
        <v>72</v>
      </c>
      <c r="AS986" s="5" t="s">
        <v>64</v>
      </c>
    </row>
    <row r="987" spans="1:45" x14ac:dyDescent="0.35">
      <c r="A987" s="5" t="s">
        <v>4325</v>
      </c>
      <c r="B987" s="5" t="s">
        <v>4326</v>
      </c>
      <c r="C987" s="6" t="s">
        <v>4327</v>
      </c>
      <c r="D987" s="7">
        <v>59900</v>
      </c>
      <c r="E987" s="5" t="s">
        <v>48</v>
      </c>
      <c r="F987" s="5" t="s">
        <v>49</v>
      </c>
      <c r="G987" s="8"/>
      <c r="H987" s="8" t="str">
        <f>IF(F987="Bullet",MIN(G987,Assumptions!$B$6),"")</f>
        <v/>
      </c>
      <c r="I987" s="8">
        <v>1</v>
      </c>
      <c r="J987" s="8">
        <f>IF(F987="Monthly interest",MAX(0,Assumptions!$B$5-I987),"")</f>
        <v>2</v>
      </c>
      <c r="K987" s="7">
        <f t="shared" si="45"/>
        <v>699</v>
      </c>
      <c r="L987" s="9">
        <v>46281</v>
      </c>
      <c r="M987" s="5" t="s">
        <v>50</v>
      </c>
      <c r="N987" s="5" t="s">
        <v>51</v>
      </c>
      <c r="O987" s="5" t="s">
        <v>52</v>
      </c>
      <c r="P987" s="5" t="s">
        <v>53</v>
      </c>
      <c r="Q987" s="5" t="s">
        <v>54</v>
      </c>
      <c r="R987" s="5" t="s">
        <v>55</v>
      </c>
      <c r="S987" s="5" t="s">
        <v>75</v>
      </c>
      <c r="T987" s="5" t="s">
        <v>57</v>
      </c>
      <c r="U987" s="5" t="s">
        <v>86</v>
      </c>
      <c r="V987" s="5" t="s">
        <v>76</v>
      </c>
      <c r="W987" s="5" t="s">
        <v>140</v>
      </c>
      <c r="X987" s="5" t="s">
        <v>829</v>
      </c>
      <c r="Y987" s="5" t="s">
        <v>4328</v>
      </c>
      <c r="Z987" s="9">
        <v>46007</v>
      </c>
      <c r="AA987" s="8">
        <v>12</v>
      </c>
      <c r="AB987" s="9">
        <f t="shared" si="46"/>
        <v>46372</v>
      </c>
      <c r="AC987" s="10">
        <v>14</v>
      </c>
      <c r="AD987" s="7">
        <f t="shared" si="47"/>
        <v>699</v>
      </c>
      <c r="AE987" s="7">
        <f>IF(F987="Bullet",H987*AD987,MIN(MAX(I987,1),Assumptions!$B$6)*AD987)</f>
        <v>699</v>
      </c>
      <c r="AF987" s="8">
        <f>IF(F987="Bullet",MAX(0,Assumptions!$B$4-AB987),MAX(0,Assumptions!$B$4-L987))</f>
        <v>17</v>
      </c>
      <c r="AG987" s="9">
        <v>46254</v>
      </c>
      <c r="AH987" s="8">
        <f>IF(AG987="","",Assumptions!$B$4-AG987)</f>
        <v>44</v>
      </c>
      <c r="AI987" s="5" t="s">
        <v>57</v>
      </c>
      <c r="AJ987" s="8">
        <v>2</v>
      </c>
      <c r="AK987" s="8">
        <v>0</v>
      </c>
      <c r="AL987" s="8">
        <v>900</v>
      </c>
      <c r="AM987" s="8">
        <v>1</v>
      </c>
      <c r="AN987" s="5" t="s">
        <v>63</v>
      </c>
      <c r="AO987" s="10">
        <v>80.3</v>
      </c>
      <c r="AP987" s="8">
        <v>19</v>
      </c>
      <c r="AQ987" s="9">
        <v>46293</v>
      </c>
      <c r="AR987" s="5" t="s">
        <v>53</v>
      </c>
      <c r="AS987" s="5" t="s">
        <v>190</v>
      </c>
    </row>
    <row r="988" spans="1:45" x14ac:dyDescent="0.35">
      <c r="A988" s="5" t="s">
        <v>4329</v>
      </c>
      <c r="B988" s="5" t="s">
        <v>2368</v>
      </c>
      <c r="C988" s="6" t="s">
        <v>4330</v>
      </c>
      <c r="D988" s="7">
        <v>133700</v>
      </c>
      <c r="E988" s="5" t="s">
        <v>48</v>
      </c>
      <c r="F988" s="5" t="s">
        <v>49</v>
      </c>
      <c r="G988" s="8"/>
      <c r="H988" s="8" t="str">
        <f>IF(F988="Bullet",MIN(G988,Assumptions!$B$6),"")</f>
        <v/>
      </c>
      <c r="I988" s="8">
        <v>2</v>
      </c>
      <c r="J988" s="8">
        <f>IF(F988="Monthly interest",MAX(0,Assumptions!$B$5-I988),"")</f>
        <v>1</v>
      </c>
      <c r="K988" s="7">
        <f t="shared" si="45"/>
        <v>4902</v>
      </c>
      <c r="L988" s="9">
        <v>46243</v>
      </c>
      <c r="M988" s="5" t="s">
        <v>69</v>
      </c>
      <c r="N988" s="5" t="s">
        <v>53</v>
      </c>
      <c r="O988" s="5" t="s">
        <v>71</v>
      </c>
      <c r="P988" s="5" t="s">
        <v>70</v>
      </c>
      <c r="Q988" s="5" t="s">
        <v>73</v>
      </c>
      <c r="R988" s="5" t="s">
        <v>74</v>
      </c>
      <c r="S988" s="5" t="s">
        <v>85</v>
      </c>
      <c r="T988" s="5" t="s">
        <v>57</v>
      </c>
      <c r="U988" s="5" t="s">
        <v>104</v>
      </c>
      <c r="V988" s="5" t="s">
        <v>177</v>
      </c>
      <c r="W988" s="5" t="s">
        <v>178</v>
      </c>
      <c r="X988" s="5" t="s">
        <v>1063</v>
      </c>
      <c r="Y988" s="5" t="s">
        <v>4331</v>
      </c>
      <c r="Z988" s="9">
        <v>46031</v>
      </c>
      <c r="AA988" s="8">
        <v>12</v>
      </c>
      <c r="AB988" s="9">
        <f t="shared" si="46"/>
        <v>46396</v>
      </c>
      <c r="AC988" s="10">
        <v>22</v>
      </c>
      <c r="AD988" s="7">
        <f t="shared" si="47"/>
        <v>2451</v>
      </c>
      <c r="AE988" s="7">
        <f>IF(F988="Bullet",H988*AD988,MIN(MAX(I988,1),Assumptions!$B$6)*AD988)</f>
        <v>4902</v>
      </c>
      <c r="AF988" s="8">
        <f>IF(F988="Bullet",MAX(0,Assumptions!$B$4-AB988),MAX(0,Assumptions!$B$4-L988))</f>
        <v>55</v>
      </c>
      <c r="AG988" s="9">
        <v>46214</v>
      </c>
      <c r="AH988" s="8">
        <f>IF(AG988="","",Assumptions!$B$4-AG988)</f>
        <v>84</v>
      </c>
      <c r="AI988" s="5" t="s">
        <v>63</v>
      </c>
      <c r="AJ988" s="8">
        <v>2</v>
      </c>
      <c r="AK988" s="8">
        <v>0</v>
      </c>
      <c r="AL988" s="8" t="s">
        <v>80</v>
      </c>
      <c r="AM988" s="8">
        <v>2</v>
      </c>
      <c r="AN988" s="5" t="s">
        <v>63</v>
      </c>
      <c r="AO988" s="10">
        <v>66.5</v>
      </c>
      <c r="AP988" s="8">
        <v>45</v>
      </c>
      <c r="AQ988" s="9"/>
      <c r="AR988" s="5"/>
      <c r="AS988" s="5" t="s">
        <v>159</v>
      </c>
    </row>
    <row r="989" spans="1:45" x14ac:dyDescent="0.35">
      <c r="A989" s="5" t="s">
        <v>4332</v>
      </c>
      <c r="B989" s="5" t="s">
        <v>4333</v>
      </c>
      <c r="C989" s="6" t="s">
        <v>4334</v>
      </c>
      <c r="D989" s="7">
        <v>102900</v>
      </c>
      <c r="E989" s="5" t="s">
        <v>48</v>
      </c>
      <c r="F989" s="5" t="s">
        <v>49</v>
      </c>
      <c r="G989" s="8"/>
      <c r="H989" s="8" t="str">
        <f>IF(F989="Bullet",MIN(G989,Assumptions!$B$6),"")</f>
        <v/>
      </c>
      <c r="I989" s="8">
        <v>1</v>
      </c>
      <c r="J989" s="8">
        <f>IF(F989="Monthly interest",MAX(0,Assumptions!$B$5-I989),"")</f>
        <v>2</v>
      </c>
      <c r="K989" s="7">
        <f t="shared" si="45"/>
        <v>1887</v>
      </c>
      <c r="L989" s="9">
        <v>46296</v>
      </c>
      <c r="M989" s="5" t="s">
        <v>50</v>
      </c>
      <c r="N989" s="5" t="s">
        <v>53</v>
      </c>
      <c r="O989" s="5" t="s">
        <v>132</v>
      </c>
      <c r="P989" s="5" t="s">
        <v>51</v>
      </c>
      <c r="Q989" s="5" t="s">
        <v>54</v>
      </c>
      <c r="R989" s="5" t="s">
        <v>55</v>
      </c>
      <c r="S989" s="5" t="s">
        <v>75</v>
      </c>
      <c r="T989" s="5" t="s">
        <v>57</v>
      </c>
      <c r="U989" s="5" t="s">
        <v>58</v>
      </c>
      <c r="V989" s="5" t="s">
        <v>76</v>
      </c>
      <c r="W989" s="5" t="s">
        <v>382</v>
      </c>
      <c r="X989" s="5" t="s">
        <v>4335</v>
      </c>
      <c r="Y989" s="5" t="s">
        <v>4336</v>
      </c>
      <c r="Z989" s="9">
        <v>46143</v>
      </c>
      <c r="AA989" s="8">
        <v>12</v>
      </c>
      <c r="AB989" s="9">
        <f t="shared" si="46"/>
        <v>46508</v>
      </c>
      <c r="AC989" s="10">
        <v>22</v>
      </c>
      <c r="AD989" s="7">
        <f t="shared" si="47"/>
        <v>1887</v>
      </c>
      <c r="AE989" s="7">
        <f>IF(F989="Bullet",H989*AD989,MIN(MAX(I989,1),Assumptions!$B$6)*AD989)</f>
        <v>1887</v>
      </c>
      <c r="AF989" s="8">
        <f>IF(F989="Bullet",MAX(0,Assumptions!$B$4-AB989),MAX(0,Assumptions!$B$4-L989))</f>
        <v>2</v>
      </c>
      <c r="AG989" s="9">
        <v>46268</v>
      </c>
      <c r="AH989" s="8">
        <f>IF(AG989="","",Assumptions!$B$4-AG989)</f>
        <v>30</v>
      </c>
      <c r="AI989" s="5" t="s">
        <v>57</v>
      </c>
      <c r="AJ989" s="8">
        <v>1</v>
      </c>
      <c r="AK989" s="8">
        <v>0</v>
      </c>
      <c r="AL989" s="8">
        <v>776</v>
      </c>
      <c r="AM989" s="8">
        <v>0</v>
      </c>
      <c r="AN989" s="5" t="s">
        <v>63</v>
      </c>
      <c r="AO989" s="10">
        <v>76.900000000000006</v>
      </c>
      <c r="AP989" s="8">
        <v>16</v>
      </c>
      <c r="AQ989" s="9">
        <v>46277</v>
      </c>
      <c r="AR989" s="5" t="s">
        <v>51</v>
      </c>
      <c r="AS989" s="5" t="s">
        <v>91</v>
      </c>
    </row>
    <row r="990" spans="1:45" x14ac:dyDescent="0.35">
      <c r="A990" s="5" t="s">
        <v>4337</v>
      </c>
      <c r="B990" s="5" t="s">
        <v>484</v>
      </c>
      <c r="C990" s="6" t="s">
        <v>4338</v>
      </c>
      <c r="D990" s="7">
        <v>112200</v>
      </c>
      <c r="E990" s="5" t="s">
        <v>48</v>
      </c>
      <c r="F990" s="5" t="s">
        <v>68</v>
      </c>
      <c r="G990" s="8">
        <v>5</v>
      </c>
      <c r="H990" s="8">
        <f>IF(F990="Bullet",MIN(G990,Assumptions!$B$6),"")</f>
        <v>2</v>
      </c>
      <c r="I990" s="8"/>
      <c r="J990" s="8" t="str">
        <f>IF(F990="Monthly interest",MAX(0,Assumptions!$B$5-I990),"")</f>
        <v/>
      </c>
      <c r="K990" s="7">
        <f t="shared" si="45"/>
        <v>6545</v>
      </c>
      <c r="L990" s="9">
        <v>46131</v>
      </c>
      <c r="M990" s="5" t="s">
        <v>69</v>
      </c>
      <c r="N990" s="5" t="s">
        <v>53</v>
      </c>
      <c r="O990" s="5" t="s">
        <v>168</v>
      </c>
      <c r="P990" s="5" t="s">
        <v>70</v>
      </c>
      <c r="Q990" s="5" t="s">
        <v>169</v>
      </c>
      <c r="R990" s="5" t="s">
        <v>170</v>
      </c>
      <c r="S990" s="5" t="s">
        <v>75</v>
      </c>
      <c r="T990" s="5" t="s">
        <v>63</v>
      </c>
      <c r="U990" s="5" t="s">
        <v>58</v>
      </c>
      <c r="V990" s="5" t="s">
        <v>76</v>
      </c>
      <c r="W990" s="5" t="s">
        <v>444</v>
      </c>
      <c r="X990" s="5" t="s">
        <v>661</v>
      </c>
      <c r="Y990" s="5" t="s">
        <v>4339</v>
      </c>
      <c r="Z990" s="9">
        <v>46131</v>
      </c>
      <c r="AA990" s="8">
        <v>6</v>
      </c>
      <c r="AB990" s="9">
        <f t="shared" si="46"/>
        <v>46314</v>
      </c>
      <c r="AC990" s="10">
        <v>14</v>
      </c>
      <c r="AD990" s="7">
        <f t="shared" si="47"/>
        <v>1309</v>
      </c>
      <c r="AE990" s="7">
        <f>IF(F990="Bullet",H990*AD990,MIN(MAX(I990,1),Assumptions!$B$6)*AD990)</f>
        <v>2618</v>
      </c>
      <c r="AF990" s="8">
        <f>IF(F990="Bullet",MAX(0,Assumptions!$B$4-AB990),MAX(0,Assumptions!$B$4-L990))</f>
        <v>0</v>
      </c>
      <c r="AG990" s="9"/>
      <c r="AH990" s="8" t="str">
        <f>IF(AG990="","",Assumptions!$B$4-AG990)</f>
        <v/>
      </c>
      <c r="AI990" s="5" t="s">
        <v>80</v>
      </c>
      <c r="AJ990" s="8"/>
      <c r="AK990" s="8">
        <v>1</v>
      </c>
      <c r="AL990" s="8">
        <v>673</v>
      </c>
      <c r="AM990" s="8">
        <v>0</v>
      </c>
      <c r="AN990" s="5" t="s">
        <v>63</v>
      </c>
      <c r="AO990" s="10">
        <v>71.7</v>
      </c>
      <c r="AP990" s="8">
        <v>43</v>
      </c>
      <c r="AQ990" s="9">
        <v>46296</v>
      </c>
      <c r="AR990" s="5" t="s">
        <v>51</v>
      </c>
      <c r="AS990" s="5" t="s">
        <v>81</v>
      </c>
    </row>
    <row r="991" spans="1:45" x14ac:dyDescent="0.35">
      <c r="A991" s="5" t="s">
        <v>4340</v>
      </c>
      <c r="B991" s="5" t="s">
        <v>583</v>
      </c>
      <c r="C991" s="6" t="s">
        <v>4341</v>
      </c>
      <c r="D991" s="7">
        <v>116700</v>
      </c>
      <c r="E991" s="5" t="s">
        <v>48</v>
      </c>
      <c r="F991" s="5" t="s">
        <v>49</v>
      </c>
      <c r="G991" s="8"/>
      <c r="H991" s="8" t="str">
        <f>IF(F991="Bullet",MIN(G991,Assumptions!$B$6),"")</f>
        <v/>
      </c>
      <c r="I991" s="8">
        <v>2</v>
      </c>
      <c r="J991" s="8">
        <f>IF(F991="Monthly interest",MAX(0,Assumptions!$B$5-I991),"")</f>
        <v>1</v>
      </c>
      <c r="K991" s="7">
        <f t="shared" si="45"/>
        <v>3112</v>
      </c>
      <c r="L991" s="9">
        <v>46239</v>
      </c>
      <c r="M991" s="5" t="s">
        <v>69</v>
      </c>
      <c r="N991" s="5" t="s">
        <v>53</v>
      </c>
      <c r="O991" s="5" t="s">
        <v>71</v>
      </c>
      <c r="P991" s="5" t="s">
        <v>70</v>
      </c>
      <c r="Q991" s="5" t="s">
        <v>73</v>
      </c>
      <c r="R991" s="5" t="s">
        <v>74</v>
      </c>
      <c r="S991" s="5" t="s">
        <v>75</v>
      </c>
      <c r="T991" s="5" t="s">
        <v>63</v>
      </c>
      <c r="U991" s="5" t="s">
        <v>86</v>
      </c>
      <c r="V991" s="5" t="s">
        <v>76</v>
      </c>
      <c r="W991" s="5" t="s">
        <v>444</v>
      </c>
      <c r="X991" s="5" t="s">
        <v>4342</v>
      </c>
      <c r="Y991" s="5" t="s">
        <v>4343</v>
      </c>
      <c r="Z991" s="9">
        <v>46147</v>
      </c>
      <c r="AA991" s="8">
        <v>12</v>
      </c>
      <c r="AB991" s="9">
        <f t="shared" si="46"/>
        <v>46512</v>
      </c>
      <c r="AC991" s="10">
        <v>16</v>
      </c>
      <c r="AD991" s="7">
        <f t="shared" si="47"/>
        <v>1556</v>
      </c>
      <c r="AE991" s="7">
        <f>IF(F991="Bullet",H991*AD991,MIN(MAX(I991,1),Assumptions!$B$6)*AD991)</f>
        <v>3112</v>
      </c>
      <c r="AF991" s="8">
        <f>IF(F991="Bullet",MAX(0,Assumptions!$B$4-AB991),MAX(0,Assumptions!$B$4-L991))</f>
        <v>59</v>
      </c>
      <c r="AG991" s="9">
        <v>46209</v>
      </c>
      <c r="AH991" s="8">
        <f>IF(AG991="","",Assumptions!$B$4-AG991)</f>
        <v>89</v>
      </c>
      <c r="AI991" s="5" t="s">
        <v>57</v>
      </c>
      <c r="AJ991" s="8">
        <v>2</v>
      </c>
      <c r="AK991" s="8">
        <v>1</v>
      </c>
      <c r="AL991" s="8">
        <v>778</v>
      </c>
      <c r="AM991" s="8">
        <v>3</v>
      </c>
      <c r="AN991" s="5" t="s">
        <v>63</v>
      </c>
      <c r="AO991" s="10">
        <v>73</v>
      </c>
      <c r="AP991" s="8">
        <v>37</v>
      </c>
      <c r="AQ991" s="9">
        <v>46297</v>
      </c>
      <c r="AR991" s="5" t="s">
        <v>51</v>
      </c>
      <c r="AS991" s="5" t="s">
        <v>81</v>
      </c>
    </row>
    <row r="992" spans="1:45" x14ac:dyDescent="0.35">
      <c r="A992" s="5" t="s">
        <v>4344</v>
      </c>
      <c r="B992" s="5" t="s">
        <v>2845</v>
      </c>
      <c r="C992" s="6" t="s">
        <v>4345</v>
      </c>
      <c r="D992" s="7">
        <v>141400</v>
      </c>
      <c r="E992" s="5" t="s">
        <v>48</v>
      </c>
      <c r="F992" s="5" t="s">
        <v>49</v>
      </c>
      <c r="G992" s="8"/>
      <c r="H992" s="8" t="str">
        <f>IF(F992="Bullet",MIN(G992,Assumptions!$B$6),"")</f>
        <v/>
      </c>
      <c r="I992" s="8">
        <v>1</v>
      </c>
      <c r="J992" s="8">
        <f>IF(F992="Monthly interest",MAX(0,Assumptions!$B$5-I992),"")</f>
        <v>2</v>
      </c>
      <c r="K992" s="7">
        <f t="shared" si="45"/>
        <v>1768</v>
      </c>
      <c r="L992" s="9">
        <v>46271</v>
      </c>
      <c r="M992" s="5" t="s">
        <v>50</v>
      </c>
      <c r="N992" s="5" t="s">
        <v>51</v>
      </c>
      <c r="O992" s="5" t="s">
        <v>52</v>
      </c>
      <c r="P992" s="5" t="s">
        <v>53</v>
      </c>
      <c r="Q992" s="5" t="s">
        <v>54</v>
      </c>
      <c r="R992" s="5" t="s">
        <v>55</v>
      </c>
      <c r="S992" s="5" t="s">
        <v>85</v>
      </c>
      <c r="T992" s="5" t="s">
        <v>57</v>
      </c>
      <c r="U992" s="5" t="s">
        <v>86</v>
      </c>
      <c r="V992" s="5" t="s">
        <v>177</v>
      </c>
      <c r="W992" s="5" t="s">
        <v>345</v>
      </c>
      <c r="X992" s="5" t="s">
        <v>1969</v>
      </c>
      <c r="Y992" s="5" t="s">
        <v>4346</v>
      </c>
      <c r="Z992" s="9">
        <v>45997</v>
      </c>
      <c r="AA992" s="8">
        <v>18</v>
      </c>
      <c r="AB992" s="9">
        <f t="shared" si="46"/>
        <v>46544</v>
      </c>
      <c r="AC992" s="10">
        <v>15</v>
      </c>
      <c r="AD992" s="7">
        <f t="shared" si="47"/>
        <v>1768</v>
      </c>
      <c r="AE992" s="7">
        <f>IF(F992="Bullet",H992*AD992,MIN(MAX(I992,1),Assumptions!$B$6)*AD992)</f>
        <v>1768</v>
      </c>
      <c r="AF992" s="8">
        <f>IF(F992="Bullet",MAX(0,Assumptions!$B$4-AB992),MAX(0,Assumptions!$B$4-L992))</f>
        <v>27</v>
      </c>
      <c r="AG992" s="9">
        <v>46241</v>
      </c>
      <c r="AH992" s="8">
        <f>IF(AG992="","",Assumptions!$B$4-AG992)</f>
        <v>57</v>
      </c>
      <c r="AI992" s="5" t="s">
        <v>63</v>
      </c>
      <c r="AJ992" s="8">
        <v>1</v>
      </c>
      <c r="AK992" s="8">
        <v>0</v>
      </c>
      <c r="AL992" s="8">
        <v>680</v>
      </c>
      <c r="AM992" s="8">
        <v>0</v>
      </c>
      <c r="AN992" s="5" t="s">
        <v>63</v>
      </c>
      <c r="AO992" s="10">
        <v>71.099999999999994</v>
      </c>
      <c r="AP992" s="8">
        <v>23</v>
      </c>
      <c r="AQ992" s="9">
        <v>46273</v>
      </c>
      <c r="AR992" s="5" t="s">
        <v>53</v>
      </c>
      <c r="AS992" s="5" t="s">
        <v>91</v>
      </c>
    </row>
    <row r="993" spans="1:45" x14ac:dyDescent="0.35">
      <c r="A993" s="5" t="s">
        <v>4347</v>
      </c>
      <c r="B993" s="5" t="s">
        <v>4348</v>
      </c>
      <c r="C993" s="6" t="s">
        <v>4349</v>
      </c>
      <c r="D993" s="7">
        <v>251100</v>
      </c>
      <c r="E993" s="5" t="s">
        <v>48</v>
      </c>
      <c r="F993" s="5" t="s">
        <v>49</v>
      </c>
      <c r="G993" s="8"/>
      <c r="H993" s="8" t="str">
        <f>IF(F993="Bullet",MIN(G993,Assumptions!$B$6),"")</f>
        <v/>
      </c>
      <c r="I993" s="8">
        <v>1</v>
      </c>
      <c r="J993" s="8">
        <f>IF(F993="Monthly interest",MAX(0,Assumptions!$B$5-I993),"")</f>
        <v>2</v>
      </c>
      <c r="K993" s="7">
        <f t="shared" si="45"/>
        <v>3139</v>
      </c>
      <c r="L993" s="9">
        <v>46270</v>
      </c>
      <c r="M993" s="5" t="s">
        <v>50</v>
      </c>
      <c r="N993" s="5" t="s">
        <v>53</v>
      </c>
      <c r="O993" s="5" t="s">
        <v>95</v>
      </c>
      <c r="P993" s="5" t="s">
        <v>70</v>
      </c>
      <c r="Q993" s="5" t="s">
        <v>54</v>
      </c>
      <c r="R993" s="5" t="s">
        <v>55</v>
      </c>
      <c r="S993" s="5" t="s">
        <v>253</v>
      </c>
      <c r="T993" s="5" t="s">
        <v>63</v>
      </c>
      <c r="U993" s="5" t="s">
        <v>86</v>
      </c>
      <c r="V993" s="5" t="s">
        <v>96</v>
      </c>
      <c r="W993" s="5" t="s">
        <v>265</v>
      </c>
      <c r="X993" s="5" t="s">
        <v>439</v>
      </c>
      <c r="Y993" s="5" t="s">
        <v>4350</v>
      </c>
      <c r="Z993" s="9">
        <v>45996</v>
      </c>
      <c r="AA993" s="8">
        <v>12</v>
      </c>
      <c r="AB993" s="9">
        <f t="shared" si="46"/>
        <v>46361</v>
      </c>
      <c r="AC993" s="10">
        <v>15</v>
      </c>
      <c r="AD993" s="7">
        <f t="shared" si="47"/>
        <v>3139</v>
      </c>
      <c r="AE993" s="7">
        <f>IF(F993="Bullet",H993*AD993,MIN(MAX(I993,1),Assumptions!$B$6)*AD993)</f>
        <v>3139</v>
      </c>
      <c r="AF993" s="8">
        <f>IF(F993="Bullet",MAX(0,Assumptions!$B$4-AB993),MAX(0,Assumptions!$B$4-L993))</f>
        <v>28</v>
      </c>
      <c r="AG993" s="9">
        <v>46240</v>
      </c>
      <c r="AH993" s="8">
        <f>IF(AG993="","",Assumptions!$B$4-AG993)</f>
        <v>58</v>
      </c>
      <c r="AI993" s="5" t="s">
        <v>63</v>
      </c>
      <c r="AJ993" s="8">
        <v>1</v>
      </c>
      <c r="AK993" s="8">
        <v>1</v>
      </c>
      <c r="AL993" s="8">
        <v>673</v>
      </c>
      <c r="AM993" s="8">
        <v>0</v>
      </c>
      <c r="AN993" s="5" t="s">
        <v>63</v>
      </c>
      <c r="AO993" s="10">
        <v>74.099999999999994</v>
      </c>
      <c r="AP993" s="8">
        <v>24</v>
      </c>
      <c r="AQ993" s="9">
        <v>46284</v>
      </c>
      <c r="AR993" s="5" t="s">
        <v>70</v>
      </c>
      <c r="AS993" s="5" t="s">
        <v>181</v>
      </c>
    </row>
    <row r="994" spans="1:45" x14ac:dyDescent="0.35">
      <c r="A994" s="5" t="s">
        <v>4351</v>
      </c>
      <c r="B994" s="5" t="s">
        <v>1493</v>
      </c>
      <c r="C994" s="6" t="s">
        <v>4352</v>
      </c>
      <c r="D994" s="7">
        <v>300000</v>
      </c>
      <c r="E994" s="5" t="s">
        <v>48</v>
      </c>
      <c r="F994" s="5" t="s">
        <v>68</v>
      </c>
      <c r="G994" s="8">
        <v>2</v>
      </c>
      <c r="H994" s="8">
        <f>IF(F994="Bullet",MIN(G994,Assumptions!$B$6),"")</f>
        <v>2</v>
      </c>
      <c r="I994" s="8"/>
      <c r="J994" s="8" t="str">
        <f>IF(F994="Monthly interest",MAX(0,Assumptions!$B$5-I994),"")</f>
        <v/>
      </c>
      <c r="K994" s="7">
        <f t="shared" si="45"/>
        <v>6000</v>
      </c>
      <c r="L994" s="9">
        <v>46214</v>
      </c>
      <c r="M994" s="5" t="s">
        <v>50</v>
      </c>
      <c r="N994" s="5" t="s">
        <v>53</v>
      </c>
      <c r="O994" s="5" t="s">
        <v>103</v>
      </c>
      <c r="P994" s="5" t="s">
        <v>51</v>
      </c>
      <c r="Q994" s="5" t="s">
        <v>73</v>
      </c>
      <c r="R994" s="5" t="s">
        <v>74</v>
      </c>
      <c r="S994" s="5" t="s">
        <v>185</v>
      </c>
      <c r="T994" s="5" t="s">
        <v>57</v>
      </c>
      <c r="U994" s="5" t="s">
        <v>58</v>
      </c>
      <c r="V994" s="5" t="s">
        <v>200</v>
      </c>
      <c r="W994" s="5" t="s">
        <v>1332</v>
      </c>
      <c r="X994" s="5" t="s">
        <v>1333</v>
      </c>
      <c r="Y994" s="5" t="s">
        <v>4353</v>
      </c>
      <c r="Z994" s="9">
        <v>46214</v>
      </c>
      <c r="AA994" s="8">
        <v>6</v>
      </c>
      <c r="AB994" s="9">
        <f t="shared" si="46"/>
        <v>46398</v>
      </c>
      <c r="AC994" s="10">
        <v>12</v>
      </c>
      <c r="AD994" s="7">
        <f t="shared" si="47"/>
        <v>3000</v>
      </c>
      <c r="AE994" s="7">
        <f>IF(F994="Bullet",H994*AD994,MIN(MAX(I994,1),Assumptions!$B$6)*AD994)</f>
        <v>6000</v>
      </c>
      <c r="AF994" s="8">
        <f>IF(F994="Bullet",MAX(0,Assumptions!$B$4-AB994),MAX(0,Assumptions!$B$4-L994))</f>
        <v>0</v>
      </c>
      <c r="AG994" s="9"/>
      <c r="AH994" s="8" t="str">
        <f>IF(AG994="","",Assumptions!$B$4-AG994)</f>
        <v/>
      </c>
      <c r="AI994" s="5" t="s">
        <v>80</v>
      </c>
      <c r="AJ994" s="8"/>
      <c r="AK994" s="8">
        <v>0</v>
      </c>
      <c r="AL994" s="8">
        <v>762</v>
      </c>
      <c r="AM994" s="8">
        <v>0</v>
      </c>
      <c r="AN994" s="5" t="s">
        <v>63</v>
      </c>
      <c r="AO994" s="10">
        <v>45.4</v>
      </c>
      <c r="AP994" s="8">
        <v>10</v>
      </c>
      <c r="AQ994" s="9">
        <v>46287</v>
      </c>
      <c r="AR994" s="5" t="s">
        <v>51</v>
      </c>
      <c r="AS994" s="5" t="s">
        <v>81</v>
      </c>
    </row>
    <row r="995" spans="1:45" x14ac:dyDescent="0.35">
      <c r="A995" s="5" t="s">
        <v>4354</v>
      </c>
      <c r="B995" s="5" t="s">
        <v>4355</v>
      </c>
      <c r="C995" s="6" t="s">
        <v>4356</v>
      </c>
      <c r="D995" s="7">
        <v>169900</v>
      </c>
      <c r="E995" s="5" t="s">
        <v>48</v>
      </c>
      <c r="F995" s="5" t="s">
        <v>68</v>
      </c>
      <c r="G995" s="8">
        <v>6</v>
      </c>
      <c r="H995" s="8">
        <f>IF(F995="Bullet",MIN(G995,Assumptions!$B$6),"")</f>
        <v>2</v>
      </c>
      <c r="I995" s="8"/>
      <c r="J995" s="8" t="str">
        <f>IF(F995="Monthly interest",MAX(0,Assumptions!$B$5-I995),"")</f>
        <v/>
      </c>
      <c r="K995" s="7">
        <f t="shared" si="45"/>
        <v>12744</v>
      </c>
      <c r="L995" s="9">
        <v>46092</v>
      </c>
      <c r="M995" s="5" t="s">
        <v>116</v>
      </c>
      <c r="N995" s="5" t="s">
        <v>117</v>
      </c>
      <c r="O995" s="5" t="s">
        <v>461</v>
      </c>
      <c r="P995" s="5" t="s">
        <v>72</v>
      </c>
      <c r="Q995" s="5" t="s">
        <v>169</v>
      </c>
      <c r="R995" s="5" t="s">
        <v>170</v>
      </c>
      <c r="S995" s="5" t="s">
        <v>56</v>
      </c>
      <c r="T995" s="5" t="s">
        <v>63</v>
      </c>
      <c r="U995" s="5" t="s">
        <v>86</v>
      </c>
      <c r="V995" s="5" t="s">
        <v>59</v>
      </c>
      <c r="W995" s="5" t="s">
        <v>300</v>
      </c>
      <c r="X995" s="5" t="s">
        <v>970</v>
      </c>
      <c r="Y995" s="5" t="s">
        <v>4357</v>
      </c>
      <c r="Z995" s="9">
        <v>46092</v>
      </c>
      <c r="AA995" s="8">
        <v>6</v>
      </c>
      <c r="AB995" s="9">
        <f t="shared" si="46"/>
        <v>46276</v>
      </c>
      <c r="AC995" s="10">
        <v>15</v>
      </c>
      <c r="AD995" s="7">
        <f t="shared" si="47"/>
        <v>2124</v>
      </c>
      <c r="AE995" s="7">
        <f>IF(F995="Bullet",H995*AD995,MIN(MAX(I995,1),Assumptions!$B$6)*AD995)</f>
        <v>4248</v>
      </c>
      <c r="AF995" s="8">
        <f>IF(F995="Bullet",MAX(0,Assumptions!$B$4-AB995),MAX(0,Assumptions!$B$4-L995))</f>
        <v>22</v>
      </c>
      <c r="AG995" s="9"/>
      <c r="AH995" s="8" t="str">
        <f>IF(AG995="","",Assumptions!$B$4-AG995)</f>
        <v/>
      </c>
      <c r="AI995" s="5" t="s">
        <v>80</v>
      </c>
      <c r="AJ995" s="8"/>
      <c r="AK995" s="8">
        <v>1</v>
      </c>
      <c r="AL995" s="8">
        <v>539</v>
      </c>
      <c r="AM995" s="8">
        <v>0</v>
      </c>
      <c r="AN995" s="5" t="s">
        <v>63</v>
      </c>
      <c r="AO995" s="10">
        <v>68.099999999999994</v>
      </c>
      <c r="AP995" s="8">
        <v>81</v>
      </c>
      <c r="AQ995" s="9">
        <v>46281</v>
      </c>
      <c r="AR995" s="5" t="s">
        <v>51</v>
      </c>
      <c r="AS995" s="5" t="s">
        <v>81</v>
      </c>
    </row>
    <row r="996" spans="1:45" x14ac:dyDescent="0.35">
      <c r="A996" s="5" t="s">
        <v>4358</v>
      </c>
      <c r="B996" s="5" t="s">
        <v>4359</v>
      </c>
      <c r="C996" s="6" t="s">
        <v>4360</v>
      </c>
      <c r="D996" s="7">
        <v>61400</v>
      </c>
      <c r="E996" s="5" t="s">
        <v>48</v>
      </c>
      <c r="F996" s="5" t="s">
        <v>49</v>
      </c>
      <c r="G996" s="8"/>
      <c r="H996" s="8" t="str">
        <f>IF(F996="Bullet",MIN(G996,Assumptions!$B$6),"")</f>
        <v/>
      </c>
      <c r="I996" s="8">
        <v>1</v>
      </c>
      <c r="J996" s="8">
        <f>IF(F996="Monthly interest",MAX(0,Assumptions!$B$5-I996),"")</f>
        <v>2</v>
      </c>
      <c r="K996" s="7">
        <f t="shared" si="45"/>
        <v>716</v>
      </c>
      <c r="L996" s="9">
        <v>46290</v>
      </c>
      <c r="M996" s="5" t="s">
        <v>50</v>
      </c>
      <c r="N996" s="5" t="s">
        <v>51</v>
      </c>
      <c r="O996" s="5" t="s">
        <v>52</v>
      </c>
      <c r="P996" s="5" t="s">
        <v>53</v>
      </c>
      <c r="Q996" s="5" t="s">
        <v>54</v>
      </c>
      <c r="R996" s="5" t="s">
        <v>55</v>
      </c>
      <c r="S996" s="5" t="s">
        <v>185</v>
      </c>
      <c r="T996" s="5" t="s">
        <v>57</v>
      </c>
      <c r="U996" s="5" t="s">
        <v>86</v>
      </c>
      <c r="V996" s="5" t="s">
        <v>186</v>
      </c>
      <c r="W996" s="5" t="s">
        <v>376</v>
      </c>
      <c r="X996" s="5" t="s">
        <v>1270</v>
      </c>
      <c r="Y996" s="5" t="s">
        <v>4361</v>
      </c>
      <c r="Z996" s="9">
        <v>46167</v>
      </c>
      <c r="AA996" s="8">
        <v>12</v>
      </c>
      <c r="AB996" s="9">
        <f t="shared" si="46"/>
        <v>46532</v>
      </c>
      <c r="AC996" s="10">
        <v>14</v>
      </c>
      <c r="AD996" s="7">
        <f t="shared" si="47"/>
        <v>716</v>
      </c>
      <c r="AE996" s="7">
        <f>IF(F996="Bullet",H996*AD996,MIN(MAX(I996,1),Assumptions!$B$6)*AD996)</f>
        <v>716</v>
      </c>
      <c r="AF996" s="8">
        <f>IF(F996="Bullet",MAX(0,Assumptions!$B$4-AB996),MAX(0,Assumptions!$B$4-L996))</f>
        <v>8</v>
      </c>
      <c r="AG996" s="9">
        <v>46261</v>
      </c>
      <c r="AH996" s="8">
        <f>IF(AG996="","",Assumptions!$B$4-AG996)</f>
        <v>37</v>
      </c>
      <c r="AI996" s="5" t="s">
        <v>63</v>
      </c>
      <c r="AJ996" s="8">
        <v>1</v>
      </c>
      <c r="AK996" s="8">
        <v>0</v>
      </c>
      <c r="AL996" s="8">
        <v>661</v>
      </c>
      <c r="AM996" s="8">
        <v>2</v>
      </c>
      <c r="AN996" s="5" t="s">
        <v>63</v>
      </c>
      <c r="AO996" s="10">
        <v>65.2</v>
      </c>
      <c r="AP996" s="8">
        <v>29</v>
      </c>
      <c r="AQ996" s="9">
        <v>46285</v>
      </c>
      <c r="AR996" s="5" t="s">
        <v>51</v>
      </c>
      <c r="AS996" s="5" t="s">
        <v>274</v>
      </c>
    </row>
    <row r="997" spans="1:45" x14ac:dyDescent="0.35">
      <c r="A997" s="5" t="s">
        <v>4362</v>
      </c>
      <c r="B997" s="5" t="s">
        <v>4363</v>
      </c>
      <c r="C997" s="6" t="s">
        <v>4364</v>
      </c>
      <c r="D997" s="7">
        <v>51800</v>
      </c>
      <c r="E997" s="5" t="s">
        <v>48</v>
      </c>
      <c r="F997" s="5" t="s">
        <v>68</v>
      </c>
      <c r="G997" s="8">
        <v>3</v>
      </c>
      <c r="H997" s="8">
        <f>IF(F997="Bullet",MIN(G997,Assumptions!$B$6),"")</f>
        <v>2</v>
      </c>
      <c r="I997" s="8"/>
      <c r="J997" s="8" t="str">
        <f>IF(F997="Monthly interest",MAX(0,Assumptions!$B$5-I997),"")</f>
        <v/>
      </c>
      <c r="K997" s="7">
        <f t="shared" si="45"/>
        <v>2073</v>
      </c>
      <c r="L997" s="9">
        <v>46189</v>
      </c>
      <c r="M997" s="5" t="s">
        <v>69</v>
      </c>
      <c r="N997" s="5" t="s">
        <v>70</v>
      </c>
      <c r="O997" s="5" t="s">
        <v>295</v>
      </c>
      <c r="P997" s="5" t="s">
        <v>72</v>
      </c>
      <c r="Q997" s="5" t="s">
        <v>73</v>
      </c>
      <c r="R997" s="5" t="s">
        <v>74</v>
      </c>
      <c r="S997" s="5" t="s">
        <v>253</v>
      </c>
      <c r="T997" s="5" t="s">
        <v>57</v>
      </c>
      <c r="U997" s="5" t="s">
        <v>58</v>
      </c>
      <c r="V997" s="5" t="s">
        <v>186</v>
      </c>
      <c r="W997" s="5" t="s">
        <v>694</v>
      </c>
      <c r="X997" s="5" t="s">
        <v>4242</v>
      </c>
      <c r="Y997" s="5" t="s">
        <v>4365</v>
      </c>
      <c r="Z997" s="9">
        <v>46189</v>
      </c>
      <c r="AA997" s="8">
        <v>3</v>
      </c>
      <c r="AB997" s="9">
        <f t="shared" si="46"/>
        <v>46281</v>
      </c>
      <c r="AC997" s="10">
        <v>16</v>
      </c>
      <c r="AD997" s="7">
        <f t="shared" si="47"/>
        <v>691</v>
      </c>
      <c r="AE997" s="7">
        <f>IF(F997="Bullet",H997*AD997,MIN(MAX(I997,1),Assumptions!$B$6)*AD997)</f>
        <v>1382</v>
      </c>
      <c r="AF997" s="8">
        <f>IF(F997="Bullet",MAX(0,Assumptions!$B$4-AB997),MAX(0,Assumptions!$B$4-L997))</f>
        <v>17</v>
      </c>
      <c r="AG997" s="9"/>
      <c r="AH997" s="8" t="str">
        <f>IF(AG997="","",Assumptions!$B$4-AG997)</f>
        <v/>
      </c>
      <c r="AI997" s="5" t="s">
        <v>80</v>
      </c>
      <c r="AJ997" s="8"/>
      <c r="AK997" s="8">
        <v>0</v>
      </c>
      <c r="AL997" s="8" t="s">
        <v>80</v>
      </c>
      <c r="AM997" s="8">
        <v>0</v>
      </c>
      <c r="AN997" s="5" t="s">
        <v>63</v>
      </c>
      <c r="AO997" s="10">
        <v>72.3</v>
      </c>
      <c r="AP997" s="8">
        <v>42</v>
      </c>
      <c r="AQ997" s="9">
        <v>46274</v>
      </c>
      <c r="AR997" s="5" t="s">
        <v>53</v>
      </c>
      <c r="AS997" s="5" t="s">
        <v>91</v>
      </c>
    </row>
    <row r="998" spans="1:45" x14ac:dyDescent="0.35">
      <c r="A998" s="5" t="s">
        <v>4366</v>
      </c>
      <c r="B998" s="5" t="s">
        <v>4367</v>
      </c>
      <c r="C998" s="6" t="s">
        <v>4368</v>
      </c>
      <c r="D998" s="7">
        <v>64900</v>
      </c>
      <c r="E998" s="5" t="s">
        <v>48</v>
      </c>
      <c r="F998" s="5" t="s">
        <v>49</v>
      </c>
      <c r="G998" s="8"/>
      <c r="H998" s="8" t="str">
        <f>IF(F998="Bullet",MIN(G998,Assumptions!$B$6),"")</f>
        <v/>
      </c>
      <c r="I998" s="8">
        <v>2</v>
      </c>
      <c r="J998" s="8">
        <f>IF(F998="Monthly interest",MAX(0,Assumptions!$B$5-I998),"")</f>
        <v>1</v>
      </c>
      <c r="K998" s="7">
        <f t="shared" si="45"/>
        <v>2164</v>
      </c>
      <c r="L998" s="9">
        <v>46262</v>
      </c>
      <c r="M998" s="5" t="s">
        <v>116</v>
      </c>
      <c r="N998" s="5" t="s">
        <v>117</v>
      </c>
      <c r="O998" s="5" t="s">
        <v>118</v>
      </c>
      <c r="P998" s="5" t="s">
        <v>72</v>
      </c>
      <c r="Q998" s="5" t="s">
        <v>119</v>
      </c>
      <c r="R998" s="5" t="s">
        <v>120</v>
      </c>
      <c r="S998" s="5" t="s">
        <v>75</v>
      </c>
      <c r="T998" s="5" t="s">
        <v>57</v>
      </c>
      <c r="U998" s="5" t="s">
        <v>58</v>
      </c>
      <c r="V998" s="5" t="s">
        <v>76</v>
      </c>
      <c r="W998" s="5" t="s">
        <v>140</v>
      </c>
      <c r="X998" s="5" t="s">
        <v>4369</v>
      </c>
      <c r="Y998" s="5" t="s">
        <v>4370</v>
      </c>
      <c r="Z998" s="9">
        <v>46019</v>
      </c>
      <c r="AA998" s="8">
        <v>12</v>
      </c>
      <c r="AB998" s="9">
        <f t="shared" si="46"/>
        <v>46384</v>
      </c>
      <c r="AC998" s="10">
        <v>20</v>
      </c>
      <c r="AD998" s="7">
        <f t="shared" si="47"/>
        <v>1082</v>
      </c>
      <c r="AE998" s="7">
        <f>IF(F998="Bullet",H998*AD998,MIN(MAX(I998,1),Assumptions!$B$6)*AD998)</f>
        <v>2164</v>
      </c>
      <c r="AF998" s="8">
        <f>IF(F998="Bullet",MAX(0,Assumptions!$B$4-AB998),MAX(0,Assumptions!$B$4-L998))</f>
        <v>36</v>
      </c>
      <c r="AG998" s="9">
        <v>46234</v>
      </c>
      <c r="AH998" s="8">
        <f>IF(AG998="","",Assumptions!$B$4-AG998)</f>
        <v>64</v>
      </c>
      <c r="AI998" s="5" t="s">
        <v>63</v>
      </c>
      <c r="AJ998" s="8">
        <v>2</v>
      </c>
      <c r="AK998" s="8">
        <v>0</v>
      </c>
      <c r="AL998" s="8" t="s">
        <v>80</v>
      </c>
      <c r="AM998" s="8">
        <v>1</v>
      </c>
      <c r="AN998" s="5" t="s">
        <v>63</v>
      </c>
      <c r="AO998" s="10">
        <v>40</v>
      </c>
      <c r="AP998" s="8">
        <v>50</v>
      </c>
      <c r="AQ998" s="9">
        <v>46292</v>
      </c>
      <c r="AR998" s="5" t="s">
        <v>70</v>
      </c>
      <c r="AS998" s="5" t="s">
        <v>81</v>
      </c>
    </row>
    <row r="999" spans="1:45" x14ac:dyDescent="0.35">
      <c r="A999" s="5" t="s">
        <v>4371</v>
      </c>
      <c r="B999" s="5" t="s">
        <v>2865</v>
      </c>
      <c r="C999" s="6" t="s">
        <v>4372</v>
      </c>
      <c r="D999" s="7">
        <v>83600</v>
      </c>
      <c r="E999" s="5" t="s">
        <v>48</v>
      </c>
      <c r="F999" s="5" t="s">
        <v>49</v>
      </c>
      <c r="G999" s="8"/>
      <c r="H999" s="8" t="str">
        <f>IF(F999="Bullet",MIN(G999,Assumptions!$B$6),"")</f>
        <v/>
      </c>
      <c r="I999" s="8">
        <v>2</v>
      </c>
      <c r="J999" s="8">
        <f>IF(F999="Monthly interest",MAX(0,Assumptions!$B$5-I999),"")</f>
        <v>1</v>
      </c>
      <c r="K999" s="7">
        <f t="shared" si="45"/>
        <v>2090</v>
      </c>
      <c r="L999" s="9">
        <v>46266</v>
      </c>
      <c r="M999" s="5" t="s">
        <v>69</v>
      </c>
      <c r="N999" s="5" t="s">
        <v>53</v>
      </c>
      <c r="O999" s="5" t="s">
        <v>71</v>
      </c>
      <c r="P999" s="5" t="s">
        <v>70</v>
      </c>
      <c r="Q999" s="5" t="s">
        <v>73</v>
      </c>
      <c r="R999" s="5" t="s">
        <v>74</v>
      </c>
      <c r="S999" s="5" t="s">
        <v>56</v>
      </c>
      <c r="T999" s="5" t="s">
        <v>57</v>
      </c>
      <c r="U999" s="5" t="s">
        <v>86</v>
      </c>
      <c r="V999" s="5" t="s">
        <v>59</v>
      </c>
      <c r="W999" s="5" t="s">
        <v>467</v>
      </c>
      <c r="X999" s="5" t="s">
        <v>1740</v>
      </c>
      <c r="Y999" s="5" t="s">
        <v>4373</v>
      </c>
      <c r="Z999" s="9">
        <v>46143</v>
      </c>
      <c r="AA999" s="8">
        <v>12</v>
      </c>
      <c r="AB999" s="9">
        <f t="shared" si="46"/>
        <v>46508</v>
      </c>
      <c r="AC999" s="10">
        <v>15</v>
      </c>
      <c r="AD999" s="7">
        <f t="shared" si="47"/>
        <v>1045</v>
      </c>
      <c r="AE999" s="7">
        <f>IF(F999="Bullet",H999*AD999,MIN(MAX(I999,1),Assumptions!$B$6)*AD999)</f>
        <v>2090</v>
      </c>
      <c r="AF999" s="8">
        <f>IF(F999="Bullet",MAX(0,Assumptions!$B$4-AB999),MAX(0,Assumptions!$B$4-L999))</f>
        <v>32</v>
      </c>
      <c r="AG999" s="9">
        <v>46239</v>
      </c>
      <c r="AH999" s="8">
        <f>IF(AG999="","",Assumptions!$B$4-AG999)</f>
        <v>59</v>
      </c>
      <c r="AI999" s="5" t="s">
        <v>57</v>
      </c>
      <c r="AJ999" s="8">
        <v>3</v>
      </c>
      <c r="AK999" s="8">
        <v>1</v>
      </c>
      <c r="AL999" s="8">
        <v>787</v>
      </c>
      <c r="AM999" s="8">
        <v>1</v>
      </c>
      <c r="AN999" s="5" t="s">
        <v>63</v>
      </c>
      <c r="AO999" s="10">
        <v>67.5</v>
      </c>
      <c r="AP999" s="8">
        <v>37</v>
      </c>
      <c r="AQ999" s="9"/>
      <c r="AR999" s="5"/>
      <c r="AS999" s="5" t="s">
        <v>159</v>
      </c>
    </row>
    <row r="1000" spans="1:45" x14ac:dyDescent="0.35">
      <c r="A1000" s="5" t="s">
        <v>4374</v>
      </c>
      <c r="B1000" s="5" t="s">
        <v>4375</v>
      </c>
      <c r="C1000" s="6" t="s">
        <v>4376</v>
      </c>
      <c r="D1000" s="7">
        <v>1217100</v>
      </c>
      <c r="E1000" s="5" t="s">
        <v>48</v>
      </c>
      <c r="F1000" s="5" t="s">
        <v>49</v>
      </c>
      <c r="G1000" s="8"/>
      <c r="H1000" s="8" t="str">
        <f>IF(F1000="Bullet",MIN(G1000,Assumptions!$B$6),"")</f>
        <v/>
      </c>
      <c r="I1000" s="8">
        <v>2</v>
      </c>
      <c r="J1000" s="8">
        <f>IF(F1000="Monthly interest",MAX(0,Assumptions!$B$5-I1000),"")</f>
        <v>1</v>
      </c>
      <c r="K1000" s="7">
        <f t="shared" si="45"/>
        <v>28400</v>
      </c>
      <c r="L1000" s="9">
        <v>46244</v>
      </c>
      <c r="M1000" s="5" t="s">
        <v>116</v>
      </c>
      <c r="N1000" s="5" t="s">
        <v>117</v>
      </c>
      <c r="O1000" s="5" t="s">
        <v>118</v>
      </c>
      <c r="P1000" s="5" t="s">
        <v>72</v>
      </c>
      <c r="Q1000" s="5" t="s">
        <v>119</v>
      </c>
      <c r="R1000" s="5" t="s">
        <v>120</v>
      </c>
      <c r="S1000" s="5" t="s">
        <v>85</v>
      </c>
      <c r="T1000" s="5" t="s">
        <v>57</v>
      </c>
      <c r="U1000" s="5" t="s">
        <v>86</v>
      </c>
      <c r="V1000" s="5" t="s">
        <v>177</v>
      </c>
      <c r="W1000" s="5" t="s">
        <v>208</v>
      </c>
      <c r="X1000" s="5" t="s">
        <v>209</v>
      </c>
      <c r="Y1000" s="5" t="s">
        <v>4377</v>
      </c>
      <c r="Z1000" s="9">
        <v>46001</v>
      </c>
      <c r="AA1000" s="8">
        <v>12</v>
      </c>
      <c r="AB1000" s="9">
        <f t="shared" si="46"/>
        <v>46366</v>
      </c>
      <c r="AC1000" s="10">
        <v>14</v>
      </c>
      <c r="AD1000" s="7">
        <f t="shared" si="47"/>
        <v>14200</v>
      </c>
      <c r="AE1000" s="7">
        <f>IF(F1000="Bullet",H1000*AD1000,MIN(MAX(I1000,1),Assumptions!$B$6)*AD1000)</f>
        <v>28400</v>
      </c>
      <c r="AF1000" s="8">
        <f>IF(F1000="Bullet",MAX(0,Assumptions!$B$4-AB1000),MAX(0,Assumptions!$B$4-L1000))</f>
        <v>54</v>
      </c>
      <c r="AG1000" s="9">
        <v>46213</v>
      </c>
      <c r="AH1000" s="8">
        <f>IF(AG1000="","",Assumptions!$B$4-AG1000)</f>
        <v>85</v>
      </c>
      <c r="AI1000" s="5" t="s">
        <v>63</v>
      </c>
      <c r="AJ1000" s="8">
        <v>2</v>
      </c>
      <c r="AK1000" s="8">
        <v>1</v>
      </c>
      <c r="AL1000" s="8" t="s">
        <v>80</v>
      </c>
      <c r="AM1000" s="8">
        <v>1</v>
      </c>
      <c r="AN1000" s="5" t="s">
        <v>63</v>
      </c>
      <c r="AO1000" s="10">
        <v>65.5</v>
      </c>
      <c r="AP1000" s="8">
        <v>48</v>
      </c>
      <c r="AQ1000" s="9">
        <v>46279</v>
      </c>
      <c r="AR1000" s="5" t="s">
        <v>51</v>
      </c>
      <c r="AS1000" s="5" t="s">
        <v>81</v>
      </c>
    </row>
    <row r="1001" spans="1:45" x14ac:dyDescent="0.35">
      <c r="A1001" s="5" t="s">
        <v>4378</v>
      </c>
      <c r="B1001" s="5" t="s">
        <v>4379</v>
      </c>
      <c r="C1001" s="6" t="s">
        <v>4380</v>
      </c>
      <c r="D1001" s="7">
        <v>72700</v>
      </c>
      <c r="E1001" s="5" t="s">
        <v>48</v>
      </c>
      <c r="F1001" s="5" t="s">
        <v>49</v>
      </c>
      <c r="G1001" s="8"/>
      <c r="H1001" s="8" t="str">
        <f>IF(F1001="Bullet",MIN(G1001,Assumptions!$B$6),"")</f>
        <v/>
      </c>
      <c r="I1001" s="8">
        <v>2</v>
      </c>
      <c r="J1001" s="8">
        <f>IF(F1001="Monthly interest",MAX(0,Assumptions!$B$5-I1001),"")</f>
        <v>1</v>
      </c>
      <c r="K1001" s="7">
        <f t="shared" si="45"/>
        <v>2666</v>
      </c>
      <c r="L1001" s="9">
        <v>46246</v>
      </c>
      <c r="M1001" s="5" t="s">
        <v>69</v>
      </c>
      <c r="N1001" s="5" t="s">
        <v>53</v>
      </c>
      <c r="O1001" s="5" t="s">
        <v>71</v>
      </c>
      <c r="P1001" s="5" t="s">
        <v>70</v>
      </c>
      <c r="Q1001" s="5" t="s">
        <v>73</v>
      </c>
      <c r="R1001" s="5" t="s">
        <v>74</v>
      </c>
      <c r="S1001" s="5" t="s">
        <v>56</v>
      </c>
      <c r="T1001" s="5" t="s">
        <v>57</v>
      </c>
      <c r="U1001" s="5" t="s">
        <v>86</v>
      </c>
      <c r="V1001" s="5" t="s">
        <v>59</v>
      </c>
      <c r="W1001" s="5" t="s">
        <v>126</v>
      </c>
      <c r="X1001" s="5" t="s">
        <v>4381</v>
      </c>
      <c r="Y1001" s="5" t="s">
        <v>4382</v>
      </c>
      <c r="Z1001" s="9">
        <v>46065</v>
      </c>
      <c r="AA1001" s="8">
        <v>12</v>
      </c>
      <c r="AB1001" s="9">
        <f t="shared" si="46"/>
        <v>46430</v>
      </c>
      <c r="AC1001" s="10">
        <v>22</v>
      </c>
      <c r="AD1001" s="7">
        <f t="shared" si="47"/>
        <v>1333</v>
      </c>
      <c r="AE1001" s="7">
        <f>IF(F1001="Bullet",H1001*AD1001,MIN(MAX(I1001,1),Assumptions!$B$6)*AD1001)</f>
        <v>2666</v>
      </c>
      <c r="AF1001" s="8">
        <f>IF(F1001="Bullet",MAX(0,Assumptions!$B$4-AB1001),MAX(0,Assumptions!$B$4-L1001))</f>
        <v>52</v>
      </c>
      <c r="AG1001" s="9">
        <v>46219</v>
      </c>
      <c r="AH1001" s="8">
        <f>IF(AG1001="","",Assumptions!$B$4-AG1001)</f>
        <v>79</v>
      </c>
      <c r="AI1001" s="5" t="s">
        <v>63</v>
      </c>
      <c r="AJ1001" s="8">
        <v>2</v>
      </c>
      <c r="AK1001" s="8">
        <v>0</v>
      </c>
      <c r="AL1001" s="8">
        <v>772</v>
      </c>
      <c r="AM1001" s="8">
        <v>0</v>
      </c>
      <c r="AN1001" s="5" t="s">
        <v>57</v>
      </c>
      <c r="AO1001" s="10">
        <v>66.2</v>
      </c>
      <c r="AP1001" s="8">
        <v>42</v>
      </c>
      <c r="AQ1001" s="9">
        <v>46275</v>
      </c>
      <c r="AR1001" s="5" t="s">
        <v>51</v>
      </c>
      <c r="AS1001" s="5" t="s">
        <v>81</v>
      </c>
    </row>
    <row r="1002" spans="1:45" x14ac:dyDescent="0.35">
      <c r="A1002" s="5" t="s">
        <v>4383</v>
      </c>
      <c r="B1002" s="5" t="s">
        <v>2377</v>
      </c>
      <c r="C1002" s="6" t="s">
        <v>4384</v>
      </c>
      <c r="D1002" s="7">
        <v>339100</v>
      </c>
      <c r="E1002" s="5" t="s">
        <v>48</v>
      </c>
      <c r="F1002" s="5" t="s">
        <v>68</v>
      </c>
      <c r="G1002" s="8">
        <v>2</v>
      </c>
      <c r="H1002" s="8">
        <f>IF(F1002="Bullet",MIN(G1002,Assumptions!$B$6),"")</f>
        <v>2</v>
      </c>
      <c r="I1002" s="8"/>
      <c r="J1002" s="8" t="str">
        <f>IF(F1002="Monthly interest",MAX(0,Assumptions!$B$5-I1002),"")</f>
        <v/>
      </c>
      <c r="K1002" s="7">
        <f t="shared" si="45"/>
        <v>6782</v>
      </c>
      <c r="L1002" s="9">
        <v>46222</v>
      </c>
      <c r="M1002" s="5" t="s">
        <v>69</v>
      </c>
      <c r="N1002" s="5" t="s">
        <v>53</v>
      </c>
      <c r="O1002" s="5" t="s">
        <v>71</v>
      </c>
      <c r="P1002" s="5" t="s">
        <v>70</v>
      </c>
      <c r="Q1002" s="5" t="s">
        <v>73</v>
      </c>
      <c r="R1002" s="5" t="s">
        <v>74</v>
      </c>
      <c r="S1002" s="5" t="s">
        <v>75</v>
      </c>
      <c r="T1002" s="5" t="s">
        <v>63</v>
      </c>
      <c r="U1002" s="5" t="s">
        <v>58</v>
      </c>
      <c r="V1002" s="5" t="s">
        <v>76</v>
      </c>
      <c r="W1002" s="5" t="s">
        <v>140</v>
      </c>
      <c r="X1002" s="5" t="s">
        <v>3198</v>
      </c>
      <c r="Y1002" s="5" t="s">
        <v>4385</v>
      </c>
      <c r="Z1002" s="9">
        <v>46222</v>
      </c>
      <c r="AA1002" s="8">
        <v>6</v>
      </c>
      <c r="AB1002" s="9">
        <f t="shared" si="46"/>
        <v>46406</v>
      </c>
      <c r="AC1002" s="10">
        <v>12</v>
      </c>
      <c r="AD1002" s="7">
        <f t="shared" si="47"/>
        <v>3391</v>
      </c>
      <c r="AE1002" s="7">
        <f>IF(F1002="Bullet",H1002*AD1002,MIN(MAX(I1002,1),Assumptions!$B$6)*AD1002)</f>
        <v>6782</v>
      </c>
      <c r="AF1002" s="8">
        <f>IF(F1002="Bullet",MAX(0,Assumptions!$B$4-AB1002),MAX(0,Assumptions!$B$4-L1002))</f>
        <v>0</v>
      </c>
      <c r="AG1002" s="9"/>
      <c r="AH1002" s="8" t="str">
        <f>IF(AG1002="","",Assumptions!$B$4-AG1002)</f>
        <v/>
      </c>
      <c r="AI1002" s="5" t="s">
        <v>80</v>
      </c>
      <c r="AJ1002" s="8"/>
      <c r="AK1002" s="8">
        <v>0</v>
      </c>
      <c r="AL1002" s="8">
        <v>662</v>
      </c>
      <c r="AM1002" s="8">
        <v>0</v>
      </c>
      <c r="AN1002" s="5" t="s">
        <v>57</v>
      </c>
      <c r="AO1002" s="10">
        <v>78.2</v>
      </c>
      <c r="AP1002" s="8">
        <v>32</v>
      </c>
      <c r="AQ1002" s="9">
        <v>46293</v>
      </c>
      <c r="AR1002" s="5" t="s">
        <v>70</v>
      </c>
      <c r="AS1002" s="5" t="s">
        <v>81</v>
      </c>
    </row>
    <row r="1003" spans="1:45" x14ac:dyDescent="0.35">
      <c r="A1003" s="5" t="s">
        <v>4386</v>
      </c>
      <c r="B1003" s="5" t="s">
        <v>3064</v>
      </c>
      <c r="C1003" s="6" t="s">
        <v>4387</v>
      </c>
      <c r="D1003" s="7">
        <v>111500</v>
      </c>
      <c r="E1003" s="5" t="s">
        <v>48</v>
      </c>
      <c r="F1003" s="5" t="s">
        <v>49</v>
      </c>
      <c r="G1003" s="8"/>
      <c r="H1003" s="8" t="str">
        <f>IF(F1003="Bullet",MIN(G1003,Assumptions!$B$6),"")</f>
        <v/>
      </c>
      <c r="I1003" s="8">
        <v>1</v>
      </c>
      <c r="J1003" s="8">
        <f>IF(F1003="Monthly interest",MAX(0,Assumptions!$B$5-I1003),"")</f>
        <v>2</v>
      </c>
      <c r="K1003" s="7">
        <f t="shared" si="45"/>
        <v>2230</v>
      </c>
      <c r="L1003" s="9">
        <v>46282</v>
      </c>
      <c r="M1003" s="5" t="s">
        <v>69</v>
      </c>
      <c r="N1003" s="5" t="s">
        <v>53</v>
      </c>
      <c r="O1003" s="5" t="s">
        <v>103</v>
      </c>
      <c r="P1003" s="5" t="s">
        <v>70</v>
      </c>
      <c r="Q1003" s="5" t="s">
        <v>54</v>
      </c>
      <c r="R1003" s="5" t="s">
        <v>55</v>
      </c>
      <c r="S1003" s="5" t="s">
        <v>185</v>
      </c>
      <c r="T1003" s="5" t="s">
        <v>57</v>
      </c>
      <c r="U1003" s="5" t="s">
        <v>86</v>
      </c>
      <c r="V1003" s="5" t="s">
        <v>200</v>
      </c>
      <c r="W1003" s="5" t="s">
        <v>500</v>
      </c>
      <c r="X1003" s="5" t="s">
        <v>560</v>
      </c>
      <c r="Y1003" s="5" t="s">
        <v>4388</v>
      </c>
      <c r="Z1003" s="9">
        <v>46039</v>
      </c>
      <c r="AA1003" s="8">
        <v>12</v>
      </c>
      <c r="AB1003" s="9">
        <f t="shared" si="46"/>
        <v>46404</v>
      </c>
      <c r="AC1003" s="10">
        <v>24</v>
      </c>
      <c r="AD1003" s="7">
        <f t="shared" si="47"/>
        <v>2230</v>
      </c>
      <c r="AE1003" s="7">
        <f>IF(F1003="Bullet",H1003*AD1003,MIN(MAX(I1003,1),Assumptions!$B$6)*AD1003)</f>
        <v>2230</v>
      </c>
      <c r="AF1003" s="8">
        <f>IF(F1003="Bullet",MAX(0,Assumptions!$B$4-AB1003),MAX(0,Assumptions!$B$4-L1003))</f>
        <v>16</v>
      </c>
      <c r="AG1003" s="9">
        <v>46256</v>
      </c>
      <c r="AH1003" s="8">
        <f>IF(AG1003="","",Assumptions!$B$4-AG1003)</f>
        <v>42</v>
      </c>
      <c r="AI1003" s="5" t="s">
        <v>63</v>
      </c>
      <c r="AJ1003" s="8">
        <v>1</v>
      </c>
      <c r="AK1003" s="8">
        <v>0</v>
      </c>
      <c r="AL1003" s="8">
        <v>645</v>
      </c>
      <c r="AM1003" s="8">
        <v>1</v>
      </c>
      <c r="AN1003" s="5" t="s">
        <v>63</v>
      </c>
      <c r="AO1003" s="10">
        <v>64.900000000000006</v>
      </c>
      <c r="AP1003" s="8">
        <v>32</v>
      </c>
      <c r="AQ1003" s="9">
        <v>46284</v>
      </c>
      <c r="AR1003" s="5" t="s">
        <v>51</v>
      </c>
      <c r="AS1003" s="5" t="s">
        <v>81</v>
      </c>
    </row>
    <row r="1004" spans="1:45" x14ac:dyDescent="0.35">
      <c r="A1004" s="5" t="s">
        <v>4389</v>
      </c>
      <c r="B1004" s="5" t="s">
        <v>568</v>
      </c>
      <c r="C1004" s="6" t="s">
        <v>4390</v>
      </c>
      <c r="D1004" s="7">
        <v>87900</v>
      </c>
      <c r="E1004" s="5" t="s">
        <v>48</v>
      </c>
      <c r="F1004" s="5" t="s">
        <v>68</v>
      </c>
      <c r="G1004" s="8">
        <v>1</v>
      </c>
      <c r="H1004" s="8">
        <f>IF(F1004="Bullet",MIN(G1004,Assumptions!$B$6),"")</f>
        <v>1</v>
      </c>
      <c r="I1004" s="8"/>
      <c r="J1004" s="8" t="str">
        <f>IF(F1004="Monthly interest",MAX(0,Assumptions!$B$5-I1004),"")</f>
        <v/>
      </c>
      <c r="K1004" s="7">
        <f t="shared" si="45"/>
        <v>1099</v>
      </c>
      <c r="L1004" s="9">
        <v>46257</v>
      </c>
      <c r="M1004" s="5" t="s">
        <v>50</v>
      </c>
      <c r="N1004" s="5" t="s">
        <v>53</v>
      </c>
      <c r="O1004" s="5" t="s">
        <v>103</v>
      </c>
      <c r="P1004" s="5" t="s">
        <v>51</v>
      </c>
      <c r="Q1004" s="5" t="s">
        <v>73</v>
      </c>
      <c r="R1004" s="5" t="s">
        <v>74</v>
      </c>
      <c r="S1004" s="5" t="s">
        <v>185</v>
      </c>
      <c r="T1004" s="5" t="s">
        <v>57</v>
      </c>
      <c r="U1004" s="5" t="s">
        <v>58</v>
      </c>
      <c r="V1004" s="5" t="s">
        <v>186</v>
      </c>
      <c r="W1004" s="5" t="s">
        <v>187</v>
      </c>
      <c r="X1004" s="5" t="s">
        <v>1792</v>
      </c>
      <c r="Y1004" s="5" t="s">
        <v>4391</v>
      </c>
      <c r="Z1004" s="9">
        <v>46257</v>
      </c>
      <c r="AA1004" s="8">
        <v>12</v>
      </c>
      <c r="AB1004" s="9">
        <f t="shared" si="46"/>
        <v>46622</v>
      </c>
      <c r="AC1004" s="10">
        <v>15</v>
      </c>
      <c r="AD1004" s="7">
        <f t="shared" si="47"/>
        <v>1099</v>
      </c>
      <c r="AE1004" s="7">
        <f>IF(F1004="Bullet",H1004*AD1004,MIN(MAX(I1004,1),Assumptions!$B$6)*AD1004)</f>
        <v>1099</v>
      </c>
      <c r="AF1004" s="8">
        <f>IF(F1004="Bullet",MAX(0,Assumptions!$B$4-AB1004),MAX(0,Assumptions!$B$4-L1004))</f>
        <v>0</v>
      </c>
      <c r="AG1004" s="9"/>
      <c r="AH1004" s="8" t="str">
        <f>IF(AG1004="","",Assumptions!$B$4-AG1004)</f>
        <v/>
      </c>
      <c r="AI1004" s="5" t="s">
        <v>80</v>
      </c>
      <c r="AJ1004" s="8"/>
      <c r="AK1004" s="8">
        <v>0</v>
      </c>
      <c r="AL1004" s="8">
        <v>710</v>
      </c>
      <c r="AM1004" s="8">
        <v>0</v>
      </c>
      <c r="AN1004" s="5" t="s">
        <v>63</v>
      </c>
      <c r="AO1004" s="10">
        <v>73.7</v>
      </c>
      <c r="AP1004" s="8">
        <v>13</v>
      </c>
      <c r="AQ1004" s="9">
        <v>46278</v>
      </c>
      <c r="AR1004" s="5" t="s">
        <v>51</v>
      </c>
      <c r="AS1004" s="5" t="s">
        <v>81</v>
      </c>
    </row>
    <row r="1005" spans="1:45" x14ac:dyDescent="0.35">
      <c r="A1005" s="5" t="s">
        <v>4392</v>
      </c>
      <c r="B1005" s="5" t="s">
        <v>4393</v>
      </c>
      <c r="C1005" s="6" t="s">
        <v>4394</v>
      </c>
      <c r="D1005" s="7">
        <v>227400</v>
      </c>
      <c r="E1005" s="5" t="s">
        <v>48</v>
      </c>
      <c r="F1005" s="5" t="s">
        <v>49</v>
      </c>
      <c r="G1005" s="8"/>
      <c r="H1005" s="8" t="str">
        <f>IF(F1005="Bullet",MIN(G1005,Assumptions!$B$6),"")</f>
        <v/>
      </c>
      <c r="I1005" s="8">
        <v>1</v>
      </c>
      <c r="J1005" s="8">
        <f>IF(F1005="Monthly interest",MAX(0,Assumptions!$B$5-I1005),"")</f>
        <v>2</v>
      </c>
      <c r="K1005" s="7">
        <f t="shared" si="45"/>
        <v>4169</v>
      </c>
      <c r="L1005" s="9">
        <v>46280</v>
      </c>
      <c r="M1005" s="5" t="s">
        <v>50</v>
      </c>
      <c r="N1005" s="5" t="s">
        <v>53</v>
      </c>
      <c r="O1005" s="5" t="s">
        <v>103</v>
      </c>
      <c r="P1005" s="5" t="s">
        <v>51</v>
      </c>
      <c r="Q1005" s="5" t="s">
        <v>54</v>
      </c>
      <c r="R1005" s="5" t="s">
        <v>55</v>
      </c>
      <c r="S1005" s="5" t="s">
        <v>185</v>
      </c>
      <c r="T1005" s="5" t="s">
        <v>57</v>
      </c>
      <c r="U1005" s="5" t="s">
        <v>58</v>
      </c>
      <c r="V1005" s="5" t="s">
        <v>186</v>
      </c>
      <c r="W1005" s="5" t="s">
        <v>187</v>
      </c>
      <c r="X1005" s="5" t="s">
        <v>867</v>
      </c>
      <c r="Y1005" s="5" t="s">
        <v>4395</v>
      </c>
      <c r="Z1005" s="9">
        <v>46218</v>
      </c>
      <c r="AA1005" s="8">
        <v>24</v>
      </c>
      <c r="AB1005" s="9">
        <f t="shared" si="46"/>
        <v>46949</v>
      </c>
      <c r="AC1005" s="10">
        <v>22</v>
      </c>
      <c r="AD1005" s="7">
        <f t="shared" si="47"/>
        <v>4169</v>
      </c>
      <c r="AE1005" s="7">
        <f>IF(F1005="Bullet",H1005*AD1005,MIN(MAX(I1005,1),Assumptions!$B$6)*AD1005)</f>
        <v>4169</v>
      </c>
      <c r="AF1005" s="8">
        <f>IF(F1005="Bullet",MAX(0,Assumptions!$B$4-AB1005),MAX(0,Assumptions!$B$4-L1005))</f>
        <v>18</v>
      </c>
      <c r="AG1005" s="9">
        <v>46252</v>
      </c>
      <c r="AH1005" s="8">
        <f>IF(AG1005="","",Assumptions!$B$4-AG1005)</f>
        <v>46</v>
      </c>
      <c r="AI1005" s="5" t="s">
        <v>57</v>
      </c>
      <c r="AJ1005" s="8">
        <v>1</v>
      </c>
      <c r="AK1005" s="8">
        <v>1</v>
      </c>
      <c r="AL1005" s="8">
        <v>826</v>
      </c>
      <c r="AM1005" s="8">
        <v>1</v>
      </c>
      <c r="AN1005" s="5" t="s">
        <v>63</v>
      </c>
      <c r="AO1005" s="10">
        <v>76</v>
      </c>
      <c r="AP1005" s="8">
        <v>19</v>
      </c>
      <c r="AQ1005" s="9">
        <v>46292</v>
      </c>
      <c r="AR1005" s="5" t="s">
        <v>51</v>
      </c>
      <c r="AS1005" s="5" t="s">
        <v>81</v>
      </c>
    </row>
    <row r="1006" spans="1:45" x14ac:dyDescent="0.35">
      <c r="A1006" s="5" t="s">
        <v>4396</v>
      </c>
      <c r="B1006" s="5" t="s">
        <v>698</v>
      </c>
      <c r="C1006" s="6" t="s">
        <v>4397</v>
      </c>
      <c r="D1006" s="7">
        <v>64500</v>
      </c>
      <c r="E1006" s="5" t="s">
        <v>48</v>
      </c>
      <c r="F1006" s="5" t="s">
        <v>49</v>
      </c>
      <c r="G1006" s="8"/>
      <c r="H1006" s="8" t="str">
        <f>IF(F1006="Bullet",MIN(G1006,Assumptions!$B$6),"")</f>
        <v/>
      </c>
      <c r="I1006" s="8">
        <v>1</v>
      </c>
      <c r="J1006" s="8">
        <f>IF(F1006="Monthly interest",MAX(0,Assumptions!$B$5-I1006),"")</f>
        <v>2</v>
      </c>
      <c r="K1006" s="7">
        <f t="shared" si="45"/>
        <v>753</v>
      </c>
      <c r="L1006" s="9">
        <v>46289</v>
      </c>
      <c r="M1006" s="5" t="s">
        <v>50</v>
      </c>
      <c r="N1006" s="5" t="s">
        <v>51</v>
      </c>
      <c r="O1006" s="5" t="s">
        <v>52</v>
      </c>
      <c r="P1006" s="5" t="s">
        <v>53</v>
      </c>
      <c r="Q1006" s="5" t="s">
        <v>54</v>
      </c>
      <c r="R1006" s="5" t="s">
        <v>55</v>
      </c>
      <c r="S1006" s="5" t="s">
        <v>75</v>
      </c>
      <c r="T1006" s="5" t="s">
        <v>57</v>
      </c>
      <c r="U1006" s="5" t="s">
        <v>58</v>
      </c>
      <c r="V1006" s="5" t="s">
        <v>76</v>
      </c>
      <c r="W1006" s="5" t="s">
        <v>547</v>
      </c>
      <c r="X1006" s="5" t="s">
        <v>3727</v>
      </c>
      <c r="Y1006" s="5" t="s">
        <v>4398</v>
      </c>
      <c r="Z1006" s="9">
        <v>46166</v>
      </c>
      <c r="AA1006" s="8">
        <v>24</v>
      </c>
      <c r="AB1006" s="9">
        <f t="shared" si="46"/>
        <v>46897</v>
      </c>
      <c r="AC1006" s="10">
        <v>14</v>
      </c>
      <c r="AD1006" s="7">
        <f t="shared" si="47"/>
        <v>753</v>
      </c>
      <c r="AE1006" s="7">
        <f>IF(F1006="Bullet",H1006*AD1006,MIN(MAX(I1006,1),Assumptions!$B$6)*AD1006)</f>
        <v>753</v>
      </c>
      <c r="AF1006" s="8">
        <f>IF(F1006="Bullet",MAX(0,Assumptions!$B$4-AB1006),MAX(0,Assumptions!$B$4-L1006))</f>
        <v>9</v>
      </c>
      <c r="AG1006" s="9">
        <v>46258</v>
      </c>
      <c r="AH1006" s="8">
        <f>IF(AG1006="","",Assumptions!$B$4-AG1006)</f>
        <v>40</v>
      </c>
      <c r="AI1006" s="5" t="s">
        <v>57</v>
      </c>
      <c r="AJ1006" s="8">
        <v>2</v>
      </c>
      <c r="AK1006" s="8">
        <v>0</v>
      </c>
      <c r="AL1006" s="8">
        <v>736</v>
      </c>
      <c r="AM1006" s="8">
        <v>0</v>
      </c>
      <c r="AN1006" s="5" t="s">
        <v>63</v>
      </c>
      <c r="AO1006" s="10">
        <v>69.599999999999994</v>
      </c>
      <c r="AP1006" s="8">
        <v>20</v>
      </c>
      <c r="AQ1006" s="9">
        <v>46284</v>
      </c>
      <c r="AR1006" s="5" t="s">
        <v>70</v>
      </c>
      <c r="AS1006" s="5" t="s">
        <v>81</v>
      </c>
    </row>
    <row r="1007" spans="1:45" x14ac:dyDescent="0.35">
      <c r="A1007" s="5" t="s">
        <v>4399</v>
      </c>
      <c r="B1007" s="5" t="s">
        <v>4400</v>
      </c>
      <c r="C1007" s="6" t="s">
        <v>4401</v>
      </c>
      <c r="D1007" s="7">
        <v>309500</v>
      </c>
      <c r="E1007" s="5" t="s">
        <v>48</v>
      </c>
      <c r="F1007" s="5" t="s">
        <v>68</v>
      </c>
      <c r="G1007" s="8">
        <v>6</v>
      </c>
      <c r="H1007" s="8">
        <f>IF(F1007="Bullet",MIN(G1007,Assumptions!$B$6),"")</f>
        <v>2</v>
      </c>
      <c r="I1007" s="8"/>
      <c r="J1007" s="8" t="str">
        <f>IF(F1007="Monthly interest",MAX(0,Assumptions!$B$5-I1007),"")</f>
        <v/>
      </c>
      <c r="K1007" s="7">
        <f t="shared" si="45"/>
        <v>23214</v>
      </c>
      <c r="L1007" s="9">
        <v>46092</v>
      </c>
      <c r="M1007" s="5" t="s">
        <v>69</v>
      </c>
      <c r="N1007" s="5" t="s">
        <v>53</v>
      </c>
      <c r="O1007" s="5" t="s">
        <v>168</v>
      </c>
      <c r="P1007" s="5" t="s">
        <v>70</v>
      </c>
      <c r="Q1007" s="5" t="s">
        <v>169</v>
      </c>
      <c r="R1007" s="5" t="s">
        <v>170</v>
      </c>
      <c r="S1007" s="5" t="s">
        <v>185</v>
      </c>
      <c r="T1007" s="5" t="s">
        <v>57</v>
      </c>
      <c r="U1007" s="5" t="s">
        <v>86</v>
      </c>
      <c r="V1007" s="5" t="s">
        <v>200</v>
      </c>
      <c r="W1007" s="5" t="s">
        <v>767</v>
      </c>
      <c r="X1007" s="5" t="s">
        <v>882</v>
      </c>
      <c r="Y1007" s="5" t="s">
        <v>4402</v>
      </c>
      <c r="Z1007" s="9">
        <v>46092</v>
      </c>
      <c r="AA1007" s="8">
        <v>12</v>
      </c>
      <c r="AB1007" s="9">
        <f t="shared" si="46"/>
        <v>46457</v>
      </c>
      <c r="AC1007" s="10">
        <v>15</v>
      </c>
      <c r="AD1007" s="7">
        <f t="shared" si="47"/>
        <v>3869</v>
      </c>
      <c r="AE1007" s="7">
        <f>IF(F1007="Bullet",H1007*AD1007,MIN(MAX(I1007,1),Assumptions!$B$6)*AD1007)</f>
        <v>7738</v>
      </c>
      <c r="AF1007" s="8">
        <f>IF(F1007="Bullet",MAX(0,Assumptions!$B$4-AB1007),MAX(0,Assumptions!$B$4-L1007))</f>
        <v>0</v>
      </c>
      <c r="AG1007" s="9"/>
      <c r="AH1007" s="8" t="str">
        <f>IF(AG1007="","",Assumptions!$B$4-AG1007)</f>
        <v/>
      </c>
      <c r="AI1007" s="5" t="s">
        <v>80</v>
      </c>
      <c r="AJ1007" s="8"/>
      <c r="AK1007" s="8">
        <v>0</v>
      </c>
      <c r="AL1007" s="8" t="s">
        <v>80</v>
      </c>
      <c r="AM1007" s="8">
        <v>3</v>
      </c>
      <c r="AN1007" s="5" t="s">
        <v>63</v>
      </c>
      <c r="AO1007" s="10">
        <v>80.5</v>
      </c>
      <c r="AP1007" s="8">
        <v>45</v>
      </c>
      <c r="AQ1007" s="9"/>
      <c r="AR1007" s="5"/>
      <c r="AS1007" s="5" t="s">
        <v>159</v>
      </c>
    </row>
    <row r="1008" spans="1:45" x14ac:dyDescent="0.35">
      <c r="A1008" s="5" t="s">
        <v>4403</v>
      </c>
      <c r="B1008" s="5" t="s">
        <v>4404</v>
      </c>
      <c r="C1008" s="6" t="s">
        <v>4405</v>
      </c>
      <c r="D1008" s="7">
        <v>140600</v>
      </c>
      <c r="E1008" s="5" t="s">
        <v>48</v>
      </c>
      <c r="F1008" s="5" t="s">
        <v>49</v>
      </c>
      <c r="G1008" s="8"/>
      <c r="H1008" s="8" t="str">
        <f>IF(F1008="Bullet",MIN(G1008,Assumptions!$B$6),"")</f>
        <v/>
      </c>
      <c r="I1008" s="8">
        <v>1</v>
      </c>
      <c r="J1008" s="8">
        <f>IF(F1008="Monthly interest",MAX(0,Assumptions!$B$5-I1008),"")</f>
        <v>2</v>
      </c>
      <c r="K1008" s="7">
        <f t="shared" si="45"/>
        <v>1758</v>
      </c>
      <c r="L1008" s="9">
        <v>46286</v>
      </c>
      <c r="M1008" s="5" t="s">
        <v>50</v>
      </c>
      <c r="N1008" s="5" t="s">
        <v>53</v>
      </c>
      <c r="O1008" s="5" t="s">
        <v>132</v>
      </c>
      <c r="P1008" s="5" t="s">
        <v>51</v>
      </c>
      <c r="Q1008" s="5" t="s">
        <v>54</v>
      </c>
      <c r="R1008" s="5" t="s">
        <v>55</v>
      </c>
      <c r="S1008" s="5" t="s">
        <v>75</v>
      </c>
      <c r="T1008" s="5" t="s">
        <v>57</v>
      </c>
      <c r="U1008" s="5" t="s">
        <v>86</v>
      </c>
      <c r="V1008" s="5" t="s">
        <v>76</v>
      </c>
      <c r="W1008" s="5" t="s">
        <v>105</v>
      </c>
      <c r="X1008" s="5" t="s">
        <v>4406</v>
      </c>
      <c r="Y1008" s="5" t="s">
        <v>4407</v>
      </c>
      <c r="Z1008" s="9">
        <v>46043</v>
      </c>
      <c r="AA1008" s="8">
        <v>24</v>
      </c>
      <c r="AB1008" s="9">
        <f t="shared" si="46"/>
        <v>46773</v>
      </c>
      <c r="AC1008" s="10">
        <v>15</v>
      </c>
      <c r="AD1008" s="7">
        <f t="shared" si="47"/>
        <v>1758</v>
      </c>
      <c r="AE1008" s="7">
        <f>IF(F1008="Bullet",H1008*AD1008,MIN(MAX(I1008,1),Assumptions!$B$6)*AD1008)</f>
        <v>1758</v>
      </c>
      <c r="AF1008" s="8">
        <f>IF(F1008="Bullet",MAX(0,Assumptions!$B$4-AB1008),MAX(0,Assumptions!$B$4-L1008))</f>
        <v>12</v>
      </c>
      <c r="AG1008" s="9">
        <v>46260</v>
      </c>
      <c r="AH1008" s="8">
        <f>IF(AG1008="","",Assumptions!$B$4-AG1008)</f>
        <v>38</v>
      </c>
      <c r="AI1008" s="5" t="s">
        <v>63</v>
      </c>
      <c r="AJ1008" s="8">
        <v>2</v>
      </c>
      <c r="AK1008" s="8">
        <v>0</v>
      </c>
      <c r="AL1008" s="8">
        <v>701</v>
      </c>
      <c r="AM1008" s="8">
        <v>2</v>
      </c>
      <c r="AN1008" s="5" t="s">
        <v>63</v>
      </c>
      <c r="AO1008" s="10">
        <v>63.5</v>
      </c>
      <c r="AP1008" s="8">
        <v>24</v>
      </c>
      <c r="AQ1008" s="9">
        <v>46281</v>
      </c>
      <c r="AR1008" s="5" t="s">
        <v>51</v>
      </c>
      <c r="AS1008" s="5" t="s">
        <v>91</v>
      </c>
    </row>
    <row r="1009" spans="1:45" x14ac:dyDescent="0.35">
      <c r="A1009" s="5" t="s">
        <v>4408</v>
      </c>
      <c r="B1009" s="5" t="s">
        <v>4409</v>
      </c>
      <c r="C1009" s="6" t="s">
        <v>4410</v>
      </c>
      <c r="D1009" s="7">
        <v>108000</v>
      </c>
      <c r="E1009" s="5" t="s">
        <v>48</v>
      </c>
      <c r="F1009" s="5" t="s">
        <v>49</v>
      </c>
      <c r="G1009" s="8"/>
      <c r="H1009" s="8" t="str">
        <f>IF(F1009="Bullet",MIN(G1009,Assumptions!$B$6),"")</f>
        <v/>
      </c>
      <c r="I1009" s="8">
        <v>2</v>
      </c>
      <c r="J1009" s="8">
        <f>IF(F1009="Monthly interest",MAX(0,Assumptions!$B$5-I1009),"")</f>
        <v>1</v>
      </c>
      <c r="K1009" s="7">
        <f t="shared" si="45"/>
        <v>2520</v>
      </c>
      <c r="L1009" s="9">
        <v>46242</v>
      </c>
      <c r="M1009" s="5" t="s">
        <v>69</v>
      </c>
      <c r="N1009" s="5" t="s">
        <v>53</v>
      </c>
      <c r="O1009" s="5" t="s">
        <v>71</v>
      </c>
      <c r="P1009" s="5" t="s">
        <v>70</v>
      </c>
      <c r="Q1009" s="5" t="s">
        <v>73</v>
      </c>
      <c r="R1009" s="5" t="s">
        <v>74</v>
      </c>
      <c r="S1009" s="5" t="s">
        <v>214</v>
      </c>
      <c r="T1009" s="5" t="s">
        <v>57</v>
      </c>
      <c r="U1009" s="5" t="s">
        <v>104</v>
      </c>
      <c r="V1009" s="5" t="s">
        <v>215</v>
      </c>
      <c r="W1009" s="5" t="s">
        <v>278</v>
      </c>
      <c r="X1009" s="5" t="s">
        <v>1284</v>
      </c>
      <c r="Y1009" s="5" t="s">
        <v>4411</v>
      </c>
      <c r="Z1009" s="9">
        <v>46150</v>
      </c>
      <c r="AA1009" s="8">
        <v>12</v>
      </c>
      <c r="AB1009" s="9">
        <f t="shared" si="46"/>
        <v>46515</v>
      </c>
      <c r="AC1009" s="10">
        <v>14</v>
      </c>
      <c r="AD1009" s="7">
        <f t="shared" si="47"/>
        <v>1260</v>
      </c>
      <c r="AE1009" s="7">
        <f>IF(F1009="Bullet",H1009*AD1009,MIN(MAX(I1009,1),Assumptions!$B$6)*AD1009)</f>
        <v>2520</v>
      </c>
      <c r="AF1009" s="8">
        <f>IF(F1009="Bullet",MAX(0,Assumptions!$B$4-AB1009),MAX(0,Assumptions!$B$4-L1009))</f>
        <v>56</v>
      </c>
      <c r="AG1009" s="9">
        <v>46211</v>
      </c>
      <c r="AH1009" s="8">
        <f>IF(AG1009="","",Assumptions!$B$4-AG1009)</f>
        <v>87</v>
      </c>
      <c r="AI1009" s="5" t="s">
        <v>63</v>
      </c>
      <c r="AJ1009" s="8">
        <v>4</v>
      </c>
      <c r="AK1009" s="8">
        <v>1</v>
      </c>
      <c r="AL1009" s="8">
        <v>730</v>
      </c>
      <c r="AM1009" s="8">
        <v>2</v>
      </c>
      <c r="AN1009" s="5" t="s">
        <v>63</v>
      </c>
      <c r="AO1009" s="10">
        <v>67.8</v>
      </c>
      <c r="AP1009" s="8">
        <v>47</v>
      </c>
      <c r="AQ1009" s="9">
        <v>46278</v>
      </c>
      <c r="AR1009" s="5" t="s">
        <v>70</v>
      </c>
      <c r="AS1009" s="5" t="s">
        <v>64</v>
      </c>
    </row>
    <row r="1010" spans="1:45" x14ac:dyDescent="0.35">
      <c r="A1010" s="5" t="s">
        <v>4412</v>
      </c>
      <c r="B1010" s="5" t="s">
        <v>771</v>
      </c>
      <c r="C1010" s="6" t="s">
        <v>4413</v>
      </c>
      <c r="D1010" s="7">
        <v>208600</v>
      </c>
      <c r="E1010" s="5" t="s">
        <v>48</v>
      </c>
      <c r="F1010" s="5" t="s">
        <v>49</v>
      </c>
      <c r="G1010" s="8"/>
      <c r="H1010" s="8" t="str">
        <f>IF(F1010="Bullet",MIN(G1010,Assumptions!$B$6),"")</f>
        <v/>
      </c>
      <c r="I1010" s="8">
        <v>1</v>
      </c>
      <c r="J1010" s="8">
        <f>IF(F1010="Monthly interest",MAX(0,Assumptions!$B$5-I1010),"")</f>
        <v>2</v>
      </c>
      <c r="K1010" s="7">
        <f t="shared" si="45"/>
        <v>2434</v>
      </c>
      <c r="L1010" s="9">
        <v>46279</v>
      </c>
      <c r="M1010" s="5" t="s">
        <v>69</v>
      </c>
      <c r="N1010" s="5" t="s">
        <v>53</v>
      </c>
      <c r="O1010" s="5" t="s">
        <v>103</v>
      </c>
      <c r="P1010" s="5" t="s">
        <v>70</v>
      </c>
      <c r="Q1010" s="5" t="s">
        <v>54</v>
      </c>
      <c r="R1010" s="5" t="s">
        <v>55</v>
      </c>
      <c r="S1010" s="5" t="s">
        <v>185</v>
      </c>
      <c r="T1010" s="5" t="s">
        <v>57</v>
      </c>
      <c r="U1010" s="5" t="s">
        <v>58</v>
      </c>
      <c r="V1010" s="5" t="s">
        <v>200</v>
      </c>
      <c r="W1010" s="5" t="s">
        <v>1332</v>
      </c>
      <c r="X1010" s="5" t="s">
        <v>2348</v>
      </c>
      <c r="Y1010" s="5" t="s">
        <v>4414</v>
      </c>
      <c r="Z1010" s="9">
        <v>46156</v>
      </c>
      <c r="AA1010" s="8">
        <v>24</v>
      </c>
      <c r="AB1010" s="9">
        <f t="shared" si="46"/>
        <v>46887</v>
      </c>
      <c r="AC1010" s="10">
        <v>14</v>
      </c>
      <c r="AD1010" s="7">
        <f t="shared" si="47"/>
        <v>2434</v>
      </c>
      <c r="AE1010" s="7">
        <f>IF(F1010="Bullet",H1010*AD1010,MIN(MAX(I1010,1),Assumptions!$B$6)*AD1010)</f>
        <v>2434</v>
      </c>
      <c r="AF1010" s="8">
        <f>IF(F1010="Bullet",MAX(0,Assumptions!$B$4-AB1010),MAX(0,Assumptions!$B$4-L1010))</f>
        <v>19</v>
      </c>
      <c r="AG1010" s="9">
        <v>46248</v>
      </c>
      <c r="AH1010" s="8">
        <f>IF(AG1010="","",Assumptions!$B$4-AG1010)</f>
        <v>50</v>
      </c>
      <c r="AI1010" s="5" t="s">
        <v>63</v>
      </c>
      <c r="AJ1010" s="8">
        <v>1</v>
      </c>
      <c r="AK1010" s="8">
        <v>0</v>
      </c>
      <c r="AL1010" s="8">
        <v>687</v>
      </c>
      <c r="AM1010" s="8">
        <v>0</v>
      </c>
      <c r="AN1010" s="5" t="s">
        <v>63</v>
      </c>
      <c r="AO1010" s="10">
        <v>80.3</v>
      </c>
      <c r="AP1010" s="8">
        <v>36</v>
      </c>
      <c r="AQ1010" s="9">
        <v>46280</v>
      </c>
      <c r="AR1010" s="5" t="s">
        <v>51</v>
      </c>
      <c r="AS1010" s="5" t="s">
        <v>81</v>
      </c>
    </row>
    <row r="1011" spans="1:45" x14ac:dyDescent="0.35">
      <c r="A1011" s="5" t="s">
        <v>4415</v>
      </c>
      <c r="B1011" s="5" t="s">
        <v>4416</v>
      </c>
      <c r="C1011" s="6" t="s">
        <v>4417</v>
      </c>
      <c r="D1011" s="7">
        <v>47800</v>
      </c>
      <c r="E1011" s="5" t="s">
        <v>48</v>
      </c>
      <c r="F1011" s="5" t="s">
        <v>68</v>
      </c>
      <c r="G1011" s="8">
        <v>4</v>
      </c>
      <c r="H1011" s="8">
        <f>IF(F1011="Bullet",MIN(G1011,Assumptions!$B$6),"")</f>
        <v>2</v>
      </c>
      <c r="I1011" s="8"/>
      <c r="J1011" s="8" t="str">
        <f>IF(F1011="Monthly interest",MAX(0,Assumptions!$B$5-I1011),"")</f>
        <v/>
      </c>
      <c r="K1011" s="7">
        <f t="shared" si="45"/>
        <v>2868</v>
      </c>
      <c r="L1011" s="9">
        <v>46159</v>
      </c>
      <c r="M1011" s="5" t="s">
        <v>69</v>
      </c>
      <c r="N1011" s="5" t="s">
        <v>53</v>
      </c>
      <c r="O1011" s="5" t="s">
        <v>152</v>
      </c>
      <c r="P1011" s="5" t="s">
        <v>153</v>
      </c>
      <c r="Q1011" s="5" t="s">
        <v>154</v>
      </c>
      <c r="R1011" s="5" t="s">
        <v>155</v>
      </c>
      <c r="S1011" s="5" t="s">
        <v>185</v>
      </c>
      <c r="T1011" s="5" t="s">
        <v>57</v>
      </c>
      <c r="U1011" s="5" t="s">
        <v>58</v>
      </c>
      <c r="V1011" s="5" t="s">
        <v>186</v>
      </c>
      <c r="W1011" s="5" t="s">
        <v>187</v>
      </c>
      <c r="X1011" s="5" t="s">
        <v>867</v>
      </c>
      <c r="Y1011" s="5" t="s">
        <v>4418</v>
      </c>
      <c r="Z1011" s="9">
        <v>46159</v>
      </c>
      <c r="AA1011" s="8">
        <v>6</v>
      </c>
      <c r="AB1011" s="9">
        <f t="shared" si="46"/>
        <v>46343</v>
      </c>
      <c r="AC1011" s="10">
        <v>18</v>
      </c>
      <c r="AD1011" s="7">
        <f t="shared" si="47"/>
        <v>717</v>
      </c>
      <c r="AE1011" s="7">
        <f>IF(F1011="Bullet",H1011*AD1011,MIN(MAX(I1011,1),Assumptions!$B$6)*AD1011)</f>
        <v>1434</v>
      </c>
      <c r="AF1011" s="8">
        <f>IF(F1011="Bullet",MAX(0,Assumptions!$B$4-AB1011),MAX(0,Assumptions!$B$4-L1011))</f>
        <v>0</v>
      </c>
      <c r="AG1011" s="9"/>
      <c r="AH1011" s="8" t="str">
        <f>IF(AG1011="","",Assumptions!$B$4-AG1011)</f>
        <v/>
      </c>
      <c r="AI1011" s="5" t="s">
        <v>80</v>
      </c>
      <c r="AJ1011" s="8"/>
      <c r="AK1011" s="8">
        <v>2</v>
      </c>
      <c r="AL1011" s="8">
        <v>737</v>
      </c>
      <c r="AM1011" s="8">
        <v>2</v>
      </c>
      <c r="AN1011" s="5" t="s">
        <v>63</v>
      </c>
      <c r="AO1011" s="10">
        <v>79.2</v>
      </c>
      <c r="AP1011" s="8">
        <v>44</v>
      </c>
      <c r="AQ1011" s="9">
        <v>46287</v>
      </c>
      <c r="AR1011" s="5" t="s">
        <v>51</v>
      </c>
      <c r="AS1011" s="5" t="s">
        <v>64</v>
      </c>
    </row>
    <row r="1012" spans="1:45" x14ac:dyDescent="0.35">
      <c r="A1012" s="5" t="s">
        <v>4419</v>
      </c>
      <c r="B1012" s="5" t="s">
        <v>4420</v>
      </c>
      <c r="C1012" s="6" t="s">
        <v>4421</v>
      </c>
      <c r="D1012" s="7">
        <v>350500</v>
      </c>
      <c r="E1012" s="5" t="s">
        <v>48</v>
      </c>
      <c r="F1012" s="5" t="s">
        <v>68</v>
      </c>
      <c r="G1012" s="8">
        <v>2</v>
      </c>
      <c r="H1012" s="8">
        <f>IF(F1012="Bullet",MIN(G1012,Assumptions!$B$6),"")</f>
        <v>2</v>
      </c>
      <c r="I1012" s="8"/>
      <c r="J1012" s="8" t="str">
        <f>IF(F1012="Monthly interest",MAX(0,Assumptions!$B$5-I1012),"")</f>
        <v/>
      </c>
      <c r="K1012" s="7">
        <f t="shared" si="45"/>
        <v>9346</v>
      </c>
      <c r="L1012" s="9">
        <v>46235</v>
      </c>
      <c r="M1012" s="5" t="s">
        <v>50</v>
      </c>
      <c r="N1012" s="5" t="s">
        <v>70</v>
      </c>
      <c r="O1012" s="5" t="s">
        <v>271</v>
      </c>
      <c r="P1012" s="5" t="s">
        <v>72</v>
      </c>
      <c r="Q1012" s="5" t="s">
        <v>73</v>
      </c>
      <c r="R1012" s="5" t="s">
        <v>74</v>
      </c>
      <c r="S1012" s="5" t="s">
        <v>185</v>
      </c>
      <c r="T1012" s="5" t="s">
        <v>57</v>
      </c>
      <c r="U1012" s="5" t="s">
        <v>86</v>
      </c>
      <c r="V1012" s="5" t="s">
        <v>186</v>
      </c>
      <c r="W1012" s="5" t="s">
        <v>187</v>
      </c>
      <c r="X1012" s="5" t="s">
        <v>462</v>
      </c>
      <c r="Y1012" s="5" t="s">
        <v>4422</v>
      </c>
      <c r="Z1012" s="9">
        <v>46235</v>
      </c>
      <c r="AA1012" s="8">
        <v>6</v>
      </c>
      <c r="AB1012" s="9">
        <f t="shared" si="46"/>
        <v>46419</v>
      </c>
      <c r="AC1012" s="10">
        <v>16</v>
      </c>
      <c r="AD1012" s="7">
        <f t="shared" si="47"/>
        <v>4673</v>
      </c>
      <c r="AE1012" s="7">
        <f>IF(F1012="Bullet",H1012*AD1012,MIN(MAX(I1012,1),Assumptions!$B$6)*AD1012)</f>
        <v>9346</v>
      </c>
      <c r="AF1012" s="8">
        <f>IF(F1012="Bullet",MAX(0,Assumptions!$B$4-AB1012),MAX(0,Assumptions!$B$4-L1012))</f>
        <v>0</v>
      </c>
      <c r="AG1012" s="9"/>
      <c r="AH1012" s="8" t="str">
        <f>IF(AG1012="","",Assumptions!$B$4-AG1012)</f>
        <v/>
      </c>
      <c r="AI1012" s="5" t="s">
        <v>80</v>
      </c>
      <c r="AJ1012" s="8"/>
      <c r="AK1012" s="8">
        <v>0</v>
      </c>
      <c r="AL1012" s="8">
        <v>779</v>
      </c>
      <c r="AM1012" s="8">
        <v>2</v>
      </c>
      <c r="AN1012" s="5" t="s">
        <v>63</v>
      </c>
      <c r="AO1012" s="10">
        <v>77.5</v>
      </c>
      <c r="AP1012" s="8">
        <v>16</v>
      </c>
      <c r="AQ1012" s="9">
        <v>46294</v>
      </c>
      <c r="AR1012" s="5" t="s">
        <v>70</v>
      </c>
      <c r="AS1012" s="5" t="s">
        <v>274</v>
      </c>
    </row>
    <row r="1013" spans="1:45" x14ac:dyDescent="0.35">
      <c r="A1013" s="5" t="s">
        <v>4423</v>
      </c>
      <c r="B1013" s="5" t="s">
        <v>4424</v>
      </c>
      <c r="C1013" s="6" t="s">
        <v>4425</v>
      </c>
      <c r="D1013" s="7">
        <v>1098900</v>
      </c>
      <c r="E1013" s="5" t="s">
        <v>48</v>
      </c>
      <c r="F1013" s="5" t="s">
        <v>49</v>
      </c>
      <c r="G1013" s="8"/>
      <c r="H1013" s="8" t="str">
        <f>IF(F1013="Bullet",MIN(G1013,Assumptions!$B$6),"")</f>
        <v/>
      </c>
      <c r="I1013" s="8">
        <v>1</v>
      </c>
      <c r="J1013" s="8">
        <f>IF(F1013="Monthly interest",MAX(0,Assumptions!$B$5-I1013),"")</f>
        <v>2</v>
      </c>
      <c r="K1013" s="7">
        <f t="shared" si="45"/>
        <v>12821</v>
      </c>
      <c r="L1013" s="9">
        <v>46283</v>
      </c>
      <c r="M1013" s="5" t="s">
        <v>50</v>
      </c>
      <c r="N1013" s="5" t="s">
        <v>51</v>
      </c>
      <c r="O1013" s="5" t="s">
        <v>52</v>
      </c>
      <c r="P1013" s="5" t="s">
        <v>53</v>
      </c>
      <c r="Q1013" s="5" t="s">
        <v>54</v>
      </c>
      <c r="R1013" s="5" t="s">
        <v>55</v>
      </c>
      <c r="S1013" s="5" t="s">
        <v>85</v>
      </c>
      <c r="T1013" s="5" t="s">
        <v>57</v>
      </c>
      <c r="U1013" s="5" t="s">
        <v>58</v>
      </c>
      <c r="V1013" s="5" t="s">
        <v>87</v>
      </c>
      <c r="W1013" s="5" t="s">
        <v>88</v>
      </c>
      <c r="X1013" s="5" t="s">
        <v>1371</v>
      </c>
      <c r="Y1013" s="5" t="s">
        <v>4426</v>
      </c>
      <c r="Z1013" s="9">
        <v>46099</v>
      </c>
      <c r="AA1013" s="8">
        <v>12</v>
      </c>
      <c r="AB1013" s="9">
        <f t="shared" si="46"/>
        <v>46464</v>
      </c>
      <c r="AC1013" s="10">
        <v>14</v>
      </c>
      <c r="AD1013" s="7">
        <f t="shared" si="47"/>
        <v>12821</v>
      </c>
      <c r="AE1013" s="7">
        <f>IF(F1013="Bullet",H1013*AD1013,MIN(MAX(I1013,1),Assumptions!$B$6)*AD1013)</f>
        <v>12821</v>
      </c>
      <c r="AF1013" s="8">
        <f>IF(F1013="Bullet",MAX(0,Assumptions!$B$4-AB1013),MAX(0,Assumptions!$B$4-L1013))</f>
        <v>15</v>
      </c>
      <c r="AG1013" s="9">
        <v>46257</v>
      </c>
      <c r="AH1013" s="8">
        <f>IF(AG1013="","",Assumptions!$B$4-AG1013)</f>
        <v>41</v>
      </c>
      <c r="AI1013" s="5" t="s">
        <v>57</v>
      </c>
      <c r="AJ1013" s="8">
        <v>1</v>
      </c>
      <c r="AK1013" s="8">
        <v>0</v>
      </c>
      <c r="AL1013" s="8">
        <v>787</v>
      </c>
      <c r="AM1013" s="8">
        <v>1</v>
      </c>
      <c r="AN1013" s="5" t="s">
        <v>63</v>
      </c>
      <c r="AO1013" s="10">
        <v>61.1</v>
      </c>
      <c r="AP1013" s="8">
        <v>7</v>
      </c>
      <c r="AQ1013" s="9">
        <v>46288</v>
      </c>
      <c r="AR1013" s="5" t="s">
        <v>51</v>
      </c>
      <c r="AS1013" s="5" t="s">
        <v>181</v>
      </c>
    </row>
    <row r="1014" spans="1:45" x14ac:dyDescent="0.35">
      <c r="A1014" s="5" t="s">
        <v>4427</v>
      </c>
      <c r="B1014" s="5" t="s">
        <v>4428</v>
      </c>
      <c r="C1014" s="6" t="s">
        <v>4429</v>
      </c>
      <c r="D1014" s="7">
        <v>302000</v>
      </c>
      <c r="E1014" s="5" t="s">
        <v>48</v>
      </c>
      <c r="F1014" s="5" t="s">
        <v>49</v>
      </c>
      <c r="G1014" s="8"/>
      <c r="H1014" s="8" t="str">
        <f>IF(F1014="Bullet",MIN(G1014,Assumptions!$B$6),"")</f>
        <v/>
      </c>
      <c r="I1014" s="8">
        <v>1</v>
      </c>
      <c r="J1014" s="8">
        <f>IF(F1014="Monthly interest",MAX(0,Assumptions!$B$5-I1014),"")</f>
        <v>2</v>
      </c>
      <c r="K1014" s="7">
        <f t="shared" si="45"/>
        <v>3775</v>
      </c>
      <c r="L1014" s="9">
        <v>46284</v>
      </c>
      <c r="M1014" s="5" t="s">
        <v>69</v>
      </c>
      <c r="N1014" s="5" t="s">
        <v>53</v>
      </c>
      <c r="O1014" s="5" t="s">
        <v>103</v>
      </c>
      <c r="P1014" s="5" t="s">
        <v>70</v>
      </c>
      <c r="Q1014" s="5" t="s">
        <v>54</v>
      </c>
      <c r="R1014" s="5" t="s">
        <v>55</v>
      </c>
      <c r="S1014" s="5" t="s">
        <v>214</v>
      </c>
      <c r="T1014" s="5" t="s">
        <v>63</v>
      </c>
      <c r="U1014" s="5" t="s">
        <v>104</v>
      </c>
      <c r="V1014" s="5" t="s">
        <v>215</v>
      </c>
      <c r="W1014" s="5" t="s">
        <v>232</v>
      </c>
      <c r="X1014" s="5" t="s">
        <v>3573</v>
      </c>
      <c r="Y1014" s="5" t="s">
        <v>4430</v>
      </c>
      <c r="Z1014" s="9">
        <v>46100</v>
      </c>
      <c r="AA1014" s="8">
        <v>18</v>
      </c>
      <c r="AB1014" s="9">
        <f t="shared" si="46"/>
        <v>46649</v>
      </c>
      <c r="AC1014" s="10">
        <v>15</v>
      </c>
      <c r="AD1014" s="7">
        <f t="shared" si="47"/>
        <v>3775</v>
      </c>
      <c r="AE1014" s="7">
        <f>IF(F1014="Bullet",H1014*AD1014,MIN(MAX(I1014,1),Assumptions!$B$6)*AD1014)</f>
        <v>3775</v>
      </c>
      <c r="AF1014" s="8">
        <f>IF(F1014="Bullet",MAX(0,Assumptions!$B$4-AB1014),MAX(0,Assumptions!$B$4-L1014))</f>
        <v>14</v>
      </c>
      <c r="AG1014" s="9">
        <v>46255</v>
      </c>
      <c r="AH1014" s="8">
        <f>IF(AG1014="","",Assumptions!$B$4-AG1014)</f>
        <v>43</v>
      </c>
      <c r="AI1014" s="5" t="s">
        <v>63</v>
      </c>
      <c r="AJ1014" s="8">
        <v>1</v>
      </c>
      <c r="AK1014" s="8">
        <v>0</v>
      </c>
      <c r="AL1014" s="8">
        <v>657</v>
      </c>
      <c r="AM1014" s="8">
        <v>0</v>
      </c>
      <c r="AN1014" s="5" t="s">
        <v>57</v>
      </c>
      <c r="AO1014" s="10">
        <v>67</v>
      </c>
      <c r="AP1014" s="8">
        <v>38</v>
      </c>
      <c r="AQ1014" s="9">
        <v>46294</v>
      </c>
      <c r="AR1014" s="5" t="s">
        <v>51</v>
      </c>
      <c r="AS1014" s="5" t="s">
        <v>81</v>
      </c>
    </row>
    <row r="1015" spans="1:45" x14ac:dyDescent="0.35">
      <c r="A1015" s="5" t="s">
        <v>4431</v>
      </c>
      <c r="B1015" s="5" t="s">
        <v>4432</v>
      </c>
      <c r="C1015" s="6" t="s">
        <v>4433</v>
      </c>
      <c r="D1015" s="7">
        <v>84900</v>
      </c>
      <c r="E1015" s="5" t="s">
        <v>48</v>
      </c>
      <c r="F1015" s="5" t="s">
        <v>49</v>
      </c>
      <c r="G1015" s="8"/>
      <c r="H1015" s="8" t="str">
        <f>IF(F1015="Bullet",MIN(G1015,Assumptions!$B$6),"")</f>
        <v/>
      </c>
      <c r="I1015" s="8">
        <v>1</v>
      </c>
      <c r="J1015" s="8">
        <f>IF(F1015="Monthly interest",MAX(0,Assumptions!$B$5-I1015),"")</f>
        <v>2</v>
      </c>
      <c r="K1015" s="7">
        <f t="shared" si="45"/>
        <v>1274</v>
      </c>
      <c r="L1015" s="9">
        <v>46285</v>
      </c>
      <c r="M1015" s="5" t="s">
        <v>50</v>
      </c>
      <c r="N1015" s="5" t="s">
        <v>51</v>
      </c>
      <c r="O1015" s="5" t="s">
        <v>52</v>
      </c>
      <c r="P1015" s="5" t="s">
        <v>53</v>
      </c>
      <c r="Q1015" s="5" t="s">
        <v>54</v>
      </c>
      <c r="R1015" s="5" t="s">
        <v>55</v>
      </c>
      <c r="S1015" s="5" t="s">
        <v>56</v>
      </c>
      <c r="T1015" s="5" t="s">
        <v>57</v>
      </c>
      <c r="U1015" s="5" t="s">
        <v>58</v>
      </c>
      <c r="V1015" s="5" t="s">
        <v>59</v>
      </c>
      <c r="W1015" s="5" t="s">
        <v>126</v>
      </c>
      <c r="X1015" s="5" t="s">
        <v>2383</v>
      </c>
      <c r="Y1015" s="5" t="s">
        <v>4434</v>
      </c>
      <c r="Z1015" s="9">
        <v>46223</v>
      </c>
      <c r="AA1015" s="8">
        <v>18</v>
      </c>
      <c r="AB1015" s="9">
        <f t="shared" si="46"/>
        <v>46772</v>
      </c>
      <c r="AC1015" s="10">
        <v>18</v>
      </c>
      <c r="AD1015" s="7">
        <f t="shared" si="47"/>
        <v>1274</v>
      </c>
      <c r="AE1015" s="7">
        <f>IF(F1015="Bullet",H1015*AD1015,MIN(MAX(I1015,1),Assumptions!$B$6)*AD1015)</f>
        <v>1274</v>
      </c>
      <c r="AF1015" s="8">
        <f>IF(F1015="Bullet",MAX(0,Assumptions!$B$4-AB1015),MAX(0,Assumptions!$B$4-L1015))</f>
        <v>13</v>
      </c>
      <c r="AG1015" s="9">
        <v>46256</v>
      </c>
      <c r="AH1015" s="8">
        <f>IF(AG1015="","",Assumptions!$B$4-AG1015)</f>
        <v>42</v>
      </c>
      <c r="AI1015" s="5" t="s">
        <v>63</v>
      </c>
      <c r="AJ1015" s="8">
        <v>3</v>
      </c>
      <c r="AK1015" s="8">
        <v>0</v>
      </c>
      <c r="AL1015" s="8">
        <v>771</v>
      </c>
      <c r="AM1015" s="8">
        <v>2</v>
      </c>
      <c r="AN1015" s="5" t="s">
        <v>63</v>
      </c>
      <c r="AO1015" s="10">
        <v>77.900000000000006</v>
      </c>
      <c r="AP1015" s="8">
        <v>28</v>
      </c>
      <c r="AQ1015" s="9">
        <v>46291</v>
      </c>
      <c r="AR1015" s="5" t="s">
        <v>53</v>
      </c>
      <c r="AS1015" s="5" t="s">
        <v>190</v>
      </c>
    </row>
    <row r="1016" spans="1:45" x14ac:dyDescent="0.35">
      <c r="A1016" s="5" t="s">
        <v>4435</v>
      </c>
      <c r="B1016" s="5" t="s">
        <v>4436</v>
      </c>
      <c r="C1016" s="6" t="s">
        <v>4437</v>
      </c>
      <c r="D1016" s="7">
        <v>30800</v>
      </c>
      <c r="E1016" s="5" t="s">
        <v>48</v>
      </c>
      <c r="F1016" s="5" t="s">
        <v>68</v>
      </c>
      <c r="G1016" s="8">
        <v>3</v>
      </c>
      <c r="H1016" s="8">
        <f>IF(F1016="Bullet",MIN(G1016,Assumptions!$B$6),"")</f>
        <v>2</v>
      </c>
      <c r="I1016" s="8"/>
      <c r="J1016" s="8" t="str">
        <f>IF(F1016="Monthly interest",MAX(0,Assumptions!$B$5-I1016),"")</f>
        <v/>
      </c>
      <c r="K1016" s="7">
        <f t="shared" si="45"/>
        <v>1386</v>
      </c>
      <c r="L1016" s="9">
        <v>46190</v>
      </c>
      <c r="M1016" s="5" t="s">
        <v>50</v>
      </c>
      <c r="N1016" s="5" t="s">
        <v>53</v>
      </c>
      <c r="O1016" s="5" t="s">
        <v>152</v>
      </c>
      <c r="P1016" s="5" t="s">
        <v>153</v>
      </c>
      <c r="Q1016" s="5" t="s">
        <v>154</v>
      </c>
      <c r="R1016" s="5" t="s">
        <v>155</v>
      </c>
      <c r="S1016" s="5" t="s">
        <v>185</v>
      </c>
      <c r="T1016" s="5" t="s">
        <v>57</v>
      </c>
      <c r="U1016" s="5" t="s">
        <v>86</v>
      </c>
      <c r="V1016" s="5" t="s">
        <v>200</v>
      </c>
      <c r="W1016" s="5" t="s">
        <v>767</v>
      </c>
      <c r="X1016" s="5" t="s">
        <v>768</v>
      </c>
      <c r="Y1016" s="5" t="s">
        <v>4438</v>
      </c>
      <c r="Z1016" s="9">
        <v>46190</v>
      </c>
      <c r="AA1016" s="8">
        <v>3</v>
      </c>
      <c r="AB1016" s="9">
        <f t="shared" si="46"/>
        <v>46282</v>
      </c>
      <c r="AC1016" s="10">
        <v>18</v>
      </c>
      <c r="AD1016" s="7">
        <f t="shared" si="47"/>
        <v>462</v>
      </c>
      <c r="AE1016" s="7">
        <f>IF(F1016="Bullet",H1016*AD1016,MIN(MAX(I1016,1),Assumptions!$B$6)*AD1016)</f>
        <v>924</v>
      </c>
      <c r="AF1016" s="8">
        <f>IF(F1016="Bullet",MAX(0,Assumptions!$B$4-AB1016),MAX(0,Assumptions!$B$4-L1016))</f>
        <v>16</v>
      </c>
      <c r="AG1016" s="9"/>
      <c r="AH1016" s="8" t="str">
        <f>IF(AG1016="","",Assumptions!$B$4-AG1016)</f>
        <v/>
      </c>
      <c r="AI1016" s="5" t="s">
        <v>80</v>
      </c>
      <c r="AJ1016" s="8"/>
      <c r="AK1016" s="8">
        <v>0</v>
      </c>
      <c r="AL1016" s="8">
        <v>774</v>
      </c>
      <c r="AM1016" s="8">
        <v>2</v>
      </c>
      <c r="AN1016" s="5" t="s">
        <v>63</v>
      </c>
      <c r="AO1016" s="10">
        <v>54.4</v>
      </c>
      <c r="AP1016" s="8">
        <v>29</v>
      </c>
      <c r="AQ1016" s="9">
        <v>46292</v>
      </c>
      <c r="AR1016" s="5" t="s">
        <v>51</v>
      </c>
      <c r="AS1016" s="5" t="s">
        <v>81</v>
      </c>
    </row>
    <row r="1017" spans="1:45" x14ac:dyDescent="0.35">
      <c r="A1017" s="5" t="s">
        <v>4439</v>
      </c>
      <c r="B1017" s="5" t="s">
        <v>4440</v>
      </c>
      <c r="C1017" s="6" t="s">
        <v>4441</v>
      </c>
      <c r="D1017" s="7">
        <v>138700</v>
      </c>
      <c r="E1017" s="5" t="s">
        <v>48</v>
      </c>
      <c r="F1017" s="5" t="s">
        <v>68</v>
      </c>
      <c r="G1017" s="8">
        <v>6</v>
      </c>
      <c r="H1017" s="8">
        <f>IF(F1017="Bullet",MIN(G1017,Assumptions!$B$6),"")</f>
        <v>2</v>
      </c>
      <c r="I1017" s="8"/>
      <c r="J1017" s="8" t="str">
        <f>IF(F1017="Monthly interest",MAX(0,Assumptions!$B$5-I1017),"")</f>
        <v/>
      </c>
      <c r="K1017" s="7">
        <f t="shared" si="45"/>
        <v>9018</v>
      </c>
      <c r="L1017" s="9">
        <v>46107</v>
      </c>
      <c r="M1017" s="5" t="s">
        <v>116</v>
      </c>
      <c r="N1017" s="5" t="s">
        <v>117</v>
      </c>
      <c r="O1017" s="5" t="s">
        <v>461</v>
      </c>
      <c r="P1017" s="5" t="s">
        <v>72</v>
      </c>
      <c r="Q1017" s="5" t="s">
        <v>169</v>
      </c>
      <c r="R1017" s="5" t="s">
        <v>170</v>
      </c>
      <c r="S1017" s="5" t="s">
        <v>56</v>
      </c>
      <c r="T1017" s="5" t="s">
        <v>57</v>
      </c>
      <c r="U1017" s="5" t="s">
        <v>104</v>
      </c>
      <c r="V1017" s="5" t="s">
        <v>59</v>
      </c>
      <c r="W1017" s="5" t="s">
        <v>194</v>
      </c>
      <c r="X1017" s="5" t="s">
        <v>526</v>
      </c>
      <c r="Y1017" s="5" t="s">
        <v>4442</v>
      </c>
      <c r="Z1017" s="9">
        <v>46107</v>
      </c>
      <c r="AA1017" s="8">
        <v>6</v>
      </c>
      <c r="AB1017" s="9">
        <f t="shared" si="46"/>
        <v>46291</v>
      </c>
      <c r="AC1017" s="10">
        <v>13</v>
      </c>
      <c r="AD1017" s="7">
        <f t="shared" si="47"/>
        <v>1503</v>
      </c>
      <c r="AE1017" s="7">
        <f>IF(F1017="Bullet",H1017*AD1017,MIN(MAX(I1017,1),Assumptions!$B$6)*AD1017)</f>
        <v>3006</v>
      </c>
      <c r="AF1017" s="8">
        <f>IF(F1017="Bullet",MAX(0,Assumptions!$B$4-AB1017),MAX(0,Assumptions!$B$4-L1017))</f>
        <v>7</v>
      </c>
      <c r="AG1017" s="9"/>
      <c r="AH1017" s="8" t="str">
        <f>IF(AG1017="","",Assumptions!$B$4-AG1017)</f>
        <v/>
      </c>
      <c r="AI1017" s="5" t="s">
        <v>80</v>
      </c>
      <c r="AJ1017" s="8"/>
      <c r="AK1017" s="8">
        <v>3</v>
      </c>
      <c r="AL1017" s="8">
        <v>670</v>
      </c>
      <c r="AM1017" s="8">
        <v>1</v>
      </c>
      <c r="AN1017" s="5" t="s">
        <v>63</v>
      </c>
      <c r="AO1017" s="10">
        <v>76.099999999999994</v>
      </c>
      <c r="AP1017" s="8">
        <v>72</v>
      </c>
      <c r="AQ1017" s="9">
        <v>46296</v>
      </c>
      <c r="AR1017" s="5" t="s">
        <v>51</v>
      </c>
      <c r="AS1017" s="5" t="s">
        <v>190</v>
      </c>
    </row>
    <row r="1018" spans="1:45" x14ac:dyDescent="0.35">
      <c r="A1018" s="5" t="s">
        <v>4443</v>
      </c>
      <c r="B1018" s="5" t="s">
        <v>4444</v>
      </c>
      <c r="C1018" s="6" t="s">
        <v>4445</v>
      </c>
      <c r="D1018" s="7">
        <v>45400</v>
      </c>
      <c r="E1018" s="5" t="s">
        <v>48</v>
      </c>
      <c r="F1018" s="5" t="s">
        <v>49</v>
      </c>
      <c r="G1018" s="8"/>
      <c r="H1018" s="8" t="str">
        <f>IF(F1018="Bullet",MIN(G1018,Assumptions!$B$6),"")</f>
        <v/>
      </c>
      <c r="I1018" s="8">
        <v>2</v>
      </c>
      <c r="J1018" s="8">
        <f>IF(F1018="Monthly interest",MAX(0,Assumptions!$B$5-I1018),"")</f>
        <v>1</v>
      </c>
      <c r="K1018" s="7">
        <f t="shared" si="45"/>
        <v>1136</v>
      </c>
      <c r="L1018" s="9">
        <v>46246</v>
      </c>
      <c r="M1018" s="5" t="s">
        <v>116</v>
      </c>
      <c r="N1018" s="5" t="s">
        <v>117</v>
      </c>
      <c r="O1018" s="5" t="s">
        <v>450</v>
      </c>
      <c r="P1018" s="5" t="s">
        <v>72</v>
      </c>
      <c r="Q1018" s="5" t="s">
        <v>154</v>
      </c>
      <c r="R1018" s="5" t="s">
        <v>155</v>
      </c>
      <c r="S1018" s="5" t="s">
        <v>75</v>
      </c>
      <c r="T1018" s="5" t="s">
        <v>57</v>
      </c>
      <c r="U1018" s="5" t="s">
        <v>58</v>
      </c>
      <c r="V1018" s="5" t="s">
        <v>76</v>
      </c>
      <c r="W1018" s="5" t="s">
        <v>382</v>
      </c>
      <c r="X1018" s="5" t="s">
        <v>4446</v>
      </c>
      <c r="Y1018" s="5" t="s">
        <v>4447</v>
      </c>
      <c r="Z1018" s="9">
        <v>46185</v>
      </c>
      <c r="AA1018" s="8">
        <v>12</v>
      </c>
      <c r="AB1018" s="9">
        <f t="shared" si="46"/>
        <v>46550</v>
      </c>
      <c r="AC1018" s="10">
        <v>15</v>
      </c>
      <c r="AD1018" s="7">
        <f t="shared" si="47"/>
        <v>568</v>
      </c>
      <c r="AE1018" s="7">
        <f>IF(F1018="Bullet",H1018*AD1018,MIN(MAX(I1018,1),Assumptions!$B$6)*AD1018)</f>
        <v>1136</v>
      </c>
      <c r="AF1018" s="8">
        <f>IF(F1018="Bullet",MAX(0,Assumptions!$B$4-AB1018),MAX(0,Assumptions!$B$4-L1018))</f>
        <v>52</v>
      </c>
      <c r="AG1018" s="9">
        <v>46216</v>
      </c>
      <c r="AH1018" s="8">
        <f>IF(AG1018="","",Assumptions!$B$4-AG1018)</f>
        <v>82</v>
      </c>
      <c r="AI1018" s="5" t="s">
        <v>57</v>
      </c>
      <c r="AJ1018" s="8">
        <v>3</v>
      </c>
      <c r="AK1018" s="8">
        <v>0</v>
      </c>
      <c r="AL1018" s="8">
        <v>714</v>
      </c>
      <c r="AM1018" s="8">
        <v>1</v>
      </c>
      <c r="AN1018" s="5" t="s">
        <v>63</v>
      </c>
      <c r="AO1018" s="10">
        <v>76.5</v>
      </c>
      <c r="AP1018" s="8">
        <v>52</v>
      </c>
      <c r="AQ1018" s="9">
        <v>46285</v>
      </c>
      <c r="AR1018" s="5" t="s">
        <v>53</v>
      </c>
      <c r="AS1018" s="5" t="s">
        <v>91</v>
      </c>
    </row>
    <row r="1019" spans="1:45" x14ac:dyDescent="0.35">
      <c r="A1019" s="5" t="s">
        <v>4448</v>
      </c>
      <c r="B1019" s="5" t="s">
        <v>4449</v>
      </c>
      <c r="C1019" s="6" t="s">
        <v>4450</v>
      </c>
      <c r="D1019" s="7">
        <v>102900</v>
      </c>
      <c r="E1019" s="5" t="s">
        <v>48</v>
      </c>
      <c r="F1019" s="5" t="s">
        <v>49</v>
      </c>
      <c r="G1019" s="8"/>
      <c r="H1019" s="8" t="str">
        <f>IF(F1019="Bullet",MIN(G1019,Assumptions!$B$6),"")</f>
        <v/>
      </c>
      <c r="I1019" s="8">
        <v>1</v>
      </c>
      <c r="J1019" s="8">
        <f>IF(F1019="Monthly interest",MAX(0,Assumptions!$B$5-I1019),"")</f>
        <v>2</v>
      </c>
      <c r="K1019" s="7">
        <f t="shared" si="45"/>
        <v>1544</v>
      </c>
      <c r="L1019" s="9">
        <v>46269</v>
      </c>
      <c r="M1019" s="5" t="s">
        <v>50</v>
      </c>
      <c r="N1019" s="5" t="s">
        <v>51</v>
      </c>
      <c r="O1019" s="5" t="s">
        <v>52</v>
      </c>
      <c r="P1019" s="5" t="s">
        <v>53</v>
      </c>
      <c r="Q1019" s="5" t="s">
        <v>54</v>
      </c>
      <c r="R1019" s="5" t="s">
        <v>55</v>
      </c>
      <c r="S1019" s="5" t="s">
        <v>185</v>
      </c>
      <c r="T1019" s="5" t="s">
        <v>57</v>
      </c>
      <c r="U1019" s="5" t="s">
        <v>104</v>
      </c>
      <c r="V1019" s="5" t="s">
        <v>186</v>
      </c>
      <c r="W1019" s="5" t="s">
        <v>187</v>
      </c>
      <c r="X1019" s="5" t="s">
        <v>462</v>
      </c>
      <c r="Y1019" s="5" t="s">
        <v>4451</v>
      </c>
      <c r="Z1019" s="9">
        <v>45995</v>
      </c>
      <c r="AA1019" s="8">
        <v>18</v>
      </c>
      <c r="AB1019" s="9">
        <f t="shared" si="46"/>
        <v>46542</v>
      </c>
      <c r="AC1019" s="10">
        <v>18</v>
      </c>
      <c r="AD1019" s="7">
        <f t="shared" si="47"/>
        <v>1544</v>
      </c>
      <c r="AE1019" s="7">
        <f>IF(F1019="Bullet",H1019*AD1019,MIN(MAX(I1019,1),Assumptions!$B$6)*AD1019)</f>
        <v>1544</v>
      </c>
      <c r="AF1019" s="8">
        <f>IF(F1019="Bullet",MAX(0,Assumptions!$B$4-AB1019),MAX(0,Assumptions!$B$4-L1019))</f>
        <v>29</v>
      </c>
      <c r="AG1019" s="9">
        <v>46239</v>
      </c>
      <c r="AH1019" s="8">
        <f>IF(AG1019="","",Assumptions!$B$4-AG1019)</f>
        <v>59</v>
      </c>
      <c r="AI1019" s="5" t="s">
        <v>57</v>
      </c>
      <c r="AJ1019" s="8">
        <v>1</v>
      </c>
      <c r="AK1019" s="8">
        <v>0</v>
      </c>
      <c r="AL1019" s="8">
        <v>711</v>
      </c>
      <c r="AM1019" s="8">
        <v>0</v>
      </c>
      <c r="AN1019" s="5" t="s">
        <v>63</v>
      </c>
      <c r="AO1019" s="10">
        <v>68.400000000000006</v>
      </c>
      <c r="AP1019" s="8">
        <v>24</v>
      </c>
      <c r="AQ1019" s="9"/>
      <c r="AR1019" s="5"/>
      <c r="AS1019" s="5" t="s">
        <v>159</v>
      </c>
    </row>
    <row r="1020" spans="1:45" x14ac:dyDescent="0.35">
      <c r="A1020" s="5" t="s">
        <v>4452</v>
      </c>
      <c r="B1020" s="5" t="s">
        <v>4453</v>
      </c>
      <c r="C1020" s="6" t="s">
        <v>4454</v>
      </c>
      <c r="D1020" s="7">
        <v>115800</v>
      </c>
      <c r="E1020" s="5" t="s">
        <v>48</v>
      </c>
      <c r="F1020" s="5" t="s">
        <v>49</v>
      </c>
      <c r="G1020" s="8"/>
      <c r="H1020" s="8" t="str">
        <f>IF(F1020="Bullet",MIN(G1020,Assumptions!$B$6),"")</f>
        <v/>
      </c>
      <c r="I1020" s="8">
        <v>1</v>
      </c>
      <c r="J1020" s="8">
        <f>IF(F1020="Monthly interest",MAX(0,Assumptions!$B$5-I1020),"")</f>
        <v>2</v>
      </c>
      <c r="K1020" s="7">
        <f t="shared" si="45"/>
        <v>1544</v>
      </c>
      <c r="L1020" s="9">
        <v>46278</v>
      </c>
      <c r="M1020" s="5" t="s">
        <v>50</v>
      </c>
      <c r="N1020" s="5" t="s">
        <v>53</v>
      </c>
      <c r="O1020" s="5" t="s">
        <v>95</v>
      </c>
      <c r="P1020" s="5" t="s">
        <v>70</v>
      </c>
      <c r="Q1020" s="5" t="s">
        <v>54</v>
      </c>
      <c r="R1020" s="5" t="s">
        <v>55</v>
      </c>
      <c r="S1020" s="5" t="s">
        <v>56</v>
      </c>
      <c r="T1020" s="5" t="s">
        <v>63</v>
      </c>
      <c r="U1020" s="5" t="s">
        <v>58</v>
      </c>
      <c r="V1020" s="5" t="s">
        <v>59</v>
      </c>
      <c r="W1020" s="5" t="s">
        <v>323</v>
      </c>
      <c r="X1020" s="5" t="s">
        <v>4455</v>
      </c>
      <c r="Y1020" s="5" t="s">
        <v>4456</v>
      </c>
      <c r="Z1020" s="9">
        <v>46186</v>
      </c>
      <c r="AA1020" s="8">
        <v>24</v>
      </c>
      <c r="AB1020" s="9">
        <f t="shared" si="46"/>
        <v>46917</v>
      </c>
      <c r="AC1020" s="10">
        <v>16</v>
      </c>
      <c r="AD1020" s="7">
        <f t="shared" si="47"/>
        <v>1544</v>
      </c>
      <c r="AE1020" s="7">
        <f>IF(F1020="Bullet",H1020*AD1020,MIN(MAX(I1020,1),Assumptions!$B$6)*AD1020)</f>
        <v>1544</v>
      </c>
      <c r="AF1020" s="8">
        <f>IF(F1020="Bullet",MAX(0,Assumptions!$B$4-AB1020),MAX(0,Assumptions!$B$4-L1020))</f>
        <v>20</v>
      </c>
      <c r="AG1020" s="9">
        <v>46248</v>
      </c>
      <c r="AH1020" s="8">
        <f>IF(AG1020="","",Assumptions!$B$4-AG1020)</f>
        <v>50</v>
      </c>
      <c r="AI1020" s="5" t="s">
        <v>57</v>
      </c>
      <c r="AJ1020" s="8">
        <v>1</v>
      </c>
      <c r="AK1020" s="8">
        <v>0</v>
      </c>
      <c r="AL1020" s="8">
        <v>744</v>
      </c>
      <c r="AM1020" s="8">
        <v>1</v>
      </c>
      <c r="AN1020" s="5" t="s">
        <v>63</v>
      </c>
      <c r="AO1020" s="10">
        <v>53.9</v>
      </c>
      <c r="AP1020" s="8">
        <v>17</v>
      </c>
      <c r="AQ1020" s="9"/>
      <c r="AR1020" s="5"/>
      <c r="AS1020" s="5" t="s">
        <v>159</v>
      </c>
    </row>
    <row r="1021" spans="1:45" x14ac:dyDescent="0.35">
      <c r="A1021" s="5" t="s">
        <v>4457</v>
      </c>
      <c r="B1021" s="5" t="s">
        <v>4458</v>
      </c>
      <c r="C1021" s="6" t="s">
        <v>4459</v>
      </c>
      <c r="D1021" s="7">
        <v>102900</v>
      </c>
      <c r="E1021" s="5" t="s">
        <v>48</v>
      </c>
      <c r="F1021" s="5" t="s">
        <v>49</v>
      </c>
      <c r="G1021" s="8"/>
      <c r="H1021" s="8" t="str">
        <f>IF(F1021="Bullet",MIN(G1021,Assumptions!$B$6),"")</f>
        <v/>
      </c>
      <c r="I1021" s="8">
        <v>2</v>
      </c>
      <c r="J1021" s="8">
        <f>IF(F1021="Monthly interest",MAX(0,Assumptions!$B$5-I1021),"")</f>
        <v>1</v>
      </c>
      <c r="K1021" s="7">
        <f t="shared" si="45"/>
        <v>2744</v>
      </c>
      <c r="L1021" s="9">
        <v>46253</v>
      </c>
      <c r="M1021" s="5" t="s">
        <v>116</v>
      </c>
      <c r="N1021" s="5" t="s">
        <v>117</v>
      </c>
      <c r="O1021" s="5" t="s">
        <v>118</v>
      </c>
      <c r="P1021" s="5" t="s">
        <v>72</v>
      </c>
      <c r="Q1021" s="5" t="s">
        <v>119</v>
      </c>
      <c r="R1021" s="5" t="s">
        <v>120</v>
      </c>
      <c r="S1021" s="5" t="s">
        <v>75</v>
      </c>
      <c r="T1021" s="5" t="s">
        <v>57</v>
      </c>
      <c r="U1021" s="5" t="s">
        <v>86</v>
      </c>
      <c r="V1021" s="5" t="s">
        <v>76</v>
      </c>
      <c r="W1021" s="5" t="s">
        <v>444</v>
      </c>
      <c r="X1021" s="5" t="s">
        <v>1752</v>
      </c>
      <c r="Y1021" s="5" t="s">
        <v>4460</v>
      </c>
      <c r="Z1021" s="9">
        <v>46100</v>
      </c>
      <c r="AA1021" s="8">
        <v>12</v>
      </c>
      <c r="AB1021" s="9">
        <f t="shared" si="46"/>
        <v>46465</v>
      </c>
      <c r="AC1021" s="10">
        <v>16</v>
      </c>
      <c r="AD1021" s="7">
        <f t="shared" si="47"/>
        <v>1372</v>
      </c>
      <c r="AE1021" s="7">
        <f>IF(F1021="Bullet",H1021*AD1021,MIN(MAX(I1021,1),Assumptions!$B$6)*AD1021)</f>
        <v>2744</v>
      </c>
      <c r="AF1021" s="8">
        <f>IF(F1021="Bullet",MAX(0,Assumptions!$B$4-AB1021),MAX(0,Assumptions!$B$4-L1021))</f>
        <v>45</v>
      </c>
      <c r="AG1021" s="9">
        <v>46225</v>
      </c>
      <c r="AH1021" s="8">
        <f>IF(AG1021="","",Assumptions!$B$4-AG1021)</f>
        <v>73</v>
      </c>
      <c r="AI1021" s="5" t="s">
        <v>57</v>
      </c>
      <c r="AJ1021" s="8">
        <v>2</v>
      </c>
      <c r="AK1021" s="8">
        <v>0</v>
      </c>
      <c r="AL1021" s="8">
        <v>626</v>
      </c>
      <c r="AM1021" s="8">
        <v>2</v>
      </c>
      <c r="AN1021" s="5" t="s">
        <v>57</v>
      </c>
      <c r="AO1021" s="10">
        <v>82.9</v>
      </c>
      <c r="AP1021" s="8">
        <v>71</v>
      </c>
      <c r="AQ1021" s="9"/>
      <c r="AR1021" s="5"/>
      <c r="AS1021" s="5" t="s">
        <v>159</v>
      </c>
    </row>
    <row r="1022" spans="1:45" x14ac:dyDescent="0.35">
      <c r="A1022" s="5" t="s">
        <v>4461</v>
      </c>
      <c r="B1022" s="5" t="s">
        <v>4462</v>
      </c>
      <c r="C1022" s="6" t="s">
        <v>4463</v>
      </c>
      <c r="D1022" s="7">
        <v>35400</v>
      </c>
      <c r="E1022" s="5" t="s">
        <v>48</v>
      </c>
      <c r="F1022" s="5" t="s">
        <v>68</v>
      </c>
      <c r="G1022" s="8">
        <v>2</v>
      </c>
      <c r="H1022" s="8">
        <f>IF(F1022="Bullet",MIN(G1022,Assumptions!$B$6),"")</f>
        <v>2</v>
      </c>
      <c r="I1022" s="8"/>
      <c r="J1022" s="8" t="str">
        <f>IF(F1022="Monthly interest",MAX(0,Assumptions!$B$5-I1022),"")</f>
        <v/>
      </c>
      <c r="K1022" s="7">
        <f t="shared" si="45"/>
        <v>1062</v>
      </c>
      <c r="L1022" s="9">
        <v>46220</v>
      </c>
      <c r="M1022" s="5" t="s">
        <v>50</v>
      </c>
      <c r="N1022" s="5" t="s">
        <v>53</v>
      </c>
      <c r="O1022" s="5" t="s">
        <v>152</v>
      </c>
      <c r="P1022" s="5" t="s">
        <v>153</v>
      </c>
      <c r="Q1022" s="5" t="s">
        <v>154</v>
      </c>
      <c r="R1022" s="5" t="s">
        <v>155</v>
      </c>
      <c r="S1022" s="5" t="s">
        <v>75</v>
      </c>
      <c r="T1022" s="5" t="s">
        <v>57</v>
      </c>
      <c r="U1022" s="5" t="s">
        <v>58</v>
      </c>
      <c r="V1022" s="5" t="s">
        <v>76</v>
      </c>
      <c r="W1022" s="5" t="s">
        <v>306</v>
      </c>
      <c r="X1022" s="5" t="s">
        <v>3977</v>
      </c>
      <c r="Y1022" s="5" t="s">
        <v>4464</v>
      </c>
      <c r="Z1022" s="9">
        <v>46220</v>
      </c>
      <c r="AA1022" s="8">
        <v>6</v>
      </c>
      <c r="AB1022" s="9">
        <f t="shared" si="46"/>
        <v>46404</v>
      </c>
      <c r="AC1022" s="10">
        <v>18</v>
      </c>
      <c r="AD1022" s="7">
        <f t="shared" si="47"/>
        <v>531</v>
      </c>
      <c r="AE1022" s="7">
        <f>IF(F1022="Bullet",H1022*AD1022,MIN(MAX(I1022,1),Assumptions!$B$6)*AD1022)</f>
        <v>1062</v>
      </c>
      <c r="AF1022" s="8">
        <f>IF(F1022="Bullet",MAX(0,Assumptions!$B$4-AB1022),MAX(0,Assumptions!$B$4-L1022))</f>
        <v>0</v>
      </c>
      <c r="AG1022" s="9"/>
      <c r="AH1022" s="8" t="str">
        <f>IF(AG1022="","",Assumptions!$B$4-AG1022)</f>
        <v/>
      </c>
      <c r="AI1022" s="5" t="s">
        <v>80</v>
      </c>
      <c r="AJ1022" s="8"/>
      <c r="AK1022" s="8">
        <v>1</v>
      </c>
      <c r="AL1022" s="8">
        <v>703</v>
      </c>
      <c r="AM1022" s="8">
        <v>1</v>
      </c>
      <c r="AN1022" s="5" t="s">
        <v>63</v>
      </c>
      <c r="AO1022" s="10">
        <v>81</v>
      </c>
      <c r="AP1022" s="8">
        <v>21</v>
      </c>
      <c r="AQ1022" s="9"/>
      <c r="AR1022" s="5"/>
      <c r="AS1022" s="5" t="s">
        <v>159</v>
      </c>
    </row>
    <row r="1023" spans="1:45" x14ac:dyDescent="0.35">
      <c r="A1023" s="5" t="s">
        <v>4465</v>
      </c>
      <c r="B1023" s="5" t="s">
        <v>4466</v>
      </c>
      <c r="C1023" s="6" t="s">
        <v>4467</v>
      </c>
      <c r="D1023" s="7">
        <v>134900</v>
      </c>
      <c r="E1023" s="5" t="s">
        <v>48</v>
      </c>
      <c r="F1023" s="5" t="s">
        <v>68</v>
      </c>
      <c r="G1023" s="8">
        <v>4</v>
      </c>
      <c r="H1023" s="8">
        <f>IF(F1023="Bullet",MIN(G1023,Assumptions!$B$6),"")</f>
        <v>2</v>
      </c>
      <c r="I1023" s="8"/>
      <c r="J1023" s="8" t="str">
        <f>IF(F1023="Monthly interest",MAX(0,Assumptions!$B$5-I1023),"")</f>
        <v/>
      </c>
      <c r="K1023" s="7">
        <f t="shared" si="45"/>
        <v>7196</v>
      </c>
      <c r="L1023" s="9">
        <v>46167</v>
      </c>
      <c r="M1023" s="5" t="s">
        <v>69</v>
      </c>
      <c r="N1023" s="5" t="s">
        <v>53</v>
      </c>
      <c r="O1023" s="5" t="s">
        <v>71</v>
      </c>
      <c r="P1023" s="5" t="s">
        <v>70</v>
      </c>
      <c r="Q1023" s="5" t="s">
        <v>73</v>
      </c>
      <c r="R1023" s="5" t="s">
        <v>74</v>
      </c>
      <c r="S1023" s="5" t="s">
        <v>56</v>
      </c>
      <c r="T1023" s="5" t="s">
        <v>57</v>
      </c>
      <c r="U1023" s="5" t="s">
        <v>58</v>
      </c>
      <c r="V1023" s="5" t="s">
        <v>59</v>
      </c>
      <c r="W1023" s="5" t="s">
        <v>418</v>
      </c>
      <c r="X1023" s="5" t="s">
        <v>2052</v>
      </c>
      <c r="Y1023" s="5" t="s">
        <v>4468</v>
      </c>
      <c r="Z1023" s="9">
        <v>46167</v>
      </c>
      <c r="AA1023" s="8">
        <v>12</v>
      </c>
      <c r="AB1023" s="9">
        <f t="shared" si="46"/>
        <v>46532</v>
      </c>
      <c r="AC1023" s="10">
        <v>16</v>
      </c>
      <c r="AD1023" s="7">
        <f t="shared" si="47"/>
        <v>1799</v>
      </c>
      <c r="AE1023" s="7">
        <f>IF(F1023="Bullet",H1023*AD1023,MIN(MAX(I1023,1),Assumptions!$B$6)*AD1023)</f>
        <v>3598</v>
      </c>
      <c r="AF1023" s="8">
        <f>IF(F1023="Bullet",MAX(0,Assumptions!$B$4-AB1023),MAX(0,Assumptions!$B$4-L1023))</f>
        <v>0</v>
      </c>
      <c r="AG1023" s="9"/>
      <c r="AH1023" s="8" t="str">
        <f>IF(AG1023="","",Assumptions!$B$4-AG1023)</f>
        <v/>
      </c>
      <c r="AI1023" s="5" t="s">
        <v>80</v>
      </c>
      <c r="AJ1023" s="8"/>
      <c r="AK1023" s="8">
        <v>0</v>
      </c>
      <c r="AL1023" s="8">
        <v>738</v>
      </c>
      <c r="AM1023" s="8">
        <v>1</v>
      </c>
      <c r="AN1023" s="5" t="s">
        <v>63</v>
      </c>
      <c r="AO1023" s="10">
        <v>82.6</v>
      </c>
      <c r="AP1023" s="8">
        <v>34</v>
      </c>
      <c r="AQ1023" s="9">
        <v>46275</v>
      </c>
      <c r="AR1023" s="5" t="s">
        <v>53</v>
      </c>
      <c r="AS1023" s="5" t="s">
        <v>181</v>
      </c>
    </row>
    <row r="1024" spans="1:45" x14ac:dyDescent="0.35">
      <c r="A1024" s="5" t="s">
        <v>4469</v>
      </c>
      <c r="B1024" s="5" t="s">
        <v>2119</v>
      </c>
      <c r="C1024" s="6" t="s">
        <v>4470</v>
      </c>
      <c r="D1024" s="7">
        <v>59200</v>
      </c>
      <c r="E1024" s="5" t="s">
        <v>48</v>
      </c>
      <c r="F1024" s="5" t="s">
        <v>68</v>
      </c>
      <c r="G1024" s="8">
        <v>3</v>
      </c>
      <c r="H1024" s="8">
        <f>IF(F1024="Bullet",MIN(G1024,Assumptions!$B$6),"")</f>
        <v>2</v>
      </c>
      <c r="I1024" s="8"/>
      <c r="J1024" s="8" t="str">
        <f>IF(F1024="Monthly interest",MAX(0,Assumptions!$B$5-I1024),"")</f>
        <v/>
      </c>
      <c r="K1024" s="7">
        <f t="shared" si="45"/>
        <v>2664</v>
      </c>
      <c r="L1024" s="9">
        <v>46182</v>
      </c>
      <c r="M1024" s="5" t="s">
        <v>50</v>
      </c>
      <c r="N1024" s="5" t="s">
        <v>53</v>
      </c>
      <c r="O1024" s="5" t="s">
        <v>71</v>
      </c>
      <c r="P1024" s="5" t="s">
        <v>51</v>
      </c>
      <c r="Q1024" s="5" t="s">
        <v>73</v>
      </c>
      <c r="R1024" s="5" t="s">
        <v>74</v>
      </c>
      <c r="S1024" s="5" t="s">
        <v>75</v>
      </c>
      <c r="T1024" s="5" t="s">
        <v>57</v>
      </c>
      <c r="U1024" s="5" t="s">
        <v>86</v>
      </c>
      <c r="V1024" s="5" t="s">
        <v>76</v>
      </c>
      <c r="W1024" s="5" t="s">
        <v>77</v>
      </c>
      <c r="X1024" s="5" t="s">
        <v>2200</v>
      </c>
      <c r="Y1024" s="5" t="s">
        <v>4471</v>
      </c>
      <c r="Z1024" s="9">
        <v>46182</v>
      </c>
      <c r="AA1024" s="8">
        <v>6</v>
      </c>
      <c r="AB1024" s="9">
        <f t="shared" si="46"/>
        <v>46365</v>
      </c>
      <c r="AC1024" s="10">
        <v>18</v>
      </c>
      <c r="AD1024" s="7">
        <f t="shared" si="47"/>
        <v>888</v>
      </c>
      <c r="AE1024" s="7">
        <f>IF(F1024="Bullet",H1024*AD1024,MIN(MAX(I1024,1),Assumptions!$B$6)*AD1024)</f>
        <v>1776</v>
      </c>
      <c r="AF1024" s="8">
        <f>IF(F1024="Bullet",MAX(0,Assumptions!$B$4-AB1024),MAX(0,Assumptions!$B$4-L1024))</f>
        <v>0</v>
      </c>
      <c r="AG1024" s="9"/>
      <c r="AH1024" s="8" t="str">
        <f>IF(AG1024="","",Assumptions!$B$4-AG1024)</f>
        <v/>
      </c>
      <c r="AI1024" s="5" t="s">
        <v>80</v>
      </c>
      <c r="AJ1024" s="8"/>
      <c r="AK1024" s="8">
        <v>0</v>
      </c>
      <c r="AL1024" s="8">
        <v>848</v>
      </c>
      <c r="AM1024" s="8">
        <v>2</v>
      </c>
      <c r="AN1024" s="5" t="s">
        <v>63</v>
      </c>
      <c r="AO1024" s="10">
        <v>78.599999999999994</v>
      </c>
      <c r="AP1024" s="8">
        <v>14</v>
      </c>
      <c r="AQ1024" s="9">
        <v>46294</v>
      </c>
      <c r="AR1024" s="5" t="s">
        <v>51</v>
      </c>
      <c r="AS1024" s="5" t="s">
        <v>81</v>
      </c>
    </row>
    <row r="1025" spans="1:45" x14ac:dyDescent="0.35">
      <c r="A1025" s="5" t="s">
        <v>4472</v>
      </c>
      <c r="B1025" s="5" t="s">
        <v>4473</v>
      </c>
      <c r="C1025" s="6" t="s">
        <v>4474</v>
      </c>
      <c r="D1025" s="7">
        <v>302100</v>
      </c>
      <c r="E1025" s="5" t="s">
        <v>48</v>
      </c>
      <c r="F1025" s="5" t="s">
        <v>68</v>
      </c>
      <c r="G1025" s="8">
        <v>3</v>
      </c>
      <c r="H1025" s="8">
        <f>IF(F1025="Bullet",MIN(G1025,Assumptions!$B$6),"")</f>
        <v>2</v>
      </c>
      <c r="I1025" s="8"/>
      <c r="J1025" s="8" t="str">
        <f>IF(F1025="Monthly interest",MAX(0,Assumptions!$B$5-I1025),"")</f>
        <v/>
      </c>
      <c r="K1025" s="7">
        <f t="shared" si="45"/>
        <v>12084</v>
      </c>
      <c r="L1025" s="9">
        <v>46188</v>
      </c>
      <c r="M1025" s="5" t="s">
        <v>116</v>
      </c>
      <c r="N1025" s="5" t="s">
        <v>117</v>
      </c>
      <c r="O1025" s="5" t="s">
        <v>207</v>
      </c>
      <c r="P1025" s="5" t="s">
        <v>72</v>
      </c>
      <c r="Q1025" s="5" t="s">
        <v>73</v>
      </c>
      <c r="R1025" s="5" t="s">
        <v>74</v>
      </c>
      <c r="S1025" s="5" t="s">
        <v>56</v>
      </c>
      <c r="T1025" s="5" t="s">
        <v>57</v>
      </c>
      <c r="U1025" s="5" t="s">
        <v>104</v>
      </c>
      <c r="V1025" s="5" t="s">
        <v>59</v>
      </c>
      <c r="W1025" s="5" t="s">
        <v>126</v>
      </c>
      <c r="X1025" s="5" t="s">
        <v>1583</v>
      </c>
      <c r="Y1025" s="5" t="s">
        <v>4475</v>
      </c>
      <c r="Z1025" s="9">
        <v>46188</v>
      </c>
      <c r="AA1025" s="8">
        <v>12</v>
      </c>
      <c r="AB1025" s="9">
        <f t="shared" si="46"/>
        <v>46553</v>
      </c>
      <c r="AC1025" s="10">
        <v>16</v>
      </c>
      <c r="AD1025" s="7">
        <f t="shared" si="47"/>
        <v>4028</v>
      </c>
      <c r="AE1025" s="7">
        <f>IF(F1025="Bullet",H1025*AD1025,MIN(MAX(I1025,1),Assumptions!$B$6)*AD1025)</f>
        <v>8056</v>
      </c>
      <c r="AF1025" s="8">
        <f>IF(F1025="Bullet",MAX(0,Assumptions!$B$4-AB1025),MAX(0,Assumptions!$B$4-L1025))</f>
        <v>0</v>
      </c>
      <c r="AG1025" s="9"/>
      <c r="AH1025" s="8" t="str">
        <f>IF(AG1025="","",Assumptions!$B$4-AG1025)</f>
        <v/>
      </c>
      <c r="AI1025" s="5" t="s">
        <v>80</v>
      </c>
      <c r="AJ1025" s="8"/>
      <c r="AK1025" s="8">
        <v>2</v>
      </c>
      <c r="AL1025" s="8">
        <v>657</v>
      </c>
      <c r="AM1025" s="8">
        <v>0</v>
      </c>
      <c r="AN1025" s="5" t="s">
        <v>57</v>
      </c>
      <c r="AO1025" s="10">
        <v>76.5</v>
      </c>
      <c r="AP1025" s="8">
        <v>53</v>
      </c>
      <c r="AQ1025" s="9">
        <v>46287</v>
      </c>
      <c r="AR1025" s="5" t="s">
        <v>51</v>
      </c>
      <c r="AS1025" s="5" t="s">
        <v>81</v>
      </c>
    </row>
    <row r="1026" spans="1:45" x14ac:dyDescent="0.35">
      <c r="A1026" s="5" t="s">
        <v>4476</v>
      </c>
      <c r="B1026" s="5" t="s">
        <v>4477</v>
      </c>
      <c r="C1026" s="6" t="s">
        <v>4478</v>
      </c>
      <c r="D1026" s="7">
        <v>141800</v>
      </c>
      <c r="E1026" s="5" t="s">
        <v>48</v>
      </c>
      <c r="F1026" s="5" t="s">
        <v>49</v>
      </c>
      <c r="G1026" s="8"/>
      <c r="H1026" s="8" t="str">
        <f>IF(F1026="Bullet",MIN(G1026,Assumptions!$B$6),"")</f>
        <v/>
      </c>
      <c r="I1026" s="8">
        <v>2</v>
      </c>
      <c r="J1026" s="8">
        <f>IF(F1026="Monthly interest",MAX(0,Assumptions!$B$5-I1026),"")</f>
        <v>1</v>
      </c>
      <c r="K1026" s="7">
        <f t="shared" ref="K1026:K1089" si="48">IF(F1026="Bullet",G1026*AD1026,MAX(I1026,1)*AD1026)</f>
        <v>3308</v>
      </c>
      <c r="L1026" s="9">
        <v>46240</v>
      </c>
      <c r="M1026" s="5" t="s">
        <v>116</v>
      </c>
      <c r="N1026" s="5" t="s">
        <v>117</v>
      </c>
      <c r="O1026" s="5" t="s">
        <v>118</v>
      </c>
      <c r="P1026" s="5" t="s">
        <v>72</v>
      </c>
      <c r="Q1026" s="5" t="s">
        <v>119</v>
      </c>
      <c r="R1026" s="5" t="s">
        <v>120</v>
      </c>
      <c r="S1026" s="5" t="s">
        <v>56</v>
      </c>
      <c r="T1026" s="5" t="s">
        <v>57</v>
      </c>
      <c r="U1026" s="5" t="s">
        <v>104</v>
      </c>
      <c r="V1026" s="5" t="s">
        <v>59</v>
      </c>
      <c r="W1026" s="5" t="s">
        <v>194</v>
      </c>
      <c r="X1026" s="5" t="s">
        <v>521</v>
      </c>
      <c r="Y1026" s="5" t="s">
        <v>4479</v>
      </c>
      <c r="Z1026" s="9">
        <v>46179</v>
      </c>
      <c r="AA1026" s="8">
        <v>18</v>
      </c>
      <c r="AB1026" s="9">
        <f t="shared" ref="AB1026:AB1089" si="49">EDATE(Z1026,AA1026)</f>
        <v>46727</v>
      </c>
      <c r="AC1026" s="10">
        <v>14</v>
      </c>
      <c r="AD1026" s="7">
        <f t="shared" ref="AD1026:AD1089" si="50">ROUND(D1026*AC1026/100/12,0)</f>
        <v>1654</v>
      </c>
      <c r="AE1026" s="7">
        <f>IF(F1026="Bullet",H1026*AD1026,MIN(MAX(I1026,1),Assumptions!$B$6)*AD1026)</f>
        <v>3308</v>
      </c>
      <c r="AF1026" s="8">
        <f>IF(F1026="Bullet",MAX(0,Assumptions!$B$4-AB1026),MAX(0,Assumptions!$B$4-L1026))</f>
        <v>58</v>
      </c>
      <c r="AG1026" s="9">
        <v>46209</v>
      </c>
      <c r="AH1026" s="8">
        <f>IF(AG1026="","",Assumptions!$B$4-AG1026)</f>
        <v>89</v>
      </c>
      <c r="AI1026" s="5" t="s">
        <v>63</v>
      </c>
      <c r="AJ1026" s="8">
        <v>2</v>
      </c>
      <c r="AK1026" s="8">
        <v>2</v>
      </c>
      <c r="AL1026" s="8" t="s">
        <v>80</v>
      </c>
      <c r="AM1026" s="8">
        <v>0</v>
      </c>
      <c r="AN1026" s="5" t="s">
        <v>63</v>
      </c>
      <c r="AO1026" s="10">
        <v>75.2</v>
      </c>
      <c r="AP1026" s="8">
        <v>53</v>
      </c>
      <c r="AQ1026" s="9">
        <v>46287</v>
      </c>
      <c r="AR1026" s="5" t="s">
        <v>51</v>
      </c>
      <c r="AS1026" s="5" t="s">
        <v>64</v>
      </c>
    </row>
    <row r="1027" spans="1:45" x14ac:dyDescent="0.35">
      <c r="A1027" s="5" t="s">
        <v>4480</v>
      </c>
      <c r="B1027" s="5" t="s">
        <v>4481</v>
      </c>
      <c r="C1027" s="6" t="s">
        <v>4482</v>
      </c>
      <c r="D1027" s="7">
        <v>111300</v>
      </c>
      <c r="E1027" s="5" t="s">
        <v>48</v>
      </c>
      <c r="F1027" s="5" t="s">
        <v>68</v>
      </c>
      <c r="G1027" s="8">
        <v>4</v>
      </c>
      <c r="H1027" s="8">
        <f>IF(F1027="Bullet",MIN(G1027,Assumptions!$B$6),"")</f>
        <v>2</v>
      </c>
      <c r="I1027" s="8"/>
      <c r="J1027" s="8" t="str">
        <f>IF(F1027="Monthly interest",MAX(0,Assumptions!$B$5-I1027),"")</f>
        <v/>
      </c>
      <c r="K1027" s="7">
        <f t="shared" si="48"/>
        <v>4824</v>
      </c>
      <c r="L1027" s="9">
        <v>46160</v>
      </c>
      <c r="M1027" s="5" t="s">
        <v>116</v>
      </c>
      <c r="N1027" s="5" t="s">
        <v>117</v>
      </c>
      <c r="O1027" s="5" t="s">
        <v>207</v>
      </c>
      <c r="P1027" s="5" t="s">
        <v>72</v>
      </c>
      <c r="Q1027" s="5" t="s">
        <v>73</v>
      </c>
      <c r="R1027" s="5" t="s">
        <v>74</v>
      </c>
      <c r="S1027" s="5" t="s">
        <v>56</v>
      </c>
      <c r="T1027" s="5" t="s">
        <v>57</v>
      </c>
      <c r="U1027" s="5" t="s">
        <v>58</v>
      </c>
      <c r="V1027" s="5" t="s">
        <v>59</v>
      </c>
      <c r="W1027" s="5" t="s">
        <v>300</v>
      </c>
      <c r="X1027" s="5" t="s">
        <v>4483</v>
      </c>
      <c r="Y1027" s="5" t="s">
        <v>4484</v>
      </c>
      <c r="Z1027" s="9">
        <v>46160</v>
      </c>
      <c r="AA1027" s="8">
        <v>3</v>
      </c>
      <c r="AB1027" s="9">
        <f t="shared" si="49"/>
        <v>46252</v>
      </c>
      <c r="AC1027" s="10">
        <v>13</v>
      </c>
      <c r="AD1027" s="7">
        <f t="shared" si="50"/>
        <v>1206</v>
      </c>
      <c r="AE1027" s="7">
        <f>IF(F1027="Bullet",H1027*AD1027,MIN(MAX(I1027,1),Assumptions!$B$6)*AD1027)</f>
        <v>2412</v>
      </c>
      <c r="AF1027" s="8">
        <f>IF(F1027="Bullet",MAX(0,Assumptions!$B$4-AB1027),MAX(0,Assumptions!$B$4-L1027))</f>
        <v>46</v>
      </c>
      <c r="AG1027" s="9"/>
      <c r="AH1027" s="8" t="str">
        <f>IF(AG1027="","",Assumptions!$B$4-AG1027)</f>
        <v/>
      </c>
      <c r="AI1027" s="5" t="s">
        <v>80</v>
      </c>
      <c r="AJ1027" s="8"/>
      <c r="AK1027" s="8">
        <v>2</v>
      </c>
      <c r="AL1027" s="8" t="s">
        <v>80</v>
      </c>
      <c r="AM1027" s="8">
        <v>2</v>
      </c>
      <c r="AN1027" s="5" t="s">
        <v>63</v>
      </c>
      <c r="AO1027" s="10">
        <v>68</v>
      </c>
      <c r="AP1027" s="8">
        <v>52</v>
      </c>
      <c r="AQ1027" s="9">
        <v>46282</v>
      </c>
      <c r="AR1027" s="5" t="s">
        <v>51</v>
      </c>
      <c r="AS1027" s="5" t="s">
        <v>64</v>
      </c>
    </row>
    <row r="1028" spans="1:45" x14ac:dyDescent="0.35">
      <c r="A1028" s="5" t="s">
        <v>4485</v>
      </c>
      <c r="B1028" s="5" t="s">
        <v>3518</v>
      </c>
      <c r="C1028" s="6" t="s">
        <v>4486</v>
      </c>
      <c r="D1028" s="7">
        <v>45200</v>
      </c>
      <c r="E1028" s="5" t="s">
        <v>48</v>
      </c>
      <c r="F1028" s="5" t="s">
        <v>49</v>
      </c>
      <c r="G1028" s="8"/>
      <c r="H1028" s="8" t="str">
        <f>IF(F1028="Bullet",MIN(G1028,Assumptions!$B$6),"")</f>
        <v/>
      </c>
      <c r="I1028" s="8">
        <v>1</v>
      </c>
      <c r="J1028" s="8">
        <f>IF(F1028="Monthly interest",MAX(0,Assumptions!$B$5-I1028),"")</f>
        <v>2</v>
      </c>
      <c r="K1028" s="7">
        <f t="shared" si="48"/>
        <v>527</v>
      </c>
      <c r="L1028" s="9">
        <v>46269</v>
      </c>
      <c r="M1028" s="5" t="s">
        <v>69</v>
      </c>
      <c r="N1028" s="5" t="s">
        <v>53</v>
      </c>
      <c r="O1028" s="5" t="s">
        <v>103</v>
      </c>
      <c r="P1028" s="5" t="s">
        <v>153</v>
      </c>
      <c r="Q1028" s="5" t="s">
        <v>154</v>
      </c>
      <c r="R1028" s="5" t="s">
        <v>155</v>
      </c>
      <c r="S1028" s="5" t="s">
        <v>75</v>
      </c>
      <c r="T1028" s="5" t="s">
        <v>57</v>
      </c>
      <c r="U1028" s="5" t="s">
        <v>58</v>
      </c>
      <c r="V1028" s="5" t="s">
        <v>76</v>
      </c>
      <c r="W1028" s="5" t="s">
        <v>105</v>
      </c>
      <c r="X1028" s="5" t="s">
        <v>111</v>
      </c>
      <c r="Y1028" s="5" t="s">
        <v>4487</v>
      </c>
      <c r="Z1028" s="9">
        <v>46177</v>
      </c>
      <c r="AA1028" s="8">
        <v>12</v>
      </c>
      <c r="AB1028" s="9">
        <f t="shared" si="49"/>
        <v>46542</v>
      </c>
      <c r="AC1028" s="10">
        <v>14</v>
      </c>
      <c r="AD1028" s="7">
        <f t="shared" si="50"/>
        <v>527</v>
      </c>
      <c r="AE1028" s="7">
        <f>IF(F1028="Bullet",H1028*AD1028,MIN(MAX(I1028,1),Assumptions!$B$6)*AD1028)</f>
        <v>527</v>
      </c>
      <c r="AF1028" s="8">
        <f>IF(F1028="Bullet",MAX(0,Assumptions!$B$4-AB1028),MAX(0,Assumptions!$B$4-L1028))</f>
        <v>29</v>
      </c>
      <c r="AG1028" s="9">
        <v>46242</v>
      </c>
      <c r="AH1028" s="8">
        <f>IF(AG1028="","",Assumptions!$B$4-AG1028)</f>
        <v>56</v>
      </c>
      <c r="AI1028" s="5" t="s">
        <v>63</v>
      </c>
      <c r="AJ1028" s="8">
        <v>1</v>
      </c>
      <c r="AK1028" s="8">
        <v>0</v>
      </c>
      <c r="AL1028" s="8">
        <v>646</v>
      </c>
      <c r="AM1028" s="8">
        <v>2</v>
      </c>
      <c r="AN1028" s="5" t="s">
        <v>63</v>
      </c>
      <c r="AO1028" s="10">
        <v>61.1</v>
      </c>
      <c r="AP1028" s="8">
        <v>33</v>
      </c>
      <c r="AQ1028" s="9">
        <v>46279</v>
      </c>
      <c r="AR1028" s="5" t="s">
        <v>51</v>
      </c>
      <c r="AS1028" s="5" t="s">
        <v>81</v>
      </c>
    </row>
    <row r="1029" spans="1:45" x14ac:dyDescent="0.35">
      <c r="A1029" s="5" t="s">
        <v>4488</v>
      </c>
      <c r="B1029" s="5" t="s">
        <v>4489</v>
      </c>
      <c r="C1029" s="6" t="s">
        <v>4490</v>
      </c>
      <c r="D1029" s="7">
        <v>63700</v>
      </c>
      <c r="E1029" s="5" t="s">
        <v>48</v>
      </c>
      <c r="F1029" s="5" t="s">
        <v>68</v>
      </c>
      <c r="G1029" s="8">
        <v>3</v>
      </c>
      <c r="H1029" s="8">
        <f>IF(F1029="Bullet",MIN(G1029,Assumptions!$B$6),"")</f>
        <v>2</v>
      </c>
      <c r="I1029" s="8"/>
      <c r="J1029" s="8" t="str">
        <f>IF(F1029="Monthly interest",MAX(0,Assumptions!$B$5-I1029),"")</f>
        <v/>
      </c>
      <c r="K1029" s="7">
        <f t="shared" si="48"/>
        <v>2229</v>
      </c>
      <c r="L1029" s="9">
        <v>46193</v>
      </c>
      <c r="M1029" s="5" t="s">
        <v>69</v>
      </c>
      <c r="N1029" s="5" t="s">
        <v>53</v>
      </c>
      <c r="O1029" s="5" t="s">
        <v>71</v>
      </c>
      <c r="P1029" s="5" t="s">
        <v>70</v>
      </c>
      <c r="Q1029" s="5" t="s">
        <v>73</v>
      </c>
      <c r="R1029" s="5" t="s">
        <v>74</v>
      </c>
      <c r="S1029" s="5" t="s">
        <v>85</v>
      </c>
      <c r="T1029" s="5" t="s">
        <v>57</v>
      </c>
      <c r="U1029" s="5" t="s">
        <v>58</v>
      </c>
      <c r="V1029" s="5" t="s">
        <v>177</v>
      </c>
      <c r="W1029" s="5" t="s">
        <v>178</v>
      </c>
      <c r="X1029" s="5" t="s">
        <v>1261</v>
      </c>
      <c r="Y1029" s="5" t="s">
        <v>4491</v>
      </c>
      <c r="Z1029" s="9">
        <v>46193</v>
      </c>
      <c r="AA1029" s="8">
        <v>3</v>
      </c>
      <c r="AB1029" s="9">
        <f t="shared" si="49"/>
        <v>46285</v>
      </c>
      <c r="AC1029" s="10">
        <v>14</v>
      </c>
      <c r="AD1029" s="7">
        <f t="shared" si="50"/>
        <v>743</v>
      </c>
      <c r="AE1029" s="7">
        <f>IF(F1029="Bullet",H1029*AD1029,MIN(MAX(I1029,1),Assumptions!$B$6)*AD1029)</f>
        <v>1486</v>
      </c>
      <c r="AF1029" s="8">
        <f>IF(F1029="Bullet",MAX(0,Assumptions!$B$4-AB1029),MAX(0,Assumptions!$B$4-L1029))</f>
        <v>13</v>
      </c>
      <c r="AG1029" s="9"/>
      <c r="AH1029" s="8" t="str">
        <f>IF(AG1029="","",Assumptions!$B$4-AG1029)</f>
        <v/>
      </c>
      <c r="AI1029" s="5" t="s">
        <v>80</v>
      </c>
      <c r="AJ1029" s="8"/>
      <c r="AK1029" s="8">
        <v>0</v>
      </c>
      <c r="AL1029" s="8">
        <v>711</v>
      </c>
      <c r="AM1029" s="8">
        <v>1</v>
      </c>
      <c r="AN1029" s="5" t="s">
        <v>63</v>
      </c>
      <c r="AO1029" s="10">
        <v>67.099999999999994</v>
      </c>
      <c r="AP1029" s="8">
        <v>40</v>
      </c>
      <c r="AQ1029" s="9">
        <v>46278</v>
      </c>
      <c r="AR1029" s="5" t="s">
        <v>70</v>
      </c>
      <c r="AS1029" s="5" t="s">
        <v>81</v>
      </c>
    </row>
    <row r="1030" spans="1:45" x14ac:dyDescent="0.35">
      <c r="A1030" s="5" t="s">
        <v>4492</v>
      </c>
      <c r="B1030" s="5" t="s">
        <v>4493</v>
      </c>
      <c r="C1030" s="6" t="s">
        <v>4494</v>
      </c>
      <c r="D1030" s="7">
        <v>95500</v>
      </c>
      <c r="E1030" s="5" t="s">
        <v>48</v>
      </c>
      <c r="F1030" s="5" t="s">
        <v>68</v>
      </c>
      <c r="G1030" s="8">
        <v>2</v>
      </c>
      <c r="H1030" s="8">
        <f>IF(F1030="Bullet",MIN(G1030,Assumptions!$B$6),"")</f>
        <v>2</v>
      </c>
      <c r="I1030" s="8"/>
      <c r="J1030" s="8" t="str">
        <f>IF(F1030="Monthly interest",MAX(0,Assumptions!$B$5-I1030),"")</f>
        <v/>
      </c>
      <c r="K1030" s="7">
        <f t="shared" si="48"/>
        <v>2546</v>
      </c>
      <c r="L1030" s="9">
        <v>46227</v>
      </c>
      <c r="M1030" s="5" t="s">
        <v>50</v>
      </c>
      <c r="N1030" s="5" t="s">
        <v>51</v>
      </c>
      <c r="O1030" s="5" t="s">
        <v>71</v>
      </c>
      <c r="P1030" s="5" t="s">
        <v>53</v>
      </c>
      <c r="Q1030" s="5" t="s">
        <v>73</v>
      </c>
      <c r="R1030" s="5" t="s">
        <v>74</v>
      </c>
      <c r="S1030" s="5" t="s">
        <v>85</v>
      </c>
      <c r="T1030" s="5" t="s">
        <v>57</v>
      </c>
      <c r="U1030" s="5" t="s">
        <v>86</v>
      </c>
      <c r="V1030" s="5" t="s">
        <v>177</v>
      </c>
      <c r="W1030" s="5" t="s">
        <v>345</v>
      </c>
      <c r="X1030" s="5" t="s">
        <v>346</v>
      </c>
      <c r="Y1030" s="5" t="s">
        <v>4495</v>
      </c>
      <c r="Z1030" s="9">
        <v>46227</v>
      </c>
      <c r="AA1030" s="8">
        <v>6</v>
      </c>
      <c r="AB1030" s="9">
        <f t="shared" si="49"/>
        <v>46411</v>
      </c>
      <c r="AC1030" s="10">
        <v>16</v>
      </c>
      <c r="AD1030" s="7">
        <f t="shared" si="50"/>
        <v>1273</v>
      </c>
      <c r="AE1030" s="7">
        <f>IF(F1030="Bullet",H1030*AD1030,MIN(MAX(I1030,1),Assumptions!$B$6)*AD1030)</f>
        <v>2546</v>
      </c>
      <c r="AF1030" s="8">
        <f>IF(F1030="Bullet",MAX(0,Assumptions!$B$4-AB1030),MAX(0,Assumptions!$B$4-L1030))</f>
        <v>0</v>
      </c>
      <c r="AG1030" s="9"/>
      <c r="AH1030" s="8" t="str">
        <f>IF(AG1030="","",Assumptions!$B$4-AG1030)</f>
        <v/>
      </c>
      <c r="AI1030" s="5" t="s">
        <v>80</v>
      </c>
      <c r="AJ1030" s="8"/>
      <c r="AK1030" s="8">
        <v>0</v>
      </c>
      <c r="AL1030" s="8">
        <v>738</v>
      </c>
      <c r="AM1030" s="8">
        <v>1</v>
      </c>
      <c r="AN1030" s="5" t="s">
        <v>63</v>
      </c>
      <c r="AO1030" s="10">
        <v>65.5</v>
      </c>
      <c r="AP1030" s="8">
        <v>6</v>
      </c>
      <c r="AQ1030" s="9">
        <v>46281</v>
      </c>
      <c r="AR1030" s="5" t="s">
        <v>51</v>
      </c>
      <c r="AS1030" s="5" t="s">
        <v>190</v>
      </c>
    </row>
    <row r="1031" spans="1:45" x14ac:dyDescent="0.35">
      <c r="A1031" s="5" t="s">
        <v>4496</v>
      </c>
      <c r="B1031" s="5" t="s">
        <v>4284</v>
      </c>
      <c r="C1031" s="6" t="s">
        <v>4497</v>
      </c>
      <c r="D1031" s="7">
        <v>41900</v>
      </c>
      <c r="E1031" s="5" t="s">
        <v>48</v>
      </c>
      <c r="F1031" s="5" t="s">
        <v>49</v>
      </c>
      <c r="G1031" s="8"/>
      <c r="H1031" s="8" t="str">
        <f>IF(F1031="Bullet",MIN(G1031,Assumptions!$B$6),"")</f>
        <v/>
      </c>
      <c r="I1031" s="8">
        <v>2</v>
      </c>
      <c r="J1031" s="8">
        <f>IF(F1031="Monthly interest",MAX(0,Assumptions!$B$5-I1031),"")</f>
        <v>1</v>
      </c>
      <c r="K1031" s="7">
        <f t="shared" si="48"/>
        <v>1118</v>
      </c>
      <c r="L1031" s="9">
        <v>46239</v>
      </c>
      <c r="M1031" s="5" t="s">
        <v>116</v>
      </c>
      <c r="N1031" s="5" t="s">
        <v>117</v>
      </c>
      <c r="O1031" s="5" t="s">
        <v>450</v>
      </c>
      <c r="P1031" s="5" t="s">
        <v>72</v>
      </c>
      <c r="Q1031" s="5" t="s">
        <v>154</v>
      </c>
      <c r="R1031" s="5" t="s">
        <v>155</v>
      </c>
      <c r="S1031" s="5" t="s">
        <v>253</v>
      </c>
      <c r="T1031" s="5" t="s">
        <v>63</v>
      </c>
      <c r="U1031" s="5" t="s">
        <v>86</v>
      </c>
      <c r="V1031" s="5" t="s">
        <v>215</v>
      </c>
      <c r="W1031" s="5" t="s">
        <v>284</v>
      </c>
      <c r="X1031" s="5" t="s">
        <v>285</v>
      </c>
      <c r="Y1031" s="5" t="s">
        <v>4498</v>
      </c>
      <c r="Z1031" s="9">
        <v>45996</v>
      </c>
      <c r="AA1031" s="8">
        <v>24</v>
      </c>
      <c r="AB1031" s="9">
        <f t="shared" si="49"/>
        <v>46726</v>
      </c>
      <c r="AC1031" s="10">
        <v>16</v>
      </c>
      <c r="AD1031" s="7">
        <f t="shared" si="50"/>
        <v>559</v>
      </c>
      <c r="AE1031" s="7">
        <f>IF(F1031="Bullet",H1031*AD1031,MIN(MAX(I1031,1),Assumptions!$B$6)*AD1031)</f>
        <v>1118</v>
      </c>
      <c r="AF1031" s="8">
        <f>IF(F1031="Bullet",MAX(0,Assumptions!$B$4-AB1031),MAX(0,Assumptions!$B$4-L1031))</f>
        <v>59</v>
      </c>
      <c r="AG1031" s="9">
        <v>46213</v>
      </c>
      <c r="AH1031" s="8">
        <f>IF(AG1031="","",Assumptions!$B$4-AG1031)</f>
        <v>85</v>
      </c>
      <c r="AI1031" s="5" t="s">
        <v>57</v>
      </c>
      <c r="AJ1031" s="8">
        <v>2</v>
      </c>
      <c r="AK1031" s="8">
        <v>0</v>
      </c>
      <c r="AL1031" s="8">
        <v>747</v>
      </c>
      <c r="AM1031" s="8">
        <v>1</v>
      </c>
      <c r="AN1031" s="5" t="s">
        <v>63</v>
      </c>
      <c r="AO1031" s="10">
        <v>79.5</v>
      </c>
      <c r="AP1031" s="8">
        <v>50</v>
      </c>
      <c r="AQ1031" s="9">
        <v>46293</v>
      </c>
      <c r="AR1031" s="5" t="s">
        <v>72</v>
      </c>
      <c r="AS1031" s="5" t="s">
        <v>81</v>
      </c>
    </row>
    <row r="1032" spans="1:45" x14ac:dyDescent="0.35">
      <c r="A1032" s="5" t="s">
        <v>4499</v>
      </c>
      <c r="B1032" s="5" t="s">
        <v>4500</v>
      </c>
      <c r="C1032" s="6" t="s">
        <v>4501</v>
      </c>
      <c r="D1032" s="7">
        <v>72100</v>
      </c>
      <c r="E1032" s="5" t="s">
        <v>48</v>
      </c>
      <c r="F1032" s="5" t="s">
        <v>49</v>
      </c>
      <c r="G1032" s="8"/>
      <c r="H1032" s="8" t="str">
        <f>IF(F1032="Bullet",MIN(G1032,Assumptions!$B$6),"")</f>
        <v/>
      </c>
      <c r="I1032" s="8">
        <v>1</v>
      </c>
      <c r="J1032" s="8">
        <f>IF(F1032="Monthly interest",MAX(0,Assumptions!$B$5-I1032),"")</f>
        <v>2</v>
      </c>
      <c r="K1032" s="7">
        <f t="shared" si="48"/>
        <v>1442</v>
      </c>
      <c r="L1032" s="9">
        <v>46297</v>
      </c>
      <c r="M1032" s="5" t="s">
        <v>50</v>
      </c>
      <c r="N1032" s="5" t="s">
        <v>51</v>
      </c>
      <c r="O1032" s="5" t="s">
        <v>52</v>
      </c>
      <c r="P1032" s="5" t="s">
        <v>53</v>
      </c>
      <c r="Q1032" s="5" t="s">
        <v>54</v>
      </c>
      <c r="R1032" s="5" t="s">
        <v>55</v>
      </c>
      <c r="S1032" s="5" t="s">
        <v>253</v>
      </c>
      <c r="T1032" s="5" t="s">
        <v>57</v>
      </c>
      <c r="U1032" s="5" t="s">
        <v>86</v>
      </c>
      <c r="V1032" s="5" t="s">
        <v>96</v>
      </c>
      <c r="W1032" s="5" t="s">
        <v>171</v>
      </c>
      <c r="X1032" s="5" t="s">
        <v>1248</v>
      </c>
      <c r="Y1032" s="5" t="s">
        <v>4502</v>
      </c>
      <c r="Z1032" s="9">
        <v>46236</v>
      </c>
      <c r="AA1032" s="8">
        <v>12</v>
      </c>
      <c r="AB1032" s="9">
        <f t="shared" si="49"/>
        <v>46601</v>
      </c>
      <c r="AC1032" s="10">
        <v>24</v>
      </c>
      <c r="AD1032" s="7">
        <f t="shared" si="50"/>
        <v>1442</v>
      </c>
      <c r="AE1032" s="7">
        <f>IF(F1032="Bullet",H1032*AD1032,MIN(MAX(I1032,1),Assumptions!$B$6)*AD1032)</f>
        <v>1442</v>
      </c>
      <c r="AF1032" s="8">
        <f>IF(F1032="Bullet",MAX(0,Assumptions!$B$4-AB1032),MAX(0,Assumptions!$B$4-L1032))</f>
        <v>1</v>
      </c>
      <c r="AG1032" s="9">
        <v>46270</v>
      </c>
      <c r="AH1032" s="8">
        <f>IF(AG1032="","",Assumptions!$B$4-AG1032)</f>
        <v>28</v>
      </c>
      <c r="AI1032" s="5" t="s">
        <v>63</v>
      </c>
      <c r="AJ1032" s="8">
        <v>1</v>
      </c>
      <c r="AK1032" s="8">
        <v>0</v>
      </c>
      <c r="AL1032" s="8">
        <v>696</v>
      </c>
      <c r="AM1032" s="8">
        <v>1</v>
      </c>
      <c r="AN1032" s="5" t="s">
        <v>63</v>
      </c>
      <c r="AO1032" s="10">
        <v>74.2</v>
      </c>
      <c r="AP1032" s="8">
        <v>24</v>
      </c>
      <c r="AQ1032" s="9"/>
      <c r="AR1032" s="5"/>
      <c r="AS1032" s="5" t="s">
        <v>159</v>
      </c>
    </row>
    <row r="1033" spans="1:45" x14ac:dyDescent="0.35">
      <c r="A1033" s="5" t="s">
        <v>4503</v>
      </c>
      <c r="B1033" s="5" t="s">
        <v>4504</v>
      </c>
      <c r="C1033" s="6" t="s">
        <v>4505</v>
      </c>
      <c r="D1033" s="7">
        <v>24700</v>
      </c>
      <c r="E1033" s="5" t="s">
        <v>48</v>
      </c>
      <c r="F1033" s="5" t="s">
        <v>49</v>
      </c>
      <c r="G1033" s="8"/>
      <c r="H1033" s="8" t="str">
        <f>IF(F1033="Bullet",MIN(G1033,Assumptions!$B$6),"")</f>
        <v/>
      </c>
      <c r="I1033" s="8">
        <v>1</v>
      </c>
      <c r="J1033" s="8">
        <f>IF(F1033="Monthly interest",MAX(0,Assumptions!$B$5-I1033),"")</f>
        <v>2</v>
      </c>
      <c r="K1033" s="7">
        <f t="shared" si="48"/>
        <v>453</v>
      </c>
      <c r="L1033" s="9">
        <v>46296</v>
      </c>
      <c r="M1033" s="5" t="s">
        <v>50</v>
      </c>
      <c r="N1033" s="5" t="s">
        <v>53</v>
      </c>
      <c r="O1033" s="5" t="s">
        <v>95</v>
      </c>
      <c r="P1033" s="5" t="s">
        <v>153</v>
      </c>
      <c r="Q1033" s="5" t="s">
        <v>154</v>
      </c>
      <c r="R1033" s="5" t="s">
        <v>155</v>
      </c>
      <c r="S1033" s="5" t="s">
        <v>185</v>
      </c>
      <c r="T1033" s="5" t="s">
        <v>63</v>
      </c>
      <c r="U1033" s="5" t="s">
        <v>86</v>
      </c>
      <c r="V1033" s="5" t="s">
        <v>186</v>
      </c>
      <c r="W1033" s="5" t="s">
        <v>694</v>
      </c>
      <c r="X1033" s="5" t="s">
        <v>2057</v>
      </c>
      <c r="Y1033" s="5" t="s">
        <v>4506</v>
      </c>
      <c r="Z1033" s="9">
        <v>46174</v>
      </c>
      <c r="AA1033" s="8">
        <v>18</v>
      </c>
      <c r="AB1033" s="9">
        <f t="shared" si="49"/>
        <v>46722</v>
      </c>
      <c r="AC1033" s="10">
        <v>22</v>
      </c>
      <c r="AD1033" s="7">
        <f t="shared" si="50"/>
        <v>453</v>
      </c>
      <c r="AE1033" s="7">
        <f>IF(F1033="Bullet",H1033*AD1033,MIN(MAX(I1033,1),Assumptions!$B$6)*AD1033)</f>
        <v>453</v>
      </c>
      <c r="AF1033" s="8">
        <f>IF(F1033="Bullet",MAX(0,Assumptions!$B$4-AB1033),MAX(0,Assumptions!$B$4-L1033))</f>
        <v>2</v>
      </c>
      <c r="AG1033" s="9">
        <v>46268</v>
      </c>
      <c r="AH1033" s="8">
        <f>IF(AG1033="","",Assumptions!$B$4-AG1033)</f>
        <v>30</v>
      </c>
      <c r="AI1033" s="5" t="s">
        <v>63</v>
      </c>
      <c r="AJ1033" s="8">
        <v>2</v>
      </c>
      <c r="AK1033" s="8">
        <v>0</v>
      </c>
      <c r="AL1033" s="8">
        <v>732</v>
      </c>
      <c r="AM1033" s="8">
        <v>1</v>
      </c>
      <c r="AN1033" s="5" t="s">
        <v>63</v>
      </c>
      <c r="AO1033" s="10">
        <v>75.900000000000006</v>
      </c>
      <c r="AP1033" s="8">
        <v>18</v>
      </c>
      <c r="AQ1033" s="9">
        <v>46284</v>
      </c>
      <c r="AR1033" s="5" t="s">
        <v>51</v>
      </c>
      <c r="AS1033" s="5" t="s">
        <v>190</v>
      </c>
    </row>
    <row r="1034" spans="1:45" x14ac:dyDescent="0.35">
      <c r="A1034" s="5" t="s">
        <v>4507</v>
      </c>
      <c r="B1034" s="5" t="s">
        <v>2207</v>
      </c>
      <c r="C1034" s="6" t="s">
        <v>4508</v>
      </c>
      <c r="D1034" s="7">
        <v>99300</v>
      </c>
      <c r="E1034" s="5" t="s">
        <v>48</v>
      </c>
      <c r="F1034" s="5" t="s">
        <v>49</v>
      </c>
      <c r="G1034" s="8"/>
      <c r="H1034" s="8" t="str">
        <f>IF(F1034="Bullet",MIN(G1034,Assumptions!$B$6),"")</f>
        <v/>
      </c>
      <c r="I1034" s="8">
        <v>1</v>
      </c>
      <c r="J1034" s="8">
        <f>IF(F1034="Monthly interest",MAX(0,Assumptions!$B$5-I1034),"")</f>
        <v>2</v>
      </c>
      <c r="K1034" s="7">
        <f t="shared" si="48"/>
        <v>1159</v>
      </c>
      <c r="L1034" s="9">
        <v>46297</v>
      </c>
      <c r="M1034" s="5" t="s">
        <v>50</v>
      </c>
      <c r="N1034" s="5" t="s">
        <v>51</v>
      </c>
      <c r="O1034" s="5" t="s">
        <v>52</v>
      </c>
      <c r="P1034" s="5" t="s">
        <v>53</v>
      </c>
      <c r="Q1034" s="5" t="s">
        <v>54</v>
      </c>
      <c r="R1034" s="5" t="s">
        <v>55</v>
      </c>
      <c r="S1034" s="5" t="s">
        <v>75</v>
      </c>
      <c r="T1034" s="5" t="s">
        <v>57</v>
      </c>
      <c r="U1034" s="5" t="s">
        <v>104</v>
      </c>
      <c r="V1034" s="5" t="s">
        <v>76</v>
      </c>
      <c r="W1034" s="5" t="s">
        <v>306</v>
      </c>
      <c r="X1034" s="5" t="s">
        <v>700</v>
      </c>
      <c r="Y1034" s="5" t="s">
        <v>4509</v>
      </c>
      <c r="Z1034" s="9">
        <v>46175</v>
      </c>
      <c r="AA1034" s="8">
        <v>24</v>
      </c>
      <c r="AB1034" s="9">
        <f t="shared" si="49"/>
        <v>46906</v>
      </c>
      <c r="AC1034" s="10">
        <v>14</v>
      </c>
      <c r="AD1034" s="7">
        <f t="shared" si="50"/>
        <v>1159</v>
      </c>
      <c r="AE1034" s="7">
        <f>IF(F1034="Bullet",H1034*AD1034,MIN(MAX(I1034,1),Assumptions!$B$6)*AD1034)</f>
        <v>1159</v>
      </c>
      <c r="AF1034" s="8">
        <f>IF(F1034="Bullet",MAX(0,Assumptions!$B$4-AB1034),MAX(0,Assumptions!$B$4-L1034))</f>
        <v>1</v>
      </c>
      <c r="AG1034" s="9">
        <v>46267</v>
      </c>
      <c r="AH1034" s="8">
        <f>IF(AG1034="","",Assumptions!$B$4-AG1034)</f>
        <v>31</v>
      </c>
      <c r="AI1034" s="5" t="s">
        <v>63</v>
      </c>
      <c r="AJ1034" s="8">
        <v>1</v>
      </c>
      <c r="AK1034" s="8">
        <v>0</v>
      </c>
      <c r="AL1034" s="8" t="s">
        <v>80</v>
      </c>
      <c r="AM1034" s="8">
        <v>1</v>
      </c>
      <c r="AN1034" s="5" t="s">
        <v>63</v>
      </c>
      <c r="AO1034" s="10">
        <v>61.1</v>
      </c>
      <c r="AP1034" s="8">
        <v>25</v>
      </c>
      <c r="AQ1034" s="9">
        <v>46273</v>
      </c>
      <c r="AR1034" s="5" t="s">
        <v>53</v>
      </c>
      <c r="AS1034" s="5" t="s">
        <v>91</v>
      </c>
    </row>
    <row r="1035" spans="1:45" x14ac:dyDescent="0.35">
      <c r="A1035" s="5" t="s">
        <v>4510</v>
      </c>
      <c r="B1035" s="5" t="s">
        <v>1713</v>
      </c>
      <c r="C1035" s="6" t="s">
        <v>4511</v>
      </c>
      <c r="D1035" s="7">
        <v>233700</v>
      </c>
      <c r="E1035" s="5" t="s">
        <v>48</v>
      </c>
      <c r="F1035" s="5" t="s">
        <v>49</v>
      </c>
      <c r="G1035" s="8"/>
      <c r="H1035" s="8" t="str">
        <f>IF(F1035="Bullet",MIN(G1035,Assumptions!$B$6),"")</f>
        <v/>
      </c>
      <c r="I1035" s="8">
        <v>2</v>
      </c>
      <c r="J1035" s="8">
        <f>IF(F1035="Monthly interest",MAX(0,Assumptions!$B$5-I1035),"")</f>
        <v>1</v>
      </c>
      <c r="K1035" s="7">
        <f t="shared" si="48"/>
        <v>5454</v>
      </c>
      <c r="L1035" s="9">
        <v>46242</v>
      </c>
      <c r="M1035" s="5" t="s">
        <v>116</v>
      </c>
      <c r="N1035" s="5" t="s">
        <v>117</v>
      </c>
      <c r="O1035" s="5" t="s">
        <v>118</v>
      </c>
      <c r="P1035" s="5" t="s">
        <v>72</v>
      </c>
      <c r="Q1035" s="5" t="s">
        <v>119</v>
      </c>
      <c r="R1035" s="5" t="s">
        <v>120</v>
      </c>
      <c r="S1035" s="5" t="s">
        <v>85</v>
      </c>
      <c r="T1035" s="5" t="s">
        <v>57</v>
      </c>
      <c r="U1035" s="5" t="s">
        <v>86</v>
      </c>
      <c r="V1035" s="5" t="s">
        <v>96</v>
      </c>
      <c r="W1035" s="5" t="s">
        <v>819</v>
      </c>
      <c r="X1035" s="5" t="s">
        <v>1939</v>
      </c>
      <c r="Y1035" s="5" t="s">
        <v>4512</v>
      </c>
      <c r="Z1035" s="9">
        <v>45969</v>
      </c>
      <c r="AA1035" s="8">
        <v>12</v>
      </c>
      <c r="AB1035" s="9">
        <f t="shared" si="49"/>
        <v>46334</v>
      </c>
      <c r="AC1035" s="10">
        <v>14</v>
      </c>
      <c r="AD1035" s="7">
        <f t="shared" si="50"/>
        <v>2727</v>
      </c>
      <c r="AE1035" s="7">
        <f>IF(F1035="Bullet",H1035*AD1035,MIN(MAX(I1035,1),Assumptions!$B$6)*AD1035)</f>
        <v>5454</v>
      </c>
      <c r="AF1035" s="8">
        <f>IF(F1035="Bullet",MAX(0,Assumptions!$B$4-AB1035),MAX(0,Assumptions!$B$4-L1035))</f>
        <v>56</v>
      </c>
      <c r="AG1035" s="9">
        <v>46211</v>
      </c>
      <c r="AH1035" s="8">
        <f>IF(AG1035="","",Assumptions!$B$4-AG1035)</f>
        <v>87</v>
      </c>
      <c r="AI1035" s="5" t="s">
        <v>63</v>
      </c>
      <c r="AJ1035" s="8">
        <v>4</v>
      </c>
      <c r="AK1035" s="8">
        <v>0</v>
      </c>
      <c r="AL1035" s="8">
        <v>695</v>
      </c>
      <c r="AM1035" s="8">
        <v>1</v>
      </c>
      <c r="AN1035" s="5" t="s">
        <v>63</v>
      </c>
      <c r="AO1035" s="10">
        <v>77.8</v>
      </c>
      <c r="AP1035" s="8">
        <v>51</v>
      </c>
      <c r="AQ1035" s="9">
        <v>46275</v>
      </c>
      <c r="AR1035" s="5" t="s">
        <v>70</v>
      </c>
      <c r="AS1035" s="5" t="s">
        <v>91</v>
      </c>
    </row>
    <row r="1036" spans="1:45" x14ac:dyDescent="0.35">
      <c r="A1036" s="5" t="s">
        <v>4513</v>
      </c>
      <c r="B1036" s="5" t="s">
        <v>4514</v>
      </c>
      <c r="C1036" s="6" t="s">
        <v>4515</v>
      </c>
      <c r="D1036" s="7">
        <v>75700</v>
      </c>
      <c r="E1036" s="5" t="s">
        <v>48</v>
      </c>
      <c r="F1036" s="5" t="s">
        <v>49</v>
      </c>
      <c r="G1036" s="8"/>
      <c r="H1036" s="8" t="str">
        <f>IF(F1036="Bullet",MIN(G1036,Assumptions!$B$6),"")</f>
        <v/>
      </c>
      <c r="I1036" s="8">
        <v>1</v>
      </c>
      <c r="J1036" s="8">
        <f>IF(F1036="Monthly interest",MAX(0,Assumptions!$B$5-I1036),"")</f>
        <v>2</v>
      </c>
      <c r="K1036" s="7">
        <f t="shared" si="48"/>
        <v>1514</v>
      </c>
      <c r="L1036" s="9">
        <v>46272</v>
      </c>
      <c r="M1036" s="5" t="s">
        <v>69</v>
      </c>
      <c r="N1036" s="5" t="s">
        <v>53</v>
      </c>
      <c r="O1036" s="5" t="s">
        <v>103</v>
      </c>
      <c r="P1036" s="5" t="s">
        <v>70</v>
      </c>
      <c r="Q1036" s="5" t="s">
        <v>54</v>
      </c>
      <c r="R1036" s="5" t="s">
        <v>55</v>
      </c>
      <c r="S1036" s="5" t="s">
        <v>85</v>
      </c>
      <c r="T1036" s="5" t="s">
        <v>57</v>
      </c>
      <c r="U1036" s="5" t="s">
        <v>86</v>
      </c>
      <c r="V1036" s="5" t="s">
        <v>177</v>
      </c>
      <c r="W1036" s="5" t="s">
        <v>178</v>
      </c>
      <c r="X1036" s="5" t="s">
        <v>1063</v>
      </c>
      <c r="Y1036" s="5" t="s">
        <v>4516</v>
      </c>
      <c r="Z1036" s="9">
        <v>46088</v>
      </c>
      <c r="AA1036" s="8">
        <v>18</v>
      </c>
      <c r="AB1036" s="9">
        <f t="shared" si="49"/>
        <v>46637</v>
      </c>
      <c r="AC1036" s="10">
        <v>24</v>
      </c>
      <c r="AD1036" s="7">
        <f t="shared" si="50"/>
        <v>1514</v>
      </c>
      <c r="AE1036" s="7">
        <f>IF(F1036="Bullet",H1036*AD1036,MIN(MAX(I1036,1),Assumptions!$B$6)*AD1036)</f>
        <v>1514</v>
      </c>
      <c r="AF1036" s="8">
        <f>IF(F1036="Bullet",MAX(0,Assumptions!$B$4-AB1036),MAX(0,Assumptions!$B$4-L1036))</f>
        <v>26</v>
      </c>
      <c r="AG1036" s="9">
        <v>46243</v>
      </c>
      <c r="AH1036" s="8">
        <f>IF(AG1036="","",Assumptions!$B$4-AG1036)</f>
        <v>55</v>
      </c>
      <c r="AI1036" s="5" t="s">
        <v>63</v>
      </c>
      <c r="AJ1036" s="8">
        <v>1</v>
      </c>
      <c r="AK1036" s="8">
        <v>0</v>
      </c>
      <c r="AL1036" s="8">
        <v>683</v>
      </c>
      <c r="AM1036" s="8">
        <v>2</v>
      </c>
      <c r="AN1036" s="5" t="s">
        <v>57</v>
      </c>
      <c r="AO1036" s="10">
        <v>63.8</v>
      </c>
      <c r="AP1036" s="8">
        <v>40</v>
      </c>
      <c r="AQ1036" s="9">
        <v>46292</v>
      </c>
      <c r="AR1036" s="5" t="s">
        <v>51</v>
      </c>
      <c r="AS1036" s="5" t="s">
        <v>81</v>
      </c>
    </row>
    <row r="1037" spans="1:45" x14ac:dyDescent="0.35">
      <c r="A1037" s="5" t="s">
        <v>4517</v>
      </c>
      <c r="B1037" s="5" t="s">
        <v>4518</v>
      </c>
      <c r="C1037" s="6" t="s">
        <v>4519</v>
      </c>
      <c r="D1037" s="7">
        <v>143200</v>
      </c>
      <c r="E1037" s="5" t="s">
        <v>48</v>
      </c>
      <c r="F1037" s="5" t="s">
        <v>49</v>
      </c>
      <c r="G1037" s="8"/>
      <c r="H1037" s="8" t="str">
        <f>IF(F1037="Bullet",MIN(G1037,Assumptions!$B$6),"")</f>
        <v/>
      </c>
      <c r="I1037" s="8">
        <v>1</v>
      </c>
      <c r="J1037" s="8">
        <f>IF(F1037="Monthly interest",MAX(0,Assumptions!$B$5-I1037),"")</f>
        <v>2</v>
      </c>
      <c r="K1037" s="7">
        <f t="shared" si="48"/>
        <v>2148</v>
      </c>
      <c r="L1037" s="9">
        <v>46286</v>
      </c>
      <c r="M1037" s="5" t="s">
        <v>50</v>
      </c>
      <c r="N1037" s="5" t="s">
        <v>53</v>
      </c>
      <c r="O1037" s="5" t="s">
        <v>132</v>
      </c>
      <c r="P1037" s="5" t="s">
        <v>51</v>
      </c>
      <c r="Q1037" s="5" t="s">
        <v>54</v>
      </c>
      <c r="R1037" s="5" t="s">
        <v>55</v>
      </c>
      <c r="S1037" s="5" t="s">
        <v>214</v>
      </c>
      <c r="T1037" s="5" t="s">
        <v>57</v>
      </c>
      <c r="U1037" s="5" t="s">
        <v>86</v>
      </c>
      <c r="V1037" s="5" t="s">
        <v>215</v>
      </c>
      <c r="W1037" s="5" t="s">
        <v>1057</v>
      </c>
      <c r="X1037" s="5" t="s">
        <v>4520</v>
      </c>
      <c r="Y1037" s="5" t="s">
        <v>4521</v>
      </c>
      <c r="Z1037" s="9">
        <v>46224</v>
      </c>
      <c r="AA1037" s="8">
        <v>12</v>
      </c>
      <c r="AB1037" s="9">
        <f t="shared" si="49"/>
        <v>46589</v>
      </c>
      <c r="AC1037" s="10">
        <v>18</v>
      </c>
      <c r="AD1037" s="7">
        <f t="shared" si="50"/>
        <v>2148</v>
      </c>
      <c r="AE1037" s="7">
        <f>IF(F1037="Bullet",H1037*AD1037,MIN(MAX(I1037,1),Assumptions!$B$6)*AD1037)</f>
        <v>2148</v>
      </c>
      <c r="AF1037" s="8">
        <f>IF(F1037="Bullet",MAX(0,Assumptions!$B$4-AB1037),MAX(0,Assumptions!$B$4-L1037))</f>
        <v>12</v>
      </c>
      <c r="AG1037" s="9">
        <v>46257</v>
      </c>
      <c r="AH1037" s="8">
        <f>IF(AG1037="","",Assumptions!$B$4-AG1037)</f>
        <v>41</v>
      </c>
      <c r="AI1037" s="5" t="s">
        <v>63</v>
      </c>
      <c r="AJ1037" s="8">
        <v>2</v>
      </c>
      <c r="AK1037" s="8">
        <v>0</v>
      </c>
      <c r="AL1037" s="8">
        <v>713</v>
      </c>
      <c r="AM1037" s="8">
        <v>2</v>
      </c>
      <c r="AN1037" s="5" t="s">
        <v>63</v>
      </c>
      <c r="AO1037" s="10">
        <v>76.099999999999994</v>
      </c>
      <c r="AP1037" s="8">
        <v>29</v>
      </c>
      <c r="AQ1037" s="9">
        <v>46288</v>
      </c>
      <c r="AR1037" s="5" t="s">
        <v>51</v>
      </c>
      <c r="AS1037" s="5" t="s">
        <v>91</v>
      </c>
    </row>
    <row r="1038" spans="1:45" x14ac:dyDescent="0.35">
      <c r="A1038" s="5" t="s">
        <v>4522</v>
      </c>
      <c r="B1038" s="5" t="s">
        <v>4523</v>
      </c>
      <c r="C1038" s="6" t="s">
        <v>4524</v>
      </c>
      <c r="D1038" s="7">
        <v>95300</v>
      </c>
      <c r="E1038" s="5" t="s">
        <v>48</v>
      </c>
      <c r="F1038" s="5" t="s">
        <v>68</v>
      </c>
      <c r="G1038" s="8">
        <v>6</v>
      </c>
      <c r="H1038" s="8">
        <f>IF(F1038="Bullet",MIN(G1038,Assumptions!$B$6),"")</f>
        <v>2</v>
      </c>
      <c r="I1038" s="8"/>
      <c r="J1038" s="8" t="str">
        <f>IF(F1038="Monthly interest",MAX(0,Assumptions!$B$5-I1038),"")</f>
        <v/>
      </c>
      <c r="K1038" s="7">
        <f t="shared" si="48"/>
        <v>8580</v>
      </c>
      <c r="L1038" s="9">
        <v>46094</v>
      </c>
      <c r="M1038" s="5" t="s">
        <v>116</v>
      </c>
      <c r="N1038" s="5" t="s">
        <v>117</v>
      </c>
      <c r="O1038" s="5" t="s">
        <v>461</v>
      </c>
      <c r="P1038" s="5" t="s">
        <v>72</v>
      </c>
      <c r="Q1038" s="5" t="s">
        <v>169</v>
      </c>
      <c r="R1038" s="5" t="s">
        <v>170</v>
      </c>
      <c r="S1038" s="5" t="s">
        <v>253</v>
      </c>
      <c r="T1038" s="5" t="s">
        <v>57</v>
      </c>
      <c r="U1038" s="5" t="s">
        <v>104</v>
      </c>
      <c r="V1038" s="5" t="s">
        <v>177</v>
      </c>
      <c r="W1038" s="5" t="s">
        <v>178</v>
      </c>
      <c r="X1038" s="5" t="s">
        <v>222</v>
      </c>
      <c r="Y1038" s="5" t="s">
        <v>4525</v>
      </c>
      <c r="Z1038" s="9">
        <v>46094</v>
      </c>
      <c r="AA1038" s="8">
        <v>6</v>
      </c>
      <c r="AB1038" s="9">
        <f t="shared" si="49"/>
        <v>46278</v>
      </c>
      <c r="AC1038" s="10">
        <v>18</v>
      </c>
      <c r="AD1038" s="7">
        <f t="shared" si="50"/>
        <v>1430</v>
      </c>
      <c r="AE1038" s="7">
        <f>IF(F1038="Bullet",H1038*AD1038,MIN(MAX(I1038,1),Assumptions!$B$6)*AD1038)</f>
        <v>2860</v>
      </c>
      <c r="AF1038" s="8">
        <f>IF(F1038="Bullet",MAX(0,Assumptions!$B$4-AB1038),MAX(0,Assumptions!$B$4-L1038))</f>
        <v>20</v>
      </c>
      <c r="AG1038" s="9"/>
      <c r="AH1038" s="8" t="str">
        <f>IF(AG1038="","",Assumptions!$B$4-AG1038)</f>
        <v/>
      </c>
      <c r="AI1038" s="5" t="s">
        <v>80</v>
      </c>
      <c r="AJ1038" s="8"/>
      <c r="AK1038" s="8">
        <v>1</v>
      </c>
      <c r="AL1038" s="8" t="s">
        <v>80</v>
      </c>
      <c r="AM1038" s="8">
        <v>0</v>
      </c>
      <c r="AN1038" s="5" t="s">
        <v>63</v>
      </c>
      <c r="AO1038" s="10">
        <v>79.3</v>
      </c>
      <c r="AP1038" s="8">
        <v>58</v>
      </c>
      <c r="AQ1038" s="9"/>
      <c r="AR1038" s="5"/>
      <c r="AS1038" s="5" t="s">
        <v>159</v>
      </c>
    </row>
    <row r="1039" spans="1:45" x14ac:dyDescent="0.35">
      <c r="A1039" s="5" t="s">
        <v>4526</v>
      </c>
      <c r="B1039" s="5" t="s">
        <v>4527</v>
      </c>
      <c r="C1039" s="6" t="s">
        <v>4528</v>
      </c>
      <c r="D1039" s="7">
        <v>203100</v>
      </c>
      <c r="E1039" s="5" t="s">
        <v>48</v>
      </c>
      <c r="F1039" s="5" t="s">
        <v>49</v>
      </c>
      <c r="G1039" s="8"/>
      <c r="H1039" s="8" t="str">
        <f>IF(F1039="Bullet",MIN(G1039,Assumptions!$B$6),"")</f>
        <v/>
      </c>
      <c r="I1039" s="8">
        <v>1</v>
      </c>
      <c r="J1039" s="8">
        <f>IF(F1039="Monthly interest",MAX(0,Assumptions!$B$5-I1039),"")</f>
        <v>2</v>
      </c>
      <c r="K1039" s="7">
        <f t="shared" si="48"/>
        <v>2539</v>
      </c>
      <c r="L1039" s="9">
        <v>46276</v>
      </c>
      <c r="M1039" s="5" t="s">
        <v>50</v>
      </c>
      <c r="N1039" s="5" t="s">
        <v>51</v>
      </c>
      <c r="O1039" s="5" t="s">
        <v>52</v>
      </c>
      <c r="P1039" s="5" t="s">
        <v>53</v>
      </c>
      <c r="Q1039" s="5" t="s">
        <v>54</v>
      </c>
      <c r="R1039" s="5" t="s">
        <v>55</v>
      </c>
      <c r="S1039" s="5" t="s">
        <v>185</v>
      </c>
      <c r="T1039" s="5" t="s">
        <v>57</v>
      </c>
      <c r="U1039" s="5" t="s">
        <v>86</v>
      </c>
      <c r="V1039" s="5" t="s">
        <v>186</v>
      </c>
      <c r="W1039" s="5" t="s">
        <v>187</v>
      </c>
      <c r="X1039" s="5" t="s">
        <v>867</v>
      </c>
      <c r="Y1039" s="5" t="s">
        <v>4529</v>
      </c>
      <c r="Z1039" s="9">
        <v>46214</v>
      </c>
      <c r="AA1039" s="8">
        <v>12</v>
      </c>
      <c r="AB1039" s="9">
        <f t="shared" si="49"/>
        <v>46579</v>
      </c>
      <c r="AC1039" s="10">
        <v>15</v>
      </c>
      <c r="AD1039" s="7">
        <f t="shared" si="50"/>
        <v>2539</v>
      </c>
      <c r="AE1039" s="7">
        <f>IF(F1039="Bullet",H1039*AD1039,MIN(MAX(I1039,1),Assumptions!$B$6)*AD1039)</f>
        <v>2539</v>
      </c>
      <c r="AF1039" s="8">
        <f>IF(F1039="Bullet",MAX(0,Assumptions!$B$4-AB1039),MAX(0,Assumptions!$B$4-L1039))</f>
        <v>22</v>
      </c>
      <c r="AG1039" s="9">
        <v>46248</v>
      </c>
      <c r="AH1039" s="8">
        <f>IF(AG1039="","",Assumptions!$B$4-AG1039)</f>
        <v>50</v>
      </c>
      <c r="AI1039" s="5" t="s">
        <v>63</v>
      </c>
      <c r="AJ1039" s="8">
        <v>1</v>
      </c>
      <c r="AK1039" s="8">
        <v>0</v>
      </c>
      <c r="AL1039" s="8">
        <v>727</v>
      </c>
      <c r="AM1039" s="8">
        <v>3</v>
      </c>
      <c r="AN1039" s="5" t="s">
        <v>63</v>
      </c>
      <c r="AO1039" s="10">
        <v>57.3</v>
      </c>
      <c r="AP1039" s="8">
        <v>26</v>
      </c>
      <c r="AQ1039" s="9">
        <v>46285</v>
      </c>
      <c r="AR1039" s="5" t="s">
        <v>53</v>
      </c>
      <c r="AS1039" s="5" t="s">
        <v>81</v>
      </c>
    </row>
    <row r="1040" spans="1:45" x14ac:dyDescent="0.35">
      <c r="A1040" s="5" t="s">
        <v>4530</v>
      </c>
      <c r="B1040" s="5" t="s">
        <v>3514</v>
      </c>
      <c r="C1040" s="6" t="s">
        <v>4531</v>
      </c>
      <c r="D1040" s="7">
        <v>659800</v>
      </c>
      <c r="E1040" s="5" t="s">
        <v>48</v>
      </c>
      <c r="F1040" s="5" t="s">
        <v>49</v>
      </c>
      <c r="G1040" s="8"/>
      <c r="H1040" s="8" t="str">
        <f>IF(F1040="Bullet",MIN(G1040,Assumptions!$B$6),"")</f>
        <v/>
      </c>
      <c r="I1040" s="8">
        <v>1</v>
      </c>
      <c r="J1040" s="8">
        <f>IF(F1040="Monthly interest",MAX(0,Assumptions!$B$5-I1040),"")</f>
        <v>2</v>
      </c>
      <c r="K1040" s="7">
        <f t="shared" si="48"/>
        <v>8797</v>
      </c>
      <c r="L1040" s="9">
        <v>46285</v>
      </c>
      <c r="M1040" s="5" t="s">
        <v>69</v>
      </c>
      <c r="N1040" s="5" t="s">
        <v>51</v>
      </c>
      <c r="O1040" s="5" t="s">
        <v>52</v>
      </c>
      <c r="P1040" s="5" t="s">
        <v>53</v>
      </c>
      <c r="Q1040" s="5" t="s">
        <v>54</v>
      </c>
      <c r="R1040" s="5" t="s">
        <v>55</v>
      </c>
      <c r="S1040" s="5" t="s">
        <v>185</v>
      </c>
      <c r="T1040" s="5" t="s">
        <v>57</v>
      </c>
      <c r="U1040" s="5" t="s">
        <v>86</v>
      </c>
      <c r="V1040" s="5" t="s">
        <v>186</v>
      </c>
      <c r="W1040" s="5" t="s">
        <v>187</v>
      </c>
      <c r="X1040" s="5" t="s">
        <v>462</v>
      </c>
      <c r="Y1040" s="5" t="s">
        <v>4532</v>
      </c>
      <c r="Z1040" s="9">
        <v>46073</v>
      </c>
      <c r="AA1040" s="8">
        <v>18</v>
      </c>
      <c r="AB1040" s="9">
        <f t="shared" si="49"/>
        <v>46619</v>
      </c>
      <c r="AC1040" s="10">
        <v>16</v>
      </c>
      <c r="AD1040" s="7">
        <f t="shared" si="50"/>
        <v>8797</v>
      </c>
      <c r="AE1040" s="7">
        <f>IF(F1040="Bullet",H1040*AD1040,MIN(MAX(I1040,1),Assumptions!$B$6)*AD1040)</f>
        <v>8797</v>
      </c>
      <c r="AF1040" s="8">
        <f>IF(F1040="Bullet",MAX(0,Assumptions!$B$4-AB1040),MAX(0,Assumptions!$B$4-L1040))</f>
        <v>13</v>
      </c>
      <c r="AG1040" s="9">
        <v>46259</v>
      </c>
      <c r="AH1040" s="8">
        <f>IF(AG1040="","",Assumptions!$B$4-AG1040)</f>
        <v>39</v>
      </c>
      <c r="AI1040" s="5" t="s">
        <v>63</v>
      </c>
      <c r="AJ1040" s="8">
        <v>3</v>
      </c>
      <c r="AK1040" s="8">
        <v>1</v>
      </c>
      <c r="AL1040" s="8">
        <v>685</v>
      </c>
      <c r="AM1040" s="8">
        <v>0</v>
      </c>
      <c r="AN1040" s="5" t="s">
        <v>63</v>
      </c>
      <c r="AO1040" s="10">
        <v>72.2</v>
      </c>
      <c r="AP1040" s="8">
        <v>39</v>
      </c>
      <c r="AQ1040" s="9"/>
      <c r="AR1040" s="5"/>
      <c r="AS1040" s="5" t="s">
        <v>159</v>
      </c>
    </row>
    <row r="1041" spans="1:45" x14ac:dyDescent="0.35">
      <c r="A1041" s="5" t="s">
        <v>4533</v>
      </c>
      <c r="B1041" s="5" t="s">
        <v>3602</v>
      </c>
      <c r="C1041" s="6" t="s">
        <v>4534</v>
      </c>
      <c r="D1041" s="7">
        <v>62200</v>
      </c>
      <c r="E1041" s="5" t="s">
        <v>48</v>
      </c>
      <c r="F1041" s="5" t="s">
        <v>49</v>
      </c>
      <c r="G1041" s="8"/>
      <c r="H1041" s="8" t="str">
        <f>IF(F1041="Bullet",MIN(G1041,Assumptions!$B$6),"")</f>
        <v/>
      </c>
      <c r="I1041" s="8">
        <v>2</v>
      </c>
      <c r="J1041" s="8">
        <f>IF(F1041="Monthly interest",MAX(0,Assumptions!$B$5-I1041),"")</f>
        <v>1</v>
      </c>
      <c r="K1041" s="7">
        <f t="shared" si="48"/>
        <v>1866</v>
      </c>
      <c r="L1041" s="9">
        <v>46249</v>
      </c>
      <c r="M1041" s="5" t="s">
        <v>116</v>
      </c>
      <c r="N1041" s="5" t="s">
        <v>117</v>
      </c>
      <c r="O1041" s="5" t="s">
        <v>118</v>
      </c>
      <c r="P1041" s="5" t="s">
        <v>72</v>
      </c>
      <c r="Q1041" s="5" t="s">
        <v>119</v>
      </c>
      <c r="R1041" s="5" t="s">
        <v>120</v>
      </c>
      <c r="S1041" s="5" t="s">
        <v>185</v>
      </c>
      <c r="T1041" s="5" t="s">
        <v>57</v>
      </c>
      <c r="U1041" s="5" t="s">
        <v>86</v>
      </c>
      <c r="V1041" s="5" t="s">
        <v>200</v>
      </c>
      <c r="W1041" s="5" t="s">
        <v>1332</v>
      </c>
      <c r="X1041" s="5" t="s">
        <v>4535</v>
      </c>
      <c r="Y1041" s="5" t="s">
        <v>4536</v>
      </c>
      <c r="Z1041" s="9">
        <v>46188</v>
      </c>
      <c r="AA1041" s="8">
        <v>24</v>
      </c>
      <c r="AB1041" s="9">
        <f t="shared" si="49"/>
        <v>46919</v>
      </c>
      <c r="AC1041" s="10">
        <v>18</v>
      </c>
      <c r="AD1041" s="7">
        <f t="shared" si="50"/>
        <v>933</v>
      </c>
      <c r="AE1041" s="7">
        <f>IF(F1041="Bullet",H1041*AD1041,MIN(MAX(I1041,1),Assumptions!$B$6)*AD1041)</f>
        <v>1866</v>
      </c>
      <c r="AF1041" s="8">
        <f>IF(F1041="Bullet",MAX(0,Assumptions!$B$4-AB1041),MAX(0,Assumptions!$B$4-L1041))</f>
        <v>49</v>
      </c>
      <c r="AG1041" s="9">
        <v>46223</v>
      </c>
      <c r="AH1041" s="8">
        <f>IF(AG1041="","",Assumptions!$B$4-AG1041)</f>
        <v>75</v>
      </c>
      <c r="AI1041" s="5" t="s">
        <v>63</v>
      </c>
      <c r="AJ1041" s="8">
        <v>4</v>
      </c>
      <c r="AK1041" s="8">
        <v>2</v>
      </c>
      <c r="AL1041" s="8">
        <v>654</v>
      </c>
      <c r="AM1041" s="8">
        <v>0</v>
      </c>
      <c r="AN1041" s="5" t="s">
        <v>63</v>
      </c>
      <c r="AO1041" s="10">
        <v>71.099999999999994</v>
      </c>
      <c r="AP1041" s="8">
        <v>60</v>
      </c>
      <c r="AQ1041" s="9">
        <v>46287</v>
      </c>
      <c r="AR1041" s="5" t="s">
        <v>70</v>
      </c>
      <c r="AS1041" s="5" t="s">
        <v>190</v>
      </c>
    </row>
    <row r="1042" spans="1:45" x14ac:dyDescent="0.35">
      <c r="A1042" s="5" t="s">
        <v>4537</v>
      </c>
      <c r="B1042" s="5" t="s">
        <v>4538</v>
      </c>
      <c r="C1042" s="6" t="s">
        <v>4539</v>
      </c>
      <c r="D1042" s="7">
        <v>143500</v>
      </c>
      <c r="E1042" s="5" t="s">
        <v>48</v>
      </c>
      <c r="F1042" s="5" t="s">
        <v>49</v>
      </c>
      <c r="G1042" s="8"/>
      <c r="H1042" s="8" t="str">
        <f>IF(F1042="Bullet",MIN(G1042,Assumptions!$B$6),"")</f>
        <v/>
      </c>
      <c r="I1042" s="8">
        <v>2</v>
      </c>
      <c r="J1042" s="8">
        <f>IF(F1042="Monthly interest",MAX(0,Assumptions!$B$5-I1042),"")</f>
        <v>1</v>
      </c>
      <c r="K1042" s="7">
        <f t="shared" si="48"/>
        <v>5262</v>
      </c>
      <c r="L1042" s="9">
        <v>46255</v>
      </c>
      <c r="M1042" s="5" t="s">
        <v>116</v>
      </c>
      <c r="N1042" s="5" t="s">
        <v>117</v>
      </c>
      <c r="O1042" s="5" t="s">
        <v>118</v>
      </c>
      <c r="P1042" s="5" t="s">
        <v>72</v>
      </c>
      <c r="Q1042" s="5" t="s">
        <v>119</v>
      </c>
      <c r="R1042" s="5" t="s">
        <v>120</v>
      </c>
      <c r="S1042" s="5" t="s">
        <v>56</v>
      </c>
      <c r="T1042" s="5" t="s">
        <v>57</v>
      </c>
      <c r="U1042" s="5" t="s">
        <v>58</v>
      </c>
      <c r="V1042" s="5" t="s">
        <v>59</v>
      </c>
      <c r="W1042" s="5" t="s">
        <v>418</v>
      </c>
      <c r="X1042" s="5" t="s">
        <v>419</v>
      </c>
      <c r="Y1042" s="5" t="s">
        <v>4540</v>
      </c>
      <c r="Z1042" s="9">
        <v>46163</v>
      </c>
      <c r="AA1042" s="8">
        <v>24</v>
      </c>
      <c r="AB1042" s="9">
        <f t="shared" si="49"/>
        <v>46894</v>
      </c>
      <c r="AC1042" s="10">
        <v>22</v>
      </c>
      <c r="AD1042" s="7">
        <f t="shared" si="50"/>
        <v>2631</v>
      </c>
      <c r="AE1042" s="7">
        <f>IF(F1042="Bullet",H1042*AD1042,MIN(MAX(I1042,1),Assumptions!$B$6)*AD1042)</f>
        <v>5262</v>
      </c>
      <c r="AF1042" s="8">
        <f>IF(F1042="Bullet",MAX(0,Assumptions!$B$4-AB1042),MAX(0,Assumptions!$B$4-L1042))</f>
        <v>43</v>
      </c>
      <c r="AG1042" s="9">
        <v>46226</v>
      </c>
      <c r="AH1042" s="8">
        <f>IF(AG1042="","",Assumptions!$B$4-AG1042)</f>
        <v>72</v>
      </c>
      <c r="AI1042" s="5" t="s">
        <v>57</v>
      </c>
      <c r="AJ1042" s="8">
        <v>3</v>
      </c>
      <c r="AK1042" s="8">
        <v>0</v>
      </c>
      <c r="AL1042" s="8" t="s">
        <v>80</v>
      </c>
      <c r="AM1042" s="8">
        <v>1</v>
      </c>
      <c r="AN1042" s="5" t="s">
        <v>63</v>
      </c>
      <c r="AO1042" s="10">
        <v>79.099999999999994</v>
      </c>
      <c r="AP1042" s="8">
        <v>58</v>
      </c>
      <c r="AQ1042" s="9">
        <v>46277</v>
      </c>
      <c r="AR1042" s="5" t="s">
        <v>51</v>
      </c>
      <c r="AS1042" s="5" t="s">
        <v>91</v>
      </c>
    </row>
    <row r="1043" spans="1:45" x14ac:dyDescent="0.35">
      <c r="A1043" s="5" t="s">
        <v>4541</v>
      </c>
      <c r="B1043" s="5" t="s">
        <v>3429</v>
      </c>
      <c r="C1043" s="6" t="s">
        <v>4542</v>
      </c>
      <c r="D1043" s="7">
        <v>168900</v>
      </c>
      <c r="E1043" s="5" t="s">
        <v>48</v>
      </c>
      <c r="F1043" s="5" t="s">
        <v>49</v>
      </c>
      <c r="G1043" s="8"/>
      <c r="H1043" s="8" t="str">
        <f>IF(F1043="Bullet",MIN(G1043,Assumptions!$B$6),"")</f>
        <v/>
      </c>
      <c r="I1043" s="8">
        <v>1</v>
      </c>
      <c r="J1043" s="8">
        <f>IF(F1043="Monthly interest",MAX(0,Assumptions!$B$5-I1043),"")</f>
        <v>2</v>
      </c>
      <c r="K1043" s="7">
        <f t="shared" si="48"/>
        <v>3097</v>
      </c>
      <c r="L1043" s="9">
        <v>46281</v>
      </c>
      <c r="M1043" s="5" t="s">
        <v>69</v>
      </c>
      <c r="N1043" s="5" t="s">
        <v>51</v>
      </c>
      <c r="O1043" s="5" t="s">
        <v>52</v>
      </c>
      <c r="P1043" s="5" t="s">
        <v>53</v>
      </c>
      <c r="Q1043" s="5" t="s">
        <v>54</v>
      </c>
      <c r="R1043" s="5" t="s">
        <v>55</v>
      </c>
      <c r="S1043" s="5" t="s">
        <v>253</v>
      </c>
      <c r="T1043" s="5" t="s">
        <v>57</v>
      </c>
      <c r="U1043" s="5" t="s">
        <v>58</v>
      </c>
      <c r="V1043" s="5" t="s">
        <v>59</v>
      </c>
      <c r="W1043" s="5" t="s">
        <v>300</v>
      </c>
      <c r="X1043" s="5" t="s">
        <v>4543</v>
      </c>
      <c r="Y1043" s="5" t="s">
        <v>4544</v>
      </c>
      <c r="Z1043" s="9">
        <v>46007</v>
      </c>
      <c r="AA1043" s="8">
        <v>12</v>
      </c>
      <c r="AB1043" s="9">
        <f t="shared" si="49"/>
        <v>46372</v>
      </c>
      <c r="AC1043" s="10">
        <v>22</v>
      </c>
      <c r="AD1043" s="7">
        <f t="shared" si="50"/>
        <v>3097</v>
      </c>
      <c r="AE1043" s="7">
        <f>IF(F1043="Bullet",H1043*AD1043,MIN(MAX(I1043,1),Assumptions!$B$6)*AD1043)</f>
        <v>3097</v>
      </c>
      <c r="AF1043" s="8">
        <f>IF(F1043="Bullet",MAX(0,Assumptions!$B$4-AB1043),MAX(0,Assumptions!$B$4-L1043))</f>
        <v>17</v>
      </c>
      <c r="AG1043" s="9">
        <v>46253</v>
      </c>
      <c r="AH1043" s="8">
        <f>IF(AG1043="","",Assumptions!$B$4-AG1043)</f>
        <v>45</v>
      </c>
      <c r="AI1043" s="5" t="s">
        <v>63</v>
      </c>
      <c r="AJ1043" s="8">
        <v>3</v>
      </c>
      <c r="AK1043" s="8">
        <v>0</v>
      </c>
      <c r="AL1043" s="8">
        <v>664</v>
      </c>
      <c r="AM1043" s="8">
        <v>0</v>
      </c>
      <c r="AN1043" s="5" t="s">
        <v>63</v>
      </c>
      <c r="AO1043" s="10">
        <v>61.8</v>
      </c>
      <c r="AP1043" s="8">
        <v>36</v>
      </c>
      <c r="AQ1043" s="9">
        <v>46295</v>
      </c>
      <c r="AR1043" s="5" t="s">
        <v>53</v>
      </c>
      <c r="AS1043" s="5" t="s">
        <v>64</v>
      </c>
    </row>
    <row r="1044" spans="1:45" x14ac:dyDescent="0.35">
      <c r="A1044" s="5" t="s">
        <v>4545</v>
      </c>
      <c r="B1044" s="5" t="s">
        <v>4546</v>
      </c>
      <c r="C1044" s="6" t="s">
        <v>4547</v>
      </c>
      <c r="D1044" s="7">
        <v>174800</v>
      </c>
      <c r="E1044" s="5" t="s">
        <v>48</v>
      </c>
      <c r="F1044" s="5" t="s">
        <v>49</v>
      </c>
      <c r="G1044" s="8"/>
      <c r="H1044" s="8" t="str">
        <f>IF(F1044="Bullet",MIN(G1044,Assumptions!$B$6),"")</f>
        <v/>
      </c>
      <c r="I1044" s="8">
        <v>1</v>
      </c>
      <c r="J1044" s="8">
        <f>IF(F1044="Monthly interest",MAX(0,Assumptions!$B$5-I1044),"")</f>
        <v>2</v>
      </c>
      <c r="K1044" s="7">
        <f t="shared" si="48"/>
        <v>2331</v>
      </c>
      <c r="L1044" s="9">
        <v>46281</v>
      </c>
      <c r="M1044" s="5" t="s">
        <v>50</v>
      </c>
      <c r="N1044" s="5" t="s">
        <v>53</v>
      </c>
      <c r="O1044" s="5" t="s">
        <v>95</v>
      </c>
      <c r="P1044" s="5" t="s">
        <v>70</v>
      </c>
      <c r="Q1044" s="5" t="s">
        <v>54</v>
      </c>
      <c r="R1044" s="5" t="s">
        <v>55</v>
      </c>
      <c r="S1044" s="5" t="s">
        <v>85</v>
      </c>
      <c r="T1044" s="5" t="s">
        <v>63</v>
      </c>
      <c r="U1044" s="5" t="s">
        <v>104</v>
      </c>
      <c r="V1044" s="5" t="s">
        <v>177</v>
      </c>
      <c r="W1044" s="5" t="s">
        <v>208</v>
      </c>
      <c r="X1044" s="5" t="s">
        <v>2414</v>
      </c>
      <c r="Y1044" s="5" t="s">
        <v>4548</v>
      </c>
      <c r="Z1044" s="9">
        <v>46007</v>
      </c>
      <c r="AA1044" s="8">
        <v>24</v>
      </c>
      <c r="AB1044" s="9">
        <f t="shared" si="49"/>
        <v>46737</v>
      </c>
      <c r="AC1044" s="10">
        <v>16</v>
      </c>
      <c r="AD1044" s="7">
        <f t="shared" si="50"/>
        <v>2331</v>
      </c>
      <c r="AE1044" s="7">
        <f>IF(F1044="Bullet",H1044*AD1044,MIN(MAX(I1044,1),Assumptions!$B$6)*AD1044)</f>
        <v>2331</v>
      </c>
      <c r="AF1044" s="8">
        <f>IF(F1044="Bullet",MAX(0,Assumptions!$B$4-AB1044),MAX(0,Assumptions!$B$4-L1044))</f>
        <v>17</v>
      </c>
      <c r="AG1044" s="9">
        <v>46253</v>
      </c>
      <c r="AH1044" s="8">
        <f>IF(AG1044="","",Assumptions!$B$4-AG1044)</f>
        <v>45</v>
      </c>
      <c r="AI1044" s="5" t="s">
        <v>63</v>
      </c>
      <c r="AJ1044" s="8">
        <v>1</v>
      </c>
      <c r="AK1044" s="8">
        <v>1</v>
      </c>
      <c r="AL1044" s="8">
        <v>721</v>
      </c>
      <c r="AM1044" s="8">
        <v>2</v>
      </c>
      <c r="AN1044" s="5" t="s">
        <v>63</v>
      </c>
      <c r="AO1044" s="10">
        <v>77.5</v>
      </c>
      <c r="AP1044" s="8">
        <v>29</v>
      </c>
      <c r="AQ1044" s="9">
        <v>46282</v>
      </c>
      <c r="AR1044" s="5" t="s">
        <v>51</v>
      </c>
      <c r="AS1044" s="5" t="s">
        <v>181</v>
      </c>
    </row>
    <row r="1045" spans="1:45" x14ac:dyDescent="0.35">
      <c r="A1045" s="5" t="s">
        <v>4549</v>
      </c>
      <c r="B1045" s="5" t="s">
        <v>2421</v>
      </c>
      <c r="C1045" s="6" t="s">
        <v>4550</v>
      </c>
      <c r="D1045" s="7">
        <v>307800</v>
      </c>
      <c r="E1045" s="5" t="s">
        <v>48</v>
      </c>
      <c r="F1045" s="5" t="s">
        <v>68</v>
      </c>
      <c r="G1045" s="8">
        <v>2</v>
      </c>
      <c r="H1045" s="8">
        <f>IF(F1045="Bullet",MIN(G1045,Assumptions!$B$6),"")</f>
        <v>2</v>
      </c>
      <c r="I1045" s="8"/>
      <c r="J1045" s="8" t="str">
        <f>IF(F1045="Monthly interest",MAX(0,Assumptions!$B$5-I1045),"")</f>
        <v/>
      </c>
      <c r="K1045" s="7">
        <f t="shared" si="48"/>
        <v>7182</v>
      </c>
      <c r="L1045" s="9">
        <v>46216</v>
      </c>
      <c r="M1045" s="5" t="s">
        <v>50</v>
      </c>
      <c r="N1045" s="5" t="s">
        <v>70</v>
      </c>
      <c r="O1045" s="5" t="s">
        <v>271</v>
      </c>
      <c r="P1045" s="5" t="s">
        <v>72</v>
      </c>
      <c r="Q1045" s="5" t="s">
        <v>73</v>
      </c>
      <c r="R1045" s="5" t="s">
        <v>74</v>
      </c>
      <c r="S1045" s="5" t="s">
        <v>75</v>
      </c>
      <c r="T1045" s="5" t="s">
        <v>57</v>
      </c>
      <c r="U1045" s="5" t="s">
        <v>58</v>
      </c>
      <c r="V1045" s="5" t="s">
        <v>76</v>
      </c>
      <c r="W1045" s="5" t="s">
        <v>306</v>
      </c>
      <c r="X1045" s="5" t="s">
        <v>3961</v>
      </c>
      <c r="Y1045" s="5" t="s">
        <v>4551</v>
      </c>
      <c r="Z1045" s="9">
        <v>46216</v>
      </c>
      <c r="AA1045" s="8">
        <v>6</v>
      </c>
      <c r="AB1045" s="9">
        <f t="shared" si="49"/>
        <v>46400</v>
      </c>
      <c r="AC1045" s="10">
        <v>14</v>
      </c>
      <c r="AD1045" s="7">
        <f t="shared" si="50"/>
        <v>3591</v>
      </c>
      <c r="AE1045" s="7">
        <f>IF(F1045="Bullet",H1045*AD1045,MIN(MAX(I1045,1),Assumptions!$B$6)*AD1045)</f>
        <v>7182</v>
      </c>
      <c r="AF1045" s="8">
        <f>IF(F1045="Bullet",MAX(0,Assumptions!$B$4-AB1045),MAX(0,Assumptions!$B$4-L1045))</f>
        <v>0</v>
      </c>
      <c r="AG1045" s="9"/>
      <c r="AH1045" s="8" t="str">
        <f>IF(AG1045="","",Assumptions!$B$4-AG1045)</f>
        <v/>
      </c>
      <c r="AI1045" s="5" t="s">
        <v>80</v>
      </c>
      <c r="AJ1045" s="8"/>
      <c r="AK1045" s="8">
        <v>1</v>
      </c>
      <c r="AL1045" s="8">
        <v>755</v>
      </c>
      <c r="AM1045" s="8">
        <v>2</v>
      </c>
      <c r="AN1045" s="5" t="s">
        <v>57</v>
      </c>
      <c r="AO1045" s="10">
        <v>66.3</v>
      </c>
      <c r="AP1045" s="8">
        <v>29</v>
      </c>
      <c r="AQ1045" s="9">
        <v>46276</v>
      </c>
      <c r="AR1045" s="5" t="s">
        <v>70</v>
      </c>
      <c r="AS1045" s="5" t="s">
        <v>274</v>
      </c>
    </row>
    <row r="1046" spans="1:45" x14ac:dyDescent="0.35">
      <c r="A1046" s="5" t="s">
        <v>4552</v>
      </c>
      <c r="B1046" s="5" t="s">
        <v>3351</v>
      </c>
      <c r="C1046" s="6" t="s">
        <v>4553</v>
      </c>
      <c r="D1046" s="7">
        <v>49100</v>
      </c>
      <c r="E1046" s="5" t="s">
        <v>48</v>
      </c>
      <c r="F1046" s="5" t="s">
        <v>49</v>
      </c>
      <c r="G1046" s="8"/>
      <c r="H1046" s="8" t="str">
        <f>IF(F1046="Bullet",MIN(G1046,Assumptions!$B$6),"")</f>
        <v/>
      </c>
      <c r="I1046" s="8">
        <v>1</v>
      </c>
      <c r="J1046" s="8">
        <f>IF(F1046="Monthly interest",MAX(0,Assumptions!$B$5-I1046),"")</f>
        <v>2</v>
      </c>
      <c r="K1046" s="7">
        <f t="shared" si="48"/>
        <v>573</v>
      </c>
      <c r="L1046" s="9">
        <v>46274</v>
      </c>
      <c r="M1046" s="5" t="s">
        <v>50</v>
      </c>
      <c r="N1046" s="5" t="s">
        <v>51</v>
      </c>
      <c r="O1046" s="5" t="s">
        <v>152</v>
      </c>
      <c r="P1046" s="5" t="s">
        <v>53</v>
      </c>
      <c r="Q1046" s="5" t="s">
        <v>154</v>
      </c>
      <c r="R1046" s="5" t="s">
        <v>155</v>
      </c>
      <c r="S1046" s="5" t="s">
        <v>56</v>
      </c>
      <c r="T1046" s="5" t="s">
        <v>57</v>
      </c>
      <c r="U1046" s="5" t="s">
        <v>86</v>
      </c>
      <c r="V1046" s="5" t="s">
        <v>59</v>
      </c>
      <c r="W1046" s="5" t="s">
        <v>300</v>
      </c>
      <c r="X1046" s="5" t="s">
        <v>4543</v>
      </c>
      <c r="Y1046" s="5" t="s">
        <v>4554</v>
      </c>
      <c r="Z1046" s="9">
        <v>46151</v>
      </c>
      <c r="AA1046" s="8">
        <v>12</v>
      </c>
      <c r="AB1046" s="9">
        <f t="shared" si="49"/>
        <v>46516</v>
      </c>
      <c r="AC1046" s="10">
        <v>14</v>
      </c>
      <c r="AD1046" s="7">
        <f t="shared" si="50"/>
        <v>573</v>
      </c>
      <c r="AE1046" s="7">
        <f>IF(F1046="Bullet",H1046*AD1046,MIN(MAX(I1046,1),Assumptions!$B$6)*AD1046)</f>
        <v>573</v>
      </c>
      <c r="AF1046" s="8">
        <f>IF(F1046="Bullet",MAX(0,Assumptions!$B$4-AB1046),MAX(0,Assumptions!$B$4-L1046))</f>
        <v>24</v>
      </c>
      <c r="AG1046" s="9">
        <v>46243</v>
      </c>
      <c r="AH1046" s="8">
        <f>IF(AG1046="","",Assumptions!$B$4-AG1046)</f>
        <v>55</v>
      </c>
      <c r="AI1046" s="5" t="s">
        <v>57</v>
      </c>
      <c r="AJ1046" s="8">
        <v>1</v>
      </c>
      <c r="AK1046" s="8">
        <v>0</v>
      </c>
      <c r="AL1046" s="8" t="s">
        <v>80</v>
      </c>
      <c r="AM1046" s="8">
        <v>0</v>
      </c>
      <c r="AN1046" s="5" t="s">
        <v>63</v>
      </c>
      <c r="AO1046" s="10">
        <v>62.4</v>
      </c>
      <c r="AP1046" s="8">
        <v>26</v>
      </c>
      <c r="AQ1046" s="9">
        <v>46280</v>
      </c>
      <c r="AR1046" s="5" t="s">
        <v>53</v>
      </c>
      <c r="AS1046" s="5" t="s">
        <v>190</v>
      </c>
    </row>
    <row r="1047" spans="1:45" x14ac:dyDescent="0.35">
      <c r="A1047" s="5" t="s">
        <v>4555</v>
      </c>
      <c r="B1047" s="5" t="s">
        <v>4556</v>
      </c>
      <c r="C1047" s="6" t="s">
        <v>4557</v>
      </c>
      <c r="D1047" s="7">
        <v>239800</v>
      </c>
      <c r="E1047" s="5" t="s">
        <v>48</v>
      </c>
      <c r="F1047" s="5" t="s">
        <v>49</v>
      </c>
      <c r="G1047" s="8"/>
      <c r="H1047" s="8" t="str">
        <f>IF(F1047="Bullet",MIN(G1047,Assumptions!$B$6),"")</f>
        <v/>
      </c>
      <c r="I1047" s="8">
        <v>1</v>
      </c>
      <c r="J1047" s="8">
        <f>IF(F1047="Monthly interest",MAX(0,Assumptions!$B$5-I1047),"")</f>
        <v>2</v>
      </c>
      <c r="K1047" s="7">
        <f t="shared" si="48"/>
        <v>4396</v>
      </c>
      <c r="L1047" s="9">
        <v>46277</v>
      </c>
      <c r="M1047" s="5" t="s">
        <v>50</v>
      </c>
      <c r="N1047" s="5" t="s">
        <v>53</v>
      </c>
      <c r="O1047" s="5" t="s">
        <v>103</v>
      </c>
      <c r="P1047" s="5" t="s">
        <v>51</v>
      </c>
      <c r="Q1047" s="5" t="s">
        <v>54</v>
      </c>
      <c r="R1047" s="5" t="s">
        <v>55</v>
      </c>
      <c r="S1047" s="5" t="s">
        <v>214</v>
      </c>
      <c r="T1047" s="5" t="s">
        <v>57</v>
      </c>
      <c r="U1047" s="5" t="s">
        <v>86</v>
      </c>
      <c r="V1047" s="5" t="s">
        <v>215</v>
      </c>
      <c r="W1047" s="5" t="s">
        <v>232</v>
      </c>
      <c r="X1047" s="5" t="s">
        <v>3242</v>
      </c>
      <c r="Y1047" s="5" t="s">
        <v>4558</v>
      </c>
      <c r="Z1047" s="9">
        <v>46065</v>
      </c>
      <c r="AA1047" s="8">
        <v>12</v>
      </c>
      <c r="AB1047" s="9">
        <f t="shared" si="49"/>
        <v>46430</v>
      </c>
      <c r="AC1047" s="10">
        <v>22</v>
      </c>
      <c r="AD1047" s="7">
        <f t="shared" si="50"/>
        <v>4396</v>
      </c>
      <c r="AE1047" s="7">
        <f>IF(F1047="Bullet",H1047*AD1047,MIN(MAX(I1047,1),Assumptions!$B$6)*AD1047)</f>
        <v>4396</v>
      </c>
      <c r="AF1047" s="8">
        <f>IF(F1047="Bullet",MAX(0,Assumptions!$B$4-AB1047),MAX(0,Assumptions!$B$4-L1047))</f>
        <v>21</v>
      </c>
      <c r="AG1047" s="9">
        <v>46246</v>
      </c>
      <c r="AH1047" s="8">
        <f>IF(AG1047="","",Assumptions!$B$4-AG1047)</f>
        <v>52</v>
      </c>
      <c r="AI1047" s="5" t="s">
        <v>63</v>
      </c>
      <c r="AJ1047" s="8">
        <v>1</v>
      </c>
      <c r="AK1047" s="8">
        <v>0</v>
      </c>
      <c r="AL1047" s="8">
        <v>740</v>
      </c>
      <c r="AM1047" s="8">
        <v>1</v>
      </c>
      <c r="AN1047" s="5" t="s">
        <v>63</v>
      </c>
      <c r="AO1047" s="10">
        <v>54</v>
      </c>
      <c r="AP1047" s="8">
        <v>18</v>
      </c>
      <c r="AQ1047" s="9">
        <v>46296</v>
      </c>
      <c r="AR1047" s="5" t="s">
        <v>51</v>
      </c>
      <c r="AS1047" s="5" t="s">
        <v>81</v>
      </c>
    </row>
    <row r="1048" spans="1:45" x14ac:dyDescent="0.35">
      <c r="A1048" s="5" t="s">
        <v>4559</v>
      </c>
      <c r="B1048" s="5" t="s">
        <v>4560</v>
      </c>
      <c r="C1048" s="6" t="s">
        <v>4561</v>
      </c>
      <c r="D1048" s="7">
        <v>79600</v>
      </c>
      <c r="E1048" s="5" t="s">
        <v>48</v>
      </c>
      <c r="F1048" s="5" t="s">
        <v>68</v>
      </c>
      <c r="G1048" s="8">
        <v>1</v>
      </c>
      <c r="H1048" s="8">
        <f>IF(F1048="Bullet",MIN(G1048,Assumptions!$B$6),"")</f>
        <v>1</v>
      </c>
      <c r="I1048" s="8"/>
      <c r="J1048" s="8" t="str">
        <f>IF(F1048="Monthly interest",MAX(0,Assumptions!$B$5-I1048),"")</f>
        <v/>
      </c>
      <c r="K1048" s="7">
        <f t="shared" si="48"/>
        <v>862</v>
      </c>
      <c r="L1048" s="9">
        <v>46247</v>
      </c>
      <c r="M1048" s="5" t="s">
        <v>69</v>
      </c>
      <c r="N1048" s="5" t="s">
        <v>53</v>
      </c>
      <c r="O1048" s="5" t="s">
        <v>71</v>
      </c>
      <c r="P1048" s="5" t="s">
        <v>70</v>
      </c>
      <c r="Q1048" s="5" t="s">
        <v>73</v>
      </c>
      <c r="R1048" s="5" t="s">
        <v>74</v>
      </c>
      <c r="S1048" s="5" t="s">
        <v>56</v>
      </c>
      <c r="T1048" s="5" t="s">
        <v>57</v>
      </c>
      <c r="U1048" s="5" t="s">
        <v>86</v>
      </c>
      <c r="V1048" s="5" t="s">
        <v>59</v>
      </c>
      <c r="W1048" s="5" t="s">
        <v>323</v>
      </c>
      <c r="X1048" s="5" t="s">
        <v>1309</v>
      </c>
      <c r="Y1048" s="5" t="s">
        <v>4562</v>
      </c>
      <c r="Z1048" s="9">
        <v>46247</v>
      </c>
      <c r="AA1048" s="8">
        <v>12</v>
      </c>
      <c r="AB1048" s="9">
        <f t="shared" si="49"/>
        <v>46612</v>
      </c>
      <c r="AC1048" s="10">
        <v>13</v>
      </c>
      <c r="AD1048" s="7">
        <f t="shared" si="50"/>
        <v>862</v>
      </c>
      <c r="AE1048" s="7">
        <f>IF(F1048="Bullet",H1048*AD1048,MIN(MAX(I1048,1),Assumptions!$B$6)*AD1048)</f>
        <v>862</v>
      </c>
      <c r="AF1048" s="8">
        <f>IF(F1048="Bullet",MAX(0,Assumptions!$B$4-AB1048),MAX(0,Assumptions!$B$4-L1048))</f>
        <v>0</v>
      </c>
      <c r="AG1048" s="9"/>
      <c r="AH1048" s="8" t="str">
        <f>IF(AG1048="","",Assumptions!$B$4-AG1048)</f>
        <v/>
      </c>
      <c r="AI1048" s="5" t="s">
        <v>80</v>
      </c>
      <c r="AJ1048" s="8"/>
      <c r="AK1048" s="8">
        <v>3</v>
      </c>
      <c r="AL1048" s="8">
        <v>683</v>
      </c>
      <c r="AM1048" s="8">
        <v>2</v>
      </c>
      <c r="AN1048" s="5" t="s">
        <v>63</v>
      </c>
      <c r="AO1048" s="10">
        <v>66.599999999999994</v>
      </c>
      <c r="AP1048" s="8">
        <v>32</v>
      </c>
      <c r="AQ1048" s="9">
        <v>46282</v>
      </c>
      <c r="AR1048" s="5" t="s">
        <v>51</v>
      </c>
      <c r="AS1048" s="5" t="s">
        <v>64</v>
      </c>
    </row>
    <row r="1049" spans="1:45" x14ac:dyDescent="0.35">
      <c r="A1049" s="5" t="s">
        <v>4563</v>
      </c>
      <c r="B1049" s="5" t="s">
        <v>2607</v>
      </c>
      <c r="C1049" s="6" t="s">
        <v>4564</v>
      </c>
      <c r="D1049" s="7">
        <v>285700</v>
      </c>
      <c r="E1049" s="5" t="s">
        <v>48</v>
      </c>
      <c r="F1049" s="5" t="s">
        <v>68</v>
      </c>
      <c r="G1049" s="8">
        <v>1</v>
      </c>
      <c r="H1049" s="8">
        <f>IF(F1049="Bullet",MIN(G1049,Assumptions!$B$6),"")</f>
        <v>1</v>
      </c>
      <c r="I1049" s="8"/>
      <c r="J1049" s="8" t="str">
        <f>IF(F1049="Monthly interest",MAX(0,Assumptions!$B$5-I1049),"")</f>
        <v/>
      </c>
      <c r="K1049" s="7">
        <f t="shared" si="48"/>
        <v>2857</v>
      </c>
      <c r="L1049" s="9">
        <v>46255</v>
      </c>
      <c r="M1049" s="5" t="s">
        <v>50</v>
      </c>
      <c r="N1049" s="5" t="s">
        <v>51</v>
      </c>
      <c r="O1049" s="5" t="s">
        <v>71</v>
      </c>
      <c r="P1049" s="5" t="s">
        <v>53</v>
      </c>
      <c r="Q1049" s="5" t="s">
        <v>73</v>
      </c>
      <c r="R1049" s="5" t="s">
        <v>74</v>
      </c>
      <c r="S1049" s="5" t="s">
        <v>185</v>
      </c>
      <c r="T1049" s="5" t="s">
        <v>57</v>
      </c>
      <c r="U1049" s="5" t="s">
        <v>104</v>
      </c>
      <c r="V1049" s="5" t="s">
        <v>200</v>
      </c>
      <c r="W1049" s="5" t="s">
        <v>201</v>
      </c>
      <c r="X1049" s="5" t="s">
        <v>202</v>
      </c>
      <c r="Y1049" s="5" t="s">
        <v>4565</v>
      </c>
      <c r="Z1049" s="9">
        <v>46255</v>
      </c>
      <c r="AA1049" s="8">
        <v>6</v>
      </c>
      <c r="AB1049" s="9">
        <f t="shared" si="49"/>
        <v>46439</v>
      </c>
      <c r="AC1049" s="10">
        <v>12</v>
      </c>
      <c r="AD1049" s="7">
        <f t="shared" si="50"/>
        <v>2857</v>
      </c>
      <c r="AE1049" s="7">
        <f>IF(F1049="Bullet",H1049*AD1049,MIN(MAX(I1049,1),Assumptions!$B$6)*AD1049)</f>
        <v>2857</v>
      </c>
      <c r="AF1049" s="8">
        <f>IF(F1049="Bullet",MAX(0,Assumptions!$B$4-AB1049),MAX(0,Assumptions!$B$4-L1049))</f>
        <v>0</v>
      </c>
      <c r="AG1049" s="9"/>
      <c r="AH1049" s="8" t="str">
        <f>IF(AG1049="","",Assumptions!$B$4-AG1049)</f>
        <v/>
      </c>
      <c r="AI1049" s="5" t="s">
        <v>80</v>
      </c>
      <c r="AJ1049" s="8"/>
      <c r="AK1049" s="8">
        <v>0</v>
      </c>
      <c r="AL1049" s="8">
        <v>691</v>
      </c>
      <c r="AM1049" s="8">
        <v>0</v>
      </c>
      <c r="AN1049" s="5" t="s">
        <v>63</v>
      </c>
      <c r="AO1049" s="10">
        <v>80.3</v>
      </c>
      <c r="AP1049" s="8">
        <v>13</v>
      </c>
      <c r="AQ1049" s="9"/>
      <c r="AR1049" s="5"/>
      <c r="AS1049" s="5" t="s">
        <v>159</v>
      </c>
    </row>
    <row r="1050" spans="1:45" x14ac:dyDescent="0.35">
      <c r="A1050" s="5" t="s">
        <v>4566</v>
      </c>
      <c r="B1050" s="5" t="s">
        <v>1621</v>
      </c>
      <c r="C1050" s="6" t="s">
        <v>4567</v>
      </c>
      <c r="D1050" s="7">
        <v>132700</v>
      </c>
      <c r="E1050" s="5" t="s">
        <v>48</v>
      </c>
      <c r="F1050" s="5" t="s">
        <v>68</v>
      </c>
      <c r="G1050" s="8">
        <v>3</v>
      </c>
      <c r="H1050" s="8">
        <f>IF(F1050="Bullet",MIN(G1050,Assumptions!$B$6),"")</f>
        <v>2</v>
      </c>
      <c r="I1050" s="8"/>
      <c r="J1050" s="8" t="str">
        <f>IF(F1050="Monthly interest",MAX(0,Assumptions!$B$5-I1050),"")</f>
        <v/>
      </c>
      <c r="K1050" s="7">
        <f t="shared" si="48"/>
        <v>3981</v>
      </c>
      <c r="L1050" s="9">
        <v>46195</v>
      </c>
      <c r="M1050" s="5" t="s">
        <v>50</v>
      </c>
      <c r="N1050" s="5" t="s">
        <v>70</v>
      </c>
      <c r="O1050" s="5" t="s">
        <v>295</v>
      </c>
      <c r="P1050" s="5" t="s">
        <v>72</v>
      </c>
      <c r="Q1050" s="5" t="s">
        <v>73</v>
      </c>
      <c r="R1050" s="5" t="s">
        <v>74</v>
      </c>
      <c r="S1050" s="5" t="s">
        <v>214</v>
      </c>
      <c r="T1050" s="5" t="s">
        <v>57</v>
      </c>
      <c r="U1050" s="5" t="s">
        <v>104</v>
      </c>
      <c r="V1050" s="5" t="s">
        <v>215</v>
      </c>
      <c r="W1050" s="5" t="s">
        <v>242</v>
      </c>
      <c r="X1050" s="5" t="s">
        <v>2699</v>
      </c>
      <c r="Y1050" s="5" t="s">
        <v>4568</v>
      </c>
      <c r="Z1050" s="9">
        <v>46195</v>
      </c>
      <c r="AA1050" s="8">
        <v>12</v>
      </c>
      <c r="AB1050" s="9">
        <f t="shared" si="49"/>
        <v>46560</v>
      </c>
      <c r="AC1050" s="10">
        <v>12</v>
      </c>
      <c r="AD1050" s="7">
        <f t="shared" si="50"/>
        <v>1327</v>
      </c>
      <c r="AE1050" s="7">
        <f>IF(F1050="Bullet",H1050*AD1050,MIN(MAX(I1050,1),Assumptions!$B$6)*AD1050)</f>
        <v>2654</v>
      </c>
      <c r="AF1050" s="8">
        <f>IF(F1050="Bullet",MAX(0,Assumptions!$B$4-AB1050),MAX(0,Assumptions!$B$4-L1050))</f>
        <v>0</v>
      </c>
      <c r="AG1050" s="9"/>
      <c r="AH1050" s="8" t="str">
        <f>IF(AG1050="","",Assumptions!$B$4-AG1050)</f>
        <v/>
      </c>
      <c r="AI1050" s="5" t="s">
        <v>80</v>
      </c>
      <c r="AJ1050" s="8"/>
      <c r="AK1050" s="8">
        <v>0</v>
      </c>
      <c r="AL1050" s="8" t="s">
        <v>80</v>
      </c>
      <c r="AM1050" s="8">
        <v>1</v>
      </c>
      <c r="AN1050" s="5" t="s">
        <v>63</v>
      </c>
      <c r="AO1050" s="10">
        <v>67.099999999999994</v>
      </c>
      <c r="AP1050" s="8">
        <v>21</v>
      </c>
      <c r="AQ1050" s="9">
        <v>46286</v>
      </c>
      <c r="AR1050" s="5" t="s">
        <v>53</v>
      </c>
      <c r="AS1050" s="5" t="s">
        <v>91</v>
      </c>
    </row>
    <row r="1051" spans="1:45" x14ac:dyDescent="0.35">
      <c r="A1051" s="5" t="s">
        <v>4569</v>
      </c>
      <c r="B1051" s="5" t="s">
        <v>374</v>
      </c>
      <c r="C1051" s="6" t="s">
        <v>4570</v>
      </c>
      <c r="D1051" s="7">
        <v>73100</v>
      </c>
      <c r="E1051" s="5" t="s">
        <v>48</v>
      </c>
      <c r="F1051" s="5" t="s">
        <v>68</v>
      </c>
      <c r="G1051" s="8">
        <v>1</v>
      </c>
      <c r="H1051" s="8">
        <f>IF(F1051="Bullet",MIN(G1051,Assumptions!$B$6),"")</f>
        <v>1</v>
      </c>
      <c r="I1051" s="8"/>
      <c r="J1051" s="8" t="str">
        <f>IF(F1051="Monthly interest",MAX(0,Assumptions!$B$5-I1051),"")</f>
        <v/>
      </c>
      <c r="K1051" s="7">
        <f t="shared" si="48"/>
        <v>731</v>
      </c>
      <c r="L1051" s="9">
        <v>46254</v>
      </c>
      <c r="M1051" s="5" t="s">
        <v>50</v>
      </c>
      <c r="N1051" s="5" t="s">
        <v>70</v>
      </c>
      <c r="O1051" s="5" t="s">
        <v>271</v>
      </c>
      <c r="P1051" s="5" t="s">
        <v>72</v>
      </c>
      <c r="Q1051" s="5" t="s">
        <v>73</v>
      </c>
      <c r="R1051" s="5" t="s">
        <v>74</v>
      </c>
      <c r="S1051" s="5" t="s">
        <v>185</v>
      </c>
      <c r="T1051" s="5" t="s">
        <v>57</v>
      </c>
      <c r="U1051" s="5" t="s">
        <v>58</v>
      </c>
      <c r="V1051" s="5" t="s">
        <v>200</v>
      </c>
      <c r="W1051" s="5" t="s">
        <v>1332</v>
      </c>
      <c r="X1051" s="5" t="s">
        <v>1618</v>
      </c>
      <c r="Y1051" s="5" t="s">
        <v>4571</v>
      </c>
      <c r="Z1051" s="9">
        <v>46254</v>
      </c>
      <c r="AA1051" s="8">
        <v>6</v>
      </c>
      <c r="AB1051" s="9">
        <f t="shared" si="49"/>
        <v>46438</v>
      </c>
      <c r="AC1051" s="10">
        <v>12</v>
      </c>
      <c r="AD1051" s="7">
        <f t="shared" si="50"/>
        <v>731</v>
      </c>
      <c r="AE1051" s="7">
        <f>IF(F1051="Bullet",H1051*AD1051,MIN(MAX(I1051,1),Assumptions!$B$6)*AD1051)</f>
        <v>731</v>
      </c>
      <c r="AF1051" s="8">
        <f>IF(F1051="Bullet",MAX(0,Assumptions!$B$4-AB1051),MAX(0,Assumptions!$B$4-L1051))</f>
        <v>0</v>
      </c>
      <c r="AG1051" s="9"/>
      <c r="AH1051" s="8" t="str">
        <f>IF(AG1051="","",Assumptions!$B$4-AG1051)</f>
        <v/>
      </c>
      <c r="AI1051" s="5" t="s">
        <v>80</v>
      </c>
      <c r="AJ1051" s="8"/>
      <c r="AK1051" s="8">
        <v>0</v>
      </c>
      <c r="AL1051" s="8">
        <v>694</v>
      </c>
      <c r="AM1051" s="8">
        <v>2</v>
      </c>
      <c r="AN1051" s="5" t="s">
        <v>63</v>
      </c>
      <c r="AO1051" s="10">
        <v>64.5</v>
      </c>
      <c r="AP1051" s="8">
        <v>6</v>
      </c>
      <c r="AQ1051" s="9">
        <v>46296</v>
      </c>
      <c r="AR1051" s="5" t="s">
        <v>51</v>
      </c>
      <c r="AS1051" s="5" t="s">
        <v>274</v>
      </c>
    </row>
    <row r="1052" spans="1:45" x14ac:dyDescent="0.35">
      <c r="A1052" s="5" t="s">
        <v>4572</v>
      </c>
      <c r="B1052" s="5" t="s">
        <v>4573</v>
      </c>
      <c r="C1052" s="6" t="s">
        <v>4574</v>
      </c>
      <c r="D1052" s="7">
        <v>115400</v>
      </c>
      <c r="E1052" s="5" t="s">
        <v>48</v>
      </c>
      <c r="F1052" s="5" t="s">
        <v>68</v>
      </c>
      <c r="G1052" s="8">
        <v>6</v>
      </c>
      <c r="H1052" s="8">
        <f>IF(F1052="Bullet",MIN(G1052,Assumptions!$B$6),"")</f>
        <v>2</v>
      </c>
      <c r="I1052" s="8"/>
      <c r="J1052" s="8" t="str">
        <f>IF(F1052="Monthly interest",MAX(0,Assumptions!$B$5-I1052),"")</f>
        <v/>
      </c>
      <c r="K1052" s="7">
        <f t="shared" si="48"/>
        <v>10386</v>
      </c>
      <c r="L1052" s="9">
        <v>46095</v>
      </c>
      <c r="M1052" s="5" t="s">
        <v>69</v>
      </c>
      <c r="N1052" s="5" t="s">
        <v>53</v>
      </c>
      <c r="O1052" s="5" t="s">
        <v>168</v>
      </c>
      <c r="P1052" s="5" t="s">
        <v>70</v>
      </c>
      <c r="Q1052" s="5" t="s">
        <v>169</v>
      </c>
      <c r="R1052" s="5" t="s">
        <v>170</v>
      </c>
      <c r="S1052" s="5" t="s">
        <v>75</v>
      </c>
      <c r="T1052" s="5" t="s">
        <v>57</v>
      </c>
      <c r="U1052" s="5" t="s">
        <v>58</v>
      </c>
      <c r="V1052" s="5" t="s">
        <v>76</v>
      </c>
      <c r="W1052" s="5" t="s">
        <v>105</v>
      </c>
      <c r="X1052" s="5" t="s">
        <v>914</v>
      </c>
      <c r="Y1052" s="5" t="s">
        <v>4575</v>
      </c>
      <c r="Z1052" s="9">
        <v>46095</v>
      </c>
      <c r="AA1052" s="8">
        <v>12</v>
      </c>
      <c r="AB1052" s="9">
        <f t="shared" si="49"/>
        <v>46460</v>
      </c>
      <c r="AC1052" s="10">
        <v>18</v>
      </c>
      <c r="AD1052" s="7">
        <f t="shared" si="50"/>
        <v>1731</v>
      </c>
      <c r="AE1052" s="7">
        <f>IF(F1052="Bullet",H1052*AD1052,MIN(MAX(I1052,1),Assumptions!$B$6)*AD1052)</f>
        <v>3462</v>
      </c>
      <c r="AF1052" s="8">
        <f>IF(F1052="Bullet",MAX(0,Assumptions!$B$4-AB1052),MAX(0,Assumptions!$B$4-L1052))</f>
        <v>0</v>
      </c>
      <c r="AG1052" s="9"/>
      <c r="AH1052" s="8" t="str">
        <f>IF(AG1052="","",Assumptions!$B$4-AG1052)</f>
        <v/>
      </c>
      <c r="AI1052" s="5" t="s">
        <v>80</v>
      </c>
      <c r="AJ1052" s="8"/>
      <c r="AK1052" s="8">
        <v>1</v>
      </c>
      <c r="AL1052" s="8">
        <v>735</v>
      </c>
      <c r="AM1052" s="8">
        <v>0</v>
      </c>
      <c r="AN1052" s="5" t="s">
        <v>63</v>
      </c>
      <c r="AO1052" s="10">
        <v>71.5</v>
      </c>
      <c r="AP1052" s="8">
        <v>31</v>
      </c>
      <c r="AQ1052" s="9">
        <v>46293</v>
      </c>
      <c r="AR1052" s="5" t="s">
        <v>51</v>
      </c>
      <c r="AS1052" s="5" t="s">
        <v>81</v>
      </c>
    </row>
    <row r="1053" spans="1:45" x14ac:dyDescent="0.35">
      <c r="A1053" s="5" t="s">
        <v>4576</v>
      </c>
      <c r="B1053" s="5" t="s">
        <v>4577</v>
      </c>
      <c r="C1053" s="6" t="s">
        <v>4578</v>
      </c>
      <c r="D1053" s="7">
        <v>142900</v>
      </c>
      <c r="E1053" s="5" t="s">
        <v>48</v>
      </c>
      <c r="F1053" s="5" t="s">
        <v>49</v>
      </c>
      <c r="G1053" s="8"/>
      <c r="H1053" s="8" t="str">
        <f>IF(F1053="Bullet",MIN(G1053,Assumptions!$B$6),"")</f>
        <v/>
      </c>
      <c r="I1053" s="8">
        <v>1</v>
      </c>
      <c r="J1053" s="8">
        <f>IF(F1053="Monthly interest",MAX(0,Assumptions!$B$5-I1053),"")</f>
        <v>2</v>
      </c>
      <c r="K1053" s="7">
        <f t="shared" si="48"/>
        <v>2620</v>
      </c>
      <c r="L1053" s="9">
        <v>46270</v>
      </c>
      <c r="M1053" s="5" t="s">
        <v>50</v>
      </c>
      <c r="N1053" s="5" t="s">
        <v>53</v>
      </c>
      <c r="O1053" s="5" t="s">
        <v>103</v>
      </c>
      <c r="P1053" s="5" t="s">
        <v>51</v>
      </c>
      <c r="Q1053" s="5" t="s">
        <v>54</v>
      </c>
      <c r="R1053" s="5" t="s">
        <v>55</v>
      </c>
      <c r="S1053" s="5" t="s">
        <v>214</v>
      </c>
      <c r="T1053" s="5" t="s">
        <v>57</v>
      </c>
      <c r="U1053" s="5" t="s">
        <v>58</v>
      </c>
      <c r="V1053" s="5" t="s">
        <v>215</v>
      </c>
      <c r="W1053" s="5" t="s">
        <v>216</v>
      </c>
      <c r="X1053" s="5" t="s">
        <v>4579</v>
      </c>
      <c r="Y1053" s="5" t="s">
        <v>4580</v>
      </c>
      <c r="Z1053" s="9">
        <v>46086</v>
      </c>
      <c r="AA1053" s="8">
        <v>12</v>
      </c>
      <c r="AB1053" s="9">
        <f t="shared" si="49"/>
        <v>46451</v>
      </c>
      <c r="AC1053" s="10">
        <v>22</v>
      </c>
      <c r="AD1053" s="7">
        <f t="shared" si="50"/>
        <v>2620</v>
      </c>
      <c r="AE1053" s="7">
        <f>IF(F1053="Bullet",H1053*AD1053,MIN(MAX(I1053,1),Assumptions!$B$6)*AD1053)</f>
        <v>2620</v>
      </c>
      <c r="AF1053" s="8">
        <f>IF(F1053="Bullet",MAX(0,Assumptions!$B$4-AB1053),MAX(0,Assumptions!$B$4-L1053))</f>
        <v>28</v>
      </c>
      <c r="AG1053" s="9">
        <v>46241</v>
      </c>
      <c r="AH1053" s="8">
        <f>IF(AG1053="","",Assumptions!$B$4-AG1053)</f>
        <v>57</v>
      </c>
      <c r="AI1053" s="5" t="s">
        <v>63</v>
      </c>
      <c r="AJ1053" s="8">
        <v>1</v>
      </c>
      <c r="AK1053" s="8">
        <v>1</v>
      </c>
      <c r="AL1053" s="8">
        <v>774</v>
      </c>
      <c r="AM1053" s="8">
        <v>0</v>
      </c>
      <c r="AN1053" s="5" t="s">
        <v>63</v>
      </c>
      <c r="AO1053" s="10">
        <v>61.9</v>
      </c>
      <c r="AP1053" s="8">
        <v>21</v>
      </c>
      <c r="AQ1053" s="9">
        <v>46279</v>
      </c>
      <c r="AR1053" s="5" t="s">
        <v>51</v>
      </c>
      <c r="AS1053" s="5" t="s">
        <v>81</v>
      </c>
    </row>
    <row r="1054" spans="1:45" x14ac:dyDescent="0.35">
      <c r="A1054" s="5" t="s">
        <v>4581</v>
      </c>
      <c r="B1054" s="5" t="s">
        <v>2194</v>
      </c>
      <c r="C1054" s="6" t="s">
        <v>4582</v>
      </c>
      <c r="D1054" s="7">
        <v>26200</v>
      </c>
      <c r="E1054" s="5" t="s">
        <v>48</v>
      </c>
      <c r="F1054" s="5" t="s">
        <v>49</v>
      </c>
      <c r="G1054" s="8"/>
      <c r="H1054" s="8" t="str">
        <f>IF(F1054="Bullet",MIN(G1054,Assumptions!$B$6),"")</f>
        <v/>
      </c>
      <c r="I1054" s="8">
        <v>1</v>
      </c>
      <c r="J1054" s="8">
        <f>IF(F1054="Monthly interest",MAX(0,Assumptions!$B$5-I1054),"")</f>
        <v>2</v>
      </c>
      <c r="K1054" s="7">
        <f t="shared" si="48"/>
        <v>306</v>
      </c>
      <c r="L1054" s="9">
        <v>46280</v>
      </c>
      <c r="M1054" s="5" t="s">
        <v>50</v>
      </c>
      <c r="N1054" s="5" t="s">
        <v>53</v>
      </c>
      <c r="O1054" s="5" t="s">
        <v>103</v>
      </c>
      <c r="P1054" s="5" t="s">
        <v>153</v>
      </c>
      <c r="Q1054" s="5" t="s">
        <v>154</v>
      </c>
      <c r="R1054" s="5" t="s">
        <v>155</v>
      </c>
      <c r="S1054" s="5" t="s">
        <v>85</v>
      </c>
      <c r="T1054" s="5" t="s">
        <v>63</v>
      </c>
      <c r="U1054" s="5" t="s">
        <v>58</v>
      </c>
      <c r="V1054" s="5" t="s">
        <v>87</v>
      </c>
      <c r="W1054" s="5" t="s">
        <v>254</v>
      </c>
      <c r="X1054" s="5" t="s">
        <v>4583</v>
      </c>
      <c r="Y1054" s="5" t="s">
        <v>4584</v>
      </c>
      <c r="Z1054" s="9">
        <v>46218</v>
      </c>
      <c r="AA1054" s="8">
        <v>24</v>
      </c>
      <c r="AB1054" s="9">
        <f t="shared" si="49"/>
        <v>46949</v>
      </c>
      <c r="AC1054" s="10">
        <v>14</v>
      </c>
      <c r="AD1054" s="7">
        <f t="shared" si="50"/>
        <v>306</v>
      </c>
      <c r="AE1054" s="7">
        <f>IF(F1054="Bullet",H1054*AD1054,MIN(MAX(I1054,1),Assumptions!$B$6)*AD1054)</f>
        <v>306</v>
      </c>
      <c r="AF1054" s="8">
        <f>IF(F1054="Bullet",MAX(0,Assumptions!$B$4-AB1054),MAX(0,Assumptions!$B$4-L1054))</f>
        <v>18</v>
      </c>
      <c r="AG1054" s="9">
        <v>46253</v>
      </c>
      <c r="AH1054" s="8">
        <f>IF(AG1054="","",Assumptions!$B$4-AG1054)</f>
        <v>45</v>
      </c>
      <c r="AI1054" s="5" t="s">
        <v>63</v>
      </c>
      <c r="AJ1054" s="8">
        <v>2</v>
      </c>
      <c r="AK1054" s="8">
        <v>0</v>
      </c>
      <c r="AL1054" s="8">
        <v>757</v>
      </c>
      <c r="AM1054" s="8">
        <v>0</v>
      </c>
      <c r="AN1054" s="5" t="s">
        <v>63</v>
      </c>
      <c r="AO1054" s="10">
        <v>59.7</v>
      </c>
      <c r="AP1054" s="8">
        <v>20</v>
      </c>
      <c r="AQ1054" s="9">
        <v>46280</v>
      </c>
      <c r="AR1054" s="5" t="s">
        <v>51</v>
      </c>
      <c r="AS1054" s="5" t="s">
        <v>81</v>
      </c>
    </row>
    <row r="1055" spans="1:45" x14ac:dyDescent="0.35">
      <c r="A1055" s="5" t="s">
        <v>4585</v>
      </c>
      <c r="B1055" s="5" t="s">
        <v>4586</v>
      </c>
      <c r="C1055" s="6" t="s">
        <v>4587</v>
      </c>
      <c r="D1055" s="7">
        <v>241800</v>
      </c>
      <c r="E1055" s="5" t="s">
        <v>48</v>
      </c>
      <c r="F1055" s="5" t="s">
        <v>49</v>
      </c>
      <c r="G1055" s="8"/>
      <c r="H1055" s="8" t="str">
        <f>IF(F1055="Bullet",MIN(G1055,Assumptions!$B$6),"")</f>
        <v/>
      </c>
      <c r="I1055" s="8">
        <v>2</v>
      </c>
      <c r="J1055" s="8">
        <f>IF(F1055="Monthly interest",MAX(0,Assumptions!$B$5-I1055),"")</f>
        <v>1</v>
      </c>
      <c r="K1055" s="7">
        <f t="shared" si="48"/>
        <v>9672</v>
      </c>
      <c r="L1055" s="9">
        <v>46260</v>
      </c>
      <c r="M1055" s="5" t="s">
        <v>69</v>
      </c>
      <c r="N1055" s="5" t="s">
        <v>70</v>
      </c>
      <c r="O1055" s="5" t="s">
        <v>71</v>
      </c>
      <c r="P1055" s="5" t="s">
        <v>72</v>
      </c>
      <c r="Q1055" s="5" t="s">
        <v>73</v>
      </c>
      <c r="R1055" s="5" t="s">
        <v>74</v>
      </c>
      <c r="S1055" s="5" t="s">
        <v>85</v>
      </c>
      <c r="T1055" s="5" t="s">
        <v>57</v>
      </c>
      <c r="U1055" s="5" t="s">
        <v>104</v>
      </c>
      <c r="V1055" s="5" t="s">
        <v>96</v>
      </c>
      <c r="W1055" s="5" t="s">
        <v>171</v>
      </c>
      <c r="X1055" s="5" t="s">
        <v>3609</v>
      </c>
      <c r="Y1055" s="5" t="s">
        <v>4588</v>
      </c>
      <c r="Z1055" s="9">
        <v>46168</v>
      </c>
      <c r="AA1055" s="8">
        <v>12</v>
      </c>
      <c r="AB1055" s="9">
        <f t="shared" si="49"/>
        <v>46533</v>
      </c>
      <c r="AC1055" s="10">
        <v>24</v>
      </c>
      <c r="AD1055" s="7">
        <f t="shared" si="50"/>
        <v>4836</v>
      </c>
      <c r="AE1055" s="7">
        <f>IF(F1055="Bullet",H1055*AD1055,MIN(MAX(I1055,1),Assumptions!$B$6)*AD1055)</f>
        <v>9672</v>
      </c>
      <c r="AF1055" s="8">
        <f>IF(F1055="Bullet",MAX(0,Assumptions!$B$4-AB1055),MAX(0,Assumptions!$B$4-L1055))</f>
        <v>38</v>
      </c>
      <c r="AG1055" s="9">
        <v>46230</v>
      </c>
      <c r="AH1055" s="8">
        <f>IF(AG1055="","",Assumptions!$B$4-AG1055)</f>
        <v>68</v>
      </c>
      <c r="AI1055" s="5" t="s">
        <v>63</v>
      </c>
      <c r="AJ1055" s="8">
        <v>3</v>
      </c>
      <c r="AK1055" s="8">
        <v>0</v>
      </c>
      <c r="AL1055" s="8">
        <v>829</v>
      </c>
      <c r="AM1055" s="8">
        <v>1</v>
      </c>
      <c r="AN1055" s="5" t="s">
        <v>63</v>
      </c>
      <c r="AO1055" s="10">
        <v>74.3</v>
      </c>
      <c r="AP1055" s="8">
        <v>32</v>
      </c>
      <c r="AQ1055" s="9">
        <v>46294</v>
      </c>
      <c r="AR1055" s="5" t="s">
        <v>70</v>
      </c>
      <c r="AS1055" s="5" t="s">
        <v>81</v>
      </c>
    </row>
    <row r="1056" spans="1:45" x14ac:dyDescent="0.35">
      <c r="A1056" s="5" t="s">
        <v>4589</v>
      </c>
      <c r="B1056" s="5" t="s">
        <v>4590</v>
      </c>
      <c r="C1056" s="6" t="s">
        <v>4591</v>
      </c>
      <c r="D1056" s="7">
        <v>136300</v>
      </c>
      <c r="E1056" s="5" t="s">
        <v>48</v>
      </c>
      <c r="F1056" s="5" t="s">
        <v>68</v>
      </c>
      <c r="G1056" s="8">
        <v>4</v>
      </c>
      <c r="H1056" s="8">
        <f>IF(F1056="Bullet",MIN(G1056,Assumptions!$B$6),"")</f>
        <v>2</v>
      </c>
      <c r="I1056" s="8"/>
      <c r="J1056" s="8" t="str">
        <f>IF(F1056="Monthly interest",MAX(0,Assumptions!$B$5-I1056),"")</f>
        <v/>
      </c>
      <c r="K1056" s="7">
        <f t="shared" si="48"/>
        <v>8180</v>
      </c>
      <c r="L1056" s="9">
        <v>46160</v>
      </c>
      <c r="M1056" s="5" t="s">
        <v>69</v>
      </c>
      <c r="N1056" s="5" t="s">
        <v>53</v>
      </c>
      <c r="O1056" s="5" t="s">
        <v>71</v>
      </c>
      <c r="P1056" s="5" t="s">
        <v>70</v>
      </c>
      <c r="Q1056" s="5" t="s">
        <v>73</v>
      </c>
      <c r="R1056" s="5" t="s">
        <v>74</v>
      </c>
      <c r="S1056" s="5" t="s">
        <v>85</v>
      </c>
      <c r="T1056" s="5" t="s">
        <v>63</v>
      </c>
      <c r="U1056" s="5" t="s">
        <v>104</v>
      </c>
      <c r="V1056" s="5" t="s">
        <v>133</v>
      </c>
      <c r="W1056" s="5" t="s">
        <v>134</v>
      </c>
      <c r="X1056" s="5" t="s">
        <v>4592</v>
      </c>
      <c r="Y1056" s="5" t="s">
        <v>4593</v>
      </c>
      <c r="Z1056" s="9">
        <v>46160</v>
      </c>
      <c r="AA1056" s="8">
        <v>12</v>
      </c>
      <c r="AB1056" s="9">
        <f t="shared" si="49"/>
        <v>46525</v>
      </c>
      <c r="AC1056" s="10">
        <v>18</v>
      </c>
      <c r="AD1056" s="7">
        <f t="shared" si="50"/>
        <v>2045</v>
      </c>
      <c r="AE1056" s="7">
        <f>IF(F1056="Bullet",H1056*AD1056,MIN(MAX(I1056,1),Assumptions!$B$6)*AD1056)</f>
        <v>4090</v>
      </c>
      <c r="AF1056" s="8">
        <f>IF(F1056="Bullet",MAX(0,Assumptions!$B$4-AB1056),MAX(0,Assumptions!$B$4-L1056))</f>
        <v>0</v>
      </c>
      <c r="AG1056" s="9"/>
      <c r="AH1056" s="8" t="str">
        <f>IF(AG1056="","",Assumptions!$B$4-AG1056)</f>
        <v/>
      </c>
      <c r="AI1056" s="5" t="s">
        <v>80</v>
      </c>
      <c r="AJ1056" s="8"/>
      <c r="AK1056" s="8">
        <v>3</v>
      </c>
      <c r="AL1056" s="8">
        <v>767</v>
      </c>
      <c r="AM1056" s="8">
        <v>0</v>
      </c>
      <c r="AN1056" s="5" t="s">
        <v>63</v>
      </c>
      <c r="AO1056" s="10">
        <v>76.3</v>
      </c>
      <c r="AP1056" s="8">
        <v>33</v>
      </c>
      <c r="AQ1056" s="9">
        <v>46284</v>
      </c>
      <c r="AR1056" s="5" t="s">
        <v>51</v>
      </c>
      <c r="AS1056" s="5" t="s">
        <v>81</v>
      </c>
    </row>
    <row r="1057" spans="1:45" x14ac:dyDescent="0.35">
      <c r="A1057" s="5" t="s">
        <v>4594</v>
      </c>
      <c r="B1057" s="5" t="s">
        <v>4595</v>
      </c>
      <c r="C1057" s="6" t="s">
        <v>4596</v>
      </c>
      <c r="D1057" s="7">
        <v>138200</v>
      </c>
      <c r="E1057" s="5" t="s">
        <v>48</v>
      </c>
      <c r="F1057" s="5" t="s">
        <v>68</v>
      </c>
      <c r="G1057" s="8">
        <v>5</v>
      </c>
      <c r="H1057" s="8">
        <f>IF(F1057="Bullet",MIN(G1057,Assumptions!$B$6),"")</f>
        <v>2</v>
      </c>
      <c r="I1057" s="8"/>
      <c r="J1057" s="8" t="str">
        <f>IF(F1057="Monthly interest",MAX(0,Assumptions!$B$5-I1057),"")</f>
        <v/>
      </c>
      <c r="K1057" s="7">
        <f t="shared" si="48"/>
        <v>9215</v>
      </c>
      <c r="L1057" s="9">
        <v>46144</v>
      </c>
      <c r="M1057" s="5" t="s">
        <v>50</v>
      </c>
      <c r="N1057" s="5" t="s">
        <v>53</v>
      </c>
      <c r="O1057" s="5" t="s">
        <v>168</v>
      </c>
      <c r="P1057" s="5" t="s">
        <v>70</v>
      </c>
      <c r="Q1057" s="5" t="s">
        <v>169</v>
      </c>
      <c r="R1057" s="5" t="s">
        <v>170</v>
      </c>
      <c r="S1057" s="5" t="s">
        <v>56</v>
      </c>
      <c r="T1057" s="5" t="s">
        <v>63</v>
      </c>
      <c r="U1057" s="5" t="s">
        <v>86</v>
      </c>
      <c r="V1057" s="5" t="s">
        <v>59</v>
      </c>
      <c r="W1057" s="5" t="s">
        <v>323</v>
      </c>
      <c r="X1057" s="5" t="s">
        <v>1309</v>
      </c>
      <c r="Y1057" s="5" t="s">
        <v>4597</v>
      </c>
      <c r="Z1057" s="9">
        <v>46144</v>
      </c>
      <c r="AA1057" s="8">
        <v>6</v>
      </c>
      <c r="AB1057" s="9">
        <f t="shared" si="49"/>
        <v>46328</v>
      </c>
      <c r="AC1057" s="10">
        <v>16</v>
      </c>
      <c r="AD1057" s="7">
        <f t="shared" si="50"/>
        <v>1843</v>
      </c>
      <c r="AE1057" s="7">
        <f>IF(F1057="Bullet",H1057*AD1057,MIN(MAX(I1057,1),Assumptions!$B$6)*AD1057)</f>
        <v>3686</v>
      </c>
      <c r="AF1057" s="8">
        <f>IF(F1057="Bullet",MAX(0,Assumptions!$B$4-AB1057),MAX(0,Assumptions!$B$4-L1057))</f>
        <v>0</v>
      </c>
      <c r="AG1057" s="9"/>
      <c r="AH1057" s="8" t="str">
        <f>IF(AG1057="","",Assumptions!$B$4-AG1057)</f>
        <v/>
      </c>
      <c r="AI1057" s="5" t="s">
        <v>80</v>
      </c>
      <c r="AJ1057" s="8"/>
      <c r="AK1057" s="8">
        <v>0</v>
      </c>
      <c r="AL1057" s="8">
        <v>723</v>
      </c>
      <c r="AM1057" s="8">
        <v>0</v>
      </c>
      <c r="AN1057" s="5" t="s">
        <v>63</v>
      </c>
      <c r="AO1057" s="10">
        <v>72.099999999999994</v>
      </c>
      <c r="AP1057" s="8">
        <v>29</v>
      </c>
      <c r="AQ1057" s="9">
        <v>46273</v>
      </c>
      <c r="AR1057" s="5" t="s">
        <v>51</v>
      </c>
      <c r="AS1057" s="5" t="s">
        <v>91</v>
      </c>
    </row>
    <row r="1058" spans="1:45" x14ac:dyDescent="0.35">
      <c r="A1058" s="5" t="s">
        <v>4598</v>
      </c>
      <c r="B1058" s="5" t="s">
        <v>4599</v>
      </c>
      <c r="C1058" s="6" t="s">
        <v>4600</v>
      </c>
      <c r="D1058" s="7">
        <v>140200</v>
      </c>
      <c r="E1058" s="5" t="s">
        <v>48</v>
      </c>
      <c r="F1058" s="5" t="s">
        <v>49</v>
      </c>
      <c r="G1058" s="8"/>
      <c r="H1058" s="8" t="str">
        <f>IF(F1058="Bullet",MIN(G1058,Assumptions!$B$6),"")</f>
        <v/>
      </c>
      <c r="I1058" s="8">
        <v>2</v>
      </c>
      <c r="J1058" s="8">
        <f>IF(F1058="Monthly interest",MAX(0,Assumptions!$B$5-I1058),"")</f>
        <v>1</v>
      </c>
      <c r="K1058" s="7">
        <f t="shared" si="48"/>
        <v>5608</v>
      </c>
      <c r="L1058" s="9">
        <v>46247</v>
      </c>
      <c r="M1058" s="5" t="s">
        <v>116</v>
      </c>
      <c r="N1058" s="5" t="s">
        <v>117</v>
      </c>
      <c r="O1058" s="5" t="s">
        <v>118</v>
      </c>
      <c r="P1058" s="5" t="s">
        <v>72</v>
      </c>
      <c r="Q1058" s="5" t="s">
        <v>119</v>
      </c>
      <c r="R1058" s="5" t="s">
        <v>120</v>
      </c>
      <c r="S1058" s="5" t="s">
        <v>56</v>
      </c>
      <c r="T1058" s="5" t="s">
        <v>57</v>
      </c>
      <c r="U1058" s="5" t="s">
        <v>104</v>
      </c>
      <c r="V1058" s="5" t="s">
        <v>59</v>
      </c>
      <c r="W1058" s="5" t="s">
        <v>418</v>
      </c>
      <c r="X1058" s="5" t="s">
        <v>2170</v>
      </c>
      <c r="Y1058" s="5" t="s">
        <v>4601</v>
      </c>
      <c r="Z1058" s="9">
        <v>46035</v>
      </c>
      <c r="AA1058" s="8">
        <v>12</v>
      </c>
      <c r="AB1058" s="9">
        <f t="shared" si="49"/>
        <v>46400</v>
      </c>
      <c r="AC1058" s="10">
        <v>24</v>
      </c>
      <c r="AD1058" s="7">
        <f t="shared" si="50"/>
        <v>2804</v>
      </c>
      <c r="AE1058" s="7">
        <f>IF(F1058="Bullet",H1058*AD1058,MIN(MAX(I1058,1),Assumptions!$B$6)*AD1058)</f>
        <v>5608</v>
      </c>
      <c r="AF1058" s="8">
        <f>IF(F1058="Bullet",MAX(0,Assumptions!$B$4-AB1058),MAX(0,Assumptions!$B$4-L1058))</f>
        <v>51</v>
      </c>
      <c r="AG1058" s="9">
        <v>46221</v>
      </c>
      <c r="AH1058" s="8">
        <f>IF(AG1058="","",Assumptions!$B$4-AG1058)</f>
        <v>77</v>
      </c>
      <c r="AI1058" s="5" t="s">
        <v>63</v>
      </c>
      <c r="AJ1058" s="8">
        <v>3</v>
      </c>
      <c r="AK1058" s="8">
        <v>0</v>
      </c>
      <c r="AL1058" s="8">
        <v>674</v>
      </c>
      <c r="AM1058" s="8">
        <v>2</v>
      </c>
      <c r="AN1058" s="5" t="s">
        <v>63</v>
      </c>
      <c r="AO1058" s="10">
        <v>43.1</v>
      </c>
      <c r="AP1058" s="8">
        <v>53</v>
      </c>
      <c r="AQ1058" s="9">
        <v>46283</v>
      </c>
      <c r="AR1058" s="5" t="s">
        <v>70</v>
      </c>
      <c r="AS1058" s="5" t="s">
        <v>81</v>
      </c>
    </row>
    <row r="1059" spans="1:45" x14ac:dyDescent="0.35">
      <c r="A1059" s="5" t="s">
        <v>4602</v>
      </c>
      <c r="B1059" s="5" t="s">
        <v>4603</v>
      </c>
      <c r="C1059" s="6" t="s">
        <v>4604</v>
      </c>
      <c r="D1059" s="7">
        <v>56400</v>
      </c>
      <c r="E1059" s="5" t="s">
        <v>48</v>
      </c>
      <c r="F1059" s="5" t="s">
        <v>68</v>
      </c>
      <c r="G1059" s="8">
        <v>3</v>
      </c>
      <c r="H1059" s="8">
        <f>IF(F1059="Bullet",MIN(G1059,Assumptions!$B$6),"")</f>
        <v>2</v>
      </c>
      <c r="I1059" s="8"/>
      <c r="J1059" s="8" t="str">
        <f>IF(F1059="Monthly interest",MAX(0,Assumptions!$B$5-I1059),"")</f>
        <v/>
      </c>
      <c r="K1059" s="7">
        <f t="shared" si="48"/>
        <v>1692</v>
      </c>
      <c r="L1059" s="9">
        <v>46192</v>
      </c>
      <c r="M1059" s="5" t="s">
        <v>69</v>
      </c>
      <c r="N1059" s="5" t="s">
        <v>53</v>
      </c>
      <c r="O1059" s="5" t="s">
        <v>71</v>
      </c>
      <c r="P1059" s="5" t="s">
        <v>70</v>
      </c>
      <c r="Q1059" s="5" t="s">
        <v>73</v>
      </c>
      <c r="R1059" s="5" t="s">
        <v>74</v>
      </c>
      <c r="S1059" s="5" t="s">
        <v>56</v>
      </c>
      <c r="T1059" s="5" t="s">
        <v>57</v>
      </c>
      <c r="U1059" s="5" t="s">
        <v>86</v>
      </c>
      <c r="V1059" s="5" t="s">
        <v>59</v>
      </c>
      <c r="W1059" s="5" t="s">
        <v>194</v>
      </c>
      <c r="X1059" s="5" t="s">
        <v>248</v>
      </c>
      <c r="Y1059" s="5" t="s">
        <v>4605</v>
      </c>
      <c r="Z1059" s="9">
        <v>46192</v>
      </c>
      <c r="AA1059" s="8">
        <v>6</v>
      </c>
      <c r="AB1059" s="9">
        <f t="shared" si="49"/>
        <v>46375</v>
      </c>
      <c r="AC1059" s="10">
        <v>12</v>
      </c>
      <c r="AD1059" s="7">
        <f t="shared" si="50"/>
        <v>564</v>
      </c>
      <c r="AE1059" s="7">
        <f>IF(F1059="Bullet",H1059*AD1059,MIN(MAX(I1059,1),Assumptions!$B$6)*AD1059)</f>
        <v>1128</v>
      </c>
      <c r="AF1059" s="8">
        <f>IF(F1059="Bullet",MAX(0,Assumptions!$B$4-AB1059),MAX(0,Assumptions!$B$4-L1059))</f>
        <v>0</v>
      </c>
      <c r="AG1059" s="9"/>
      <c r="AH1059" s="8" t="str">
        <f>IF(AG1059="","",Assumptions!$B$4-AG1059)</f>
        <v/>
      </c>
      <c r="AI1059" s="5" t="s">
        <v>80</v>
      </c>
      <c r="AJ1059" s="8"/>
      <c r="AK1059" s="8">
        <v>1</v>
      </c>
      <c r="AL1059" s="8">
        <v>751</v>
      </c>
      <c r="AM1059" s="8">
        <v>1</v>
      </c>
      <c r="AN1059" s="5" t="s">
        <v>57</v>
      </c>
      <c r="AO1059" s="10">
        <v>56.8</v>
      </c>
      <c r="AP1059" s="8">
        <v>33</v>
      </c>
      <c r="AQ1059" s="9">
        <v>46288</v>
      </c>
      <c r="AR1059" s="5" t="s">
        <v>70</v>
      </c>
      <c r="AS1059" s="5" t="s">
        <v>181</v>
      </c>
    </row>
    <row r="1060" spans="1:45" x14ac:dyDescent="0.35">
      <c r="A1060" s="5" t="s">
        <v>4606</v>
      </c>
      <c r="B1060" s="5" t="s">
        <v>4607</v>
      </c>
      <c r="C1060" s="6" t="s">
        <v>4608</v>
      </c>
      <c r="D1060" s="7">
        <v>59500</v>
      </c>
      <c r="E1060" s="5" t="s">
        <v>48</v>
      </c>
      <c r="F1060" s="5" t="s">
        <v>49</v>
      </c>
      <c r="G1060" s="8"/>
      <c r="H1060" s="8" t="str">
        <f>IF(F1060="Bullet",MIN(G1060,Assumptions!$B$6),"")</f>
        <v/>
      </c>
      <c r="I1060" s="8">
        <v>1</v>
      </c>
      <c r="J1060" s="8">
        <f>IF(F1060="Monthly interest",MAX(0,Assumptions!$B$5-I1060),"")</f>
        <v>2</v>
      </c>
      <c r="K1060" s="7">
        <f t="shared" si="48"/>
        <v>893</v>
      </c>
      <c r="L1060" s="9">
        <v>46280</v>
      </c>
      <c r="M1060" s="5" t="s">
        <v>69</v>
      </c>
      <c r="N1060" s="5" t="s">
        <v>51</v>
      </c>
      <c r="O1060" s="5" t="s">
        <v>52</v>
      </c>
      <c r="P1060" s="5" t="s">
        <v>53</v>
      </c>
      <c r="Q1060" s="5" t="s">
        <v>54</v>
      </c>
      <c r="R1060" s="5" t="s">
        <v>55</v>
      </c>
      <c r="S1060" s="5" t="s">
        <v>253</v>
      </c>
      <c r="T1060" s="5" t="s">
        <v>57</v>
      </c>
      <c r="U1060" s="5" t="s">
        <v>104</v>
      </c>
      <c r="V1060" s="5" t="s">
        <v>186</v>
      </c>
      <c r="W1060" s="5" t="s">
        <v>376</v>
      </c>
      <c r="X1060" s="5" t="s">
        <v>3135</v>
      </c>
      <c r="Y1060" s="5" t="s">
        <v>4609</v>
      </c>
      <c r="Z1060" s="9">
        <v>46068</v>
      </c>
      <c r="AA1060" s="8">
        <v>24</v>
      </c>
      <c r="AB1060" s="9">
        <f t="shared" si="49"/>
        <v>46798</v>
      </c>
      <c r="AC1060" s="10">
        <v>18</v>
      </c>
      <c r="AD1060" s="7">
        <f t="shared" si="50"/>
        <v>893</v>
      </c>
      <c r="AE1060" s="7">
        <f>IF(F1060="Bullet",H1060*AD1060,MIN(MAX(I1060,1),Assumptions!$B$6)*AD1060)</f>
        <v>893</v>
      </c>
      <c r="AF1060" s="8">
        <f>IF(F1060="Bullet",MAX(0,Assumptions!$B$4-AB1060),MAX(0,Assumptions!$B$4-L1060))</f>
        <v>18</v>
      </c>
      <c r="AG1060" s="9">
        <v>46249</v>
      </c>
      <c r="AH1060" s="8">
        <f>IF(AG1060="","",Assumptions!$B$4-AG1060)</f>
        <v>49</v>
      </c>
      <c r="AI1060" s="5" t="s">
        <v>63</v>
      </c>
      <c r="AJ1060" s="8">
        <v>2</v>
      </c>
      <c r="AK1060" s="8">
        <v>0</v>
      </c>
      <c r="AL1060" s="8">
        <v>694</v>
      </c>
      <c r="AM1060" s="8">
        <v>1</v>
      </c>
      <c r="AN1060" s="5" t="s">
        <v>63</v>
      </c>
      <c r="AO1060" s="10">
        <v>63</v>
      </c>
      <c r="AP1060" s="8">
        <v>34</v>
      </c>
      <c r="AQ1060" s="9"/>
      <c r="AR1060" s="5"/>
      <c r="AS1060" s="5" t="s">
        <v>159</v>
      </c>
    </row>
    <row r="1061" spans="1:45" x14ac:dyDescent="0.35">
      <c r="A1061" s="5" t="s">
        <v>4610</v>
      </c>
      <c r="B1061" s="5" t="s">
        <v>4611</v>
      </c>
      <c r="C1061" s="6" t="s">
        <v>4612</v>
      </c>
      <c r="D1061" s="7">
        <v>255700</v>
      </c>
      <c r="E1061" s="5" t="s">
        <v>48</v>
      </c>
      <c r="F1061" s="5" t="s">
        <v>68</v>
      </c>
      <c r="G1061" s="8">
        <v>2</v>
      </c>
      <c r="H1061" s="8">
        <f>IF(F1061="Bullet",MIN(G1061,Assumptions!$B$6),"")</f>
        <v>2</v>
      </c>
      <c r="I1061" s="8"/>
      <c r="J1061" s="8" t="str">
        <f>IF(F1061="Monthly interest",MAX(0,Assumptions!$B$5-I1061),"")</f>
        <v/>
      </c>
      <c r="K1061" s="7">
        <f t="shared" si="48"/>
        <v>6392</v>
      </c>
      <c r="L1061" s="9">
        <v>46225</v>
      </c>
      <c r="M1061" s="5" t="s">
        <v>50</v>
      </c>
      <c r="N1061" s="5" t="s">
        <v>53</v>
      </c>
      <c r="O1061" s="5" t="s">
        <v>103</v>
      </c>
      <c r="P1061" s="5" t="s">
        <v>70</v>
      </c>
      <c r="Q1061" s="5" t="s">
        <v>73</v>
      </c>
      <c r="R1061" s="5" t="s">
        <v>74</v>
      </c>
      <c r="S1061" s="5" t="s">
        <v>85</v>
      </c>
      <c r="T1061" s="5" t="s">
        <v>63</v>
      </c>
      <c r="U1061" s="5" t="s">
        <v>86</v>
      </c>
      <c r="V1061" s="5" t="s">
        <v>553</v>
      </c>
      <c r="W1061" s="5" t="s">
        <v>554</v>
      </c>
      <c r="X1061" s="5" t="s">
        <v>4254</v>
      </c>
      <c r="Y1061" s="5" t="s">
        <v>4613</v>
      </c>
      <c r="Z1061" s="9">
        <v>46225</v>
      </c>
      <c r="AA1061" s="8">
        <v>6</v>
      </c>
      <c r="AB1061" s="9">
        <f t="shared" si="49"/>
        <v>46409</v>
      </c>
      <c r="AC1061" s="10">
        <v>15</v>
      </c>
      <c r="AD1061" s="7">
        <f t="shared" si="50"/>
        <v>3196</v>
      </c>
      <c r="AE1061" s="7">
        <f>IF(F1061="Bullet",H1061*AD1061,MIN(MAX(I1061,1),Assumptions!$B$6)*AD1061)</f>
        <v>6392</v>
      </c>
      <c r="AF1061" s="8">
        <f>IF(F1061="Bullet",MAX(0,Assumptions!$B$4-AB1061),MAX(0,Assumptions!$B$4-L1061))</f>
        <v>0</v>
      </c>
      <c r="AG1061" s="9"/>
      <c r="AH1061" s="8" t="str">
        <f>IF(AG1061="","",Assumptions!$B$4-AG1061)</f>
        <v/>
      </c>
      <c r="AI1061" s="5" t="s">
        <v>80</v>
      </c>
      <c r="AJ1061" s="8"/>
      <c r="AK1061" s="8">
        <v>0</v>
      </c>
      <c r="AL1061" s="8">
        <v>778</v>
      </c>
      <c r="AM1061" s="8">
        <v>0</v>
      </c>
      <c r="AN1061" s="5" t="s">
        <v>63</v>
      </c>
      <c r="AO1061" s="10">
        <v>67.3</v>
      </c>
      <c r="AP1061" s="8">
        <v>6</v>
      </c>
      <c r="AQ1061" s="9">
        <v>46277</v>
      </c>
      <c r="AR1061" s="5" t="s">
        <v>51</v>
      </c>
      <c r="AS1061" s="5" t="s">
        <v>81</v>
      </c>
    </row>
    <row r="1062" spans="1:45" x14ac:dyDescent="0.35">
      <c r="A1062" s="5" t="s">
        <v>4614</v>
      </c>
      <c r="B1062" s="5" t="s">
        <v>4265</v>
      </c>
      <c r="C1062" s="6" t="s">
        <v>4615</v>
      </c>
      <c r="D1062" s="7">
        <v>155400</v>
      </c>
      <c r="E1062" s="5" t="s">
        <v>48</v>
      </c>
      <c r="F1062" s="5" t="s">
        <v>68</v>
      </c>
      <c r="G1062" s="8">
        <v>6</v>
      </c>
      <c r="H1062" s="8">
        <f>IF(F1062="Bullet",MIN(G1062,Assumptions!$B$6),"")</f>
        <v>2</v>
      </c>
      <c r="I1062" s="8"/>
      <c r="J1062" s="8" t="str">
        <f>IF(F1062="Monthly interest",MAX(0,Assumptions!$B$5-I1062),"")</f>
        <v/>
      </c>
      <c r="K1062" s="7">
        <f t="shared" si="48"/>
        <v>11658</v>
      </c>
      <c r="L1062" s="9">
        <v>46100</v>
      </c>
      <c r="M1062" s="5" t="s">
        <v>69</v>
      </c>
      <c r="N1062" s="5" t="s">
        <v>53</v>
      </c>
      <c r="O1062" s="5" t="s">
        <v>168</v>
      </c>
      <c r="P1062" s="5" t="s">
        <v>70</v>
      </c>
      <c r="Q1062" s="5" t="s">
        <v>169</v>
      </c>
      <c r="R1062" s="5" t="s">
        <v>170</v>
      </c>
      <c r="S1062" s="5" t="s">
        <v>85</v>
      </c>
      <c r="T1062" s="5" t="s">
        <v>57</v>
      </c>
      <c r="U1062" s="5" t="s">
        <v>86</v>
      </c>
      <c r="V1062" s="5" t="s">
        <v>133</v>
      </c>
      <c r="W1062" s="5" t="s">
        <v>594</v>
      </c>
      <c r="X1062" s="5" t="s">
        <v>4616</v>
      </c>
      <c r="Y1062" s="5" t="s">
        <v>4617</v>
      </c>
      <c r="Z1062" s="9">
        <v>46100</v>
      </c>
      <c r="AA1062" s="8">
        <v>12</v>
      </c>
      <c r="AB1062" s="9">
        <f t="shared" si="49"/>
        <v>46465</v>
      </c>
      <c r="AC1062" s="10">
        <v>15</v>
      </c>
      <c r="AD1062" s="7">
        <f t="shared" si="50"/>
        <v>1943</v>
      </c>
      <c r="AE1062" s="7">
        <f>IF(F1062="Bullet",H1062*AD1062,MIN(MAX(I1062,1),Assumptions!$B$6)*AD1062)</f>
        <v>3886</v>
      </c>
      <c r="AF1062" s="8">
        <f>IF(F1062="Bullet",MAX(0,Assumptions!$B$4-AB1062),MAX(0,Assumptions!$B$4-L1062))</f>
        <v>0</v>
      </c>
      <c r="AG1062" s="9"/>
      <c r="AH1062" s="8" t="str">
        <f>IF(AG1062="","",Assumptions!$B$4-AG1062)</f>
        <v/>
      </c>
      <c r="AI1062" s="5" t="s">
        <v>80</v>
      </c>
      <c r="AJ1062" s="8"/>
      <c r="AK1062" s="8">
        <v>3</v>
      </c>
      <c r="AL1062" s="8">
        <v>739</v>
      </c>
      <c r="AM1062" s="8">
        <v>0</v>
      </c>
      <c r="AN1062" s="5" t="s">
        <v>63</v>
      </c>
      <c r="AO1062" s="10">
        <v>58.9</v>
      </c>
      <c r="AP1062" s="8">
        <v>46</v>
      </c>
      <c r="AQ1062" s="9">
        <v>46297</v>
      </c>
      <c r="AR1062" s="5" t="s">
        <v>51</v>
      </c>
      <c r="AS1062" s="5" t="s">
        <v>81</v>
      </c>
    </row>
    <row r="1063" spans="1:45" x14ac:dyDescent="0.35">
      <c r="A1063" s="5" t="s">
        <v>4618</v>
      </c>
      <c r="B1063" s="5" t="s">
        <v>3638</v>
      </c>
      <c r="C1063" s="6" t="s">
        <v>4619</v>
      </c>
      <c r="D1063" s="7">
        <v>251000</v>
      </c>
      <c r="E1063" s="5" t="s">
        <v>48</v>
      </c>
      <c r="F1063" s="5" t="s">
        <v>68</v>
      </c>
      <c r="G1063" s="8">
        <v>5</v>
      </c>
      <c r="H1063" s="8">
        <f>IF(F1063="Bullet",MIN(G1063,Assumptions!$B$6),"")</f>
        <v>2</v>
      </c>
      <c r="I1063" s="8"/>
      <c r="J1063" s="8" t="str">
        <f>IF(F1063="Monthly interest",MAX(0,Assumptions!$B$5-I1063),"")</f>
        <v/>
      </c>
      <c r="K1063" s="7">
        <f t="shared" si="48"/>
        <v>15690</v>
      </c>
      <c r="L1063" s="9">
        <v>46123</v>
      </c>
      <c r="M1063" s="5" t="s">
        <v>116</v>
      </c>
      <c r="N1063" s="5" t="s">
        <v>117</v>
      </c>
      <c r="O1063" s="5" t="s">
        <v>461</v>
      </c>
      <c r="P1063" s="5" t="s">
        <v>72</v>
      </c>
      <c r="Q1063" s="5" t="s">
        <v>169</v>
      </c>
      <c r="R1063" s="5" t="s">
        <v>170</v>
      </c>
      <c r="S1063" s="5" t="s">
        <v>56</v>
      </c>
      <c r="T1063" s="5" t="s">
        <v>57</v>
      </c>
      <c r="U1063" s="5" t="s">
        <v>86</v>
      </c>
      <c r="V1063" s="5" t="s">
        <v>59</v>
      </c>
      <c r="W1063" s="5" t="s">
        <v>156</v>
      </c>
      <c r="X1063" s="5" t="s">
        <v>506</v>
      </c>
      <c r="Y1063" s="5" t="s">
        <v>4620</v>
      </c>
      <c r="Z1063" s="9">
        <v>46123</v>
      </c>
      <c r="AA1063" s="8">
        <v>6</v>
      </c>
      <c r="AB1063" s="9">
        <f t="shared" si="49"/>
        <v>46306</v>
      </c>
      <c r="AC1063" s="10">
        <v>15</v>
      </c>
      <c r="AD1063" s="7">
        <f t="shared" si="50"/>
        <v>3138</v>
      </c>
      <c r="AE1063" s="7">
        <f>IF(F1063="Bullet",H1063*AD1063,MIN(MAX(I1063,1),Assumptions!$B$6)*AD1063)</f>
        <v>6276</v>
      </c>
      <c r="AF1063" s="8">
        <f>IF(F1063="Bullet",MAX(0,Assumptions!$B$4-AB1063),MAX(0,Assumptions!$B$4-L1063))</f>
        <v>0</v>
      </c>
      <c r="AG1063" s="9"/>
      <c r="AH1063" s="8" t="str">
        <f>IF(AG1063="","",Assumptions!$B$4-AG1063)</f>
        <v/>
      </c>
      <c r="AI1063" s="5" t="s">
        <v>80</v>
      </c>
      <c r="AJ1063" s="8"/>
      <c r="AK1063" s="8">
        <v>1</v>
      </c>
      <c r="AL1063" s="8">
        <v>669</v>
      </c>
      <c r="AM1063" s="8">
        <v>2</v>
      </c>
      <c r="AN1063" s="5" t="s">
        <v>63</v>
      </c>
      <c r="AO1063" s="10">
        <v>83.2</v>
      </c>
      <c r="AP1063" s="8">
        <v>61</v>
      </c>
      <c r="AQ1063" s="9"/>
      <c r="AR1063" s="5"/>
      <c r="AS1063" s="5" t="s">
        <v>159</v>
      </c>
    </row>
    <row r="1064" spans="1:45" x14ac:dyDescent="0.35">
      <c r="A1064" s="5" t="s">
        <v>4621</v>
      </c>
      <c r="B1064" s="5" t="s">
        <v>4622</v>
      </c>
      <c r="C1064" s="6" t="s">
        <v>4623</v>
      </c>
      <c r="D1064" s="7">
        <v>34700</v>
      </c>
      <c r="E1064" s="5" t="s">
        <v>48</v>
      </c>
      <c r="F1064" s="5" t="s">
        <v>68</v>
      </c>
      <c r="G1064" s="8">
        <v>6</v>
      </c>
      <c r="H1064" s="8">
        <f>IF(F1064="Bullet",MIN(G1064,Assumptions!$B$6),"")</f>
        <v>2</v>
      </c>
      <c r="I1064" s="8"/>
      <c r="J1064" s="8" t="str">
        <f>IF(F1064="Monthly interest",MAX(0,Assumptions!$B$5-I1064),"")</f>
        <v/>
      </c>
      <c r="K1064" s="7">
        <f t="shared" si="48"/>
        <v>2430</v>
      </c>
      <c r="L1064" s="9">
        <v>46110</v>
      </c>
      <c r="M1064" s="5" t="s">
        <v>116</v>
      </c>
      <c r="N1064" s="5" t="s">
        <v>117</v>
      </c>
      <c r="O1064" s="5" t="s">
        <v>461</v>
      </c>
      <c r="P1064" s="5" t="s">
        <v>72</v>
      </c>
      <c r="Q1064" s="5" t="s">
        <v>169</v>
      </c>
      <c r="R1064" s="5" t="s">
        <v>170</v>
      </c>
      <c r="S1064" s="5" t="s">
        <v>75</v>
      </c>
      <c r="T1064" s="5" t="s">
        <v>57</v>
      </c>
      <c r="U1064" s="5" t="s">
        <v>58</v>
      </c>
      <c r="V1064" s="5" t="s">
        <v>76</v>
      </c>
      <c r="W1064" s="5" t="s">
        <v>146</v>
      </c>
      <c r="X1064" s="5" t="s">
        <v>4624</v>
      </c>
      <c r="Y1064" s="5" t="s">
        <v>4625</v>
      </c>
      <c r="Z1064" s="9">
        <v>46110</v>
      </c>
      <c r="AA1064" s="8">
        <v>6</v>
      </c>
      <c r="AB1064" s="9">
        <f t="shared" si="49"/>
        <v>46294</v>
      </c>
      <c r="AC1064" s="10">
        <v>14</v>
      </c>
      <c r="AD1064" s="7">
        <f t="shared" si="50"/>
        <v>405</v>
      </c>
      <c r="AE1064" s="7">
        <f>IF(F1064="Bullet",H1064*AD1064,MIN(MAX(I1064,1),Assumptions!$B$6)*AD1064)</f>
        <v>810</v>
      </c>
      <c r="AF1064" s="8">
        <f>IF(F1064="Bullet",MAX(0,Assumptions!$B$4-AB1064),MAX(0,Assumptions!$B$4-L1064))</f>
        <v>4</v>
      </c>
      <c r="AG1064" s="9"/>
      <c r="AH1064" s="8" t="str">
        <f>IF(AG1064="","",Assumptions!$B$4-AG1064)</f>
        <v/>
      </c>
      <c r="AI1064" s="5" t="s">
        <v>80</v>
      </c>
      <c r="AJ1064" s="8"/>
      <c r="AK1064" s="8">
        <v>4</v>
      </c>
      <c r="AL1064" s="8">
        <v>745</v>
      </c>
      <c r="AM1064" s="8">
        <v>1</v>
      </c>
      <c r="AN1064" s="5" t="s">
        <v>63</v>
      </c>
      <c r="AO1064" s="10">
        <v>82.6</v>
      </c>
      <c r="AP1064" s="8">
        <v>80</v>
      </c>
      <c r="AQ1064" s="9">
        <v>46280</v>
      </c>
      <c r="AR1064" s="5" t="s">
        <v>53</v>
      </c>
      <c r="AS1064" s="5" t="s">
        <v>64</v>
      </c>
    </row>
    <row r="1065" spans="1:45" x14ac:dyDescent="0.35">
      <c r="A1065" s="5" t="s">
        <v>4626</v>
      </c>
      <c r="B1065" s="5" t="s">
        <v>4627</v>
      </c>
      <c r="C1065" s="6" t="s">
        <v>4628</v>
      </c>
      <c r="D1065" s="7">
        <v>81800</v>
      </c>
      <c r="E1065" s="5" t="s">
        <v>48</v>
      </c>
      <c r="F1065" s="5" t="s">
        <v>49</v>
      </c>
      <c r="G1065" s="8"/>
      <c r="H1065" s="8" t="str">
        <f>IF(F1065="Bullet",MIN(G1065,Assumptions!$B$6),"")</f>
        <v/>
      </c>
      <c r="I1065" s="8">
        <v>2</v>
      </c>
      <c r="J1065" s="8">
        <f>IF(F1065="Monthly interest",MAX(0,Assumptions!$B$5-I1065),"")</f>
        <v>1</v>
      </c>
      <c r="K1065" s="7">
        <f t="shared" si="48"/>
        <v>2454</v>
      </c>
      <c r="L1065" s="9">
        <v>46255</v>
      </c>
      <c r="M1065" s="5" t="s">
        <v>69</v>
      </c>
      <c r="N1065" s="5" t="s">
        <v>70</v>
      </c>
      <c r="O1065" s="5" t="s">
        <v>531</v>
      </c>
      <c r="P1065" s="5" t="s">
        <v>72</v>
      </c>
      <c r="Q1065" s="5" t="s">
        <v>73</v>
      </c>
      <c r="R1065" s="5" t="s">
        <v>74</v>
      </c>
      <c r="S1065" s="5" t="s">
        <v>56</v>
      </c>
      <c r="T1065" s="5" t="s">
        <v>57</v>
      </c>
      <c r="U1065" s="5" t="s">
        <v>58</v>
      </c>
      <c r="V1065" s="5" t="s">
        <v>59</v>
      </c>
      <c r="W1065" s="5" t="s">
        <v>467</v>
      </c>
      <c r="X1065" s="5" t="s">
        <v>675</v>
      </c>
      <c r="Y1065" s="5" t="s">
        <v>4629</v>
      </c>
      <c r="Z1065" s="9">
        <v>46194</v>
      </c>
      <c r="AA1065" s="8">
        <v>12</v>
      </c>
      <c r="AB1065" s="9">
        <f t="shared" si="49"/>
        <v>46559</v>
      </c>
      <c r="AC1065" s="10">
        <v>18</v>
      </c>
      <c r="AD1065" s="7">
        <f t="shared" si="50"/>
        <v>1227</v>
      </c>
      <c r="AE1065" s="7">
        <f>IF(F1065="Bullet",H1065*AD1065,MIN(MAX(I1065,1),Assumptions!$B$6)*AD1065)</f>
        <v>2454</v>
      </c>
      <c r="AF1065" s="8">
        <f>IF(F1065="Bullet",MAX(0,Assumptions!$B$4-AB1065),MAX(0,Assumptions!$B$4-L1065))</f>
        <v>43</v>
      </c>
      <c r="AG1065" s="9">
        <v>46226</v>
      </c>
      <c r="AH1065" s="8">
        <f>IF(AG1065="","",Assumptions!$B$4-AG1065)</f>
        <v>72</v>
      </c>
      <c r="AI1065" s="5" t="s">
        <v>63</v>
      </c>
      <c r="AJ1065" s="8">
        <v>2</v>
      </c>
      <c r="AK1065" s="8">
        <v>0</v>
      </c>
      <c r="AL1065" s="8">
        <v>692</v>
      </c>
      <c r="AM1065" s="8">
        <v>2</v>
      </c>
      <c r="AN1065" s="5" t="s">
        <v>63</v>
      </c>
      <c r="AO1065" s="10">
        <v>72.8</v>
      </c>
      <c r="AP1065" s="8">
        <v>45</v>
      </c>
      <c r="AQ1065" s="9">
        <v>46273</v>
      </c>
      <c r="AR1065" s="5" t="s">
        <v>53</v>
      </c>
      <c r="AS1065" s="5" t="s">
        <v>81</v>
      </c>
    </row>
    <row r="1066" spans="1:45" x14ac:dyDescent="0.35">
      <c r="A1066" s="5" t="s">
        <v>4630</v>
      </c>
      <c r="B1066" s="5" t="s">
        <v>4631</v>
      </c>
      <c r="C1066" s="6" t="s">
        <v>4632</v>
      </c>
      <c r="D1066" s="7">
        <v>55700</v>
      </c>
      <c r="E1066" s="5" t="s">
        <v>48</v>
      </c>
      <c r="F1066" s="5" t="s">
        <v>68</v>
      </c>
      <c r="G1066" s="8">
        <v>2</v>
      </c>
      <c r="H1066" s="8">
        <f>IF(F1066="Bullet",MIN(G1066,Assumptions!$B$6),"")</f>
        <v>2</v>
      </c>
      <c r="I1066" s="8"/>
      <c r="J1066" s="8" t="str">
        <f>IF(F1066="Monthly interest",MAX(0,Assumptions!$B$5-I1066),"")</f>
        <v/>
      </c>
      <c r="K1066" s="7">
        <f t="shared" si="48"/>
        <v>1486</v>
      </c>
      <c r="L1066" s="9">
        <v>46222</v>
      </c>
      <c r="M1066" s="5" t="s">
        <v>50</v>
      </c>
      <c r="N1066" s="5" t="s">
        <v>51</v>
      </c>
      <c r="O1066" s="5" t="s">
        <v>71</v>
      </c>
      <c r="P1066" s="5" t="s">
        <v>53</v>
      </c>
      <c r="Q1066" s="5" t="s">
        <v>73</v>
      </c>
      <c r="R1066" s="5" t="s">
        <v>74</v>
      </c>
      <c r="S1066" s="5" t="s">
        <v>85</v>
      </c>
      <c r="T1066" s="5" t="s">
        <v>57</v>
      </c>
      <c r="U1066" s="5" t="s">
        <v>104</v>
      </c>
      <c r="V1066" s="5" t="s">
        <v>96</v>
      </c>
      <c r="W1066" s="5" t="s">
        <v>265</v>
      </c>
      <c r="X1066" s="5" t="s">
        <v>4633</v>
      </c>
      <c r="Y1066" s="5" t="s">
        <v>4634</v>
      </c>
      <c r="Z1066" s="9">
        <v>46222</v>
      </c>
      <c r="AA1066" s="8">
        <v>6</v>
      </c>
      <c r="AB1066" s="9">
        <f t="shared" si="49"/>
        <v>46406</v>
      </c>
      <c r="AC1066" s="10">
        <v>16</v>
      </c>
      <c r="AD1066" s="7">
        <f t="shared" si="50"/>
        <v>743</v>
      </c>
      <c r="AE1066" s="7">
        <f>IF(F1066="Bullet",H1066*AD1066,MIN(MAX(I1066,1),Assumptions!$B$6)*AD1066)</f>
        <v>1486</v>
      </c>
      <c r="AF1066" s="8">
        <f>IF(F1066="Bullet",MAX(0,Assumptions!$B$4-AB1066),MAX(0,Assumptions!$B$4-L1066))</f>
        <v>0</v>
      </c>
      <c r="AG1066" s="9"/>
      <c r="AH1066" s="8" t="str">
        <f>IF(AG1066="","",Assumptions!$B$4-AG1066)</f>
        <v/>
      </c>
      <c r="AI1066" s="5" t="s">
        <v>80</v>
      </c>
      <c r="AJ1066" s="8"/>
      <c r="AK1066" s="8">
        <v>1</v>
      </c>
      <c r="AL1066" s="8" t="s">
        <v>80</v>
      </c>
      <c r="AM1066" s="8">
        <v>1</v>
      </c>
      <c r="AN1066" s="5" t="s">
        <v>63</v>
      </c>
      <c r="AO1066" s="10">
        <v>75</v>
      </c>
      <c r="AP1066" s="8">
        <v>16</v>
      </c>
      <c r="AQ1066" s="9"/>
      <c r="AR1066" s="5"/>
      <c r="AS1066" s="5" t="s">
        <v>159</v>
      </c>
    </row>
    <row r="1067" spans="1:45" x14ac:dyDescent="0.35">
      <c r="A1067" s="5" t="s">
        <v>4635</v>
      </c>
      <c r="B1067" s="5" t="s">
        <v>4636</v>
      </c>
      <c r="C1067" s="6" t="s">
        <v>4637</v>
      </c>
      <c r="D1067" s="7">
        <v>94300</v>
      </c>
      <c r="E1067" s="5" t="s">
        <v>48</v>
      </c>
      <c r="F1067" s="5" t="s">
        <v>49</v>
      </c>
      <c r="G1067" s="8"/>
      <c r="H1067" s="8" t="str">
        <f>IF(F1067="Bullet",MIN(G1067,Assumptions!$B$6),"")</f>
        <v/>
      </c>
      <c r="I1067" s="8">
        <v>2</v>
      </c>
      <c r="J1067" s="8">
        <f>IF(F1067="Monthly interest",MAX(0,Assumptions!$B$5-I1067),"")</f>
        <v>1</v>
      </c>
      <c r="K1067" s="7">
        <f t="shared" si="48"/>
        <v>3458</v>
      </c>
      <c r="L1067" s="9">
        <v>46243</v>
      </c>
      <c r="M1067" s="5" t="s">
        <v>69</v>
      </c>
      <c r="N1067" s="5" t="s">
        <v>53</v>
      </c>
      <c r="O1067" s="5" t="s">
        <v>71</v>
      </c>
      <c r="P1067" s="5" t="s">
        <v>70</v>
      </c>
      <c r="Q1067" s="5" t="s">
        <v>73</v>
      </c>
      <c r="R1067" s="5" t="s">
        <v>74</v>
      </c>
      <c r="S1067" s="5" t="s">
        <v>214</v>
      </c>
      <c r="T1067" s="5" t="s">
        <v>57</v>
      </c>
      <c r="U1067" s="5" t="s">
        <v>86</v>
      </c>
      <c r="V1067" s="5" t="s">
        <v>215</v>
      </c>
      <c r="W1067" s="5" t="s">
        <v>242</v>
      </c>
      <c r="X1067" s="5" t="s">
        <v>4638</v>
      </c>
      <c r="Y1067" s="5" t="s">
        <v>4639</v>
      </c>
      <c r="Z1067" s="9">
        <v>46000</v>
      </c>
      <c r="AA1067" s="8">
        <v>12</v>
      </c>
      <c r="AB1067" s="9">
        <f t="shared" si="49"/>
        <v>46365</v>
      </c>
      <c r="AC1067" s="10">
        <v>22</v>
      </c>
      <c r="AD1067" s="7">
        <f t="shared" si="50"/>
        <v>1729</v>
      </c>
      <c r="AE1067" s="7">
        <f>IF(F1067="Bullet",H1067*AD1067,MIN(MAX(I1067,1),Assumptions!$B$6)*AD1067)</f>
        <v>3458</v>
      </c>
      <c r="AF1067" s="8">
        <f>IF(F1067="Bullet",MAX(0,Assumptions!$B$4-AB1067),MAX(0,Assumptions!$B$4-L1067))</f>
        <v>55</v>
      </c>
      <c r="AG1067" s="9">
        <v>46212</v>
      </c>
      <c r="AH1067" s="8">
        <f>IF(AG1067="","",Assumptions!$B$4-AG1067)</f>
        <v>86</v>
      </c>
      <c r="AI1067" s="5" t="s">
        <v>63</v>
      </c>
      <c r="AJ1067" s="8">
        <v>2</v>
      </c>
      <c r="AK1067" s="8">
        <v>0</v>
      </c>
      <c r="AL1067" s="8">
        <v>679</v>
      </c>
      <c r="AM1067" s="8">
        <v>1</v>
      </c>
      <c r="AN1067" s="5" t="s">
        <v>63</v>
      </c>
      <c r="AO1067" s="10">
        <v>52.3</v>
      </c>
      <c r="AP1067" s="8">
        <v>44</v>
      </c>
      <c r="AQ1067" s="9">
        <v>46278</v>
      </c>
      <c r="AR1067" s="5" t="s">
        <v>51</v>
      </c>
      <c r="AS1067" s="5" t="s">
        <v>81</v>
      </c>
    </row>
    <row r="1068" spans="1:45" x14ac:dyDescent="0.35">
      <c r="A1068" s="5" t="s">
        <v>4640</v>
      </c>
      <c r="B1068" s="5" t="s">
        <v>4641</v>
      </c>
      <c r="C1068" s="6" t="s">
        <v>4642</v>
      </c>
      <c r="D1068" s="7">
        <v>1407500</v>
      </c>
      <c r="E1068" s="5" t="s">
        <v>48</v>
      </c>
      <c r="F1068" s="5" t="s">
        <v>68</v>
      </c>
      <c r="G1068" s="8">
        <v>2</v>
      </c>
      <c r="H1068" s="8">
        <f>IF(F1068="Bullet",MIN(G1068,Assumptions!$B$6),"")</f>
        <v>2</v>
      </c>
      <c r="I1068" s="8"/>
      <c r="J1068" s="8" t="str">
        <f>IF(F1068="Monthly interest",MAX(0,Assumptions!$B$5-I1068),"")</f>
        <v/>
      </c>
      <c r="K1068" s="7">
        <f t="shared" si="48"/>
        <v>42226</v>
      </c>
      <c r="L1068" s="9">
        <v>46227</v>
      </c>
      <c r="M1068" s="5" t="s">
        <v>50</v>
      </c>
      <c r="N1068" s="5" t="s">
        <v>51</v>
      </c>
      <c r="O1068" s="5" t="s">
        <v>71</v>
      </c>
      <c r="P1068" s="5" t="s">
        <v>53</v>
      </c>
      <c r="Q1068" s="5" t="s">
        <v>73</v>
      </c>
      <c r="R1068" s="5" t="s">
        <v>74</v>
      </c>
      <c r="S1068" s="5" t="s">
        <v>85</v>
      </c>
      <c r="T1068" s="5" t="s">
        <v>57</v>
      </c>
      <c r="U1068" s="5" t="s">
        <v>104</v>
      </c>
      <c r="V1068" s="5" t="s">
        <v>87</v>
      </c>
      <c r="W1068" s="5" t="s">
        <v>361</v>
      </c>
      <c r="X1068" s="5" t="s">
        <v>4643</v>
      </c>
      <c r="Y1068" s="5" t="s">
        <v>4644</v>
      </c>
      <c r="Z1068" s="9">
        <v>46227</v>
      </c>
      <c r="AA1068" s="8">
        <v>12</v>
      </c>
      <c r="AB1068" s="9">
        <f t="shared" si="49"/>
        <v>46592</v>
      </c>
      <c r="AC1068" s="10">
        <v>18</v>
      </c>
      <c r="AD1068" s="7">
        <f t="shared" si="50"/>
        <v>21113</v>
      </c>
      <c r="AE1068" s="7">
        <f>IF(F1068="Bullet",H1068*AD1068,MIN(MAX(I1068,1),Assumptions!$B$6)*AD1068)</f>
        <v>42226</v>
      </c>
      <c r="AF1068" s="8">
        <f>IF(F1068="Bullet",MAX(0,Assumptions!$B$4-AB1068),MAX(0,Assumptions!$B$4-L1068))</f>
        <v>0</v>
      </c>
      <c r="AG1068" s="9"/>
      <c r="AH1068" s="8" t="str">
        <f>IF(AG1068="","",Assumptions!$B$4-AG1068)</f>
        <v/>
      </c>
      <c r="AI1068" s="5" t="s">
        <v>80</v>
      </c>
      <c r="AJ1068" s="8"/>
      <c r="AK1068" s="8">
        <v>1</v>
      </c>
      <c r="AL1068" s="8">
        <v>701</v>
      </c>
      <c r="AM1068" s="8">
        <v>1</v>
      </c>
      <c r="AN1068" s="5" t="s">
        <v>63</v>
      </c>
      <c r="AO1068" s="10">
        <v>64.2</v>
      </c>
      <c r="AP1068" s="8">
        <v>18</v>
      </c>
      <c r="AQ1068" s="9">
        <v>46289</v>
      </c>
      <c r="AR1068" s="5" t="s">
        <v>70</v>
      </c>
      <c r="AS1068" s="5" t="s">
        <v>64</v>
      </c>
    </row>
    <row r="1069" spans="1:45" x14ac:dyDescent="0.35">
      <c r="A1069" s="5" t="s">
        <v>4645</v>
      </c>
      <c r="B1069" s="5" t="s">
        <v>668</v>
      </c>
      <c r="C1069" s="6" t="s">
        <v>4646</v>
      </c>
      <c r="D1069" s="7">
        <v>62600</v>
      </c>
      <c r="E1069" s="5" t="s">
        <v>48</v>
      </c>
      <c r="F1069" s="5" t="s">
        <v>49</v>
      </c>
      <c r="G1069" s="8"/>
      <c r="H1069" s="8" t="str">
        <f>IF(F1069="Bullet",MIN(G1069,Assumptions!$B$6),"")</f>
        <v/>
      </c>
      <c r="I1069" s="8">
        <v>1</v>
      </c>
      <c r="J1069" s="8">
        <f>IF(F1069="Monthly interest",MAX(0,Assumptions!$B$5-I1069),"")</f>
        <v>2</v>
      </c>
      <c r="K1069" s="7">
        <f t="shared" si="48"/>
        <v>1043</v>
      </c>
      <c r="L1069" s="9">
        <v>46271</v>
      </c>
      <c r="M1069" s="5" t="s">
        <v>69</v>
      </c>
      <c r="N1069" s="5" t="s">
        <v>51</v>
      </c>
      <c r="O1069" s="5" t="s">
        <v>52</v>
      </c>
      <c r="P1069" s="5" t="s">
        <v>53</v>
      </c>
      <c r="Q1069" s="5" t="s">
        <v>54</v>
      </c>
      <c r="R1069" s="5" t="s">
        <v>55</v>
      </c>
      <c r="S1069" s="5" t="s">
        <v>253</v>
      </c>
      <c r="T1069" s="5" t="s">
        <v>57</v>
      </c>
      <c r="U1069" s="5" t="s">
        <v>104</v>
      </c>
      <c r="V1069" s="5" t="s">
        <v>59</v>
      </c>
      <c r="W1069" s="5" t="s">
        <v>467</v>
      </c>
      <c r="X1069" s="5" t="s">
        <v>2556</v>
      </c>
      <c r="Y1069" s="5" t="s">
        <v>4647</v>
      </c>
      <c r="Z1069" s="9">
        <v>46209</v>
      </c>
      <c r="AA1069" s="8">
        <v>24</v>
      </c>
      <c r="AB1069" s="9">
        <f t="shared" si="49"/>
        <v>46940</v>
      </c>
      <c r="AC1069" s="10">
        <v>20</v>
      </c>
      <c r="AD1069" s="7">
        <f t="shared" si="50"/>
        <v>1043</v>
      </c>
      <c r="AE1069" s="7">
        <f>IF(F1069="Bullet",H1069*AD1069,MIN(MAX(I1069,1),Assumptions!$B$6)*AD1069)</f>
        <v>1043</v>
      </c>
      <c r="AF1069" s="8">
        <f>IF(F1069="Bullet",MAX(0,Assumptions!$B$4-AB1069),MAX(0,Assumptions!$B$4-L1069))</f>
        <v>27</v>
      </c>
      <c r="AG1069" s="9">
        <v>46242</v>
      </c>
      <c r="AH1069" s="8">
        <f>IF(AG1069="","",Assumptions!$B$4-AG1069)</f>
        <v>56</v>
      </c>
      <c r="AI1069" s="5" t="s">
        <v>57</v>
      </c>
      <c r="AJ1069" s="8">
        <v>2</v>
      </c>
      <c r="AK1069" s="8">
        <v>0</v>
      </c>
      <c r="AL1069" s="8">
        <v>634</v>
      </c>
      <c r="AM1069" s="8">
        <v>3</v>
      </c>
      <c r="AN1069" s="5" t="s">
        <v>63</v>
      </c>
      <c r="AO1069" s="10">
        <v>70.5</v>
      </c>
      <c r="AP1069" s="8">
        <v>40</v>
      </c>
      <c r="AQ1069" s="9"/>
      <c r="AR1069" s="5"/>
      <c r="AS1069" s="5" t="s">
        <v>159</v>
      </c>
    </row>
    <row r="1070" spans="1:45" x14ac:dyDescent="0.35">
      <c r="A1070" s="5" t="s">
        <v>4648</v>
      </c>
      <c r="B1070" s="5" t="s">
        <v>3358</v>
      </c>
      <c r="C1070" s="6" t="s">
        <v>4649</v>
      </c>
      <c r="D1070" s="7">
        <v>57600</v>
      </c>
      <c r="E1070" s="5" t="s">
        <v>48</v>
      </c>
      <c r="F1070" s="5" t="s">
        <v>49</v>
      </c>
      <c r="G1070" s="8"/>
      <c r="H1070" s="8" t="str">
        <f>IF(F1070="Bullet",MIN(G1070,Assumptions!$B$6),"")</f>
        <v/>
      </c>
      <c r="I1070" s="8">
        <v>1</v>
      </c>
      <c r="J1070" s="8">
        <f>IF(F1070="Monthly interest",MAX(0,Assumptions!$B$5-I1070),"")</f>
        <v>2</v>
      </c>
      <c r="K1070" s="7">
        <f t="shared" si="48"/>
        <v>864</v>
      </c>
      <c r="L1070" s="9">
        <v>46285</v>
      </c>
      <c r="M1070" s="5" t="s">
        <v>50</v>
      </c>
      <c r="N1070" s="5" t="s">
        <v>51</v>
      </c>
      <c r="O1070" s="5" t="s">
        <v>52</v>
      </c>
      <c r="P1070" s="5" t="s">
        <v>53</v>
      </c>
      <c r="Q1070" s="5" t="s">
        <v>54</v>
      </c>
      <c r="R1070" s="5" t="s">
        <v>55</v>
      </c>
      <c r="S1070" s="5" t="s">
        <v>85</v>
      </c>
      <c r="T1070" s="5" t="s">
        <v>57</v>
      </c>
      <c r="U1070" s="5" t="s">
        <v>86</v>
      </c>
      <c r="V1070" s="5" t="s">
        <v>133</v>
      </c>
      <c r="W1070" s="5" t="s">
        <v>594</v>
      </c>
      <c r="X1070" s="5" t="s">
        <v>4650</v>
      </c>
      <c r="Y1070" s="5" t="s">
        <v>4651</v>
      </c>
      <c r="Z1070" s="9">
        <v>46011</v>
      </c>
      <c r="AA1070" s="8">
        <v>12</v>
      </c>
      <c r="AB1070" s="9">
        <f t="shared" si="49"/>
        <v>46376</v>
      </c>
      <c r="AC1070" s="10">
        <v>18</v>
      </c>
      <c r="AD1070" s="7">
        <f t="shared" si="50"/>
        <v>864</v>
      </c>
      <c r="AE1070" s="7">
        <f>IF(F1070="Bullet",H1070*AD1070,MIN(MAX(I1070,1),Assumptions!$B$6)*AD1070)</f>
        <v>864</v>
      </c>
      <c r="AF1070" s="8">
        <f>IF(F1070="Bullet",MAX(0,Assumptions!$B$4-AB1070),MAX(0,Assumptions!$B$4-L1070))</f>
        <v>13</v>
      </c>
      <c r="AG1070" s="9">
        <v>46254</v>
      </c>
      <c r="AH1070" s="8">
        <f>IF(AG1070="","",Assumptions!$B$4-AG1070)</f>
        <v>44</v>
      </c>
      <c r="AI1070" s="5" t="s">
        <v>63</v>
      </c>
      <c r="AJ1070" s="8">
        <v>2</v>
      </c>
      <c r="AK1070" s="8">
        <v>0</v>
      </c>
      <c r="AL1070" s="8">
        <v>710</v>
      </c>
      <c r="AM1070" s="8">
        <v>0</v>
      </c>
      <c r="AN1070" s="5" t="s">
        <v>63</v>
      </c>
      <c r="AO1070" s="10">
        <v>77</v>
      </c>
      <c r="AP1070" s="8">
        <v>29</v>
      </c>
      <c r="AQ1070" s="9">
        <v>46283</v>
      </c>
      <c r="AR1070" s="5" t="s">
        <v>70</v>
      </c>
      <c r="AS1070" s="5" t="s">
        <v>274</v>
      </c>
    </row>
    <row r="1071" spans="1:45" x14ac:dyDescent="0.35">
      <c r="A1071" s="5" t="s">
        <v>4652</v>
      </c>
      <c r="B1071" s="5" t="s">
        <v>598</v>
      </c>
      <c r="C1071" s="6" t="s">
        <v>4653</v>
      </c>
      <c r="D1071" s="7">
        <v>108000</v>
      </c>
      <c r="E1071" s="5" t="s">
        <v>48</v>
      </c>
      <c r="F1071" s="5" t="s">
        <v>68</v>
      </c>
      <c r="G1071" s="8">
        <v>3</v>
      </c>
      <c r="H1071" s="8">
        <f>IF(F1071="Bullet",MIN(G1071,Assumptions!$B$6),"")</f>
        <v>2</v>
      </c>
      <c r="I1071" s="8"/>
      <c r="J1071" s="8" t="str">
        <f>IF(F1071="Monthly interest",MAX(0,Assumptions!$B$5-I1071),"")</f>
        <v/>
      </c>
      <c r="K1071" s="7">
        <f t="shared" si="48"/>
        <v>4050</v>
      </c>
      <c r="L1071" s="9">
        <v>46202</v>
      </c>
      <c r="M1071" s="5" t="s">
        <v>69</v>
      </c>
      <c r="N1071" s="5" t="s">
        <v>70</v>
      </c>
      <c r="O1071" s="5" t="s">
        <v>531</v>
      </c>
      <c r="P1071" s="5" t="s">
        <v>72</v>
      </c>
      <c r="Q1071" s="5" t="s">
        <v>73</v>
      </c>
      <c r="R1071" s="5" t="s">
        <v>74</v>
      </c>
      <c r="S1071" s="5" t="s">
        <v>214</v>
      </c>
      <c r="T1071" s="5" t="s">
        <v>57</v>
      </c>
      <c r="U1071" s="5" t="s">
        <v>86</v>
      </c>
      <c r="V1071" s="5" t="s">
        <v>215</v>
      </c>
      <c r="W1071" s="5" t="s">
        <v>232</v>
      </c>
      <c r="X1071" s="5" t="s">
        <v>4654</v>
      </c>
      <c r="Y1071" s="5" t="s">
        <v>4655</v>
      </c>
      <c r="Z1071" s="9">
        <v>46202</v>
      </c>
      <c r="AA1071" s="8">
        <v>6</v>
      </c>
      <c r="AB1071" s="9">
        <f t="shared" si="49"/>
        <v>46385</v>
      </c>
      <c r="AC1071" s="10">
        <v>15</v>
      </c>
      <c r="AD1071" s="7">
        <f t="shared" si="50"/>
        <v>1350</v>
      </c>
      <c r="AE1071" s="7">
        <f>IF(F1071="Bullet",H1071*AD1071,MIN(MAX(I1071,1),Assumptions!$B$6)*AD1071)</f>
        <v>2700</v>
      </c>
      <c r="AF1071" s="8">
        <f>IF(F1071="Bullet",MAX(0,Assumptions!$B$4-AB1071),MAX(0,Assumptions!$B$4-L1071))</f>
        <v>0</v>
      </c>
      <c r="AG1071" s="9"/>
      <c r="AH1071" s="8" t="str">
        <f>IF(AG1071="","",Assumptions!$B$4-AG1071)</f>
        <v/>
      </c>
      <c r="AI1071" s="5" t="s">
        <v>80</v>
      </c>
      <c r="AJ1071" s="8"/>
      <c r="AK1071" s="8">
        <v>1</v>
      </c>
      <c r="AL1071" s="8">
        <v>647</v>
      </c>
      <c r="AM1071" s="8">
        <v>3</v>
      </c>
      <c r="AN1071" s="5" t="s">
        <v>63</v>
      </c>
      <c r="AO1071" s="10">
        <v>59.8</v>
      </c>
      <c r="AP1071" s="8">
        <v>43</v>
      </c>
      <c r="AQ1071" s="9">
        <v>46296</v>
      </c>
      <c r="AR1071" s="5" t="s">
        <v>53</v>
      </c>
      <c r="AS1071" s="5" t="s">
        <v>81</v>
      </c>
    </row>
    <row r="1072" spans="1:45" x14ac:dyDescent="0.35">
      <c r="A1072" s="5" t="s">
        <v>4656</v>
      </c>
      <c r="B1072" s="5" t="s">
        <v>426</v>
      </c>
      <c r="C1072" s="6" t="s">
        <v>4657</v>
      </c>
      <c r="D1072" s="7">
        <v>55600</v>
      </c>
      <c r="E1072" s="5" t="s">
        <v>48</v>
      </c>
      <c r="F1072" s="5" t="s">
        <v>49</v>
      </c>
      <c r="G1072" s="8"/>
      <c r="H1072" s="8" t="str">
        <f>IF(F1072="Bullet",MIN(G1072,Assumptions!$B$6),"")</f>
        <v/>
      </c>
      <c r="I1072" s="8">
        <v>1</v>
      </c>
      <c r="J1072" s="8">
        <f>IF(F1072="Monthly interest",MAX(0,Assumptions!$B$5-I1072),"")</f>
        <v>2</v>
      </c>
      <c r="K1072" s="7">
        <f t="shared" si="48"/>
        <v>649</v>
      </c>
      <c r="L1072" s="9">
        <v>46292</v>
      </c>
      <c r="M1072" s="5" t="s">
        <v>50</v>
      </c>
      <c r="N1072" s="5" t="s">
        <v>51</v>
      </c>
      <c r="O1072" s="5" t="s">
        <v>52</v>
      </c>
      <c r="P1072" s="5" t="s">
        <v>53</v>
      </c>
      <c r="Q1072" s="5" t="s">
        <v>54</v>
      </c>
      <c r="R1072" s="5" t="s">
        <v>55</v>
      </c>
      <c r="S1072" s="5" t="s">
        <v>185</v>
      </c>
      <c r="T1072" s="5" t="s">
        <v>57</v>
      </c>
      <c r="U1072" s="5" t="s">
        <v>104</v>
      </c>
      <c r="V1072" s="5" t="s">
        <v>186</v>
      </c>
      <c r="W1072" s="5" t="s">
        <v>694</v>
      </c>
      <c r="X1072" s="5" t="s">
        <v>4242</v>
      </c>
      <c r="Y1072" s="5" t="s">
        <v>4658</v>
      </c>
      <c r="Z1072" s="9">
        <v>46230</v>
      </c>
      <c r="AA1072" s="8">
        <v>12</v>
      </c>
      <c r="AB1072" s="9">
        <f t="shared" si="49"/>
        <v>46595</v>
      </c>
      <c r="AC1072" s="10">
        <v>14</v>
      </c>
      <c r="AD1072" s="7">
        <f t="shared" si="50"/>
        <v>649</v>
      </c>
      <c r="AE1072" s="7">
        <f>IF(F1072="Bullet",H1072*AD1072,MIN(MAX(I1072,1),Assumptions!$B$6)*AD1072)</f>
        <v>649</v>
      </c>
      <c r="AF1072" s="8">
        <f>IF(F1072="Bullet",MAX(0,Assumptions!$B$4-AB1072),MAX(0,Assumptions!$B$4-L1072))</f>
        <v>6</v>
      </c>
      <c r="AG1072" s="9">
        <v>46263</v>
      </c>
      <c r="AH1072" s="8">
        <f>IF(AG1072="","",Assumptions!$B$4-AG1072)</f>
        <v>35</v>
      </c>
      <c r="AI1072" s="5" t="s">
        <v>63</v>
      </c>
      <c r="AJ1072" s="8">
        <v>1</v>
      </c>
      <c r="AK1072" s="8">
        <v>0</v>
      </c>
      <c r="AL1072" s="8" t="s">
        <v>80</v>
      </c>
      <c r="AM1072" s="8">
        <v>3</v>
      </c>
      <c r="AN1072" s="5" t="s">
        <v>63</v>
      </c>
      <c r="AO1072" s="10">
        <v>67</v>
      </c>
      <c r="AP1072" s="8">
        <v>29</v>
      </c>
      <c r="AQ1072" s="9">
        <v>46280</v>
      </c>
      <c r="AR1072" s="5" t="s">
        <v>70</v>
      </c>
      <c r="AS1072" s="5" t="s">
        <v>91</v>
      </c>
    </row>
    <row r="1073" spans="1:45" x14ac:dyDescent="0.35">
      <c r="A1073" s="5" t="s">
        <v>4659</v>
      </c>
      <c r="B1073" s="5" t="s">
        <v>4660</v>
      </c>
      <c r="C1073" s="6" t="s">
        <v>4661</v>
      </c>
      <c r="D1073" s="7">
        <v>150700</v>
      </c>
      <c r="E1073" s="5" t="s">
        <v>48</v>
      </c>
      <c r="F1073" s="5" t="s">
        <v>49</v>
      </c>
      <c r="G1073" s="8"/>
      <c r="H1073" s="8" t="str">
        <f>IF(F1073="Bullet",MIN(G1073,Assumptions!$B$6),"")</f>
        <v/>
      </c>
      <c r="I1073" s="8">
        <v>1</v>
      </c>
      <c r="J1073" s="8">
        <f>IF(F1073="Monthly interest",MAX(0,Assumptions!$B$5-I1073),"")</f>
        <v>2</v>
      </c>
      <c r="K1073" s="7">
        <f t="shared" si="48"/>
        <v>2261</v>
      </c>
      <c r="L1073" s="9">
        <v>46271</v>
      </c>
      <c r="M1073" s="5" t="s">
        <v>69</v>
      </c>
      <c r="N1073" s="5" t="s">
        <v>51</v>
      </c>
      <c r="O1073" s="5" t="s">
        <v>52</v>
      </c>
      <c r="P1073" s="5" t="s">
        <v>53</v>
      </c>
      <c r="Q1073" s="5" t="s">
        <v>54</v>
      </c>
      <c r="R1073" s="5" t="s">
        <v>55</v>
      </c>
      <c r="S1073" s="5" t="s">
        <v>185</v>
      </c>
      <c r="T1073" s="5" t="s">
        <v>57</v>
      </c>
      <c r="U1073" s="5" t="s">
        <v>58</v>
      </c>
      <c r="V1073" s="5" t="s">
        <v>200</v>
      </c>
      <c r="W1073" s="5" t="s">
        <v>201</v>
      </c>
      <c r="X1073" s="5" t="s">
        <v>4662</v>
      </c>
      <c r="Y1073" s="5" t="s">
        <v>4663</v>
      </c>
      <c r="Z1073" s="9">
        <v>46209</v>
      </c>
      <c r="AA1073" s="8">
        <v>18</v>
      </c>
      <c r="AB1073" s="9">
        <f t="shared" si="49"/>
        <v>46758</v>
      </c>
      <c r="AC1073" s="10">
        <v>18</v>
      </c>
      <c r="AD1073" s="7">
        <f t="shared" si="50"/>
        <v>2261</v>
      </c>
      <c r="AE1073" s="7">
        <f>IF(F1073="Bullet",H1073*AD1073,MIN(MAX(I1073,1),Assumptions!$B$6)*AD1073)</f>
        <v>2261</v>
      </c>
      <c r="AF1073" s="8">
        <f>IF(F1073="Bullet",MAX(0,Assumptions!$B$4-AB1073),MAX(0,Assumptions!$B$4-L1073))</f>
        <v>27</v>
      </c>
      <c r="AG1073" s="9">
        <v>46241</v>
      </c>
      <c r="AH1073" s="8">
        <f>IF(AG1073="","",Assumptions!$B$4-AG1073)</f>
        <v>57</v>
      </c>
      <c r="AI1073" s="5" t="s">
        <v>57</v>
      </c>
      <c r="AJ1073" s="8">
        <v>1</v>
      </c>
      <c r="AK1073" s="8">
        <v>1</v>
      </c>
      <c r="AL1073" s="8">
        <v>702</v>
      </c>
      <c r="AM1073" s="8">
        <v>2</v>
      </c>
      <c r="AN1073" s="5" t="s">
        <v>63</v>
      </c>
      <c r="AO1073" s="10">
        <v>74.400000000000006</v>
      </c>
      <c r="AP1073" s="8">
        <v>32</v>
      </c>
      <c r="AQ1073" s="9">
        <v>46286</v>
      </c>
      <c r="AR1073" s="5" t="s">
        <v>51</v>
      </c>
      <c r="AS1073" s="5" t="s">
        <v>190</v>
      </c>
    </row>
    <row r="1074" spans="1:45" x14ac:dyDescent="0.35">
      <c r="A1074" s="5" t="s">
        <v>4664</v>
      </c>
      <c r="B1074" s="5" t="s">
        <v>3083</v>
      </c>
      <c r="C1074" s="6" t="s">
        <v>4665</v>
      </c>
      <c r="D1074" s="7">
        <v>124800</v>
      </c>
      <c r="E1074" s="5" t="s">
        <v>48</v>
      </c>
      <c r="F1074" s="5" t="s">
        <v>68</v>
      </c>
      <c r="G1074" s="8">
        <v>1</v>
      </c>
      <c r="H1074" s="8">
        <f>IF(F1074="Bullet",MIN(G1074,Assumptions!$B$6),"")</f>
        <v>1</v>
      </c>
      <c r="I1074" s="8"/>
      <c r="J1074" s="8" t="str">
        <f>IF(F1074="Monthly interest",MAX(0,Assumptions!$B$5-I1074),"")</f>
        <v/>
      </c>
      <c r="K1074" s="7">
        <f t="shared" si="48"/>
        <v>1248</v>
      </c>
      <c r="L1074" s="9">
        <v>46246</v>
      </c>
      <c r="M1074" s="5" t="s">
        <v>50</v>
      </c>
      <c r="N1074" s="5" t="s">
        <v>51</v>
      </c>
      <c r="O1074" s="5" t="s">
        <v>71</v>
      </c>
      <c r="P1074" s="5" t="s">
        <v>53</v>
      </c>
      <c r="Q1074" s="5" t="s">
        <v>73</v>
      </c>
      <c r="R1074" s="5" t="s">
        <v>74</v>
      </c>
      <c r="S1074" s="5" t="s">
        <v>75</v>
      </c>
      <c r="T1074" s="5" t="s">
        <v>57</v>
      </c>
      <c r="U1074" s="5" t="s">
        <v>86</v>
      </c>
      <c r="V1074" s="5" t="s">
        <v>76</v>
      </c>
      <c r="W1074" s="5" t="s">
        <v>140</v>
      </c>
      <c r="X1074" s="5" t="s">
        <v>3586</v>
      </c>
      <c r="Y1074" s="5" t="s">
        <v>4666</v>
      </c>
      <c r="Z1074" s="9">
        <v>46246</v>
      </c>
      <c r="AA1074" s="8">
        <v>6</v>
      </c>
      <c r="AB1074" s="9">
        <f t="shared" si="49"/>
        <v>46430</v>
      </c>
      <c r="AC1074" s="10">
        <v>12</v>
      </c>
      <c r="AD1074" s="7">
        <f t="shared" si="50"/>
        <v>1248</v>
      </c>
      <c r="AE1074" s="7">
        <f>IF(F1074="Bullet",H1074*AD1074,MIN(MAX(I1074,1),Assumptions!$B$6)*AD1074)</f>
        <v>1248</v>
      </c>
      <c r="AF1074" s="8">
        <f>IF(F1074="Bullet",MAX(0,Assumptions!$B$4-AB1074),MAX(0,Assumptions!$B$4-L1074))</f>
        <v>0</v>
      </c>
      <c r="AG1074" s="9"/>
      <c r="AH1074" s="8" t="str">
        <f>IF(AG1074="","",Assumptions!$B$4-AG1074)</f>
        <v/>
      </c>
      <c r="AI1074" s="5" t="s">
        <v>80</v>
      </c>
      <c r="AJ1074" s="8"/>
      <c r="AK1074" s="8">
        <v>0</v>
      </c>
      <c r="AL1074" s="8">
        <v>707</v>
      </c>
      <c r="AM1074" s="8">
        <v>0</v>
      </c>
      <c r="AN1074" s="5" t="s">
        <v>63</v>
      </c>
      <c r="AO1074" s="10">
        <v>70.2</v>
      </c>
      <c r="AP1074" s="8">
        <v>2</v>
      </c>
      <c r="AQ1074" s="9">
        <v>46291</v>
      </c>
      <c r="AR1074" s="5" t="s">
        <v>51</v>
      </c>
      <c r="AS1074" s="5" t="s">
        <v>181</v>
      </c>
    </row>
    <row r="1075" spans="1:45" x14ac:dyDescent="0.35">
      <c r="A1075" s="5" t="s">
        <v>4667</v>
      </c>
      <c r="B1075" s="5" t="s">
        <v>1218</v>
      </c>
      <c r="C1075" s="6" t="s">
        <v>4668</v>
      </c>
      <c r="D1075" s="7">
        <v>424100</v>
      </c>
      <c r="E1075" s="5" t="s">
        <v>48</v>
      </c>
      <c r="F1075" s="5" t="s">
        <v>68</v>
      </c>
      <c r="G1075" s="8">
        <v>3</v>
      </c>
      <c r="H1075" s="8">
        <f>IF(F1075="Bullet",MIN(G1075,Assumptions!$B$6),"")</f>
        <v>2</v>
      </c>
      <c r="I1075" s="8"/>
      <c r="J1075" s="8" t="str">
        <f>IF(F1075="Monthly interest",MAX(0,Assumptions!$B$5-I1075),"")</f>
        <v/>
      </c>
      <c r="K1075" s="7">
        <f t="shared" si="48"/>
        <v>15903</v>
      </c>
      <c r="L1075" s="9">
        <v>46205</v>
      </c>
      <c r="M1075" s="5" t="s">
        <v>50</v>
      </c>
      <c r="N1075" s="5" t="s">
        <v>53</v>
      </c>
      <c r="O1075" s="5" t="s">
        <v>71</v>
      </c>
      <c r="P1075" s="5" t="s">
        <v>51</v>
      </c>
      <c r="Q1075" s="5" t="s">
        <v>73</v>
      </c>
      <c r="R1075" s="5" t="s">
        <v>74</v>
      </c>
      <c r="S1075" s="5" t="s">
        <v>75</v>
      </c>
      <c r="T1075" s="5" t="s">
        <v>57</v>
      </c>
      <c r="U1075" s="5" t="s">
        <v>104</v>
      </c>
      <c r="V1075" s="5" t="s">
        <v>76</v>
      </c>
      <c r="W1075" s="5" t="s">
        <v>105</v>
      </c>
      <c r="X1075" s="5" t="s">
        <v>2976</v>
      </c>
      <c r="Y1075" s="5" t="s">
        <v>4669</v>
      </c>
      <c r="Z1075" s="9">
        <v>46205</v>
      </c>
      <c r="AA1075" s="8">
        <v>6</v>
      </c>
      <c r="AB1075" s="9">
        <f t="shared" si="49"/>
        <v>46389</v>
      </c>
      <c r="AC1075" s="10">
        <v>15</v>
      </c>
      <c r="AD1075" s="7">
        <f t="shared" si="50"/>
        <v>5301</v>
      </c>
      <c r="AE1075" s="7">
        <f>IF(F1075="Bullet",H1075*AD1075,MIN(MAX(I1075,1),Assumptions!$B$6)*AD1075)</f>
        <v>10602</v>
      </c>
      <c r="AF1075" s="8">
        <f>IF(F1075="Bullet",MAX(0,Assumptions!$B$4-AB1075),MAX(0,Assumptions!$B$4-L1075))</f>
        <v>0</v>
      </c>
      <c r="AG1075" s="9"/>
      <c r="AH1075" s="8" t="str">
        <f>IF(AG1075="","",Assumptions!$B$4-AG1075)</f>
        <v/>
      </c>
      <c r="AI1075" s="5" t="s">
        <v>80</v>
      </c>
      <c r="AJ1075" s="8"/>
      <c r="AK1075" s="8">
        <v>1</v>
      </c>
      <c r="AL1075" s="8">
        <v>721</v>
      </c>
      <c r="AM1075" s="8">
        <v>1</v>
      </c>
      <c r="AN1075" s="5" t="s">
        <v>63</v>
      </c>
      <c r="AO1075" s="10">
        <v>77</v>
      </c>
      <c r="AP1075" s="8">
        <v>27</v>
      </c>
      <c r="AQ1075" s="9">
        <v>46297</v>
      </c>
      <c r="AR1075" s="5" t="s">
        <v>51</v>
      </c>
      <c r="AS1075" s="5" t="s">
        <v>81</v>
      </c>
    </row>
    <row r="1076" spans="1:45" x14ac:dyDescent="0.35">
      <c r="A1076" s="5" t="s">
        <v>4670</v>
      </c>
      <c r="B1076" s="5" t="s">
        <v>4671</v>
      </c>
      <c r="C1076" s="6" t="s">
        <v>4672</v>
      </c>
      <c r="D1076" s="7">
        <v>357100</v>
      </c>
      <c r="E1076" s="5" t="s">
        <v>48</v>
      </c>
      <c r="F1076" s="5" t="s">
        <v>68</v>
      </c>
      <c r="G1076" s="8">
        <v>3</v>
      </c>
      <c r="H1076" s="8">
        <f>IF(F1076="Bullet",MIN(G1076,Assumptions!$B$6),"")</f>
        <v>2</v>
      </c>
      <c r="I1076" s="8"/>
      <c r="J1076" s="8" t="str">
        <f>IF(F1076="Monthly interest",MAX(0,Assumptions!$B$5-I1076),"")</f>
        <v/>
      </c>
      <c r="K1076" s="7">
        <f t="shared" si="48"/>
        <v>14283</v>
      </c>
      <c r="L1076" s="9">
        <v>46186</v>
      </c>
      <c r="M1076" s="5" t="s">
        <v>50</v>
      </c>
      <c r="N1076" s="5" t="s">
        <v>53</v>
      </c>
      <c r="O1076" s="5" t="s">
        <v>71</v>
      </c>
      <c r="P1076" s="5" t="s">
        <v>51</v>
      </c>
      <c r="Q1076" s="5" t="s">
        <v>73</v>
      </c>
      <c r="R1076" s="5" t="s">
        <v>74</v>
      </c>
      <c r="S1076" s="5" t="s">
        <v>185</v>
      </c>
      <c r="T1076" s="5" t="s">
        <v>57</v>
      </c>
      <c r="U1076" s="5" t="s">
        <v>86</v>
      </c>
      <c r="V1076" s="5" t="s">
        <v>200</v>
      </c>
      <c r="W1076" s="5" t="s">
        <v>500</v>
      </c>
      <c r="X1076" s="5" t="s">
        <v>4673</v>
      </c>
      <c r="Y1076" s="5" t="s">
        <v>4674</v>
      </c>
      <c r="Z1076" s="9">
        <v>46186</v>
      </c>
      <c r="AA1076" s="8">
        <v>12</v>
      </c>
      <c r="AB1076" s="9">
        <f t="shared" si="49"/>
        <v>46551</v>
      </c>
      <c r="AC1076" s="10">
        <v>16</v>
      </c>
      <c r="AD1076" s="7">
        <f t="shared" si="50"/>
        <v>4761</v>
      </c>
      <c r="AE1076" s="7">
        <f>IF(F1076="Bullet",H1076*AD1076,MIN(MAX(I1076,1),Assumptions!$B$6)*AD1076)</f>
        <v>9522</v>
      </c>
      <c r="AF1076" s="8">
        <f>IF(F1076="Bullet",MAX(0,Assumptions!$B$4-AB1076),MAX(0,Assumptions!$B$4-L1076))</f>
        <v>0</v>
      </c>
      <c r="AG1076" s="9"/>
      <c r="AH1076" s="8" t="str">
        <f>IF(AG1076="","",Assumptions!$B$4-AG1076)</f>
        <v/>
      </c>
      <c r="AI1076" s="5" t="s">
        <v>80</v>
      </c>
      <c r="AJ1076" s="8"/>
      <c r="AK1076" s="8">
        <v>0</v>
      </c>
      <c r="AL1076" s="8">
        <v>719</v>
      </c>
      <c r="AM1076" s="8">
        <v>0</v>
      </c>
      <c r="AN1076" s="5" t="s">
        <v>63</v>
      </c>
      <c r="AO1076" s="10">
        <v>65.3</v>
      </c>
      <c r="AP1076" s="8">
        <v>13</v>
      </c>
      <c r="AQ1076" s="9">
        <v>46277</v>
      </c>
      <c r="AR1076" s="5" t="s">
        <v>70</v>
      </c>
      <c r="AS1076" s="5" t="s">
        <v>81</v>
      </c>
    </row>
    <row r="1077" spans="1:45" x14ac:dyDescent="0.35">
      <c r="A1077" s="5" t="s">
        <v>4675</v>
      </c>
      <c r="B1077" s="5" t="s">
        <v>519</v>
      </c>
      <c r="C1077" s="6" t="s">
        <v>4676</v>
      </c>
      <c r="D1077" s="7">
        <v>89100</v>
      </c>
      <c r="E1077" s="5" t="s">
        <v>48</v>
      </c>
      <c r="F1077" s="5" t="s">
        <v>49</v>
      </c>
      <c r="G1077" s="8"/>
      <c r="H1077" s="8" t="str">
        <f>IF(F1077="Bullet",MIN(G1077,Assumptions!$B$6),"")</f>
        <v/>
      </c>
      <c r="I1077" s="8">
        <v>1</v>
      </c>
      <c r="J1077" s="8">
        <f>IF(F1077="Monthly interest",MAX(0,Assumptions!$B$5-I1077),"")</f>
        <v>2</v>
      </c>
      <c r="K1077" s="7">
        <f t="shared" si="48"/>
        <v>1485</v>
      </c>
      <c r="L1077" s="9">
        <v>46296</v>
      </c>
      <c r="M1077" s="5" t="s">
        <v>50</v>
      </c>
      <c r="N1077" s="5" t="s">
        <v>51</v>
      </c>
      <c r="O1077" s="5" t="s">
        <v>52</v>
      </c>
      <c r="P1077" s="5" t="s">
        <v>53</v>
      </c>
      <c r="Q1077" s="5" t="s">
        <v>54</v>
      </c>
      <c r="R1077" s="5" t="s">
        <v>55</v>
      </c>
      <c r="S1077" s="5" t="s">
        <v>56</v>
      </c>
      <c r="T1077" s="5" t="s">
        <v>57</v>
      </c>
      <c r="U1077" s="5" t="s">
        <v>104</v>
      </c>
      <c r="V1077" s="5" t="s">
        <v>59</v>
      </c>
      <c r="W1077" s="5" t="s">
        <v>126</v>
      </c>
      <c r="X1077" s="5" t="s">
        <v>2383</v>
      </c>
      <c r="Y1077" s="5" t="s">
        <v>4677</v>
      </c>
      <c r="Z1077" s="9">
        <v>46082</v>
      </c>
      <c r="AA1077" s="8">
        <v>12</v>
      </c>
      <c r="AB1077" s="9">
        <f t="shared" si="49"/>
        <v>46447</v>
      </c>
      <c r="AC1077" s="10">
        <v>20</v>
      </c>
      <c r="AD1077" s="7">
        <f t="shared" si="50"/>
        <v>1485</v>
      </c>
      <c r="AE1077" s="7">
        <f>IF(F1077="Bullet",H1077*AD1077,MIN(MAX(I1077,1),Assumptions!$B$6)*AD1077)</f>
        <v>1485</v>
      </c>
      <c r="AF1077" s="8">
        <f>IF(F1077="Bullet",MAX(0,Assumptions!$B$4-AB1077),MAX(0,Assumptions!$B$4-L1077))</f>
        <v>2</v>
      </c>
      <c r="AG1077" s="9">
        <v>46269</v>
      </c>
      <c r="AH1077" s="8">
        <f>IF(AG1077="","",Assumptions!$B$4-AG1077)</f>
        <v>29</v>
      </c>
      <c r="AI1077" s="5" t="s">
        <v>63</v>
      </c>
      <c r="AJ1077" s="8">
        <v>1</v>
      </c>
      <c r="AK1077" s="8">
        <v>0</v>
      </c>
      <c r="AL1077" s="8">
        <v>716</v>
      </c>
      <c r="AM1077" s="8">
        <v>1</v>
      </c>
      <c r="AN1077" s="5" t="s">
        <v>63</v>
      </c>
      <c r="AO1077" s="10">
        <v>52.3</v>
      </c>
      <c r="AP1077" s="8">
        <v>20</v>
      </c>
      <c r="AQ1077" s="9">
        <v>46277</v>
      </c>
      <c r="AR1077" s="5" t="s">
        <v>51</v>
      </c>
      <c r="AS1077" s="5" t="s">
        <v>64</v>
      </c>
    </row>
    <row r="1078" spans="1:45" x14ac:dyDescent="0.35">
      <c r="A1078" s="5" t="s">
        <v>4678</v>
      </c>
      <c r="B1078" s="5" t="s">
        <v>4504</v>
      </c>
      <c r="C1078" s="6" t="s">
        <v>4679</v>
      </c>
      <c r="D1078" s="7">
        <v>157800</v>
      </c>
      <c r="E1078" s="5" t="s">
        <v>48</v>
      </c>
      <c r="F1078" s="5" t="s">
        <v>68</v>
      </c>
      <c r="G1078" s="8">
        <v>5</v>
      </c>
      <c r="H1078" s="8">
        <f>IF(F1078="Bullet",MIN(G1078,Assumptions!$B$6),"")</f>
        <v>2</v>
      </c>
      <c r="I1078" s="8"/>
      <c r="J1078" s="8" t="str">
        <f>IF(F1078="Monthly interest",MAX(0,Assumptions!$B$5-I1078),"")</f>
        <v/>
      </c>
      <c r="K1078" s="7">
        <f t="shared" si="48"/>
        <v>7890</v>
      </c>
      <c r="L1078" s="9">
        <v>46126</v>
      </c>
      <c r="M1078" s="5" t="s">
        <v>69</v>
      </c>
      <c r="N1078" s="5" t="s">
        <v>53</v>
      </c>
      <c r="O1078" s="5" t="s">
        <v>168</v>
      </c>
      <c r="P1078" s="5" t="s">
        <v>70</v>
      </c>
      <c r="Q1078" s="5" t="s">
        <v>169</v>
      </c>
      <c r="R1078" s="5" t="s">
        <v>170</v>
      </c>
      <c r="S1078" s="5" t="s">
        <v>185</v>
      </c>
      <c r="T1078" s="5" t="s">
        <v>57</v>
      </c>
      <c r="U1078" s="5" t="s">
        <v>58</v>
      </c>
      <c r="V1078" s="5" t="s">
        <v>186</v>
      </c>
      <c r="W1078" s="5" t="s">
        <v>329</v>
      </c>
      <c r="X1078" s="5" t="s">
        <v>1253</v>
      </c>
      <c r="Y1078" s="5" t="s">
        <v>4680</v>
      </c>
      <c r="Z1078" s="9">
        <v>46126</v>
      </c>
      <c r="AA1078" s="8">
        <v>6</v>
      </c>
      <c r="AB1078" s="9">
        <f t="shared" si="49"/>
        <v>46309</v>
      </c>
      <c r="AC1078" s="10">
        <v>12</v>
      </c>
      <c r="AD1078" s="7">
        <f t="shared" si="50"/>
        <v>1578</v>
      </c>
      <c r="AE1078" s="7">
        <f>IF(F1078="Bullet",H1078*AD1078,MIN(MAX(I1078,1),Assumptions!$B$6)*AD1078)</f>
        <v>3156</v>
      </c>
      <c r="AF1078" s="8">
        <f>IF(F1078="Bullet",MAX(0,Assumptions!$B$4-AB1078),MAX(0,Assumptions!$B$4-L1078))</f>
        <v>0</v>
      </c>
      <c r="AG1078" s="9"/>
      <c r="AH1078" s="8" t="str">
        <f>IF(AG1078="","",Assumptions!$B$4-AG1078)</f>
        <v/>
      </c>
      <c r="AI1078" s="5" t="s">
        <v>80</v>
      </c>
      <c r="AJ1078" s="8"/>
      <c r="AK1078" s="8">
        <v>2</v>
      </c>
      <c r="AL1078" s="8">
        <v>757</v>
      </c>
      <c r="AM1078" s="8">
        <v>1</v>
      </c>
      <c r="AN1078" s="5" t="s">
        <v>63</v>
      </c>
      <c r="AO1078" s="10">
        <v>79.400000000000006</v>
      </c>
      <c r="AP1078" s="8">
        <v>44</v>
      </c>
      <c r="AQ1078" s="9">
        <v>46285</v>
      </c>
      <c r="AR1078" s="5" t="s">
        <v>70</v>
      </c>
      <c r="AS1078" s="5" t="s">
        <v>81</v>
      </c>
    </row>
    <row r="1079" spans="1:45" x14ac:dyDescent="0.35">
      <c r="A1079" s="5" t="s">
        <v>4681</v>
      </c>
      <c r="B1079" s="5" t="s">
        <v>4682</v>
      </c>
      <c r="C1079" s="6" t="s">
        <v>4683</v>
      </c>
      <c r="D1079" s="7">
        <v>119000</v>
      </c>
      <c r="E1079" s="5" t="s">
        <v>48</v>
      </c>
      <c r="F1079" s="5" t="s">
        <v>68</v>
      </c>
      <c r="G1079" s="8">
        <v>4</v>
      </c>
      <c r="H1079" s="8">
        <f>IF(F1079="Bullet",MIN(G1079,Assumptions!$B$6),"")</f>
        <v>2</v>
      </c>
      <c r="I1079" s="8"/>
      <c r="J1079" s="8" t="str">
        <f>IF(F1079="Monthly interest",MAX(0,Assumptions!$B$5-I1079),"")</f>
        <v/>
      </c>
      <c r="K1079" s="7">
        <f t="shared" si="48"/>
        <v>4760</v>
      </c>
      <c r="L1079" s="9">
        <v>46165</v>
      </c>
      <c r="M1079" s="5" t="s">
        <v>69</v>
      </c>
      <c r="N1079" s="5" t="s">
        <v>53</v>
      </c>
      <c r="O1079" s="5" t="s">
        <v>71</v>
      </c>
      <c r="P1079" s="5" t="s">
        <v>70</v>
      </c>
      <c r="Q1079" s="5" t="s">
        <v>73</v>
      </c>
      <c r="R1079" s="5" t="s">
        <v>74</v>
      </c>
      <c r="S1079" s="5" t="s">
        <v>85</v>
      </c>
      <c r="T1079" s="5" t="s">
        <v>57</v>
      </c>
      <c r="U1079" s="5" t="s">
        <v>58</v>
      </c>
      <c r="V1079" s="5" t="s">
        <v>133</v>
      </c>
      <c r="W1079" s="5" t="s">
        <v>594</v>
      </c>
      <c r="X1079" s="5" t="s">
        <v>4684</v>
      </c>
      <c r="Y1079" s="5" t="s">
        <v>4685</v>
      </c>
      <c r="Z1079" s="9">
        <v>46165</v>
      </c>
      <c r="AA1079" s="8">
        <v>12</v>
      </c>
      <c r="AB1079" s="9">
        <f t="shared" si="49"/>
        <v>46530</v>
      </c>
      <c r="AC1079" s="10">
        <v>12</v>
      </c>
      <c r="AD1079" s="7">
        <f t="shared" si="50"/>
        <v>1190</v>
      </c>
      <c r="AE1079" s="7">
        <f>IF(F1079="Bullet",H1079*AD1079,MIN(MAX(I1079,1),Assumptions!$B$6)*AD1079)</f>
        <v>2380</v>
      </c>
      <c r="AF1079" s="8">
        <f>IF(F1079="Bullet",MAX(0,Assumptions!$B$4-AB1079),MAX(0,Assumptions!$B$4-L1079))</f>
        <v>0</v>
      </c>
      <c r="AG1079" s="9"/>
      <c r="AH1079" s="8" t="str">
        <f>IF(AG1079="","",Assumptions!$B$4-AG1079)</f>
        <v/>
      </c>
      <c r="AI1079" s="5" t="s">
        <v>80</v>
      </c>
      <c r="AJ1079" s="8"/>
      <c r="AK1079" s="8">
        <v>0</v>
      </c>
      <c r="AL1079" s="8" t="s">
        <v>80</v>
      </c>
      <c r="AM1079" s="8">
        <v>0</v>
      </c>
      <c r="AN1079" s="5" t="s">
        <v>63</v>
      </c>
      <c r="AO1079" s="10">
        <v>77.8</v>
      </c>
      <c r="AP1079" s="8">
        <v>33</v>
      </c>
      <c r="AQ1079" s="9"/>
      <c r="AR1079" s="5"/>
      <c r="AS1079" s="5" t="s">
        <v>159</v>
      </c>
    </row>
    <row r="1080" spans="1:45" x14ac:dyDescent="0.35">
      <c r="A1080" s="5" t="s">
        <v>4686</v>
      </c>
      <c r="B1080" s="5" t="s">
        <v>4687</v>
      </c>
      <c r="C1080" s="6" t="s">
        <v>4688</v>
      </c>
      <c r="D1080" s="7">
        <v>284000</v>
      </c>
      <c r="E1080" s="5" t="s">
        <v>48</v>
      </c>
      <c r="F1080" s="5" t="s">
        <v>68</v>
      </c>
      <c r="G1080" s="8">
        <v>4</v>
      </c>
      <c r="H1080" s="8">
        <f>IF(F1080="Bullet",MIN(G1080,Assumptions!$B$6),"")</f>
        <v>2</v>
      </c>
      <c r="I1080" s="8"/>
      <c r="J1080" s="8" t="str">
        <f>IF(F1080="Monthly interest",MAX(0,Assumptions!$B$5-I1080),"")</f>
        <v/>
      </c>
      <c r="K1080" s="7">
        <f t="shared" si="48"/>
        <v>14200</v>
      </c>
      <c r="L1080" s="9">
        <v>46161</v>
      </c>
      <c r="M1080" s="5" t="s">
        <v>50</v>
      </c>
      <c r="N1080" s="5" t="s">
        <v>53</v>
      </c>
      <c r="O1080" s="5" t="s">
        <v>71</v>
      </c>
      <c r="P1080" s="5" t="s">
        <v>51</v>
      </c>
      <c r="Q1080" s="5" t="s">
        <v>73</v>
      </c>
      <c r="R1080" s="5" t="s">
        <v>74</v>
      </c>
      <c r="S1080" s="5" t="s">
        <v>75</v>
      </c>
      <c r="T1080" s="5" t="s">
        <v>57</v>
      </c>
      <c r="U1080" s="5" t="s">
        <v>86</v>
      </c>
      <c r="V1080" s="5" t="s">
        <v>76</v>
      </c>
      <c r="W1080" s="5" t="s">
        <v>306</v>
      </c>
      <c r="X1080" s="5" t="s">
        <v>3689</v>
      </c>
      <c r="Y1080" s="5" t="s">
        <v>4689</v>
      </c>
      <c r="Z1080" s="9">
        <v>46161</v>
      </c>
      <c r="AA1080" s="8">
        <v>12</v>
      </c>
      <c r="AB1080" s="9">
        <f t="shared" si="49"/>
        <v>46526</v>
      </c>
      <c r="AC1080" s="10">
        <v>15</v>
      </c>
      <c r="AD1080" s="7">
        <f t="shared" si="50"/>
        <v>3550</v>
      </c>
      <c r="AE1080" s="7">
        <f>IF(F1080="Bullet",H1080*AD1080,MIN(MAX(I1080,1),Assumptions!$B$6)*AD1080)</f>
        <v>7100</v>
      </c>
      <c r="AF1080" s="8">
        <f>IF(F1080="Bullet",MAX(0,Assumptions!$B$4-AB1080),MAX(0,Assumptions!$B$4-L1080))</f>
        <v>0</v>
      </c>
      <c r="AG1080" s="9"/>
      <c r="AH1080" s="8" t="str">
        <f>IF(AG1080="","",Assumptions!$B$4-AG1080)</f>
        <v/>
      </c>
      <c r="AI1080" s="5" t="s">
        <v>80</v>
      </c>
      <c r="AJ1080" s="8"/>
      <c r="AK1080" s="8">
        <v>1</v>
      </c>
      <c r="AL1080" s="8">
        <v>712</v>
      </c>
      <c r="AM1080" s="8">
        <v>1</v>
      </c>
      <c r="AN1080" s="5" t="s">
        <v>63</v>
      </c>
      <c r="AO1080" s="10">
        <v>73</v>
      </c>
      <c r="AP1080" s="8">
        <v>28</v>
      </c>
      <c r="AQ1080" s="9">
        <v>46281</v>
      </c>
      <c r="AR1080" s="5" t="s">
        <v>70</v>
      </c>
      <c r="AS1080" s="5" t="s">
        <v>181</v>
      </c>
    </row>
    <row r="1081" spans="1:45" x14ac:dyDescent="0.35">
      <c r="A1081" s="5" t="s">
        <v>4690</v>
      </c>
      <c r="B1081" s="5" t="s">
        <v>1369</v>
      </c>
      <c r="C1081" s="6" t="s">
        <v>4691</v>
      </c>
      <c r="D1081" s="7">
        <v>120400</v>
      </c>
      <c r="E1081" s="5" t="s">
        <v>48</v>
      </c>
      <c r="F1081" s="5" t="s">
        <v>49</v>
      </c>
      <c r="G1081" s="8"/>
      <c r="H1081" s="8" t="str">
        <f>IF(F1081="Bullet",MIN(G1081,Assumptions!$B$6),"")</f>
        <v/>
      </c>
      <c r="I1081" s="8">
        <v>1</v>
      </c>
      <c r="J1081" s="8">
        <f>IF(F1081="Monthly interest",MAX(0,Assumptions!$B$5-I1081),"")</f>
        <v>2</v>
      </c>
      <c r="K1081" s="7">
        <f t="shared" si="48"/>
        <v>1505</v>
      </c>
      <c r="L1081" s="9">
        <v>46271</v>
      </c>
      <c r="M1081" s="5" t="s">
        <v>69</v>
      </c>
      <c r="N1081" s="5" t="s">
        <v>51</v>
      </c>
      <c r="O1081" s="5" t="s">
        <v>52</v>
      </c>
      <c r="P1081" s="5" t="s">
        <v>53</v>
      </c>
      <c r="Q1081" s="5" t="s">
        <v>54</v>
      </c>
      <c r="R1081" s="5" t="s">
        <v>55</v>
      </c>
      <c r="S1081" s="5" t="s">
        <v>214</v>
      </c>
      <c r="T1081" s="5" t="s">
        <v>57</v>
      </c>
      <c r="U1081" s="5" t="s">
        <v>58</v>
      </c>
      <c r="V1081" s="5" t="s">
        <v>215</v>
      </c>
      <c r="W1081" s="5" t="s">
        <v>284</v>
      </c>
      <c r="X1081" s="5" t="s">
        <v>1052</v>
      </c>
      <c r="Y1081" s="5" t="s">
        <v>4692</v>
      </c>
      <c r="Z1081" s="9">
        <v>45997</v>
      </c>
      <c r="AA1081" s="8">
        <v>12</v>
      </c>
      <c r="AB1081" s="9">
        <f t="shared" si="49"/>
        <v>46362</v>
      </c>
      <c r="AC1081" s="10">
        <v>15</v>
      </c>
      <c r="AD1081" s="7">
        <f t="shared" si="50"/>
        <v>1505</v>
      </c>
      <c r="AE1081" s="7">
        <f>IF(F1081="Bullet",H1081*AD1081,MIN(MAX(I1081,1),Assumptions!$B$6)*AD1081)</f>
        <v>1505</v>
      </c>
      <c r="AF1081" s="8">
        <f>IF(F1081="Bullet",MAX(0,Assumptions!$B$4-AB1081),MAX(0,Assumptions!$B$4-L1081))</f>
        <v>27</v>
      </c>
      <c r="AG1081" s="9">
        <v>46244</v>
      </c>
      <c r="AH1081" s="8">
        <f>IF(AG1081="","",Assumptions!$B$4-AG1081)</f>
        <v>54</v>
      </c>
      <c r="AI1081" s="5" t="s">
        <v>57</v>
      </c>
      <c r="AJ1081" s="8">
        <v>1</v>
      </c>
      <c r="AK1081" s="8">
        <v>0</v>
      </c>
      <c r="AL1081" s="8">
        <v>619</v>
      </c>
      <c r="AM1081" s="8">
        <v>1</v>
      </c>
      <c r="AN1081" s="5" t="s">
        <v>63</v>
      </c>
      <c r="AO1081" s="10">
        <v>60.6</v>
      </c>
      <c r="AP1081" s="8">
        <v>38</v>
      </c>
      <c r="AQ1081" s="9">
        <v>46295</v>
      </c>
      <c r="AR1081" s="5" t="s">
        <v>70</v>
      </c>
      <c r="AS1081" s="5" t="s">
        <v>190</v>
      </c>
    </row>
    <row r="1082" spans="1:45" x14ac:dyDescent="0.35">
      <c r="A1082" s="5" t="s">
        <v>4693</v>
      </c>
      <c r="B1082" s="5" t="s">
        <v>4694</v>
      </c>
      <c r="C1082" s="6" t="s">
        <v>4695</v>
      </c>
      <c r="D1082" s="7">
        <v>112600</v>
      </c>
      <c r="E1082" s="5" t="s">
        <v>48</v>
      </c>
      <c r="F1082" s="5" t="s">
        <v>49</v>
      </c>
      <c r="G1082" s="8"/>
      <c r="H1082" s="8" t="str">
        <f>IF(F1082="Bullet",MIN(G1082,Assumptions!$B$6),"")</f>
        <v/>
      </c>
      <c r="I1082" s="8">
        <v>1</v>
      </c>
      <c r="J1082" s="8">
        <f>IF(F1082="Monthly interest",MAX(0,Assumptions!$B$5-I1082),"")</f>
        <v>2</v>
      </c>
      <c r="K1082" s="7">
        <f t="shared" si="48"/>
        <v>1408</v>
      </c>
      <c r="L1082" s="9">
        <v>46290</v>
      </c>
      <c r="M1082" s="5" t="s">
        <v>116</v>
      </c>
      <c r="N1082" s="5" t="s">
        <v>117</v>
      </c>
      <c r="O1082" s="5" t="s">
        <v>118</v>
      </c>
      <c r="P1082" s="5" t="s">
        <v>72</v>
      </c>
      <c r="Q1082" s="5" t="s">
        <v>119</v>
      </c>
      <c r="R1082" s="5" t="s">
        <v>120</v>
      </c>
      <c r="S1082" s="5" t="s">
        <v>85</v>
      </c>
      <c r="T1082" s="5" t="s">
        <v>57</v>
      </c>
      <c r="U1082" s="5" t="s">
        <v>58</v>
      </c>
      <c r="V1082" s="5" t="s">
        <v>177</v>
      </c>
      <c r="W1082" s="5" t="s">
        <v>208</v>
      </c>
      <c r="X1082" s="5" t="s">
        <v>312</v>
      </c>
      <c r="Y1082" s="5" t="s">
        <v>4696</v>
      </c>
      <c r="Z1082" s="9">
        <v>46228</v>
      </c>
      <c r="AA1082" s="8">
        <v>12</v>
      </c>
      <c r="AB1082" s="9">
        <f t="shared" si="49"/>
        <v>46593</v>
      </c>
      <c r="AC1082" s="10">
        <v>15</v>
      </c>
      <c r="AD1082" s="7">
        <f t="shared" si="50"/>
        <v>1408</v>
      </c>
      <c r="AE1082" s="7">
        <f>IF(F1082="Bullet",H1082*AD1082,MIN(MAX(I1082,1),Assumptions!$B$6)*AD1082)</f>
        <v>1408</v>
      </c>
      <c r="AF1082" s="8">
        <f>IF(F1082="Bullet",MAX(0,Assumptions!$B$4-AB1082),MAX(0,Assumptions!$B$4-L1082))</f>
        <v>8</v>
      </c>
      <c r="AG1082" s="9">
        <v>46264</v>
      </c>
      <c r="AH1082" s="8">
        <f>IF(AG1082="","",Assumptions!$B$4-AG1082)</f>
        <v>34</v>
      </c>
      <c r="AI1082" s="5" t="s">
        <v>63</v>
      </c>
      <c r="AJ1082" s="8">
        <v>1</v>
      </c>
      <c r="AK1082" s="8">
        <v>0</v>
      </c>
      <c r="AL1082" s="8">
        <v>631</v>
      </c>
      <c r="AM1082" s="8">
        <v>1</v>
      </c>
      <c r="AN1082" s="5" t="s">
        <v>57</v>
      </c>
      <c r="AO1082" s="10">
        <v>83.6</v>
      </c>
      <c r="AP1082" s="8">
        <v>56</v>
      </c>
      <c r="AQ1082" s="9"/>
      <c r="AR1082" s="5"/>
      <c r="AS1082" s="5" t="s">
        <v>159</v>
      </c>
    </row>
    <row r="1083" spans="1:45" x14ac:dyDescent="0.35">
      <c r="A1083" s="5" t="s">
        <v>4697</v>
      </c>
      <c r="B1083" s="5" t="s">
        <v>4183</v>
      </c>
      <c r="C1083" s="6" t="s">
        <v>4698</v>
      </c>
      <c r="D1083" s="7">
        <v>296900</v>
      </c>
      <c r="E1083" s="5" t="s">
        <v>48</v>
      </c>
      <c r="F1083" s="5" t="s">
        <v>49</v>
      </c>
      <c r="G1083" s="8"/>
      <c r="H1083" s="8" t="str">
        <f>IF(F1083="Bullet",MIN(G1083,Assumptions!$B$6),"")</f>
        <v/>
      </c>
      <c r="I1083" s="8">
        <v>2</v>
      </c>
      <c r="J1083" s="8">
        <f>IF(F1083="Monthly interest",MAX(0,Assumptions!$B$5-I1083),"")</f>
        <v>1</v>
      </c>
      <c r="K1083" s="7">
        <f t="shared" si="48"/>
        <v>10886</v>
      </c>
      <c r="L1083" s="9">
        <v>46252</v>
      </c>
      <c r="M1083" s="5" t="s">
        <v>116</v>
      </c>
      <c r="N1083" s="5" t="s">
        <v>117</v>
      </c>
      <c r="O1083" s="5" t="s">
        <v>118</v>
      </c>
      <c r="P1083" s="5" t="s">
        <v>72</v>
      </c>
      <c r="Q1083" s="5" t="s">
        <v>119</v>
      </c>
      <c r="R1083" s="5" t="s">
        <v>120</v>
      </c>
      <c r="S1083" s="5" t="s">
        <v>185</v>
      </c>
      <c r="T1083" s="5" t="s">
        <v>57</v>
      </c>
      <c r="U1083" s="5" t="s">
        <v>104</v>
      </c>
      <c r="V1083" s="5" t="s">
        <v>200</v>
      </c>
      <c r="W1083" s="5" t="s">
        <v>500</v>
      </c>
      <c r="X1083" s="5" t="s">
        <v>1495</v>
      </c>
      <c r="Y1083" s="5" t="s">
        <v>4699</v>
      </c>
      <c r="Z1083" s="9">
        <v>45979</v>
      </c>
      <c r="AA1083" s="8">
        <v>24</v>
      </c>
      <c r="AB1083" s="9">
        <f t="shared" si="49"/>
        <v>46709</v>
      </c>
      <c r="AC1083" s="10">
        <v>22</v>
      </c>
      <c r="AD1083" s="7">
        <f t="shared" si="50"/>
        <v>5443</v>
      </c>
      <c r="AE1083" s="7">
        <f>IF(F1083="Bullet",H1083*AD1083,MIN(MAX(I1083,1),Assumptions!$B$6)*AD1083)</f>
        <v>10886</v>
      </c>
      <c r="AF1083" s="8">
        <f>IF(F1083="Bullet",MAX(0,Assumptions!$B$4-AB1083),MAX(0,Assumptions!$B$4-L1083))</f>
        <v>46</v>
      </c>
      <c r="AG1083" s="9">
        <v>46226</v>
      </c>
      <c r="AH1083" s="8">
        <f>IF(AG1083="","",Assumptions!$B$4-AG1083)</f>
        <v>72</v>
      </c>
      <c r="AI1083" s="5" t="s">
        <v>63</v>
      </c>
      <c r="AJ1083" s="8">
        <v>2</v>
      </c>
      <c r="AK1083" s="8">
        <v>0</v>
      </c>
      <c r="AL1083" s="8">
        <v>678</v>
      </c>
      <c r="AM1083" s="8">
        <v>1</v>
      </c>
      <c r="AN1083" s="5" t="s">
        <v>63</v>
      </c>
      <c r="AO1083" s="10">
        <v>72.5</v>
      </c>
      <c r="AP1083" s="8">
        <v>48</v>
      </c>
      <c r="AQ1083" s="9">
        <v>46283</v>
      </c>
      <c r="AR1083" s="5" t="s">
        <v>53</v>
      </c>
      <c r="AS1083" s="5" t="s">
        <v>181</v>
      </c>
    </row>
    <row r="1084" spans="1:45" x14ac:dyDescent="0.35">
      <c r="A1084" s="5" t="s">
        <v>4700</v>
      </c>
      <c r="B1084" s="5" t="s">
        <v>2003</v>
      </c>
      <c r="C1084" s="6" t="s">
        <v>4701</v>
      </c>
      <c r="D1084" s="7">
        <v>383800</v>
      </c>
      <c r="E1084" s="5" t="s">
        <v>48</v>
      </c>
      <c r="F1084" s="5" t="s">
        <v>49</v>
      </c>
      <c r="G1084" s="8"/>
      <c r="H1084" s="8" t="str">
        <f>IF(F1084="Bullet",MIN(G1084,Assumptions!$B$6),"")</f>
        <v/>
      </c>
      <c r="I1084" s="8">
        <v>1</v>
      </c>
      <c r="J1084" s="8">
        <f>IF(F1084="Monthly interest",MAX(0,Assumptions!$B$5-I1084),"")</f>
        <v>2</v>
      </c>
      <c r="K1084" s="7">
        <f t="shared" si="48"/>
        <v>4478</v>
      </c>
      <c r="L1084" s="9">
        <v>46280</v>
      </c>
      <c r="M1084" s="5" t="s">
        <v>50</v>
      </c>
      <c r="N1084" s="5" t="s">
        <v>53</v>
      </c>
      <c r="O1084" s="5" t="s">
        <v>103</v>
      </c>
      <c r="P1084" s="5" t="s">
        <v>51</v>
      </c>
      <c r="Q1084" s="5" t="s">
        <v>54</v>
      </c>
      <c r="R1084" s="5" t="s">
        <v>55</v>
      </c>
      <c r="S1084" s="5" t="s">
        <v>75</v>
      </c>
      <c r="T1084" s="5" t="s">
        <v>57</v>
      </c>
      <c r="U1084" s="5" t="s">
        <v>58</v>
      </c>
      <c r="V1084" s="5" t="s">
        <v>76</v>
      </c>
      <c r="W1084" s="5" t="s">
        <v>444</v>
      </c>
      <c r="X1084" s="5" t="s">
        <v>631</v>
      </c>
      <c r="Y1084" s="5" t="s">
        <v>4702</v>
      </c>
      <c r="Z1084" s="9">
        <v>46096</v>
      </c>
      <c r="AA1084" s="8">
        <v>24</v>
      </c>
      <c r="AB1084" s="9">
        <f t="shared" si="49"/>
        <v>46827</v>
      </c>
      <c r="AC1084" s="10">
        <v>14</v>
      </c>
      <c r="AD1084" s="7">
        <f t="shared" si="50"/>
        <v>4478</v>
      </c>
      <c r="AE1084" s="7">
        <f>IF(F1084="Bullet",H1084*AD1084,MIN(MAX(I1084,1),Assumptions!$B$6)*AD1084)</f>
        <v>4478</v>
      </c>
      <c r="AF1084" s="8">
        <f>IF(F1084="Bullet",MAX(0,Assumptions!$B$4-AB1084),MAX(0,Assumptions!$B$4-L1084))</f>
        <v>18</v>
      </c>
      <c r="AG1084" s="9">
        <v>46252</v>
      </c>
      <c r="AH1084" s="8">
        <f>IF(AG1084="","",Assumptions!$B$4-AG1084)</f>
        <v>46</v>
      </c>
      <c r="AI1084" s="5" t="s">
        <v>63</v>
      </c>
      <c r="AJ1084" s="8">
        <v>1</v>
      </c>
      <c r="AK1084" s="8">
        <v>0</v>
      </c>
      <c r="AL1084" s="8">
        <v>680</v>
      </c>
      <c r="AM1084" s="8">
        <v>1</v>
      </c>
      <c r="AN1084" s="5" t="s">
        <v>63</v>
      </c>
      <c r="AO1084" s="10">
        <v>61.3</v>
      </c>
      <c r="AP1084" s="8">
        <v>23</v>
      </c>
      <c r="AQ1084" s="9">
        <v>46274</v>
      </c>
      <c r="AR1084" s="5" t="s">
        <v>51</v>
      </c>
      <c r="AS1084" s="5" t="s">
        <v>81</v>
      </c>
    </row>
    <row r="1085" spans="1:45" x14ac:dyDescent="0.35">
      <c r="A1085" s="5" t="s">
        <v>4703</v>
      </c>
      <c r="B1085" s="5" t="s">
        <v>1187</v>
      </c>
      <c r="C1085" s="6" t="s">
        <v>4704</v>
      </c>
      <c r="D1085" s="7">
        <v>120700</v>
      </c>
      <c r="E1085" s="5" t="s">
        <v>48</v>
      </c>
      <c r="F1085" s="5" t="s">
        <v>49</v>
      </c>
      <c r="G1085" s="8"/>
      <c r="H1085" s="8" t="str">
        <f>IF(F1085="Bullet",MIN(G1085,Assumptions!$B$6),"")</f>
        <v/>
      </c>
      <c r="I1085" s="8">
        <v>1</v>
      </c>
      <c r="J1085" s="8">
        <f>IF(F1085="Monthly interest",MAX(0,Assumptions!$B$5-I1085),"")</f>
        <v>2</v>
      </c>
      <c r="K1085" s="7">
        <f t="shared" si="48"/>
        <v>1509</v>
      </c>
      <c r="L1085" s="9">
        <v>46276</v>
      </c>
      <c r="M1085" s="5" t="s">
        <v>50</v>
      </c>
      <c r="N1085" s="5" t="s">
        <v>53</v>
      </c>
      <c r="O1085" s="5" t="s">
        <v>95</v>
      </c>
      <c r="P1085" s="5" t="s">
        <v>70</v>
      </c>
      <c r="Q1085" s="5" t="s">
        <v>54</v>
      </c>
      <c r="R1085" s="5" t="s">
        <v>55</v>
      </c>
      <c r="S1085" s="5" t="s">
        <v>253</v>
      </c>
      <c r="T1085" s="5" t="s">
        <v>63</v>
      </c>
      <c r="U1085" s="5" t="s">
        <v>58</v>
      </c>
      <c r="V1085" s="5" t="s">
        <v>96</v>
      </c>
      <c r="W1085" s="5" t="s">
        <v>171</v>
      </c>
      <c r="X1085" s="5" t="s">
        <v>3609</v>
      </c>
      <c r="Y1085" s="5" t="s">
        <v>4705</v>
      </c>
      <c r="Z1085" s="9">
        <v>46123</v>
      </c>
      <c r="AA1085" s="8">
        <v>12</v>
      </c>
      <c r="AB1085" s="9">
        <f t="shared" si="49"/>
        <v>46488</v>
      </c>
      <c r="AC1085" s="10">
        <v>15</v>
      </c>
      <c r="AD1085" s="7">
        <f t="shared" si="50"/>
        <v>1509</v>
      </c>
      <c r="AE1085" s="7">
        <f>IF(F1085="Bullet",H1085*AD1085,MIN(MAX(I1085,1),Assumptions!$B$6)*AD1085)</f>
        <v>1509</v>
      </c>
      <c r="AF1085" s="8">
        <f>IF(F1085="Bullet",MAX(0,Assumptions!$B$4-AB1085),MAX(0,Assumptions!$B$4-L1085))</f>
        <v>22</v>
      </c>
      <c r="AG1085" s="9">
        <v>46249</v>
      </c>
      <c r="AH1085" s="8">
        <f>IF(AG1085="","",Assumptions!$B$4-AG1085)</f>
        <v>49</v>
      </c>
      <c r="AI1085" s="5" t="s">
        <v>57</v>
      </c>
      <c r="AJ1085" s="8">
        <v>1</v>
      </c>
      <c r="AK1085" s="8">
        <v>0</v>
      </c>
      <c r="AL1085" s="8" t="s">
        <v>80</v>
      </c>
      <c r="AM1085" s="8">
        <v>1</v>
      </c>
      <c r="AN1085" s="5" t="s">
        <v>63</v>
      </c>
      <c r="AO1085" s="10">
        <v>70.5</v>
      </c>
      <c r="AP1085" s="8">
        <v>27</v>
      </c>
      <c r="AQ1085" s="9">
        <v>46283</v>
      </c>
      <c r="AR1085" s="5" t="s">
        <v>53</v>
      </c>
      <c r="AS1085" s="5" t="s">
        <v>190</v>
      </c>
    </row>
    <row r="1086" spans="1:45" x14ac:dyDescent="0.35">
      <c r="A1086" s="5" t="s">
        <v>4706</v>
      </c>
      <c r="B1086" s="5" t="s">
        <v>4707</v>
      </c>
      <c r="C1086" s="6" t="s">
        <v>4708</v>
      </c>
      <c r="D1086" s="7">
        <v>19700</v>
      </c>
      <c r="E1086" s="5" t="s">
        <v>48</v>
      </c>
      <c r="F1086" s="5" t="s">
        <v>68</v>
      </c>
      <c r="G1086" s="8">
        <v>4</v>
      </c>
      <c r="H1086" s="8">
        <f>IF(F1086="Bullet",MIN(G1086,Assumptions!$B$6),"")</f>
        <v>2</v>
      </c>
      <c r="I1086" s="8"/>
      <c r="J1086" s="8" t="str">
        <f>IF(F1086="Monthly interest",MAX(0,Assumptions!$B$5-I1086),"")</f>
        <v/>
      </c>
      <c r="K1086" s="7">
        <f t="shared" si="48"/>
        <v>984</v>
      </c>
      <c r="L1086" s="9">
        <v>46159</v>
      </c>
      <c r="M1086" s="5" t="s">
        <v>50</v>
      </c>
      <c r="N1086" s="5" t="s">
        <v>53</v>
      </c>
      <c r="O1086" s="5" t="s">
        <v>152</v>
      </c>
      <c r="P1086" s="5" t="s">
        <v>153</v>
      </c>
      <c r="Q1086" s="5" t="s">
        <v>154</v>
      </c>
      <c r="R1086" s="5" t="s">
        <v>155</v>
      </c>
      <c r="S1086" s="5" t="s">
        <v>214</v>
      </c>
      <c r="T1086" s="5" t="s">
        <v>57</v>
      </c>
      <c r="U1086" s="5" t="s">
        <v>86</v>
      </c>
      <c r="V1086" s="5" t="s">
        <v>215</v>
      </c>
      <c r="W1086" s="5" t="s">
        <v>600</v>
      </c>
      <c r="X1086" s="5" t="s">
        <v>3582</v>
      </c>
      <c r="Y1086" s="5" t="s">
        <v>4709</v>
      </c>
      <c r="Z1086" s="9">
        <v>46159</v>
      </c>
      <c r="AA1086" s="8">
        <v>6</v>
      </c>
      <c r="AB1086" s="9">
        <f t="shared" si="49"/>
        <v>46343</v>
      </c>
      <c r="AC1086" s="10">
        <v>15</v>
      </c>
      <c r="AD1086" s="7">
        <f t="shared" si="50"/>
        <v>246</v>
      </c>
      <c r="AE1086" s="7">
        <f>IF(F1086="Bullet",H1086*AD1086,MIN(MAX(I1086,1),Assumptions!$B$6)*AD1086)</f>
        <v>492</v>
      </c>
      <c r="AF1086" s="8">
        <f>IF(F1086="Bullet",MAX(0,Assumptions!$B$4-AB1086),MAX(0,Assumptions!$B$4-L1086))</f>
        <v>0</v>
      </c>
      <c r="AG1086" s="9"/>
      <c r="AH1086" s="8" t="str">
        <f>IF(AG1086="","",Assumptions!$B$4-AG1086)</f>
        <v/>
      </c>
      <c r="AI1086" s="5" t="s">
        <v>80</v>
      </c>
      <c r="AJ1086" s="8"/>
      <c r="AK1086" s="8">
        <v>1</v>
      </c>
      <c r="AL1086" s="8">
        <v>721</v>
      </c>
      <c r="AM1086" s="8">
        <v>1</v>
      </c>
      <c r="AN1086" s="5" t="s">
        <v>63</v>
      </c>
      <c r="AO1086" s="10">
        <v>66.7</v>
      </c>
      <c r="AP1086" s="8">
        <v>29</v>
      </c>
      <c r="AQ1086" s="9">
        <v>46283</v>
      </c>
      <c r="AR1086" s="5" t="s">
        <v>51</v>
      </c>
      <c r="AS1086" s="5" t="s">
        <v>81</v>
      </c>
    </row>
    <row r="1087" spans="1:45" x14ac:dyDescent="0.35">
      <c r="A1087" s="5" t="s">
        <v>4710</v>
      </c>
      <c r="B1087" s="5" t="s">
        <v>4711</v>
      </c>
      <c r="C1087" s="6" t="s">
        <v>4712</v>
      </c>
      <c r="D1087" s="7">
        <v>322300</v>
      </c>
      <c r="E1087" s="5" t="s">
        <v>48</v>
      </c>
      <c r="F1087" s="5" t="s">
        <v>68</v>
      </c>
      <c r="G1087" s="8">
        <v>2</v>
      </c>
      <c r="H1087" s="8">
        <f>IF(F1087="Bullet",MIN(G1087,Assumptions!$B$6),"")</f>
        <v>2</v>
      </c>
      <c r="I1087" s="8"/>
      <c r="J1087" s="8" t="str">
        <f>IF(F1087="Monthly interest",MAX(0,Assumptions!$B$5-I1087),"")</f>
        <v/>
      </c>
      <c r="K1087" s="7">
        <f t="shared" si="48"/>
        <v>6984</v>
      </c>
      <c r="L1087" s="9">
        <v>46236</v>
      </c>
      <c r="M1087" s="5" t="s">
        <v>50</v>
      </c>
      <c r="N1087" s="5" t="s">
        <v>53</v>
      </c>
      <c r="O1087" s="5" t="s">
        <v>132</v>
      </c>
      <c r="P1087" s="5" t="s">
        <v>70</v>
      </c>
      <c r="Q1087" s="5" t="s">
        <v>73</v>
      </c>
      <c r="R1087" s="5" t="s">
        <v>74</v>
      </c>
      <c r="S1087" s="5" t="s">
        <v>185</v>
      </c>
      <c r="T1087" s="5" t="s">
        <v>63</v>
      </c>
      <c r="U1087" s="5" t="s">
        <v>58</v>
      </c>
      <c r="V1087" s="5" t="s">
        <v>200</v>
      </c>
      <c r="W1087" s="5" t="s">
        <v>201</v>
      </c>
      <c r="X1087" s="5" t="s">
        <v>202</v>
      </c>
      <c r="Y1087" s="5" t="s">
        <v>4713</v>
      </c>
      <c r="Z1087" s="9">
        <v>46236</v>
      </c>
      <c r="AA1087" s="8">
        <v>12</v>
      </c>
      <c r="AB1087" s="9">
        <f t="shared" si="49"/>
        <v>46601</v>
      </c>
      <c r="AC1087" s="10">
        <v>13</v>
      </c>
      <c r="AD1087" s="7">
        <f t="shared" si="50"/>
        <v>3492</v>
      </c>
      <c r="AE1087" s="7">
        <f>IF(F1087="Bullet",H1087*AD1087,MIN(MAX(I1087,1),Assumptions!$B$6)*AD1087)</f>
        <v>6984</v>
      </c>
      <c r="AF1087" s="8">
        <f>IF(F1087="Bullet",MAX(0,Assumptions!$B$4-AB1087),MAX(0,Assumptions!$B$4-L1087))</f>
        <v>0</v>
      </c>
      <c r="AG1087" s="9"/>
      <c r="AH1087" s="8" t="str">
        <f>IF(AG1087="","",Assumptions!$B$4-AG1087)</f>
        <v/>
      </c>
      <c r="AI1087" s="5" t="s">
        <v>80</v>
      </c>
      <c r="AJ1087" s="8"/>
      <c r="AK1087" s="8">
        <v>1</v>
      </c>
      <c r="AL1087" s="8">
        <v>669</v>
      </c>
      <c r="AM1087" s="8">
        <v>2</v>
      </c>
      <c r="AN1087" s="5" t="s">
        <v>63</v>
      </c>
      <c r="AO1087" s="10">
        <v>68.3</v>
      </c>
      <c r="AP1087" s="8">
        <v>28</v>
      </c>
      <c r="AQ1087" s="9">
        <v>46277</v>
      </c>
      <c r="AR1087" s="5" t="s">
        <v>51</v>
      </c>
      <c r="AS1087" s="5" t="s">
        <v>91</v>
      </c>
    </row>
    <row r="1088" spans="1:45" x14ac:dyDescent="0.35">
      <c r="A1088" s="5" t="s">
        <v>4714</v>
      </c>
      <c r="B1088" s="5" t="s">
        <v>4715</v>
      </c>
      <c r="C1088" s="6" t="s">
        <v>4716</v>
      </c>
      <c r="D1088" s="7">
        <v>40500</v>
      </c>
      <c r="E1088" s="5" t="s">
        <v>48</v>
      </c>
      <c r="F1088" s="5" t="s">
        <v>49</v>
      </c>
      <c r="G1088" s="8"/>
      <c r="H1088" s="8" t="str">
        <f>IF(F1088="Bullet",MIN(G1088,Assumptions!$B$6),"")</f>
        <v/>
      </c>
      <c r="I1088" s="8">
        <v>1</v>
      </c>
      <c r="J1088" s="8">
        <f>IF(F1088="Monthly interest",MAX(0,Assumptions!$B$5-I1088),"")</f>
        <v>2</v>
      </c>
      <c r="K1088" s="7">
        <f t="shared" si="48"/>
        <v>473</v>
      </c>
      <c r="L1088" s="9">
        <v>46284</v>
      </c>
      <c r="M1088" s="5" t="s">
        <v>50</v>
      </c>
      <c r="N1088" s="5" t="s">
        <v>51</v>
      </c>
      <c r="O1088" s="5" t="s">
        <v>152</v>
      </c>
      <c r="P1088" s="5" t="s">
        <v>53</v>
      </c>
      <c r="Q1088" s="5" t="s">
        <v>154</v>
      </c>
      <c r="R1088" s="5" t="s">
        <v>155</v>
      </c>
      <c r="S1088" s="5" t="s">
        <v>214</v>
      </c>
      <c r="T1088" s="5" t="s">
        <v>57</v>
      </c>
      <c r="U1088" s="5" t="s">
        <v>58</v>
      </c>
      <c r="V1088" s="5" t="s">
        <v>215</v>
      </c>
      <c r="W1088" s="5" t="s">
        <v>242</v>
      </c>
      <c r="X1088" s="5" t="s">
        <v>797</v>
      </c>
      <c r="Y1088" s="5" t="s">
        <v>4717</v>
      </c>
      <c r="Z1088" s="9">
        <v>46041</v>
      </c>
      <c r="AA1088" s="8">
        <v>12</v>
      </c>
      <c r="AB1088" s="9">
        <f t="shared" si="49"/>
        <v>46406</v>
      </c>
      <c r="AC1088" s="10">
        <v>14</v>
      </c>
      <c r="AD1088" s="7">
        <f t="shared" si="50"/>
        <v>473</v>
      </c>
      <c r="AE1088" s="7">
        <f>IF(F1088="Bullet",H1088*AD1088,MIN(MAX(I1088,1),Assumptions!$B$6)*AD1088)</f>
        <v>473</v>
      </c>
      <c r="AF1088" s="8">
        <f>IF(F1088="Bullet",MAX(0,Assumptions!$B$4-AB1088),MAX(0,Assumptions!$B$4-L1088))</f>
        <v>14</v>
      </c>
      <c r="AG1088" s="9">
        <v>46253</v>
      </c>
      <c r="AH1088" s="8">
        <f>IF(AG1088="","",Assumptions!$B$4-AG1088)</f>
        <v>45</v>
      </c>
      <c r="AI1088" s="5" t="s">
        <v>63</v>
      </c>
      <c r="AJ1088" s="8">
        <v>1</v>
      </c>
      <c r="AK1088" s="8">
        <v>1</v>
      </c>
      <c r="AL1088" s="8">
        <v>776</v>
      </c>
      <c r="AM1088" s="8">
        <v>1</v>
      </c>
      <c r="AN1088" s="5" t="s">
        <v>63</v>
      </c>
      <c r="AO1088" s="10">
        <v>62.2</v>
      </c>
      <c r="AP1088" s="8">
        <v>20</v>
      </c>
      <c r="AQ1088" s="9">
        <v>46286</v>
      </c>
      <c r="AR1088" s="5" t="s">
        <v>53</v>
      </c>
      <c r="AS1088" s="5" t="s">
        <v>91</v>
      </c>
    </row>
    <row r="1089" spans="1:45" x14ac:dyDescent="0.35">
      <c r="A1089" s="5" t="s">
        <v>4718</v>
      </c>
      <c r="B1089" s="5" t="s">
        <v>4719</v>
      </c>
      <c r="C1089" s="6" t="s">
        <v>4720</v>
      </c>
      <c r="D1089" s="7">
        <v>119600</v>
      </c>
      <c r="E1089" s="5" t="s">
        <v>48</v>
      </c>
      <c r="F1089" s="5" t="s">
        <v>49</v>
      </c>
      <c r="G1089" s="8"/>
      <c r="H1089" s="8" t="str">
        <f>IF(F1089="Bullet",MIN(G1089,Assumptions!$B$6),"")</f>
        <v/>
      </c>
      <c r="I1089" s="8">
        <v>1</v>
      </c>
      <c r="J1089" s="8">
        <f>IF(F1089="Monthly interest",MAX(0,Assumptions!$B$5-I1089),"")</f>
        <v>2</v>
      </c>
      <c r="K1089" s="7">
        <f t="shared" si="48"/>
        <v>1993</v>
      </c>
      <c r="L1089" s="9">
        <v>46276</v>
      </c>
      <c r="M1089" s="5" t="s">
        <v>69</v>
      </c>
      <c r="N1089" s="5" t="s">
        <v>53</v>
      </c>
      <c r="O1089" s="5" t="s">
        <v>95</v>
      </c>
      <c r="P1089" s="5" t="s">
        <v>70</v>
      </c>
      <c r="Q1089" s="5" t="s">
        <v>54</v>
      </c>
      <c r="R1089" s="5" t="s">
        <v>55</v>
      </c>
      <c r="S1089" s="5" t="s">
        <v>85</v>
      </c>
      <c r="T1089" s="5" t="s">
        <v>63</v>
      </c>
      <c r="U1089" s="5" t="s">
        <v>104</v>
      </c>
      <c r="V1089" s="5" t="s">
        <v>177</v>
      </c>
      <c r="W1089" s="5" t="s">
        <v>345</v>
      </c>
      <c r="X1089" s="5" t="s">
        <v>456</v>
      </c>
      <c r="Y1089" s="5" t="s">
        <v>4721</v>
      </c>
      <c r="Z1089" s="9">
        <v>46123</v>
      </c>
      <c r="AA1089" s="8">
        <v>24</v>
      </c>
      <c r="AB1089" s="9">
        <f t="shared" si="49"/>
        <v>46854</v>
      </c>
      <c r="AC1089" s="10">
        <v>20</v>
      </c>
      <c r="AD1089" s="7">
        <f t="shared" si="50"/>
        <v>1993</v>
      </c>
      <c r="AE1089" s="7">
        <f>IF(F1089="Bullet",H1089*AD1089,MIN(MAX(I1089,1),Assumptions!$B$6)*AD1089)</f>
        <v>1993</v>
      </c>
      <c r="AF1089" s="8">
        <f>IF(F1089="Bullet",MAX(0,Assumptions!$B$4-AB1089),MAX(0,Assumptions!$B$4-L1089))</f>
        <v>22</v>
      </c>
      <c r="AG1089" s="9">
        <v>46248</v>
      </c>
      <c r="AH1089" s="8">
        <f>IF(AG1089="","",Assumptions!$B$4-AG1089)</f>
        <v>50</v>
      </c>
      <c r="AI1089" s="5" t="s">
        <v>63</v>
      </c>
      <c r="AJ1089" s="8">
        <v>1</v>
      </c>
      <c r="AK1089" s="8">
        <v>0</v>
      </c>
      <c r="AL1089" s="8">
        <v>666</v>
      </c>
      <c r="AM1089" s="8">
        <v>1</v>
      </c>
      <c r="AN1089" s="5" t="s">
        <v>63</v>
      </c>
      <c r="AO1089" s="10">
        <v>68.3</v>
      </c>
      <c r="AP1089" s="8">
        <v>32</v>
      </c>
      <c r="AQ1089" s="9"/>
      <c r="AR1089" s="5"/>
      <c r="AS1089" s="5" t="s">
        <v>159</v>
      </c>
    </row>
    <row r="1090" spans="1:45" x14ac:dyDescent="0.35">
      <c r="A1090" s="5" t="s">
        <v>4722</v>
      </c>
      <c r="B1090" s="5" t="s">
        <v>4723</v>
      </c>
      <c r="C1090" s="6" t="s">
        <v>4724</v>
      </c>
      <c r="D1090" s="7">
        <v>124000</v>
      </c>
      <c r="E1090" s="5" t="s">
        <v>48</v>
      </c>
      <c r="F1090" s="5" t="s">
        <v>49</v>
      </c>
      <c r="G1090" s="8"/>
      <c r="H1090" s="8" t="str">
        <f>IF(F1090="Bullet",MIN(G1090,Assumptions!$B$6),"")</f>
        <v/>
      </c>
      <c r="I1090" s="8">
        <v>2</v>
      </c>
      <c r="J1090" s="8">
        <f>IF(F1090="Monthly interest",MAX(0,Assumptions!$B$5-I1090),"")</f>
        <v>1</v>
      </c>
      <c r="K1090" s="7">
        <f t="shared" ref="K1090:K1153" si="51">IF(F1090="Bullet",G1090*AD1090,MAX(I1090,1)*AD1090)</f>
        <v>2894</v>
      </c>
      <c r="L1090" s="9">
        <v>46249</v>
      </c>
      <c r="M1090" s="5" t="s">
        <v>69</v>
      </c>
      <c r="N1090" s="5" t="s">
        <v>53</v>
      </c>
      <c r="O1090" s="5" t="s">
        <v>71</v>
      </c>
      <c r="P1090" s="5" t="s">
        <v>70</v>
      </c>
      <c r="Q1090" s="5" t="s">
        <v>73</v>
      </c>
      <c r="R1090" s="5" t="s">
        <v>74</v>
      </c>
      <c r="S1090" s="5" t="s">
        <v>185</v>
      </c>
      <c r="T1090" s="5" t="s">
        <v>57</v>
      </c>
      <c r="U1090" s="5" t="s">
        <v>86</v>
      </c>
      <c r="V1090" s="5" t="s">
        <v>200</v>
      </c>
      <c r="W1090" s="5" t="s">
        <v>433</v>
      </c>
      <c r="X1090" s="5" t="s">
        <v>2668</v>
      </c>
      <c r="Y1090" s="5" t="s">
        <v>4725</v>
      </c>
      <c r="Z1090" s="9">
        <v>46068</v>
      </c>
      <c r="AA1090" s="8">
        <v>12</v>
      </c>
      <c r="AB1090" s="9">
        <f t="shared" ref="AB1090:AB1153" si="52">EDATE(Z1090,AA1090)</f>
        <v>46433</v>
      </c>
      <c r="AC1090" s="10">
        <v>14</v>
      </c>
      <c r="AD1090" s="7">
        <f t="shared" ref="AD1090:AD1153" si="53">ROUND(D1090*AC1090/100/12,0)</f>
        <v>1447</v>
      </c>
      <c r="AE1090" s="7">
        <f>IF(F1090="Bullet",H1090*AD1090,MIN(MAX(I1090,1),Assumptions!$B$6)*AD1090)</f>
        <v>2894</v>
      </c>
      <c r="AF1090" s="8">
        <f>IF(F1090="Bullet",MAX(0,Assumptions!$B$4-AB1090),MAX(0,Assumptions!$B$4-L1090))</f>
        <v>49</v>
      </c>
      <c r="AG1090" s="9">
        <v>46220</v>
      </c>
      <c r="AH1090" s="8">
        <f>IF(AG1090="","",Assumptions!$B$4-AG1090)</f>
        <v>78</v>
      </c>
      <c r="AI1090" s="5" t="s">
        <v>63</v>
      </c>
      <c r="AJ1090" s="8">
        <v>3</v>
      </c>
      <c r="AK1090" s="8">
        <v>0</v>
      </c>
      <c r="AL1090" s="8" t="s">
        <v>80</v>
      </c>
      <c r="AM1090" s="8">
        <v>0</v>
      </c>
      <c r="AN1090" s="5" t="s">
        <v>63</v>
      </c>
      <c r="AO1090" s="10">
        <v>53.2</v>
      </c>
      <c r="AP1090" s="8">
        <v>45</v>
      </c>
      <c r="AQ1090" s="9"/>
      <c r="AR1090" s="5"/>
      <c r="AS1090" s="5" t="s">
        <v>159</v>
      </c>
    </row>
    <row r="1091" spans="1:45" x14ac:dyDescent="0.35">
      <c r="A1091" s="5" t="s">
        <v>4726</v>
      </c>
      <c r="B1091" s="5" t="s">
        <v>2828</v>
      </c>
      <c r="C1091" s="6" t="s">
        <v>4727</v>
      </c>
      <c r="D1091" s="7">
        <v>107800</v>
      </c>
      <c r="E1091" s="5" t="s">
        <v>48</v>
      </c>
      <c r="F1091" s="5" t="s">
        <v>49</v>
      </c>
      <c r="G1091" s="8"/>
      <c r="H1091" s="8" t="str">
        <f>IF(F1091="Bullet",MIN(G1091,Assumptions!$B$6),"")</f>
        <v/>
      </c>
      <c r="I1091" s="8">
        <v>1</v>
      </c>
      <c r="J1091" s="8">
        <f>IF(F1091="Monthly interest",MAX(0,Assumptions!$B$5-I1091),"")</f>
        <v>2</v>
      </c>
      <c r="K1091" s="7">
        <f t="shared" si="51"/>
        <v>2156</v>
      </c>
      <c r="L1091" s="9">
        <v>46286</v>
      </c>
      <c r="M1091" s="5" t="s">
        <v>50</v>
      </c>
      <c r="N1091" s="5" t="s">
        <v>51</v>
      </c>
      <c r="O1091" s="5" t="s">
        <v>52</v>
      </c>
      <c r="P1091" s="5" t="s">
        <v>53</v>
      </c>
      <c r="Q1091" s="5" t="s">
        <v>54</v>
      </c>
      <c r="R1091" s="5" t="s">
        <v>55</v>
      </c>
      <c r="S1091" s="5" t="s">
        <v>56</v>
      </c>
      <c r="T1091" s="5" t="s">
        <v>57</v>
      </c>
      <c r="U1091" s="5" t="s">
        <v>86</v>
      </c>
      <c r="V1091" s="5" t="s">
        <v>59</v>
      </c>
      <c r="W1091" s="5" t="s">
        <v>300</v>
      </c>
      <c r="X1091" s="5" t="s">
        <v>970</v>
      </c>
      <c r="Y1091" s="5" t="s">
        <v>4728</v>
      </c>
      <c r="Z1091" s="9">
        <v>46194</v>
      </c>
      <c r="AA1091" s="8">
        <v>24</v>
      </c>
      <c r="AB1091" s="9">
        <f t="shared" si="52"/>
        <v>46925</v>
      </c>
      <c r="AC1091" s="10">
        <v>24</v>
      </c>
      <c r="AD1091" s="7">
        <f t="shared" si="53"/>
        <v>2156</v>
      </c>
      <c r="AE1091" s="7">
        <f>IF(F1091="Bullet",H1091*AD1091,MIN(MAX(I1091,1),Assumptions!$B$6)*AD1091)</f>
        <v>2156</v>
      </c>
      <c r="AF1091" s="8">
        <f>IF(F1091="Bullet",MAX(0,Assumptions!$B$4-AB1091),MAX(0,Assumptions!$B$4-L1091))</f>
        <v>12</v>
      </c>
      <c r="AG1091" s="9">
        <v>46258</v>
      </c>
      <c r="AH1091" s="8">
        <f>IF(AG1091="","",Assumptions!$B$4-AG1091)</f>
        <v>40</v>
      </c>
      <c r="AI1091" s="5" t="s">
        <v>63</v>
      </c>
      <c r="AJ1091" s="8">
        <v>1</v>
      </c>
      <c r="AK1091" s="8">
        <v>0</v>
      </c>
      <c r="AL1091" s="8">
        <v>772</v>
      </c>
      <c r="AM1091" s="8">
        <v>0</v>
      </c>
      <c r="AN1091" s="5" t="s">
        <v>63</v>
      </c>
      <c r="AO1091" s="10">
        <v>74.7</v>
      </c>
      <c r="AP1091" s="8">
        <v>17</v>
      </c>
      <c r="AQ1091" s="9"/>
      <c r="AR1091" s="5"/>
      <c r="AS1091" s="5" t="s">
        <v>159</v>
      </c>
    </row>
    <row r="1092" spans="1:45" x14ac:dyDescent="0.35">
      <c r="A1092" s="5" t="s">
        <v>4729</v>
      </c>
      <c r="B1092" s="5" t="s">
        <v>1169</v>
      </c>
      <c r="C1092" s="6" t="s">
        <v>4730</v>
      </c>
      <c r="D1092" s="7">
        <v>95000</v>
      </c>
      <c r="E1092" s="5" t="s">
        <v>48</v>
      </c>
      <c r="F1092" s="5" t="s">
        <v>68</v>
      </c>
      <c r="G1092" s="8">
        <v>5</v>
      </c>
      <c r="H1092" s="8">
        <f>IF(F1092="Bullet",MIN(G1092,Assumptions!$B$6),"")</f>
        <v>2</v>
      </c>
      <c r="I1092" s="8"/>
      <c r="J1092" s="8" t="str">
        <f>IF(F1092="Monthly interest",MAX(0,Assumptions!$B$5-I1092),"")</f>
        <v/>
      </c>
      <c r="K1092" s="7">
        <f t="shared" si="51"/>
        <v>6335</v>
      </c>
      <c r="L1092" s="9">
        <v>46124</v>
      </c>
      <c r="M1092" s="5" t="s">
        <v>69</v>
      </c>
      <c r="N1092" s="5" t="s">
        <v>53</v>
      </c>
      <c r="O1092" s="5" t="s">
        <v>168</v>
      </c>
      <c r="P1092" s="5" t="s">
        <v>70</v>
      </c>
      <c r="Q1092" s="5" t="s">
        <v>169</v>
      </c>
      <c r="R1092" s="5" t="s">
        <v>170</v>
      </c>
      <c r="S1092" s="5" t="s">
        <v>214</v>
      </c>
      <c r="T1092" s="5" t="s">
        <v>57</v>
      </c>
      <c r="U1092" s="5" t="s">
        <v>104</v>
      </c>
      <c r="V1092" s="5" t="s">
        <v>215</v>
      </c>
      <c r="W1092" s="5" t="s">
        <v>284</v>
      </c>
      <c r="X1092" s="5" t="s">
        <v>4107</v>
      </c>
      <c r="Y1092" s="5" t="s">
        <v>4731</v>
      </c>
      <c r="Z1092" s="9">
        <v>46124</v>
      </c>
      <c r="AA1092" s="8">
        <v>6</v>
      </c>
      <c r="AB1092" s="9">
        <f t="shared" si="52"/>
        <v>46307</v>
      </c>
      <c r="AC1092" s="10">
        <v>16</v>
      </c>
      <c r="AD1092" s="7">
        <f t="shared" si="53"/>
        <v>1267</v>
      </c>
      <c r="AE1092" s="7">
        <f>IF(F1092="Bullet",H1092*AD1092,MIN(MAX(I1092,1),Assumptions!$B$6)*AD1092)</f>
        <v>2534</v>
      </c>
      <c r="AF1092" s="8">
        <f>IF(F1092="Bullet",MAX(0,Assumptions!$B$4-AB1092),MAX(0,Assumptions!$B$4-L1092))</f>
        <v>0</v>
      </c>
      <c r="AG1092" s="9"/>
      <c r="AH1092" s="8" t="str">
        <f>IF(AG1092="","",Assumptions!$B$4-AG1092)</f>
        <v/>
      </c>
      <c r="AI1092" s="5" t="s">
        <v>80</v>
      </c>
      <c r="AJ1092" s="8"/>
      <c r="AK1092" s="8">
        <v>1</v>
      </c>
      <c r="AL1092" s="8" t="s">
        <v>80</v>
      </c>
      <c r="AM1092" s="8">
        <v>0</v>
      </c>
      <c r="AN1092" s="5" t="s">
        <v>63</v>
      </c>
      <c r="AO1092" s="10">
        <v>79.599999999999994</v>
      </c>
      <c r="AP1092" s="8">
        <v>47</v>
      </c>
      <c r="AQ1092" s="9">
        <v>46283</v>
      </c>
      <c r="AR1092" s="5" t="s">
        <v>70</v>
      </c>
      <c r="AS1092" s="5" t="s">
        <v>81</v>
      </c>
    </row>
    <row r="1093" spans="1:45" x14ac:dyDescent="0.35">
      <c r="A1093" s="5" t="s">
        <v>4732</v>
      </c>
      <c r="B1093" s="5" t="s">
        <v>4139</v>
      </c>
      <c r="C1093" s="6" t="s">
        <v>4733</v>
      </c>
      <c r="D1093" s="7">
        <v>307200</v>
      </c>
      <c r="E1093" s="5" t="s">
        <v>48</v>
      </c>
      <c r="F1093" s="5" t="s">
        <v>49</v>
      </c>
      <c r="G1093" s="8"/>
      <c r="H1093" s="8" t="str">
        <f>IF(F1093="Bullet",MIN(G1093,Assumptions!$B$6),"")</f>
        <v/>
      </c>
      <c r="I1093" s="8">
        <v>1</v>
      </c>
      <c r="J1093" s="8">
        <f>IF(F1093="Monthly interest",MAX(0,Assumptions!$B$5-I1093),"")</f>
        <v>2</v>
      </c>
      <c r="K1093" s="7">
        <f t="shared" si="51"/>
        <v>5120</v>
      </c>
      <c r="L1093" s="9">
        <v>46270</v>
      </c>
      <c r="M1093" s="5" t="s">
        <v>69</v>
      </c>
      <c r="N1093" s="5" t="s">
        <v>51</v>
      </c>
      <c r="O1093" s="5" t="s">
        <v>52</v>
      </c>
      <c r="P1093" s="5" t="s">
        <v>53</v>
      </c>
      <c r="Q1093" s="5" t="s">
        <v>54</v>
      </c>
      <c r="R1093" s="5" t="s">
        <v>55</v>
      </c>
      <c r="S1093" s="5" t="s">
        <v>85</v>
      </c>
      <c r="T1093" s="5" t="s">
        <v>57</v>
      </c>
      <c r="U1093" s="5" t="s">
        <v>104</v>
      </c>
      <c r="V1093" s="5" t="s">
        <v>133</v>
      </c>
      <c r="W1093" s="5" t="s">
        <v>594</v>
      </c>
      <c r="X1093" s="5" t="s">
        <v>4734</v>
      </c>
      <c r="Y1093" s="5" t="s">
        <v>4735</v>
      </c>
      <c r="Z1093" s="9">
        <v>46208</v>
      </c>
      <c r="AA1093" s="8">
        <v>12</v>
      </c>
      <c r="AB1093" s="9">
        <f t="shared" si="52"/>
        <v>46573</v>
      </c>
      <c r="AC1093" s="10">
        <v>20</v>
      </c>
      <c r="AD1093" s="7">
        <f t="shared" si="53"/>
        <v>5120</v>
      </c>
      <c r="AE1093" s="7">
        <f>IF(F1093="Bullet",H1093*AD1093,MIN(MAX(I1093,1),Assumptions!$B$6)*AD1093)</f>
        <v>5120</v>
      </c>
      <c r="AF1093" s="8">
        <f>IF(F1093="Bullet",MAX(0,Assumptions!$B$4-AB1093),MAX(0,Assumptions!$B$4-L1093))</f>
        <v>28</v>
      </c>
      <c r="AG1093" s="9">
        <v>46241</v>
      </c>
      <c r="AH1093" s="8">
        <f>IF(AG1093="","",Assumptions!$B$4-AG1093)</f>
        <v>57</v>
      </c>
      <c r="AI1093" s="5" t="s">
        <v>63</v>
      </c>
      <c r="AJ1093" s="8">
        <v>2</v>
      </c>
      <c r="AK1093" s="8">
        <v>2</v>
      </c>
      <c r="AL1093" s="8">
        <v>688</v>
      </c>
      <c r="AM1093" s="8">
        <v>0</v>
      </c>
      <c r="AN1093" s="5" t="s">
        <v>63</v>
      </c>
      <c r="AO1093" s="10">
        <v>71.5</v>
      </c>
      <c r="AP1093" s="8">
        <v>39</v>
      </c>
      <c r="AQ1093" s="9">
        <v>46276</v>
      </c>
      <c r="AR1093" s="5" t="s">
        <v>51</v>
      </c>
      <c r="AS1093" s="5" t="s">
        <v>181</v>
      </c>
    </row>
    <row r="1094" spans="1:45" x14ac:dyDescent="0.35">
      <c r="A1094" s="5" t="s">
        <v>4736</v>
      </c>
      <c r="B1094" s="5" t="s">
        <v>4737</v>
      </c>
      <c r="C1094" s="6" t="s">
        <v>4738</v>
      </c>
      <c r="D1094" s="7">
        <v>134500</v>
      </c>
      <c r="E1094" s="5" t="s">
        <v>48</v>
      </c>
      <c r="F1094" s="5" t="s">
        <v>49</v>
      </c>
      <c r="G1094" s="8"/>
      <c r="H1094" s="8" t="str">
        <f>IF(F1094="Bullet",MIN(G1094,Assumptions!$B$6),"")</f>
        <v/>
      </c>
      <c r="I1094" s="8">
        <v>1</v>
      </c>
      <c r="J1094" s="8">
        <f>IF(F1094="Monthly interest",MAX(0,Assumptions!$B$5-I1094),"")</f>
        <v>2</v>
      </c>
      <c r="K1094" s="7">
        <f t="shared" si="51"/>
        <v>1569</v>
      </c>
      <c r="L1094" s="9">
        <v>46279</v>
      </c>
      <c r="M1094" s="5" t="s">
        <v>50</v>
      </c>
      <c r="N1094" s="5" t="s">
        <v>53</v>
      </c>
      <c r="O1094" s="5" t="s">
        <v>132</v>
      </c>
      <c r="P1094" s="5" t="s">
        <v>51</v>
      </c>
      <c r="Q1094" s="5" t="s">
        <v>54</v>
      </c>
      <c r="R1094" s="5" t="s">
        <v>55</v>
      </c>
      <c r="S1094" s="5" t="s">
        <v>75</v>
      </c>
      <c r="T1094" s="5" t="s">
        <v>57</v>
      </c>
      <c r="U1094" s="5" t="s">
        <v>86</v>
      </c>
      <c r="V1094" s="5" t="s">
        <v>76</v>
      </c>
      <c r="W1094" s="5" t="s">
        <v>547</v>
      </c>
      <c r="X1094" s="5" t="s">
        <v>1428</v>
      </c>
      <c r="Y1094" s="5" t="s">
        <v>4739</v>
      </c>
      <c r="Z1094" s="9">
        <v>46005</v>
      </c>
      <c r="AA1094" s="8">
        <v>12</v>
      </c>
      <c r="AB1094" s="9">
        <f t="shared" si="52"/>
        <v>46370</v>
      </c>
      <c r="AC1094" s="10">
        <v>14</v>
      </c>
      <c r="AD1094" s="7">
        <f t="shared" si="53"/>
        <v>1569</v>
      </c>
      <c r="AE1094" s="7">
        <f>IF(F1094="Bullet",H1094*AD1094,MIN(MAX(I1094,1),Assumptions!$B$6)*AD1094)</f>
        <v>1569</v>
      </c>
      <c r="AF1094" s="8">
        <f>IF(F1094="Bullet",MAX(0,Assumptions!$B$4-AB1094),MAX(0,Assumptions!$B$4-L1094))</f>
        <v>19</v>
      </c>
      <c r="AG1094" s="9">
        <v>46249</v>
      </c>
      <c r="AH1094" s="8">
        <f>IF(AG1094="","",Assumptions!$B$4-AG1094)</f>
        <v>49</v>
      </c>
      <c r="AI1094" s="5" t="s">
        <v>63</v>
      </c>
      <c r="AJ1094" s="8">
        <v>2</v>
      </c>
      <c r="AK1094" s="8">
        <v>1</v>
      </c>
      <c r="AL1094" s="8" t="s">
        <v>80</v>
      </c>
      <c r="AM1094" s="8">
        <v>0</v>
      </c>
      <c r="AN1094" s="5" t="s">
        <v>63</v>
      </c>
      <c r="AO1094" s="10">
        <v>70.2</v>
      </c>
      <c r="AP1094" s="8">
        <v>30</v>
      </c>
      <c r="AQ1094" s="9">
        <v>46293</v>
      </c>
      <c r="AR1094" s="5" t="s">
        <v>51</v>
      </c>
      <c r="AS1094" s="5" t="s">
        <v>91</v>
      </c>
    </row>
    <row r="1095" spans="1:45" x14ac:dyDescent="0.35">
      <c r="A1095" s="5" t="s">
        <v>4740</v>
      </c>
      <c r="B1095" s="5" t="s">
        <v>4473</v>
      </c>
      <c r="C1095" s="6" t="s">
        <v>4741</v>
      </c>
      <c r="D1095" s="7">
        <v>89100</v>
      </c>
      <c r="E1095" s="5" t="s">
        <v>48</v>
      </c>
      <c r="F1095" s="5" t="s">
        <v>68</v>
      </c>
      <c r="G1095" s="8">
        <v>1</v>
      </c>
      <c r="H1095" s="8">
        <f>IF(F1095="Bullet",MIN(G1095,Assumptions!$B$6),"")</f>
        <v>1</v>
      </c>
      <c r="I1095" s="8"/>
      <c r="J1095" s="8" t="str">
        <f>IF(F1095="Monthly interest",MAX(0,Assumptions!$B$5-I1095),"")</f>
        <v/>
      </c>
      <c r="K1095" s="7">
        <f t="shared" si="51"/>
        <v>1337</v>
      </c>
      <c r="L1095" s="9">
        <v>46260</v>
      </c>
      <c r="M1095" s="5" t="s">
        <v>50</v>
      </c>
      <c r="N1095" s="5" t="s">
        <v>51</v>
      </c>
      <c r="O1095" s="5" t="s">
        <v>71</v>
      </c>
      <c r="P1095" s="5" t="s">
        <v>53</v>
      </c>
      <c r="Q1095" s="5" t="s">
        <v>73</v>
      </c>
      <c r="R1095" s="5" t="s">
        <v>74</v>
      </c>
      <c r="S1095" s="5" t="s">
        <v>56</v>
      </c>
      <c r="T1095" s="5" t="s">
        <v>57</v>
      </c>
      <c r="U1095" s="5" t="s">
        <v>86</v>
      </c>
      <c r="V1095" s="5" t="s">
        <v>59</v>
      </c>
      <c r="W1095" s="5" t="s">
        <v>418</v>
      </c>
      <c r="X1095" s="5" t="s">
        <v>2052</v>
      </c>
      <c r="Y1095" s="5" t="s">
        <v>4742</v>
      </c>
      <c r="Z1095" s="9">
        <v>46260</v>
      </c>
      <c r="AA1095" s="8">
        <v>6</v>
      </c>
      <c r="AB1095" s="9">
        <f t="shared" si="52"/>
        <v>46444</v>
      </c>
      <c r="AC1095" s="10">
        <v>18</v>
      </c>
      <c r="AD1095" s="7">
        <f t="shared" si="53"/>
        <v>1337</v>
      </c>
      <c r="AE1095" s="7">
        <f>IF(F1095="Bullet",H1095*AD1095,MIN(MAX(I1095,1),Assumptions!$B$6)*AD1095)</f>
        <v>1337</v>
      </c>
      <c r="AF1095" s="8">
        <f>IF(F1095="Bullet",MAX(0,Assumptions!$B$4-AB1095),MAX(0,Assumptions!$B$4-L1095))</f>
        <v>0</v>
      </c>
      <c r="AG1095" s="9"/>
      <c r="AH1095" s="8" t="str">
        <f>IF(AG1095="","",Assumptions!$B$4-AG1095)</f>
        <v/>
      </c>
      <c r="AI1095" s="5" t="s">
        <v>80</v>
      </c>
      <c r="AJ1095" s="8"/>
      <c r="AK1095" s="8">
        <v>0</v>
      </c>
      <c r="AL1095" s="8">
        <v>689</v>
      </c>
      <c r="AM1095" s="8">
        <v>0</v>
      </c>
      <c r="AN1095" s="5" t="s">
        <v>63</v>
      </c>
      <c r="AO1095" s="10">
        <v>75.599999999999994</v>
      </c>
      <c r="AP1095" s="8">
        <v>15</v>
      </c>
      <c r="AQ1095" s="9">
        <v>46284</v>
      </c>
      <c r="AR1095" s="5" t="s">
        <v>51</v>
      </c>
      <c r="AS1095" s="5" t="s">
        <v>64</v>
      </c>
    </row>
    <row r="1096" spans="1:45" x14ac:dyDescent="0.35">
      <c r="A1096" s="5" t="s">
        <v>4743</v>
      </c>
      <c r="B1096" s="5" t="s">
        <v>4744</v>
      </c>
      <c r="C1096" s="6" t="s">
        <v>4745</v>
      </c>
      <c r="D1096" s="7">
        <v>271000</v>
      </c>
      <c r="E1096" s="5" t="s">
        <v>48</v>
      </c>
      <c r="F1096" s="5" t="s">
        <v>68</v>
      </c>
      <c r="G1096" s="8">
        <v>2</v>
      </c>
      <c r="H1096" s="8">
        <f>IF(F1096="Bullet",MIN(G1096,Assumptions!$B$6),"")</f>
        <v>2</v>
      </c>
      <c r="I1096" s="8"/>
      <c r="J1096" s="8" t="str">
        <f>IF(F1096="Monthly interest",MAX(0,Assumptions!$B$5-I1096),"")</f>
        <v/>
      </c>
      <c r="K1096" s="7">
        <f t="shared" si="51"/>
        <v>6324</v>
      </c>
      <c r="L1096" s="9">
        <v>46232</v>
      </c>
      <c r="M1096" s="5" t="s">
        <v>50</v>
      </c>
      <c r="N1096" s="5" t="s">
        <v>53</v>
      </c>
      <c r="O1096" s="5" t="s">
        <v>103</v>
      </c>
      <c r="P1096" s="5" t="s">
        <v>51</v>
      </c>
      <c r="Q1096" s="5" t="s">
        <v>73</v>
      </c>
      <c r="R1096" s="5" t="s">
        <v>74</v>
      </c>
      <c r="S1096" s="5" t="s">
        <v>56</v>
      </c>
      <c r="T1096" s="5" t="s">
        <v>57</v>
      </c>
      <c r="U1096" s="5" t="s">
        <v>86</v>
      </c>
      <c r="V1096" s="5" t="s">
        <v>59</v>
      </c>
      <c r="W1096" s="5" t="s">
        <v>323</v>
      </c>
      <c r="X1096" s="5" t="s">
        <v>651</v>
      </c>
      <c r="Y1096" s="5" t="s">
        <v>4746</v>
      </c>
      <c r="Z1096" s="9">
        <v>46232</v>
      </c>
      <c r="AA1096" s="8">
        <v>12</v>
      </c>
      <c r="AB1096" s="9">
        <f t="shared" si="52"/>
        <v>46597</v>
      </c>
      <c r="AC1096" s="10">
        <v>14</v>
      </c>
      <c r="AD1096" s="7">
        <f t="shared" si="53"/>
        <v>3162</v>
      </c>
      <c r="AE1096" s="7">
        <f>IF(F1096="Bullet",H1096*AD1096,MIN(MAX(I1096,1),Assumptions!$B$6)*AD1096)</f>
        <v>6324</v>
      </c>
      <c r="AF1096" s="8">
        <f>IF(F1096="Bullet",MAX(0,Assumptions!$B$4-AB1096),MAX(0,Assumptions!$B$4-L1096))</f>
        <v>0</v>
      </c>
      <c r="AG1096" s="9"/>
      <c r="AH1096" s="8" t="str">
        <f>IF(AG1096="","",Assumptions!$B$4-AG1096)</f>
        <v/>
      </c>
      <c r="AI1096" s="5" t="s">
        <v>80</v>
      </c>
      <c r="AJ1096" s="8"/>
      <c r="AK1096" s="8">
        <v>1</v>
      </c>
      <c r="AL1096" s="8" t="s">
        <v>80</v>
      </c>
      <c r="AM1096" s="8">
        <v>1</v>
      </c>
      <c r="AN1096" s="5" t="s">
        <v>63</v>
      </c>
      <c r="AO1096" s="10">
        <v>70.5</v>
      </c>
      <c r="AP1096" s="8">
        <v>27</v>
      </c>
      <c r="AQ1096" s="9">
        <v>46276</v>
      </c>
      <c r="AR1096" s="5" t="s">
        <v>51</v>
      </c>
      <c r="AS1096" s="5" t="s">
        <v>81</v>
      </c>
    </row>
    <row r="1097" spans="1:45" x14ac:dyDescent="0.35">
      <c r="A1097" s="5" t="s">
        <v>4747</v>
      </c>
      <c r="B1097" s="5" t="s">
        <v>4748</v>
      </c>
      <c r="C1097" s="6" t="s">
        <v>4749</v>
      </c>
      <c r="D1097" s="7">
        <v>78000</v>
      </c>
      <c r="E1097" s="5" t="s">
        <v>48</v>
      </c>
      <c r="F1097" s="5" t="s">
        <v>68</v>
      </c>
      <c r="G1097" s="8">
        <v>4</v>
      </c>
      <c r="H1097" s="8">
        <f>IF(F1097="Bullet",MIN(G1097,Assumptions!$B$6),"")</f>
        <v>2</v>
      </c>
      <c r="I1097" s="8"/>
      <c r="J1097" s="8" t="str">
        <f>IF(F1097="Monthly interest",MAX(0,Assumptions!$B$5-I1097),"")</f>
        <v/>
      </c>
      <c r="K1097" s="7">
        <f t="shared" si="51"/>
        <v>3900</v>
      </c>
      <c r="L1097" s="9">
        <v>46153</v>
      </c>
      <c r="M1097" s="5" t="s">
        <v>50</v>
      </c>
      <c r="N1097" s="5" t="s">
        <v>53</v>
      </c>
      <c r="O1097" s="5" t="s">
        <v>71</v>
      </c>
      <c r="P1097" s="5" t="s">
        <v>51</v>
      </c>
      <c r="Q1097" s="5" t="s">
        <v>73</v>
      </c>
      <c r="R1097" s="5" t="s">
        <v>74</v>
      </c>
      <c r="S1097" s="5" t="s">
        <v>85</v>
      </c>
      <c r="T1097" s="5" t="s">
        <v>57</v>
      </c>
      <c r="U1097" s="5" t="s">
        <v>86</v>
      </c>
      <c r="V1097" s="5" t="s">
        <v>133</v>
      </c>
      <c r="W1097" s="5" t="s">
        <v>134</v>
      </c>
      <c r="X1097" s="5" t="s">
        <v>356</v>
      </c>
      <c r="Y1097" s="5" t="s">
        <v>4750</v>
      </c>
      <c r="Z1097" s="9">
        <v>46153</v>
      </c>
      <c r="AA1097" s="8">
        <v>12</v>
      </c>
      <c r="AB1097" s="9">
        <f t="shared" si="52"/>
        <v>46518</v>
      </c>
      <c r="AC1097" s="10">
        <v>15</v>
      </c>
      <c r="AD1097" s="7">
        <f t="shared" si="53"/>
        <v>975</v>
      </c>
      <c r="AE1097" s="7">
        <f>IF(F1097="Bullet",H1097*AD1097,MIN(MAX(I1097,1),Assumptions!$B$6)*AD1097)</f>
        <v>1950</v>
      </c>
      <c r="AF1097" s="8">
        <f>IF(F1097="Bullet",MAX(0,Assumptions!$B$4-AB1097),MAX(0,Assumptions!$B$4-L1097))</f>
        <v>0</v>
      </c>
      <c r="AG1097" s="9"/>
      <c r="AH1097" s="8" t="str">
        <f>IF(AG1097="","",Assumptions!$B$4-AG1097)</f>
        <v/>
      </c>
      <c r="AI1097" s="5" t="s">
        <v>80</v>
      </c>
      <c r="AJ1097" s="8"/>
      <c r="AK1097" s="8">
        <v>1</v>
      </c>
      <c r="AL1097" s="8">
        <v>791</v>
      </c>
      <c r="AM1097" s="8">
        <v>2</v>
      </c>
      <c r="AN1097" s="5" t="s">
        <v>63</v>
      </c>
      <c r="AO1097" s="10">
        <v>65.2</v>
      </c>
      <c r="AP1097" s="8">
        <v>19</v>
      </c>
      <c r="AQ1097" s="9">
        <v>46284</v>
      </c>
      <c r="AR1097" s="5" t="s">
        <v>70</v>
      </c>
      <c r="AS1097" s="5" t="s">
        <v>190</v>
      </c>
    </row>
    <row r="1098" spans="1:45" x14ac:dyDescent="0.35">
      <c r="A1098" s="5" t="s">
        <v>4751</v>
      </c>
      <c r="B1098" s="5" t="s">
        <v>1677</v>
      </c>
      <c r="C1098" s="6" t="s">
        <v>4752</v>
      </c>
      <c r="D1098" s="7">
        <v>78000</v>
      </c>
      <c r="E1098" s="5" t="s">
        <v>48</v>
      </c>
      <c r="F1098" s="5" t="s">
        <v>68</v>
      </c>
      <c r="G1098" s="8">
        <v>1</v>
      </c>
      <c r="H1098" s="8">
        <f>IF(F1098="Bullet",MIN(G1098,Assumptions!$B$6),"")</f>
        <v>1</v>
      </c>
      <c r="I1098" s="8"/>
      <c r="J1098" s="8" t="str">
        <f>IF(F1098="Monthly interest",MAX(0,Assumptions!$B$5-I1098),"")</f>
        <v/>
      </c>
      <c r="K1098" s="7">
        <f t="shared" si="51"/>
        <v>975</v>
      </c>
      <c r="L1098" s="9">
        <v>46256</v>
      </c>
      <c r="M1098" s="5" t="s">
        <v>50</v>
      </c>
      <c r="N1098" s="5" t="s">
        <v>51</v>
      </c>
      <c r="O1098" s="5" t="s">
        <v>71</v>
      </c>
      <c r="P1098" s="5" t="s">
        <v>53</v>
      </c>
      <c r="Q1098" s="5" t="s">
        <v>73</v>
      </c>
      <c r="R1098" s="5" t="s">
        <v>74</v>
      </c>
      <c r="S1098" s="5" t="s">
        <v>85</v>
      </c>
      <c r="T1098" s="5" t="s">
        <v>57</v>
      </c>
      <c r="U1098" s="5" t="s">
        <v>58</v>
      </c>
      <c r="V1098" s="5" t="s">
        <v>553</v>
      </c>
      <c r="W1098" s="5" t="s">
        <v>554</v>
      </c>
      <c r="X1098" s="5" t="s">
        <v>1827</v>
      </c>
      <c r="Y1098" s="5" t="s">
        <v>4753</v>
      </c>
      <c r="Z1098" s="9">
        <v>46256</v>
      </c>
      <c r="AA1098" s="8">
        <v>6</v>
      </c>
      <c r="AB1098" s="9">
        <f t="shared" si="52"/>
        <v>46440</v>
      </c>
      <c r="AC1098" s="10">
        <v>15</v>
      </c>
      <c r="AD1098" s="7">
        <f t="shared" si="53"/>
        <v>975</v>
      </c>
      <c r="AE1098" s="7">
        <f>IF(F1098="Bullet",H1098*AD1098,MIN(MAX(I1098,1),Assumptions!$B$6)*AD1098)</f>
        <v>975</v>
      </c>
      <c r="AF1098" s="8">
        <f>IF(F1098="Bullet",MAX(0,Assumptions!$B$4-AB1098),MAX(0,Assumptions!$B$4-L1098))</f>
        <v>0</v>
      </c>
      <c r="AG1098" s="9"/>
      <c r="AH1098" s="8" t="str">
        <f>IF(AG1098="","",Assumptions!$B$4-AG1098)</f>
        <v/>
      </c>
      <c r="AI1098" s="5" t="s">
        <v>80</v>
      </c>
      <c r="AJ1098" s="8"/>
      <c r="AK1098" s="8">
        <v>0</v>
      </c>
      <c r="AL1098" s="8">
        <v>736</v>
      </c>
      <c r="AM1098" s="8">
        <v>1</v>
      </c>
      <c r="AN1098" s="5" t="s">
        <v>63</v>
      </c>
      <c r="AO1098" s="10">
        <v>70.599999999999994</v>
      </c>
      <c r="AP1098" s="8">
        <v>12</v>
      </c>
      <c r="AQ1098" s="9">
        <v>46281</v>
      </c>
      <c r="AR1098" s="5" t="s">
        <v>51</v>
      </c>
      <c r="AS1098" s="5" t="s">
        <v>64</v>
      </c>
    </row>
    <row r="1099" spans="1:45" x14ac:dyDescent="0.35">
      <c r="A1099" s="5" t="s">
        <v>4754</v>
      </c>
      <c r="B1099" s="5" t="s">
        <v>130</v>
      </c>
      <c r="C1099" s="6" t="s">
        <v>4755</v>
      </c>
      <c r="D1099" s="7">
        <v>955200</v>
      </c>
      <c r="E1099" s="5" t="s">
        <v>48</v>
      </c>
      <c r="F1099" s="5" t="s">
        <v>68</v>
      </c>
      <c r="G1099" s="8">
        <v>4</v>
      </c>
      <c r="H1099" s="8">
        <f>IF(F1099="Bullet",MIN(G1099,Assumptions!$B$6),"")</f>
        <v>2</v>
      </c>
      <c r="I1099" s="8"/>
      <c r="J1099" s="8" t="str">
        <f>IF(F1099="Monthly interest",MAX(0,Assumptions!$B$5-I1099),"")</f>
        <v/>
      </c>
      <c r="K1099" s="7">
        <f t="shared" si="51"/>
        <v>57312</v>
      </c>
      <c r="L1099" s="9">
        <v>46162</v>
      </c>
      <c r="M1099" s="5" t="s">
        <v>50</v>
      </c>
      <c r="N1099" s="5" t="s">
        <v>53</v>
      </c>
      <c r="O1099" s="5" t="s">
        <v>71</v>
      </c>
      <c r="P1099" s="5" t="s">
        <v>51</v>
      </c>
      <c r="Q1099" s="5" t="s">
        <v>73</v>
      </c>
      <c r="R1099" s="5" t="s">
        <v>74</v>
      </c>
      <c r="S1099" s="5" t="s">
        <v>85</v>
      </c>
      <c r="T1099" s="5" t="s">
        <v>57</v>
      </c>
      <c r="U1099" s="5" t="s">
        <v>104</v>
      </c>
      <c r="V1099" s="5" t="s">
        <v>96</v>
      </c>
      <c r="W1099" s="5" t="s">
        <v>171</v>
      </c>
      <c r="X1099" s="5" t="s">
        <v>2604</v>
      </c>
      <c r="Y1099" s="5" t="s">
        <v>4756</v>
      </c>
      <c r="Z1099" s="9">
        <v>46162</v>
      </c>
      <c r="AA1099" s="8">
        <v>12</v>
      </c>
      <c r="AB1099" s="9">
        <f t="shared" si="52"/>
        <v>46527</v>
      </c>
      <c r="AC1099" s="10">
        <v>18</v>
      </c>
      <c r="AD1099" s="7">
        <f t="shared" si="53"/>
        <v>14328</v>
      </c>
      <c r="AE1099" s="7">
        <f>IF(F1099="Bullet",H1099*AD1099,MIN(MAX(I1099,1),Assumptions!$B$6)*AD1099)</f>
        <v>28656</v>
      </c>
      <c r="AF1099" s="8">
        <f>IF(F1099="Bullet",MAX(0,Assumptions!$B$4-AB1099),MAX(0,Assumptions!$B$4-L1099))</f>
        <v>0</v>
      </c>
      <c r="AG1099" s="9"/>
      <c r="AH1099" s="8" t="str">
        <f>IF(AG1099="","",Assumptions!$B$4-AG1099)</f>
        <v/>
      </c>
      <c r="AI1099" s="5" t="s">
        <v>80</v>
      </c>
      <c r="AJ1099" s="8"/>
      <c r="AK1099" s="8">
        <v>1</v>
      </c>
      <c r="AL1099" s="8">
        <v>776</v>
      </c>
      <c r="AM1099" s="8">
        <v>1</v>
      </c>
      <c r="AN1099" s="5" t="s">
        <v>63</v>
      </c>
      <c r="AO1099" s="10">
        <v>69.099999999999994</v>
      </c>
      <c r="AP1099" s="8">
        <v>22</v>
      </c>
      <c r="AQ1099" s="9">
        <v>46295</v>
      </c>
      <c r="AR1099" s="5" t="s">
        <v>70</v>
      </c>
      <c r="AS1099" s="5" t="s">
        <v>91</v>
      </c>
    </row>
    <row r="1100" spans="1:45" x14ac:dyDescent="0.35">
      <c r="A1100" s="5" t="s">
        <v>4757</v>
      </c>
      <c r="B1100" s="5" t="s">
        <v>4758</v>
      </c>
      <c r="C1100" s="6" t="s">
        <v>4759</v>
      </c>
      <c r="D1100" s="7">
        <v>25700</v>
      </c>
      <c r="E1100" s="5" t="s">
        <v>48</v>
      </c>
      <c r="F1100" s="5" t="s">
        <v>49</v>
      </c>
      <c r="G1100" s="8"/>
      <c r="H1100" s="8" t="str">
        <f>IF(F1100="Bullet",MIN(G1100,Assumptions!$B$6),"")</f>
        <v/>
      </c>
      <c r="I1100" s="8">
        <v>2</v>
      </c>
      <c r="J1100" s="8">
        <f>IF(F1100="Monthly interest",MAX(0,Assumptions!$B$5-I1100),"")</f>
        <v>1</v>
      </c>
      <c r="K1100" s="7">
        <f t="shared" si="51"/>
        <v>856</v>
      </c>
      <c r="L1100" s="9">
        <v>46243</v>
      </c>
      <c r="M1100" s="5" t="s">
        <v>116</v>
      </c>
      <c r="N1100" s="5" t="s">
        <v>117</v>
      </c>
      <c r="O1100" s="5" t="s">
        <v>450</v>
      </c>
      <c r="P1100" s="5" t="s">
        <v>72</v>
      </c>
      <c r="Q1100" s="5" t="s">
        <v>154</v>
      </c>
      <c r="R1100" s="5" t="s">
        <v>155</v>
      </c>
      <c r="S1100" s="5" t="s">
        <v>185</v>
      </c>
      <c r="T1100" s="5" t="s">
        <v>57</v>
      </c>
      <c r="U1100" s="5" t="s">
        <v>86</v>
      </c>
      <c r="V1100" s="5" t="s">
        <v>186</v>
      </c>
      <c r="W1100" s="5" t="s">
        <v>187</v>
      </c>
      <c r="X1100" s="5" t="s">
        <v>188</v>
      </c>
      <c r="Y1100" s="5" t="s">
        <v>4760</v>
      </c>
      <c r="Z1100" s="9">
        <v>46062</v>
      </c>
      <c r="AA1100" s="8">
        <v>12</v>
      </c>
      <c r="AB1100" s="9">
        <f t="shared" si="52"/>
        <v>46427</v>
      </c>
      <c r="AC1100" s="10">
        <v>20</v>
      </c>
      <c r="AD1100" s="7">
        <f t="shared" si="53"/>
        <v>428</v>
      </c>
      <c r="AE1100" s="7">
        <f>IF(F1100="Bullet",H1100*AD1100,MIN(MAX(I1100,1),Assumptions!$B$6)*AD1100)</f>
        <v>856</v>
      </c>
      <c r="AF1100" s="8">
        <f>IF(F1100="Bullet",MAX(0,Assumptions!$B$4-AB1100),MAX(0,Assumptions!$B$4-L1100))</f>
        <v>55</v>
      </c>
      <c r="AG1100" s="9">
        <v>46217</v>
      </c>
      <c r="AH1100" s="8">
        <f>IF(AG1100="","",Assumptions!$B$4-AG1100)</f>
        <v>81</v>
      </c>
      <c r="AI1100" s="5" t="s">
        <v>63</v>
      </c>
      <c r="AJ1100" s="8">
        <v>2</v>
      </c>
      <c r="AK1100" s="8">
        <v>0</v>
      </c>
      <c r="AL1100" s="8">
        <v>578</v>
      </c>
      <c r="AM1100" s="8">
        <v>1</v>
      </c>
      <c r="AN1100" s="5" t="s">
        <v>63</v>
      </c>
      <c r="AO1100" s="10">
        <v>82.3</v>
      </c>
      <c r="AP1100" s="8">
        <v>66</v>
      </c>
      <c r="AQ1100" s="9">
        <v>46292</v>
      </c>
      <c r="AR1100" s="5" t="s">
        <v>53</v>
      </c>
      <c r="AS1100" s="5" t="s">
        <v>91</v>
      </c>
    </row>
    <row r="1101" spans="1:45" x14ac:dyDescent="0.35">
      <c r="A1101" s="5" t="s">
        <v>4761</v>
      </c>
      <c r="B1101" s="5" t="s">
        <v>4762</v>
      </c>
      <c r="C1101" s="6" t="s">
        <v>4763</v>
      </c>
      <c r="D1101" s="7">
        <v>185400</v>
      </c>
      <c r="E1101" s="5" t="s">
        <v>48</v>
      </c>
      <c r="F1101" s="5" t="s">
        <v>49</v>
      </c>
      <c r="G1101" s="8"/>
      <c r="H1101" s="8" t="str">
        <f>IF(F1101="Bullet",MIN(G1101,Assumptions!$B$6),"")</f>
        <v/>
      </c>
      <c r="I1101" s="8">
        <v>1</v>
      </c>
      <c r="J1101" s="8">
        <f>IF(F1101="Monthly interest",MAX(0,Assumptions!$B$5-I1101),"")</f>
        <v>2</v>
      </c>
      <c r="K1101" s="7">
        <f t="shared" si="51"/>
        <v>2472</v>
      </c>
      <c r="L1101" s="9">
        <v>46290</v>
      </c>
      <c r="M1101" s="5" t="s">
        <v>116</v>
      </c>
      <c r="N1101" s="5" t="s">
        <v>117</v>
      </c>
      <c r="O1101" s="5" t="s">
        <v>118</v>
      </c>
      <c r="P1101" s="5" t="s">
        <v>72</v>
      </c>
      <c r="Q1101" s="5" t="s">
        <v>119</v>
      </c>
      <c r="R1101" s="5" t="s">
        <v>120</v>
      </c>
      <c r="S1101" s="5" t="s">
        <v>214</v>
      </c>
      <c r="T1101" s="5" t="s">
        <v>57</v>
      </c>
      <c r="U1101" s="5" t="s">
        <v>104</v>
      </c>
      <c r="V1101" s="5" t="s">
        <v>215</v>
      </c>
      <c r="W1101" s="5" t="s">
        <v>242</v>
      </c>
      <c r="X1101" s="5" t="s">
        <v>797</v>
      </c>
      <c r="Y1101" s="5" t="s">
        <v>4764</v>
      </c>
      <c r="Z1101" s="9">
        <v>46228</v>
      </c>
      <c r="AA1101" s="8">
        <v>12</v>
      </c>
      <c r="AB1101" s="9">
        <f t="shared" si="52"/>
        <v>46593</v>
      </c>
      <c r="AC1101" s="10">
        <v>16</v>
      </c>
      <c r="AD1101" s="7">
        <f t="shared" si="53"/>
        <v>2472</v>
      </c>
      <c r="AE1101" s="7">
        <f>IF(F1101="Bullet",H1101*AD1101,MIN(MAX(I1101,1),Assumptions!$B$6)*AD1101)</f>
        <v>2472</v>
      </c>
      <c r="AF1101" s="8">
        <f>IF(F1101="Bullet",MAX(0,Assumptions!$B$4-AB1101),MAX(0,Assumptions!$B$4-L1101))</f>
        <v>8</v>
      </c>
      <c r="AG1101" s="9">
        <v>46264</v>
      </c>
      <c r="AH1101" s="8">
        <f>IF(AG1101="","",Assumptions!$B$4-AG1101)</f>
        <v>34</v>
      </c>
      <c r="AI1101" s="5" t="s">
        <v>57</v>
      </c>
      <c r="AJ1101" s="8">
        <v>2</v>
      </c>
      <c r="AK1101" s="8">
        <v>1</v>
      </c>
      <c r="AL1101" s="8">
        <v>677</v>
      </c>
      <c r="AM1101" s="8">
        <v>2</v>
      </c>
      <c r="AN1101" s="5" t="s">
        <v>57</v>
      </c>
      <c r="AO1101" s="10">
        <v>80.099999999999994</v>
      </c>
      <c r="AP1101" s="8">
        <v>49</v>
      </c>
      <c r="AQ1101" s="9">
        <v>46297</v>
      </c>
      <c r="AR1101" s="5" t="s">
        <v>51</v>
      </c>
      <c r="AS1101" s="5" t="s">
        <v>81</v>
      </c>
    </row>
    <row r="1102" spans="1:45" x14ac:dyDescent="0.35">
      <c r="A1102" s="5" t="s">
        <v>4765</v>
      </c>
      <c r="B1102" s="5" t="s">
        <v>3816</v>
      </c>
      <c r="C1102" s="6" t="s">
        <v>4766</v>
      </c>
      <c r="D1102" s="7">
        <v>227100</v>
      </c>
      <c r="E1102" s="5" t="s">
        <v>48</v>
      </c>
      <c r="F1102" s="5" t="s">
        <v>49</v>
      </c>
      <c r="G1102" s="8"/>
      <c r="H1102" s="8" t="str">
        <f>IF(F1102="Bullet",MIN(G1102,Assumptions!$B$6),"")</f>
        <v/>
      </c>
      <c r="I1102" s="8">
        <v>2</v>
      </c>
      <c r="J1102" s="8">
        <f>IF(F1102="Monthly interest",MAX(0,Assumptions!$B$5-I1102),"")</f>
        <v>1</v>
      </c>
      <c r="K1102" s="7">
        <f t="shared" si="51"/>
        <v>6056</v>
      </c>
      <c r="L1102" s="9">
        <v>46249</v>
      </c>
      <c r="M1102" s="5" t="s">
        <v>50</v>
      </c>
      <c r="N1102" s="5" t="s">
        <v>51</v>
      </c>
      <c r="O1102" s="5" t="s">
        <v>71</v>
      </c>
      <c r="P1102" s="5" t="s">
        <v>53</v>
      </c>
      <c r="Q1102" s="5" t="s">
        <v>73</v>
      </c>
      <c r="R1102" s="5" t="s">
        <v>74</v>
      </c>
      <c r="S1102" s="5" t="s">
        <v>75</v>
      </c>
      <c r="T1102" s="5" t="s">
        <v>57</v>
      </c>
      <c r="U1102" s="5" t="s">
        <v>86</v>
      </c>
      <c r="V1102" s="5" t="s">
        <v>76</v>
      </c>
      <c r="W1102" s="5" t="s">
        <v>306</v>
      </c>
      <c r="X1102" s="5" t="s">
        <v>413</v>
      </c>
      <c r="Y1102" s="5" t="s">
        <v>4767</v>
      </c>
      <c r="Z1102" s="9">
        <v>46037</v>
      </c>
      <c r="AA1102" s="8">
        <v>18</v>
      </c>
      <c r="AB1102" s="9">
        <f t="shared" si="52"/>
        <v>46583</v>
      </c>
      <c r="AC1102" s="10">
        <v>16</v>
      </c>
      <c r="AD1102" s="7">
        <f t="shared" si="53"/>
        <v>3028</v>
      </c>
      <c r="AE1102" s="7">
        <f>IF(F1102="Bullet",H1102*AD1102,MIN(MAX(I1102,1),Assumptions!$B$6)*AD1102)</f>
        <v>6056</v>
      </c>
      <c r="AF1102" s="8">
        <f>IF(F1102="Bullet",MAX(0,Assumptions!$B$4-AB1102),MAX(0,Assumptions!$B$4-L1102))</f>
        <v>49</v>
      </c>
      <c r="AG1102" s="9">
        <v>46218</v>
      </c>
      <c r="AH1102" s="8">
        <f>IF(AG1102="","",Assumptions!$B$4-AG1102)</f>
        <v>80</v>
      </c>
      <c r="AI1102" s="5" t="s">
        <v>63</v>
      </c>
      <c r="AJ1102" s="8">
        <v>2</v>
      </c>
      <c r="AK1102" s="8">
        <v>0</v>
      </c>
      <c r="AL1102" s="8">
        <v>819</v>
      </c>
      <c r="AM1102" s="8">
        <v>0</v>
      </c>
      <c r="AN1102" s="5" t="s">
        <v>63</v>
      </c>
      <c r="AO1102" s="10">
        <v>63.7</v>
      </c>
      <c r="AP1102" s="8">
        <v>22</v>
      </c>
      <c r="AQ1102" s="9">
        <v>46279</v>
      </c>
      <c r="AR1102" s="5" t="s">
        <v>70</v>
      </c>
      <c r="AS1102" s="5" t="s">
        <v>81</v>
      </c>
    </row>
    <row r="1103" spans="1:45" x14ac:dyDescent="0.35">
      <c r="A1103" s="5" t="s">
        <v>4768</v>
      </c>
      <c r="B1103" s="5" t="s">
        <v>4769</v>
      </c>
      <c r="C1103" s="6" t="s">
        <v>4770</v>
      </c>
      <c r="D1103" s="7">
        <v>159500</v>
      </c>
      <c r="E1103" s="5" t="s">
        <v>48</v>
      </c>
      <c r="F1103" s="5" t="s">
        <v>49</v>
      </c>
      <c r="G1103" s="8"/>
      <c r="H1103" s="8" t="str">
        <f>IF(F1103="Bullet",MIN(G1103,Assumptions!$B$6),"")</f>
        <v/>
      </c>
      <c r="I1103" s="8">
        <v>1</v>
      </c>
      <c r="J1103" s="8">
        <f>IF(F1103="Monthly interest",MAX(0,Assumptions!$B$5-I1103),"")</f>
        <v>2</v>
      </c>
      <c r="K1103" s="7">
        <f t="shared" si="51"/>
        <v>2924</v>
      </c>
      <c r="L1103" s="9">
        <v>46298</v>
      </c>
      <c r="M1103" s="5" t="s">
        <v>50</v>
      </c>
      <c r="N1103" s="5" t="s">
        <v>53</v>
      </c>
      <c r="O1103" s="5" t="s">
        <v>103</v>
      </c>
      <c r="P1103" s="5" t="s">
        <v>51</v>
      </c>
      <c r="Q1103" s="5" t="s">
        <v>54</v>
      </c>
      <c r="R1103" s="5" t="s">
        <v>55</v>
      </c>
      <c r="S1103" s="5" t="s">
        <v>85</v>
      </c>
      <c r="T1103" s="5" t="s">
        <v>57</v>
      </c>
      <c r="U1103" s="5" t="s">
        <v>104</v>
      </c>
      <c r="V1103" s="5" t="s">
        <v>553</v>
      </c>
      <c r="W1103" s="5" t="s">
        <v>554</v>
      </c>
      <c r="X1103" s="5" t="s">
        <v>1510</v>
      </c>
      <c r="Y1103" s="5" t="s">
        <v>4771</v>
      </c>
      <c r="Z1103" s="9">
        <v>46145</v>
      </c>
      <c r="AA1103" s="8">
        <v>24</v>
      </c>
      <c r="AB1103" s="9">
        <f t="shared" si="52"/>
        <v>46876</v>
      </c>
      <c r="AC1103" s="10">
        <v>22</v>
      </c>
      <c r="AD1103" s="7">
        <f t="shared" si="53"/>
        <v>2924</v>
      </c>
      <c r="AE1103" s="7">
        <f>IF(F1103="Bullet",H1103*AD1103,MIN(MAX(I1103,1),Assumptions!$B$6)*AD1103)</f>
        <v>2924</v>
      </c>
      <c r="AF1103" s="8">
        <f>IF(F1103="Bullet",MAX(0,Assumptions!$B$4-AB1103),MAX(0,Assumptions!$B$4-L1103))</f>
        <v>0</v>
      </c>
      <c r="AG1103" s="9">
        <v>46270</v>
      </c>
      <c r="AH1103" s="8">
        <f>IF(AG1103="","",Assumptions!$B$4-AG1103)</f>
        <v>28</v>
      </c>
      <c r="AI1103" s="5" t="s">
        <v>57</v>
      </c>
      <c r="AJ1103" s="8">
        <v>1</v>
      </c>
      <c r="AK1103" s="8">
        <v>0</v>
      </c>
      <c r="AL1103" s="8">
        <v>805</v>
      </c>
      <c r="AM1103" s="8">
        <v>1</v>
      </c>
      <c r="AN1103" s="5" t="s">
        <v>63</v>
      </c>
      <c r="AO1103" s="10">
        <v>61.4</v>
      </c>
      <c r="AP1103" s="8">
        <v>15</v>
      </c>
      <c r="AQ1103" s="9">
        <v>46286</v>
      </c>
      <c r="AR1103" s="5" t="s">
        <v>51</v>
      </c>
      <c r="AS1103" s="5" t="s">
        <v>81</v>
      </c>
    </row>
    <row r="1104" spans="1:45" x14ac:dyDescent="0.35">
      <c r="A1104" s="5" t="s">
        <v>4772</v>
      </c>
      <c r="B1104" s="5" t="s">
        <v>4773</v>
      </c>
      <c r="C1104" s="6" t="s">
        <v>4774</v>
      </c>
      <c r="D1104" s="7">
        <v>46600</v>
      </c>
      <c r="E1104" s="5" t="s">
        <v>48</v>
      </c>
      <c r="F1104" s="5" t="s">
        <v>68</v>
      </c>
      <c r="G1104" s="8">
        <v>2</v>
      </c>
      <c r="H1104" s="8">
        <f>IF(F1104="Bullet",MIN(G1104,Assumptions!$B$6),"")</f>
        <v>2</v>
      </c>
      <c r="I1104" s="8"/>
      <c r="J1104" s="8" t="str">
        <f>IF(F1104="Monthly interest",MAX(0,Assumptions!$B$5-I1104),"")</f>
        <v/>
      </c>
      <c r="K1104" s="7">
        <f t="shared" si="51"/>
        <v>1398</v>
      </c>
      <c r="L1104" s="9">
        <v>46229</v>
      </c>
      <c r="M1104" s="5" t="s">
        <v>69</v>
      </c>
      <c r="N1104" s="5" t="s">
        <v>53</v>
      </c>
      <c r="O1104" s="5" t="s">
        <v>152</v>
      </c>
      <c r="P1104" s="5" t="s">
        <v>153</v>
      </c>
      <c r="Q1104" s="5" t="s">
        <v>154</v>
      </c>
      <c r="R1104" s="5" t="s">
        <v>155</v>
      </c>
      <c r="S1104" s="5" t="s">
        <v>185</v>
      </c>
      <c r="T1104" s="5" t="s">
        <v>57</v>
      </c>
      <c r="U1104" s="5" t="s">
        <v>86</v>
      </c>
      <c r="V1104" s="5" t="s">
        <v>186</v>
      </c>
      <c r="W1104" s="5" t="s">
        <v>187</v>
      </c>
      <c r="X1104" s="5" t="s">
        <v>2518</v>
      </c>
      <c r="Y1104" s="5" t="s">
        <v>4775</v>
      </c>
      <c r="Z1104" s="9">
        <v>46229</v>
      </c>
      <c r="AA1104" s="8">
        <v>3</v>
      </c>
      <c r="AB1104" s="9">
        <f t="shared" si="52"/>
        <v>46321</v>
      </c>
      <c r="AC1104" s="10">
        <v>18</v>
      </c>
      <c r="AD1104" s="7">
        <f t="shared" si="53"/>
        <v>699</v>
      </c>
      <c r="AE1104" s="7">
        <f>IF(F1104="Bullet",H1104*AD1104,MIN(MAX(I1104,1),Assumptions!$B$6)*AD1104)</f>
        <v>1398</v>
      </c>
      <c r="AF1104" s="8">
        <f>IF(F1104="Bullet",MAX(0,Assumptions!$B$4-AB1104),MAX(0,Assumptions!$B$4-L1104))</f>
        <v>0</v>
      </c>
      <c r="AG1104" s="9"/>
      <c r="AH1104" s="8" t="str">
        <f>IF(AG1104="","",Assumptions!$B$4-AG1104)</f>
        <v/>
      </c>
      <c r="AI1104" s="5" t="s">
        <v>80</v>
      </c>
      <c r="AJ1104" s="8"/>
      <c r="AK1104" s="8">
        <v>1</v>
      </c>
      <c r="AL1104" s="8">
        <v>660</v>
      </c>
      <c r="AM1104" s="8">
        <v>2</v>
      </c>
      <c r="AN1104" s="5" t="s">
        <v>63</v>
      </c>
      <c r="AO1104" s="10">
        <v>45.2</v>
      </c>
      <c r="AP1104" s="8">
        <v>40</v>
      </c>
      <c r="AQ1104" s="9">
        <v>46274</v>
      </c>
      <c r="AR1104" s="5" t="s">
        <v>51</v>
      </c>
      <c r="AS1104" s="5" t="s">
        <v>91</v>
      </c>
    </row>
    <row r="1105" spans="1:45" x14ac:dyDescent="0.35">
      <c r="A1105" s="5" t="s">
        <v>4776</v>
      </c>
      <c r="B1105" s="5" t="s">
        <v>4777</v>
      </c>
      <c r="C1105" s="6" t="s">
        <v>4778</v>
      </c>
      <c r="D1105" s="7">
        <v>202300</v>
      </c>
      <c r="E1105" s="5" t="s">
        <v>48</v>
      </c>
      <c r="F1105" s="5" t="s">
        <v>68</v>
      </c>
      <c r="G1105" s="8">
        <v>3</v>
      </c>
      <c r="H1105" s="8">
        <f>IF(F1105="Bullet",MIN(G1105,Assumptions!$B$6),"")</f>
        <v>2</v>
      </c>
      <c r="I1105" s="8"/>
      <c r="J1105" s="8" t="str">
        <f>IF(F1105="Monthly interest",MAX(0,Assumptions!$B$5-I1105),"")</f>
        <v/>
      </c>
      <c r="K1105" s="7">
        <f t="shared" si="51"/>
        <v>9105</v>
      </c>
      <c r="L1105" s="9">
        <v>46198</v>
      </c>
      <c r="M1105" s="5" t="s">
        <v>116</v>
      </c>
      <c r="N1105" s="5" t="s">
        <v>117</v>
      </c>
      <c r="O1105" s="5" t="s">
        <v>207</v>
      </c>
      <c r="P1105" s="5" t="s">
        <v>72</v>
      </c>
      <c r="Q1105" s="5" t="s">
        <v>73</v>
      </c>
      <c r="R1105" s="5" t="s">
        <v>74</v>
      </c>
      <c r="S1105" s="5" t="s">
        <v>85</v>
      </c>
      <c r="T1105" s="5" t="s">
        <v>57</v>
      </c>
      <c r="U1105" s="5" t="s">
        <v>86</v>
      </c>
      <c r="V1105" s="5" t="s">
        <v>553</v>
      </c>
      <c r="W1105" s="5" t="s">
        <v>1029</v>
      </c>
      <c r="X1105" s="5" t="s">
        <v>3113</v>
      </c>
      <c r="Y1105" s="5" t="s">
        <v>4779</v>
      </c>
      <c r="Z1105" s="9">
        <v>46198</v>
      </c>
      <c r="AA1105" s="8">
        <v>3</v>
      </c>
      <c r="AB1105" s="9">
        <f t="shared" si="52"/>
        <v>46290</v>
      </c>
      <c r="AC1105" s="10">
        <v>18</v>
      </c>
      <c r="AD1105" s="7">
        <f t="shared" si="53"/>
        <v>3035</v>
      </c>
      <c r="AE1105" s="7">
        <f>IF(F1105="Bullet",H1105*AD1105,MIN(MAX(I1105,1),Assumptions!$B$6)*AD1105)</f>
        <v>6070</v>
      </c>
      <c r="AF1105" s="8">
        <f>IF(F1105="Bullet",MAX(0,Assumptions!$B$4-AB1105),MAX(0,Assumptions!$B$4-L1105))</f>
        <v>8</v>
      </c>
      <c r="AG1105" s="9"/>
      <c r="AH1105" s="8" t="str">
        <f>IF(AG1105="","",Assumptions!$B$4-AG1105)</f>
        <v/>
      </c>
      <c r="AI1105" s="5" t="s">
        <v>80</v>
      </c>
      <c r="AJ1105" s="8"/>
      <c r="AK1105" s="8">
        <v>2</v>
      </c>
      <c r="AL1105" s="8">
        <v>703</v>
      </c>
      <c r="AM1105" s="8">
        <v>1</v>
      </c>
      <c r="AN1105" s="5" t="s">
        <v>57</v>
      </c>
      <c r="AO1105" s="10">
        <v>49.9</v>
      </c>
      <c r="AP1105" s="8">
        <v>58</v>
      </c>
      <c r="AQ1105" s="9">
        <v>46290</v>
      </c>
      <c r="AR1105" s="5" t="s">
        <v>53</v>
      </c>
      <c r="AS1105" s="5" t="s">
        <v>91</v>
      </c>
    </row>
    <row r="1106" spans="1:45" x14ac:dyDescent="0.35">
      <c r="A1106" s="5" t="s">
        <v>4780</v>
      </c>
      <c r="B1106" s="5" t="s">
        <v>4781</v>
      </c>
      <c r="C1106" s="6" t="s">
        <v>4782</v>
      </c>
      <c r="D1106" s="7">
        <v>346800</v>
      </c>
      <c r="E1106" s="5" t="s">
        <v>48</v>
      </c>
      <c r="F1106" s="5" t="s">
        <v>68</v>
      </c>
      <c r="G1106" s="8">
        <v>1</v>
      </c>
      <c r="H1106" s="8">
        <f>IF(F1106="Bullet",MIN(G1106,Assumptions!$B$6),"")</f>
        <v>1</v>
      </c>
      <c r="I1106" s="8"/>
      <c r="J1106" s="8" t="str">
        <f>IF(F1106="Monthly interest",MAX(0,Assumptions!$B$5-I1106),"")</f>
        <v/>
      </c>
      <c r="K1106" s="7">
        <f t="shared" si="51"/>
        <v>3757</v>
      </c>
      <c r="L1106" s="9">
        <v>46263</v>
      </c>
      <c r="M1106" s="5" t="s">
        <v>50</v>
      </c>
      <c r="N1106" s="5" t="s">
        <v>53</v>
      </c>
      <c r="O1106" s="5" t="s">
        <v>95</v>
      </c>
      <c r="P1106" s="5" t="s">
        <v>70</v>
      </c>
      <c r="Q1106" s="5" t="s">
        <v>73</v>
      </c>
      <c r="R1106" s="5" t="s">
        <v>74</v>
      </c>
      <c r="S1106" s="5" t="s">
        <v>185</v>
      </c>
      <c r="T1106" s="5" t="s">
        <v>63</v>
      </c>
      <c r="U1106" s="5" t="s">
        <v>86</v>
      </c>
      <c r="V1106" s="5" t="s">
        <v>186</v>
      </c>
      <c r="W1106" s="5" t="s">
        <v>187</v>
      </c>
      <c r="X1106" s="5" t="s">
        <v>481</v>
      </c>
      <c r="Y1106" s="5" t="s">
        <v>4783</v>
      </c>
      <c r="Z1106" s="9">
        <v>46263</v>
      </c>
      <c r="AA1106" s="8">
        <v>12</v>
      </c>
      <c r="AB1106" s="9">
        <f t="shared" si="52"/>
        <v>46628</v>
      </c>
      <c r="AC1106" s="10">
        <v>13</v>
      </c>
      <c r="AD1106" s="7">
        <f t="shared" si="53"/>
        <v>3757</v>
      </c>
      <c r="AE1106" s="7">
        <f>IF(F1106="Bullet",H1106*AD1106,MIN(MAX(I1106,1),Assumptions!$B$6)*AD1106)</f>
        <v>3757</v>
      </c>
      <c r="AF1106" s="8">
        <f>IF(F1106="Bullet",MAX(0,Assumptions!$B$4-AB1106),MAX(0,Assumptions!$B$4-L1106))</f>
        <v>0</v>
      </c>
      <c r="AG1106" s="9"/>
      <c r="AH1106" s="8" t="str">
        <f>IF(AG1106="","",Assumptions!$B$4-AG1106)</f>
        <v/>
      </c>
      <c r="AI1106" s="5" t="s">
        <v>80</v>
      </c>
      <c r="AJ1106" s="8"/>
      <c r="AK1106" s="8">
        <v>0</v>
      </c>
      <c r="AL1106" s="8">
        <v>698</v>
      </c>
      <c r="AM1106" s="8">
        <v>1</v>
      </c>
      <c r="AN1106" s="5" t="s">
        <v>63</v>
      </c>
      <c r="AO1106" s="10">
        <v>77.2</v>
      </c>
      <c r="AP1106" s="8">
        <v>21</v>
      </c>
      <c r="AQ1106" s="9">
        <v>46294</v>
      </c>
      <c r="AR1106" s="5" t="s">
        <v>53</v>
      </c>
      <c r="AS1106" s="5" t="s">
        <v>91</v>
      </c>
    </row>
    <row r="1107" spans="1:45" x14ac:dyDescent="0.35">
      <c r="A1107" s="5" t="s">
        <v>4784</v>
      </c>
      <c r="B1107" s="5" t="s">
        <v>1027</v>
      </c>
      <c r="C1107" s="6" t="s">
        <v>4785</v>
      </c>
      <c r="D1107" s="7">
        <v>177600</v>
      </c>
      <c r="E1107" s="5" t="s">
        <v>48</v>
      </c>
      <c r="F1107" s="5" t="s">
        <v>49</v>
      </c>
      <c r="G1107" s="8"/>
      <c r="H1107" s="8" t="str">
        <f>IF(F1107="Bullet",MIN(G1107,Assumptions!$B$6),"")</f>
        <v/>
      </c>
      <c r="I1107" s="8">
        <v>2</v>
      </c>
      <c r="J1107" s="8">
        <f>IF(F1107="Monthly interest",MAX(0,Assumptions!$B$5-I1107),"")</f>
        <v>1</v>
      </c>
      <c r="K1107" s="7">
        <f t="shared" si="51"/>
        <v>5920</v>
      </c>
      <c r="L1107" s="9">
        <v>46257</v>
      </c>
      <c r="M1107" s="5" t="s">
        <v>116</v>
      </c>
      <c r="N1107" s="5" t="s">
        <v>117</v>
      </c>
      <c r="O1107" s="5" t="s">
        <v>118</v>
      </c>
      <c r="P1107" s="5" t="s">
        <v>72</v>
      </c>
      <c r="Q1107" s="5" t="s">
        <v>119</v>
      </c>
      <c r="R1107" s="5" t="s">
        <v>120</v>
      </c>
      <c r="S1107" s="5" t="s">
        <v>85</v>
      </c>
      <c r="T1107" s="5" t="s">
        <v>57</v>
      </c>
      <c r="U1107" s="5" t="s">
        <v>58</v>
      </c>
      <c r="V1107" s="5" t="s">
        <v>87</v>
      </c>
      <c r="W1107" s="5" t="s">
        <v>88</v>
      </c>
      <c r="X1107" s="5" t="s">
        <v>4786</v>
      </c>
      <c r="Y1107" s="5" t="s">
        <v>4787</v>
      </c>
      <c r="Z1107" s="9">
        <v>46014</v>
      </c>
      <c r="AA1107" s="8">
        <v>12</v>
      </c>
      <c r="AB1107" s="9">
        <f t="shared" si="52"/>
        <v>46379</v>
      </c>
      <c r="AC1107" s="10">
        <v>20</v>
      </c>
      <c r="AD1107" s="7">
        <f t="shared" si="53"/>
        <v>2960</v>
      </c>
      <c r="AE1107" s="7">
        <f>IF(F1107="Bullet",H1107*AD1107,MIN(MAX(I1107,1),Assumptions!$B$6)*AD1107)</f>
        <v>5920</v>
      </c>
      <c r="AF1107" s="8">
        <f>IF(F1107="Bullet",MAX(0,Assumptions!$B$4-AB1107),MAX(0,Assumptions!$B$4-L1107))</f>
        <v>41</v>
      </c>
      <c r="AG1107" s="9">
        <v>46227</v>
      </c>
      <c r="AH1107" s="8">
        <f>IF(AG1107="","",Assumptions!$B$4-AG1107)</f>
        <v>71</v>
      </c>
      <c r="AI1107" s="5" t="s">
        <v>63</v>
      </c>
      <c r="AJ1107" s="8">
        <v>3</v>
      </c>
      <c r="AK1107" s="8">
        <v>2</v>
      </c>
      <c r="AL1107" s="8">
        <v>692</v>
      </c>
      <c r="AM1107" s="8">
        <v>1</v>
      </c>
      <c r="AN1107" s="5" t="s">
        <v>63</v>
      </c>
      <c r="AO1107" s="10">
        <v>72.400000000000006</v>
      </c>
      <c r="AP1107" s="8">
        <v>52</v>
      </c>
      <c r="AQ1107" s="9">
        <v>46297</v>
      </c>
      <c r="AR1107" s="5" t="s">
        <v>70</v>
      </c>
      <c r="AS1107" s="5" t="s">
        <v>64</v>
      </c>
    </row>
    <row r="1108" spans="1:45" x14ac:dyDescent="0.35">
      <c r="A1108" s="5" t="s">
        <v>4788</v>
      </c>
      <c r="B1108" s="5" t="s">
        <v>4154</v>
      </c>
      <c r="C1108" s="6" t="s">
        <v>4789</v>
      </c>
      <c r="D1108" s="7">
        <v>191600</v>
      </c>
      <c r="E1108" s="5" t="s">
        <v>48</v>
      </c>
      <c r="F1108" s="5" t="s">
        <v>49</v>
      </c>
      <c r="G1108" s="8"/>
      <c r="H1108" s="8" t="str">
        <f>IF(F1108="Bullet",MIN(G1108,Assumptions!$B$6),"")</f>
        <v/>
      </c>
      <c r="I1108" s="8">
        <v>1</v>
      </c>
      <c r="J1108" s="8">
        <f>IF(F1108="Monthly interest",MAX(0,Assumptions!$B$5-I1108),"")</f>
        <v>2</v>
      </c>
      <c r="K1108" s="7">
        <f t="shared" si="51"/>
        <v>3193</v>
      </c>
      <c r="L1108" s="9">
        <v>46270</v>
      </c>
      <c r="M1108" s="5" t="s">
        <v>50</v>
      </c>
      <c r="N1108" s="5" t="s">
        <v>51</v>
      </c>
      <c r="O1108" s="5" t="s">
        <v>52</v>
      </c>
      <c r="P1108" s="5" t="s">
        <v>53</v>
      </c>
      <c r="Q1108" s="5" t="s">
        <v>54</v>
      </c>
      <c r="R1108" s="5" t="s">
        <v>55</v>
      </c>
      <c r="S1108" s="5" t="s">
        <v>75</v>
      </c>
      <c r="T1108" s="5" t="s">
        <v>57</v>
      </c>
      <c r="U1108" s="5" t="s">
        <v>86</v>
      </c>
      <c r="V1108" s="5" t="s">
        <v>76</v>
      </c>
      <c r="W1108" s="5" t="s">
        <v>382</v>
      </c>
      <c r="X1108" s="5" t="s">
        <v>2454</v>
      </c>
      <c r="Y1108" s="5" t="s">
        <v>4790</v>
      </c>
      <c r="Z1108" s="9">
        <v>46086</v>
      </c>
      <c r="AA1108" s="8">
        <v>12</v>
      </c>
      <c r="AB1108" s="9">
        <f t="shared" si="52"/>
        <v>46451</v>
      </c>
      <c r="AC1108" s="10">
        <v>20</v>
      </c>
      <c r="AD1108" s="7">
        <f t="shared" si="53"/>
        <v>3193</v>
      </c>
      <c r="AE1108" s="7">
        <f>IF(F1108="Bullet",H1108*AD1108,MIN(MAX(I1108,1),Assumptions!$B$6)*AD1108)</f>
        <v>3193</v>
      </c>
      <c r="AF1108" s="8">
        <f>IF(F1108="Bullet",MAX(0,Assumptions!$B$4-AB1108),MAX(0,Assumptions!$B$4-L1108))</f>
        <v>28</v>
      </c>
      <c r="AG1108" s="9">
        <v>46243</v>
      </c>
      <c r="AH1108" s="8">
        <f>IF(AG1108="","",Assumptions!$B$4-AG1108)</f>
        <v>55</v>
      </c>
      <c r="AI1108" s="5" t="s">
        <v>63</v>
      </c>
      <c r="AJ1108" s="8">
        <v>1</v>
      </c>
      <c r="AK1108" s="8">
        <v>0</v>
      </c>
      <c r="AL1108" s="8">
        <v>814</v>
      </c>
      <c r="AM1108" s="8">
        <v>3</v>
      </c>
      <c r="AN1108" s="5" t="s">
        <v>63</v>
      </c>
      <c r="AO1108" s="10">
        <v>76.7</v>
      </c>
      <c r="AP1108" s="8">
        <v>24</v>
      </c>
      <c r="AQ1108" s="9">
        <v>46274</v>
      </c>
      <c r="AR1108" s="5" t="s">
        <v>53</v>
      </c>
      <c r="AS1108" s="5" t="s">
        <v>64</v>
      </c>
    </row>
    <row r="1109" spans="1:45" x14ac:dyDescent="0.35">
      <c r="A1109" s="5" t="s">
        <v>4791</v>
      </c>
      <c r="B1109" s="5" t="s">
        <v>4792</v>
      </c>
      <c r="C1109" s="6" t="s">
        <v>4793</v>
      </c>
      <c r="D1109" s="7">
        <v>467700</v>
      </c>
      <c r="E1109" s="5" t="s">
        <v>48</v>
      </c>
      <c r="F1109" s="5" t="s">
        <v>68</v>
      </c>
      <c r="G1109" s="8">
        <v>2</v>
      </c>
      <c r="H1109" s="8">
        <f>IF(F1109="Bullet",MIN(G1109,Assumptions!$B$6),"")</f>
        <v>2</v>
      </c>
      <c r="I1109" s="8"/>
      <c r="J1109" s="8" t="str">
        <f>IF(F1109="Monthly interest",MAX(0,Assumptions!$B$5-I1109),"")</f>
        <v/>
      </c>
      <c r="K1109" s="7">
        <f t="shared" si="51"/>
        <v>10914</v>
      </c>
      <c r="L1109" s="9">
        <v>46222</v>
      </c>
      <c r="M1109" s="5" t="s">
        <v>50</v>
      </c>
      <c r="N1109" s="5" t="s">
        <v>53</v>
      </c>
      <c r="O1109" s="5" t="s">
        <v>132</v>
      </c>
      <c r="P1109" s="5" t="s">
        <v>51</v>
      </c>
      <c r="Q1109" s="5" t="s">
        <v>73</v>
      </c>
      <c r="R1109" s="5" t="s">
        <v>74</v>
      </c>
      <c r="S1109" s="5" t="s">
        <v>253</v>
      </c>
      <c r="T1109" s="5" t="s">
        <v>57</v>
      </c>
      <c r="U1109" s="5" t="s">
        <v>86</v>
      </c>
      <c r="V1109" s="5" t="s">
        <v>59</v>
      </c>
      <c r="W1109" s="5" t="s">
        <v>156</v>
      </c>
      <c r="X1109" s="5" t="s">
        <v>157</v>
      </c>
      <c r="Y1109" s="5" t="s">
        <v>4794</v>
      </c>
      <c r="Z1109" s="9">
        <v>46222</v>
      </c>
      <c r="AA1109" s="8">
        <v>12</v>
      </c>
      <c r="AB1109" s="9">
        <f t="shared" si="52"/>
        <v>46587</v>
      </c>
      <c r="AC1109" s="10">
        <v>14</v>
      </c>
      <c r="AD1109" s="7">
        <f t="shared" si="53"/>
        <v>5457</v>
      </c>
      <c r="AE1109" s="7">
        <f>IF(F1109="Bullet",H1109*AD1109,MIN(MAX(I1109,1),Assumptions!$B$6)*AD1109)</f>
        <v>10914</v>
      </c>
      <c r="AF1109" s="8">
        <f>IF(F1109="Bullet",MAX(0,Assumptions!$B$4-AB1109),MAX(0,Assumptions!$B$4-L1109))</f>
        <v>0</v>
      </c>
      <c r="AG1109" s="9"/>
      <c r="AH1109" s="8" t="str">
        <f>IF(AG1109="","",Assumptions!$B$4-AG1109)</f>
        <v/>
      </c>
      <c r="AI1109" s="5" t="s">
        <v>80</v>
      </c>
      <c r="AJ1109" s="8"/>
      <c r="AK1109" s="8">
        <v>1</v>
      </c>
      <c r="AL1109" s="8">
        <v>780</v>
      </c>
      <c r="AM1109" s="8">
        <v>0</v>
      </c>
      <c r="AN1109" s="5" t="s">
        <v>63</v>
      </c>
      <c r="AO1109" s="10">
        <v>64.7</v>
      </c>
      <c r="AP1109" s="8">
        <v>8</v>
      </c>
      <c r="AQ1109" s="9">
        <v>46294</v>
      </c>
      <c r="AR1109" s="5" t="s">
        <v>51</v>
      </c>
      <c r="AS1109" s="5" t="s">
        <v>91</v>
      </c>
    </row>
    <row r="1110" spans="1:45" x14ac:dyDescent="0.35">
      <c r="A1110" s="5" t="s">
        <v>4795</v>
      </c>
      <c r="B1110" s="5" t="s">
        <v>3876</v>
      </c>
      <c r="C1110" s="6" t="s">
        <v>4796</v>
      </c>
      <c r="D1110" s="7">
        <v>178800</v>
      </c>
      <c r="E1110" s="5" t="s">
        <v>48</v>
      </c>
      <c r="F1110" s="5" t="s">
        <v>68</v>
      </c>
      <c r="G1110" s="8">
        <v>3</v>
      </c>
      <c r="H1110" s="8">
        <f>IF(F1110="Bullet",MIN(G1110,Assumptions!$B$6),"")</f>
        <v>2</v>
      </c>
      <c r="I1110" s="8"/>
      <c r="J1110" s="8" t="str">
        <f>IF(F1110="Monthly interest",MAX(0,Assumptions!$B$5-I1110),"")</f>
        <v/>
      </c>
      <c r="K1110" s="7">
        <f t="shared" si="51"/>
        <v>5811</v>
      </c>
      <c r="L1110" s="9">
        <v>46194</v>
      </c>
      <c r="M1110" s="5" t="s">
        <v>116</v>
      </c>
      <c r="N1110" s="5" t="s">
        <v>117</v>
      </c>
      <c r="O1110" s="5" t="s">
        <v>207</v>
      </c>
      <c r="P1110" s="5" t="s">
        <v>72</v>
      </c>
      <c r="Q1110" s="5" t="s">
        <v>73</v>
      </c>
      <c r="R1110" s="5" t="s">
        <v>74</v>
      </c>
      <c r="S1110" s="5" t="s">
        <v>75</v>
      </c>
      <c r="T1110" s="5" t="s">
        <v>57</v>
      </c>
      <c r="U1110" s="5" t="s">
        <v>104</v>
      </c>
      <c r="V1110" s="5" t="s">
        <v>76</v>
      </c>
      <c r="W1110" s="5" t="s">
        <v>547</v>
      </c>
      <c r="X1110" s="5" t="s">
        <v>1428</v>
      </c>
      <c r="Y1110" s="5" t="s">
        <v>4797</v>
      </c>
      <c r="Z1110" s="9">
        <v>46194</v>
      </c>
      <c r="AA1110" s="8">
        <v>6</v>
      </c>
      <c r="AB1110" s="9">
        <f t="shared" si="52"/>
        <v>46377</v>
      </c>
      <c r="AC1110" s="10">
        <v>13</v>
      </c>
      <c r="AD1110" s="7">
        <f t="shared" si="53"/>
        <v>1937</v>
      </c>
      <c r="AE1110" s="7">
        <f>IF(F1110="Bullet",H1110*AD1110,MIN(MAX(I1110,1),Assumptions!$B$6)*AD1110)</f>
        <v>3874</v>
      </c>
      <c r="AF1110" s="8">
        <f>IF(F1110="Bullet",MAX(0,Assumptions!$B$4-AB1110),MAX(0,Assumptions!$B$4-L1110))</f>
        <v>0</v>
      </c>
      <c r="AG1110" s="9"/>
      <c r="AH1110" s="8" t="str">
        <f>IF(AG1110="","",Assumptions!$B$4-AG1110)</f>
        <v/>
      </c>
      <c r="AI1110" s="5" t="s">
        <v>80</v>
      </c>
      <c r="AJ1110" s="8"/>
      <c r="AK1110" s="8">
        <v>1</v>
      </c>
      <c r="AL1110" s="8">
        <v>579</v>
      </c>
      <c r="AM1110" s="8">
        <v>0</v>
      </c>
      <c r="AN1110" s="5" t="s">
        <v>57</v>
      </c>
      <c r="AO1110" s="10">
        <v>51.5</v>
      </c>
      <c r="AP1110" s="8">
        <v>49</v>
      </c>
      <c r="AQ1110" s="9">
        <v>46278</v>
      </c>
      <c r="AR1110" s="5" t="s">
        <v>53</v>
      </c>
      <c r="AS1110" s="5" t="s">
        <v>190</v>
      </c>
    </row>
    <row r="1111" spans="1:45" x14ac:dyDescent="0.35">
      <c r="A1111" s="5" t="s">
        <v>4798</v>
      </c>
      <c r="B1111" s="5" t="s">
        <v>4799</v>
      </c>
      <c r="C1111" s="6" t="s">
        <v>4800</v>
      </c>
      <c r="D1111" s="7">
        <v>55800</v>
      </c>
      <c r="E1111" s="5" t="s">
        <v>48</v>
      </c>
      <c r="F1111" s="5" t="s">
        <v>68</v>
      </c>
      <c r="G1111" s="8">
        <v>1</v>
      </c>
      <c r="H1111" s="8">
        <f>IF(F1111="Bullet",MIN(G1111,Assumptions!$B$6),"")</f>
        <v>1</v>
      </c>
      <c r="I1111" s="8"/>
      <c r="J1111" s="8" t="str">
        <f>IF(F1111="Monthly interest",MAX(0,Assumptions!$B$5-I1111),"")</f>
        <v/>
      </c>
      <c r="K1111" s="7">
        <f t="shared" si="51"/>
        <v>698</v>
      </c>
      <c r="L1111" s="9">
        <v>46255</v>
      </c>
      <c r="M1111" s="5" t="s">
        <v>50</v>
      </c>
      <c r="N1111" s="5" t="s">
        <v>51</v>
      </c>
      <c r="O1111" s="5" t="s">
        <v>71</v>
      </c>
      <c r="P1111" s="5" t="s">
        <v>53</v>
      </c>
      <c r="Q1111" s="5" t="s">
        <v>73</v>
      </c>
      <c r="R1111" s="5" t="s">
        <v>74</v>
      </c>
      <c r="S1111" s="5" t="s">
        <v>75</v>
      </c>
      <c r="T1111" s="5" t="s">
        <v>57</v>
      </c>
      <c r="U1111" s="5" t="s">
        <v>104</v>
      </c>
      <c r="V1111" s="5" t="s">
        <v>76</v>
      </c>
      <c r="W1111" s="5" t="s">
        <v>547</v>
      </c>
      <c r="X1111" s="5" t="s">
        <v>1519</v>
      </c>
      <c r="Y1111" s="5" t="s">
        <v>4801</v>
      </c>
      <c r="Z1111" s="9">
        <v>46255</v>
      </c>
      <c r="AA1111" s="8">
        <v>12</v>
      </c>
      <c r="AB1111" s="9">
        <f t="shared" si="52"/>
        <v>46620</v>
      </c>
      <c r="AC1111" s="10">
        <v>15</v>
      </c>
      <c r="AD1111" s="7">
        <f t="shared" si="53"/>
        <v>698</v>
      </c>
      <c r="AE1111" s="7">
        <f>IF(F1111="Bullet",H1111*AD1111,MIN(MAX(I1111,1),Assumptions!$B$6)*AD1111)</f>
        <v>698</v>
      </c>
      <c r="AF1111" s="8">
        <f>IF(F1111="Bullet",MAX(0,Assumptions!$B$4-AB1111),MAX(0,Assumptions!$B$4-L1111))</f>
        <v>0</v>
      </c>
      <c r="AG1111" s="9"/>
      <c r="AH1111" s="8" t="str">
        <f>IF(AG1111="","",Assumptions!$B$4-AG1111)</f>
        <v/>
      </c>
      <c r="AI1111" s="5" t="s">
        <v>80</v>
      </c>
      <c r="AJ1111" s="8"/>
      <c r="AK1111" s="8">
        <v>0</v>
      </c>
      <c r="AL1111" s="8">
        <v>890</v>
      </c>
      <c r="AM1111" s="8">
        <v>4</v>
      </c>
      <c r="AN1111" s="5" t="s">
        <v>63</v>
      </c>
      <c r="AO1111" s="10">
        <v>56.3</v>
      </c>
      <c r="AP1111" s="8">
        <v>8</v>
      </c>
      <c r="AQ1111" s="9">
        <v>46284</v>
      </c>
      <c r="AR1111" s="5" t="s">
        <v>53</v>
      </c>
      <c r="AS1111" s="5" t="s">
        <v>64</v>
      </c>
    </row>
    <row r="1112" spans="1:45" x14ac:dyDescent="0.35">
      <c r="A1112" s="5" t="s">
        <v>4802</v>
      </c>
      <c r="B1112" s="5" t="s">
        <v>4803</v>
      </c>
      <c r="C1112" s="6" t="s">
        <v>4804</v>
      </c>
      <c r="D1112" s="7">
        <v>88600</v>
      </c>
      <c r="E1112" s="5" t="s">
        <v>48</v>
      </c>
      <c r="F1112" s="5" t="s">
        <v>49</v>
      </c>
      <c r="G1112" s="8"/>
      <c r="H1112" s="8" t="str">
        <f>IF(F1112="Bullet",MIN(G1112,Assumptions!$B$6),"")</f>
        <v/>
      </c>
      <c r="I1112" s="8">
        <v>2</v>
      </c>
      <c r="J1112" s="8">
        <f>IF(F1112="Monthly interest",MAX(0,Assumptions!$B$5-I1112),"")</f>
        <v>1</v>
      </c>
      <c r="K1112" s="7">
        <f t="shared" si="51"/>
        <v>3248</v>
      </c>
      <c r="L1112" s="9">
        <v>46238</v>
      </c>
      <c r="M1112" s="5" t="s">
        <v>69</v>
      </c>
      <c r="N1112" s="5" t="s">
        <v>53</v>
      </c>
      <c r="O1112" s="5" t="s">
        <v>71</v>
      </c>
      <c r="P1112" s="5" t="s">
        <v>70</v>
      </c>
      <c r="Q1112" s="5" t="s">
        <v>73</v>
      </c>
      <c r="R1112" s="5" t="s">
        <v>74</v>
      </c>
      <c r="S1112" s="5" t="s">
        <v>75</v>
      </c>
      <c r="T1112" s="5" t="s">
        <v>57</v>
      </c>
      <c r="U1112" s="5" t="s">
        <v>86</v>
      </c>
      <c r="V1112" s="5" t="s">
        <v>76</v>
      </c>
      <c r="W1112" s="5" t="s">
        <v>547</v>
      </c>
      <c r="X1112" s="5" t="s">
        <v>3727</v>
      </c>
      <c r="Y1112" s="5" t="s">
        <v>4805</v>
      </c>
      <c r="Z1112" s="9">
        <v>46057</v>
      </c>
      <c r="AA1112" s="8">
        <v>12</v>
      </c>
      <c r="AB1112" s="9">
        <f t="shared" si="52"/>
        <v>46422</v>
      </c>
      <c r="AC1112" s="10">
        <v>22</v>
      </c>
      <c r="AD1112" s="7">
        <f t="shared" si="53"/>
        <v>1624</v>
      </c>
      <c r="AE1112" s="7">
        <f>IF(F1112="Bullet",H1112*AD1112,MIN(MAX(I1112,1),Assumptions!$B$6)*AD1112)</f>
        <v>3248</v>
      </c>
      <c r="AF1112" s="8">
        <f>IF(F1112="Bullet",MAX(0,Assumptions!$B$4-AB1112),MAX(0,Assumptions!$B$4-L1112))</f>
        <v>60</v>
      </c>
      <c r="AG1112" s="9">
        <v>46212</v>
      </c>
      <c r="AH1112" s="8">
        <f>IF(AG1112="","",Assumptions!$B$4-AG1112)</f>
        <v>86</v>
      </c>
      <c r="AI1112" s="5" t="s">
        <v>63</v>
      </c>
      <c r="AJ1112" s="8">
        <v>2</v>
      </c>
      <c r="AK1112" s="8">
        <v>0</v>
      </c>
      <c r="AL1112" s="8">
        <v>729</v>
      </c>
      <c r="AM1112" s="8">
        <v>0</v>
      </c>
      <c r="AN1112" s="5" t="s">
        <v>63</v>
      </c>
      <c r="AO1112" s="10">
        <v>73.5</v>
      </c>
      <c r="AP1112" s="8">
        <v>35</v>
      </c>
      <c r="AQ1112" s="9"/>
      <c r="AR1112" s="5"/>
      <c r="AS1112" s="5" t="s">
        <v>159</v>
      </c>
    </row>
    <row r="1113" spans="1:45" x14ac:dyDescent="0.35">
      <c r="A1113" s="5" t="s">
        <v>4806</v>
      </c>
      <c r="B1113" s="5" t="s">
        <v>4807</v>
      </c>
      <c r="C1113" s="6" t="s">
        <v>4808</v>
      </c>
      <c r="D1113" s="7">
        <v>90600</v>
      </c>
      <c r="E1113" s="5" t="s">
        <v>48</v>
      </c>
      <c r="F1113" s="5" t="s">
        <v>68</v>
      </c>
      <c r="G1113" s="8">
        <v>3</v>
      </c>
      <c r="H1113" s="8">
        <f>IF(F1113="Bullet",MIN(G1113,Assumptions!$B$6),"")</f>
        <v>2</v>
      </c>
      <c r="I1113" s="8"/>
      <c r="J1113" s="8" t="str">
        <f>IF(F1113="Monthly interest",MAX(0,Assumptions!$B$5-I1113),"")</f>
        <v/>
      </c>
      <c r="K1113" s="7">
        <f t="shared" si="51"/>
        <v>2718</v>
      </c>
      <c r="L1113" s="9">
        <v>46190</v>
      </c>
      <c r="M1113" s="5" t="s">
        <v>69</v>
      </c>
      <c r="N1113" s="5" t="s">
        <v>53</v>
      </c>
      <c r="O1113" s="5" t="s">
        <v>71</v>
      </c>
      <c r="P1113" s="5" t="s">
        <v>70</v>
      </c>
      <c r="Q1113" s="5" t="s">
        <v>73</v>
      </c>
      <c r="R1113" s="5" t="s">
        <v>74</v>
      </c>
      <c r="S1113" s="5" t="s">
        <v>75</v>
      </c>
      <c r="T1113" s="5" t="s">
        <v>57</v>
      </c>
      <c r="U1113" s="5" t="s">
        <v>86</v>
      </c>
      <c r="V1113" s="5" t="s">
        <v>76</v>
      </c>
      <c r="W1113" s="5" t="s">
        <v>146</v>
      </c>
      <c r="X1113" s="5" t="s">
        <v>147</v>
      </c>
      <c r="Y1113" s="5" t="s">
        <v>4809</v>
      </c>
      <c r="Z1113" s="9">
        <v>46190</v>
      </c>
      <c r="AA1113" s="8">
        <v>12</v>
      </c>
      <c r="AB1113" s="9">
        <f t="shared" si="52"/>
        <v>46555</v>
      </c>
      <c r="AC1113" s="10">
        <v>12</v>
      </c>
      <c r="AD1113" s="7">
        <f t="shared" si="53"/>
        <v>906</v>
      </c>
      <c r="AE1113" s="7">
        <f>IF(F1113="Bullet",H1113*AD1113,MIN(MAX(I1113,1),Assumptions!$B$6)*AD1113)</f>
        <v>1812</v>
      </c>
      <c r="AF1113" s="8">
        <f>IF(F1113="Bullet",MAX(0,Assumptions!$B$4-AB1113),MAX(0,Assumptions!$B$4-L1113))</f>
        <v>0</v>
      </c>
      <c r="AG1113" s="9"/>
      <c r="AH1113" s="8" t="str">
        <f>IF(AG1113="","",Assumptions!$B$4-AG1113)</f>
        <v/>
      </c>
      <c r="AI1113" s="5" t="s">
        <v>80</v>
      </c>
      <c r="AJ1113" s="8"/>
      <c r="AK1113" s="8">
        <v>1</v>
      </c>
      <c r="AL1113" s="8">
        <v>633</v>
      </c>
      <c r="AM1113" s="8">
        <v>0</v>
      </c>
      <c r="AN1113" s="5" t="s">
        <v>63</v>
      </c>
      <c r="AO1113" s="10">
        <v>73.5</v>
      </c>
      <c r="AP1113" s="8">
        <v>34</v>
      </c>
      <c r="AQ1113" s="9">
        <v>46293</v>
      </c>
      <c r="AR1113" s="5" t="s">
        <v>70</v>
      </c>
      <c r="AS1113" s="5" t="s">
        <v>81</v>
      </c>
    </row>
    <row r="1114" spans="1:45" x14ac:dyDescent="0.35">
      <c r="A1114" s="5" t="s">
        <v>4810</v>
      </c>
      <c r="B1114" s="5" t="s">
        <v>4811</v>
      </c>
      <c r="C1114" s="6" t="s">
        <v>4812</v>
      </c>
      <c r="D1114" s="7">
        <v>110800</v>
      </c>
      <c r="E1114" s="5" t="s">
        <v>48</v>
      </c>
      <c r="F1114" s="5" t="s">
        <v>68</v>
      </c>
      <c r="G1114" s="8">
        <v>2</v>
      </c>
      <c r="H1114" s="8">
        <f>IF(F1114="Bullet",MIN(G1114,Assumptions!$B$6),"")</f>
        <v>2</v>
      </c>
      <c r="I1114" s="8"/>
      <c r="J1114" s="8" t="str">
        <f>IF(F1114="Monthly interest",MAX(0,Assumptions!$B$5-I1114),"")</f>
        <v/>
      </c>
      <c r="K1114" s="7">
        <f t="shared" si="51"/>
        <v>2586</v>
      </c>
      <c r="L1114" s="9">
        <v>46216</v>
      </c>
      <c r="M1114" s="5" t="s">
        <v>50</v>
      </c>
      <c r="N1114" s="5" t="s">
        <v>51</v>
      </c>
      <c r="O1114" s="5" t="s">
        <v>71</v>
      </c>
      <c r="P1114" s="5" t="s">
        <v>53</v>
      </c>
      <c r="Q1114" s="5" t="s">
        <v>73</v>
      </c>
      <c r="R1114" s="5" t="s">
        <v>74</v>
      </c>
      <c r="S1114" s="5" t="s">
        <v>185</v>
      </c>
      <c r="T1114" s="5" t="s">
        <v>57</v>
      </c>
      <c r="U1114" s="5" t="s">
        <v>104</v>
      </c>
      <c r="V1114" s="5" t="s">
        <v>186</v>
      </c>
      <c r="W1114" s="5" t="s">
        <v>694</v>
      </c>
      <c r="X1114" s="5" t="s">
        <v>1632</v>
      </c>
      <c r="Y1114" s="5" t="s">
        <v>4813</v>
      </c>
      <c r="Z1114" s="9">
        <v>46216</v>
      </c>
      <c r="AA1114" s="8">
        <v>6</v>
      </c>
      <c r="AB1114" s="9">
        <f t="shared" si="52"/>
        <v>46400</v>
      </c>
      <c r="AC1114" s="10">
        <v>14</v>
      </c>
      <c r="AD1114" s="7">
        <f t="shared" si="53"/>
        <v>1293</v>
      </c>
      <c r="AE1114" s="7">
        <f>IF(F1114="Bullet",H1114*AD1114,MIN(MAX(I1114,1),Assumptions!$B$6)*AD1114)</f>
        <v>2586</v>
      </c>
      <c r="AF1114" s="8">
        <f>IF(F1114="Bullet",MAX(0,Assumptions!$B$4-AB1114),MAX(0,Assumptions!$B$4-L1114))</f>
        <v>0</v>
      </c>
      <c r="AG1114" s="9"/>
      <c r="AH1114" s="8" t="str">
        <f>IF(AG1114="","",Assumptions!$B$4-AG1114)</f>
        <v/>
      </c>
      <c r="AI1114" s="5" t="s">
        <v>80</v>
      </c>
      <c r="AJ1114" s="8"/>
      <c r="AK1114" s="8">
        <v>0</v>
      </c>
      <c r="AL1114" s="8">
        <v>701</v>
      </c>
      <c r="AM1114" s="8">
        <v>0</v>
      </c>
      <c r="AN1114" s="5" t="s">
        <v>63</v>
      </c>
      <c r="AO1114" s="10">
        <v>78.599999999999994</v>
      </c>
      <c r="AP1114" s="8">
        <v>15</v>
      </c>
      <c r="AQ1114" s="9">
        <v>46287</v>
      </c>
      <c r="AR1114" s="5" t="s">
        <v>53</v>
      </c>
      <c r="AS1114" s="5" t="s">
        <v>91</v>
      </c>
    </row>
    <row r="1115" spans="1:45" x14ac:dyDescent="0.35">
      <c r="A1115" s="5" t="s">
        <v>4814</v>
      </c>
      <c r="B1115" s="5" t="s">
        <v>2508</v>
      </c>
      <c r="C1115" s="6" t="s">
        <v>4815</v>
      </c>
      <c r="D1115" s="7">
        <v>329000</v>
      </c>
      <c r="E1115" s="5" t="s">
        <v>48</v>
      </c>
      <c r="F1115" s="5" t="s">
        <v>49</v>
      </c>
      <c r="G1115" s="8"/>
      <c r="H1115" s="8" t="str">
        <f>IF(F1115="Bullet",MIN(G1115,Assumptions!$B$6),"")</f>
        <v/>
      </c>
      <c r="I1115" s="8">
        <v>1</v>
      </c>
      <c r="J1115" s="8">
        <f>IF(F1115="Monthly interest",MAX(0,Assumptions!$B$5-I1115),"")</f>
        <v>2</v>
      </c>
      <c r="K1115" s="7">
        <f t="shared" si="51"/>
        <v>6580</v>
      </c>
      <c r="L1115" s="9">
        <v>46269</v>
      </c>
      <c r="M1115" s="5" t="s">
        <v>69</v>
      </c>
      <c r="N1115" s="5" t="s">
        <v>51</v>
      </c>
      <c r="O1115" s="5" t="s">
        <v>52</v>
      </c>
      <c r="P1115" s="5" t="s">
        <v>53</v>
      </c>
      <c r="Q1115" s="5" t="s">
        <v>54</v>
      </c>
      <c r="R1115" s="5" t="s">
        <v>55</v>
      </c>
      <c r="S1115" s="5" t="s">
        <v>253</v>
      </c>
      <c r="T1115" s="5" t="s">
        <v>57</v>
      </c>
      <c r="U1115" s="5" t="s">
        <v>86</v>
      </c>
      <c r="V1115" s="5" t="s">
        <v>200</v>
      </c>
      <c r="W1115" s="5" t="s">
        <v>433</v>
      </c>
      <c r="X1115" s="5" t="s">
        <v>4816</v>
      </c>
      <c r="Y1115" s="5" t="s">
        <v>4817</v>
      </c>
      <c r="Z1115" s="9">
        <v>45995</v>
      </c>
      <c r="AA1115" s="8">
        <v>12</v>
      </c>
      <c r="AB1115" s="9">
        <f t="shared" si="52"/>
        <v>46360</v>
      </c>
      <c r="AC1115" s="10">
        <v>24</v>
      </c>
      <c r="AD1115" s="7">
        <f t="shared" si="53"/>
        <v>6580</v>
      </c>
      <c r="AE1115" s="7">
        <f>IF(F1115="Bullet",H1115*AD1115,MIN(MAX(I1115,1),Assumptions!$B$6)*AD1115)</f>
        <v>6580</v>
      </c>
      <c r="AF1115" s="8">
        <f>IF(F1115="Bullet",MAX(0,Assumptions!$B$4-AB1115),MAX(0,Assumptions!$B$4-L1115))</f>
        <v>29</v>
      </c>
      <c r="AG1115" s="9">
        <v>46241</v>
      </c>
      <c r="AH1115" s="8">
        <f>IF(AG1115="","",Assumptions!$B$4-AG1115)</f>
        <v>57</v>
      </c>
      <c r="AI1115" s="5" t="s">
        <v>63</v>
      </c>
      <c r="AJ1115" s="8">
        <v>3</v>
      </c>
      <c r="AK1115" s="8">
        <v>0</v>
      </c>
      <c r="AL1115" s="8">
        <v>699</v>
      </c>
      <c r="AM1115" s="8">
        <v>4</v>
      </c>
      <c r="AN1115" s="5" t="s">
        <v>63</v>
      </c>
      <c r="AO1115" s="10">
        <v>62</v>
      </c>
      <c r="AP1115" s="8">
        <v>38</v>
      </c>
      <c r="AQ1115" s="9">
        <v>46275</v>
      </c>
      <c r="AR1115" s="5" t="s">
        <v>51</v>
      </c>
      <c r="AS1115" s="5" t="s">
        <v>64</v>
      </c>
    </row>
    <row r="1116" spans="1:45" x14ac:dyDescent="0.35">
      <c r="A1116" s="5" t="s">
        <v>4818</v>
      </c>
      <c r="B1116" s="5" t="s">
        <v>4819</v>
      </c>
      <c r="C1116" s="6" t="s">
        <v>4820</v>
      </c>
      <c r="D1116" s="7">
        <v>56200</v>
      </c>
      <c r="E1116" s="5" t="s">
        <v>48</v>
      </c>
      <c r="F1116" s="5" t="s">
        <v>49</v>
      </c>
      <c r="G1116" s="8"/>
      <c r="H1116" s="8" t="str">
        <f>IF(F1116="Bullet",MIN(G1116,Assumptions!$B$6),"")</f>
        <v/>
      </c>
      <c r="I1116" s="8">
        <v>2</v>
      </c>
      <c r="J1116" s="8">
        <f>IF(F1116="Monthly interest",MAX(0,Assumptions!$B$5-I1116),"")</f>
        <v>1</v>
      </c>
      <c r="K1116" s="7">
        <f t="shared" si="51"/>
        <v>1498</v>
      </c>
      <c r="L1116" s="9">
        <v>46252</v>
      </c>
      <c r="M1116" s="5" t="s">
        <v>116</v>
      </c>
      <c r="N1116" s="5" t="s">
        <v>117</v>
      </c>
      <c r="O1116" s="5" t="s">
        <v>118</v>
      </c>
      <c r="P1116" s="5" t="s">
        <v>72</v>
      </c>
      <c r="Q1116" s="5" t="s">
        <v>119</v>
      </c>
      <c r="R1116" s="5" t="s">
        <v>120</v>
      </c>
      <c r="S1116" s="5" t="s">
        <v>214</v>
      </c>
      <c r="T1116" s="5" t="s">
        <v>63</v>
      </c>
      <c r="U1116" s="5" t="s">
        <v>58</v>
      </c>
      <c r="V1116" s="5" t="s">
        <v>215</v>
      </c>
      <c r="W1116" s="5" t="s">
        <v>232</v>
      </c>
      <c r="X1116" s="5" t="s">
        <v>4654</v>
      </c>
      <c r="Y1116" s="5" t="s">
        <v>4821</v>
      </c>
      <c r="Z1116" s="9">
        <v>46160</v>
      </c>
      <c r="AA1116" s="8">
        <v>12</v>
      </c>
      <c r="AB1116" s="9">
        <f t="shared" si="52"/>
        <v>46525</v>
      </c>
      <c r="AC1116" s="10">
        <v>16</v>
      </c>
      <c r="AD1116" s="7">
        <f t="shared" si="53"/>
        <v>749</v>
      </c>
      <c r="AE1116" s="7">
        <f>IF(F1116="Bullet",H1116*AD1116,MIN(MAX(I1116,1),Assumptions!$B$6)*AD1116)</f>
        <v>1498</v>
      </c>
      <c r="AF1116" s="8">
        <f>IF(F1116="Bullet",MAX(0,Assumptions!$B$4-AB1116),MAX(0,Assumptions!$B$4-L1116))</f>
        <v>46</v>
      </c>
      <c r="AG1116" s="9">
        <v>46225</v>
      </c>
      <c r="AH1116" s="8">
        <f>IF(AG1116="","",Assumptions!$B$4-AG1116)</f>
        <v>73</v>
      </c>
      <c r="AI1116" s="5" t="s">
        <v>63</v>
      </c>
      <c r="AJ1116" s="8">
        <v>3</v>
      </c>
      <c r="AK1116" s="8">
        <v>0</v>
      </c>
      <c r="AL1116" s="8">
        <v>650</v>
      </c>
      <c r="AM1116" s="8">
        <v>0</v>
      </c>
      <c r="AN1116" s="5" t="s">
        <v>63</v>
      </c>
      <c r="AO1116" s="10">
        <v>83.6</v>
      </c>
      <c r="AP1116" s="8">
        <v>68</v>
      </c>
      <c r="AQ1116" s="9">
        <v>46293</v>
      </c>
      <c r="AR1116" s="5" t="s">
        <v>53</v>
      </c>
      <c r="AS1116" s="5" t="s">
        <v>91</v>
      </c>
    </row>
    <row r="1117" spans="1:45" x14ac:dyDescent="0.35">
      <c r="A1117" s="5" t="s">
        <v>4822</v>
      </c>
      <c r="B1117" s="5" t="s">
        <v>4823</v>
      </c>
      <c r="C1117" s="6" t="s">
        <v>4824</v>
      </c>
      <c r="D1117" s="7">
        <v>50800</v>
      </c>
      <c r="E1117" s="5" t="s">
        <v>48</v>
      </c>
      <c r="F1117" s="5" t="s">
        <v>68</v>
      </c>
      <c r="G1117" s="8">
        <v>3</v>
      </c>
      <c r="H1117" s="8">
        <f>IF(F1117="Bullet",MIN(G1117,Assumptions!$B$6),"")</f>
        <v>2</v>
      </c>
      <c r="I1117" s="8"/>
      <c r="J1117" s="8" t="str">
        <f>IF(F1117="Monthly interest",MAX(0,Assumptions!$B$5-I1117),"")</f>
        <v/>
      </c>
      <c r="K1117" s="7">
        <f t="shared" si="51"/>
        <v>2286</v>
      </c>
      <c r="L1117" s="9">
        <v>46185</v>
      </c>
      <c r="M1117" s="5" t="s">
        <v>50</v>
      </c>
      <c r="N1117" s="5" t="s">
        <v>53</v>
      </c>
      <c r="O1117" s="5" t="s">
        <v>71</v>
      </c>
      <c r="P1117" s="5" t="s">
        <v>51</v>
      </c>
      <c r="Q1117" s="5" t="s">
        <v>73</v>
      </c>
      <c r="R1117" s="5" t="s">
        <v>74</v>
      </c>
      <c r="S1117" s="5" t="s">
        <v>75</v>
      </c>
      <c r="T1117" s="5" t="s">
        <v>57</v>
      </c>
      <c r="U1117" s="5" t="s">
        <v>104</v>
      </c>
      <c r="V1117" s="5" t="s">
        <v>76</v>
      </c>
      <c r="W1117" s="5" t="s">
        <v>306</v>
      </c>
      <c r="X1117" s="5" t="s">
        <v>1094</v>
      </c>
      <c r="Y1117" s="5" t="s">
        <v>4825</v>
      </c>
      <c r="Z1117" s="9">
        <v>46185</v>
      </c>
      <c r="AA1117" s="8">
        <v>6</v>
      </c>
      <c r="AB1117" s="9">
        <f t="shared" si="52"/>
        <v>46368</v>
      </c>
      <c r="AC1117" s="10">
        <v>18</v>
      </c>
      <c r="AD1117" s="7">
        <f t="shared" si="53"/>
        <v>762</v>
      </c>
      <c r="AE1117" s="7">
        <f>IF(F1117="Bullet",H1117*AD1117,MIN(MAX(I1117,1),Assumptions!$B$6)*AD1117)</f>
        <v>1524</v>
      </c>
      <c r="AF1117" s="8">
        <f>IF(F1117="Bullet",MAX(0,Assumptions!$B$4-AB1117),MAX(0,Assumptions!$B$4-L1117))</f>
        <v>0</v>
      </c>
      <c r="AG1117" s="9"/>
      <c r="AH1117" s="8" t="str">
        <f>IF(AG1117="","",Assumptions!$B$4-AG1117)</f>
        <v/>
      </c>
      <c r="AI1117" s="5" t="s">
        <v>80</v>
      </c>
      <c r="AJ1117" s="8"/>
      <c r="AK1117" s="8">
        <v>1</v>
      </c>
      <c r="AL1117" s="8">
        <v>709</v>
      </c>
      <c r="AM1117" s="8">
        <v>2</v>
      </c>
      <c r="AN1117" s="5" t="s">
        <v>63</v>
      </c>
      <c r="AO1117" s="10">
        <v>70.400000000000006</v>
      </c>
      <c r="AP1117" s="8">
        <v>25</v>
      </c>
      <c r="AQ1117" s="9"/>
      <c r="AR1117" s="5"/>
      <c r="AS1117" s="5" t="s">
        <v>159</v>
      </c>
    </row>
    <row r="1118" spans="1:45" x14ac:dyDescent="0.35">
      <c r="A1118" s="5" t="s">
        <v>4826</v>
      </c>
      <c r="B1118" s="5" t="s">
        <v>2513</v>
      </c>
      <c r="C1118" s="6" t="s">
        <v>4827</v>
      </c>
      <c r="D1118" s="7">
        <v>20800</v>
      </c>
      <c r="E1118" s="5" t="s">
        <v>48</v>
      </c>
      <c r="F1118" s="5" t="s">
        <v>68</v>
      </c>
      <c r="G1118" s="8">
        <v>1</v>
      </c>
      <c r="H1118" s="8">
        <f>IF(F1118="Bullet",MIN(G1118,Assumptions!$B$6),"")</f>
        <v>1</v>
      </c>
      <c r="I1118" s="8"/>
      <c r="J1118" s="8" t="str">
        <f>IF(F1118="Monthly interest",MAX(0,Assumptions!$B$5-I1118),"")</f>
        <v/>
      </c>
      <c r="K1118" s="7">
        <f t="shared" si="51"/>
        <v>208</v>
      </c>
      <c r="L1118" s="9">
        <v>46254</v>
      </c>
      <c r="M1118" s="5" t="s">
        <v>50</v>
      </c>
      <c r="N1118" s="5" t="s">
        <v>53</v>
      </c>
      <c r="O1118" s="5" t="s">
        <v>132</v>
      </c>
      <c r="P1118" s="5" t="s">
        <v>153</v>
      </c>
      <c r="Q1118" s="5" t="s">
        <v>154</v>
      </c>
      <c r="R1118" s="5" t="s">
        <v>155</v>
      </c>
      <c r="S1118" s="5" t="s">
        <v>56</v>
      </c>
      <c r="T1118" s="5" t="s">
        <v>57</v>
      </c>
      <c r="U1118" s="5" t="s">
        <v>86</v>
      </c>
      <c r="V1118" s="5" t="s">
        <v>59</v>
      </c>
      <c r="W1118" s="5" t="s">
        <v>60</v>
      </c>
      <c r="X1118" s="5" t="s">
        <v>4828</v>
      </c>
      <c r="Y1118" s="5" t="s">
        <v>4829</v>
      </c>
      <c r="Z1118" s="9">
        <v>46254</v>
      </c>
      <c r="AA1118" s="8">
        <v>12</v>
      </c>
      <c r="AB1118" s="9">
        <f t="shared" si="52"/>
        <v>46619</v>
      </c>
      <c r="AC1118" s="10">
        <v>12</v>
      </c>
      <c r="AD1118" s="7">
        <f t="shared" si="53"/>
        <v>208</v>
      </c>
      <c r="AE1118" s="7">
        <f>IF(F1118="Bullet",H1118*AD1118,MIN(MAX(I1118,1),Assumptions!$B$6)*AD1118)</f>
        <v>208</v>
      </c>
      <c r="AF1118" s="8">
        <f>IF(F1118="Bullet",MAX(0,Assumptions!$B$4-AB1118),MAX(0,Assumptions!$B$4-L1118))</f>
        <v>0</v>
      </c>
      <c r="AG1118" s="9"/>
      <c r="AH1118" s="8" t="str">
        <f>IF(AG1118="","",Assumptions!$B$4-AG1118)</f>
        <v/>
      </c>
      <c r="AI1118" s="5" t="s">
        <v>80</v>
      </c>
      <c r="AJ1118" s="8"/>
      <c r="AK1118" s="8">
        <v>0</v>
      </c>
      <c r="AL1118" s="8">
        <v>768</v>
      </c>
      <c r="AM1118" s="8">
        <v>0</v>
      </c>
      <c r="AN1118" s="5" t="s">
        <v>63</v>
      </c>
      <c r="AO1118" s="10">
        <v>74</v>
      </c>
      <c r="AP1118" s="8">
        <v>2</v>
      </c>
      <c r="AQ1118" s="9">
        <v>46291</v>
      </c>
      <c r="AR1118" s="5" t="s">
        <v>51</v>
      </c>
      <c r="AS1118" s="5" t="s">
        <v>91</v>
      </c>
    </row>
    <row r="1119" spans="1:45" x14ac:dyDescent="0.35">
      <c r="A1119" s="5" t="s">
        <v>4830</v>
      </c>
      <c r="B1119" s="5" t="s">
        <v>4627</v>
      </c>
      <c r="C1119" s="6" t="s">
        <v>4831</v>
      </c>
      <c r="D1119" s="7">
        <v>591000</v>
      </c>
      <c r="E1119" s="5" t="s">
        <v>48</v>
      </c>
      <c r="F1119" s="5" t="s">
        <v>68</v>
      </c>
      <c r="G1119" s="8">
        <v>5</v>
      </c>
      <c r="H1119" s="8">
        <f>IF(F1119="Bullet",MIN(G1119,Assumptions!$B$6),"")</f>
        <v>2</v>
      </c>
      <c r="I1119" s="8"/>
      <c r="J1119" s="8" t="str">
        <f>IF(F1119="Monthly interest",MAX(0,Assumptions!$B$5-I1119),"")</f>
        <v/>
      </c>
      <c r="K1119" s="7">
        <f t="shared" si="51"/>
        <v>32015</v>
      </c>
      <c r="L1119" s="9">
        <v>46144</v>
      </c>
      <c r="M1119" s="5" t="s">
        <v>50</v>
      </c>
      <c r="N1119" s="5" t="s">
        <v>70</v>
      </c>
      <c r="O1119" s="5" t="s">
        <v>271</v>
      </c>
      <c r="P1119" s="5" t="s">
        <v>72</v>
      </c>
      <c r="Q1119" s="5" t="s">
        <v>169</v>
      </c>
      <c r="R1119" s="5" t="s">
        <v>170</v>
      </c>
      <c r="S1119" s="5" t="s">
        <v>56</v>
      </c>
      <c r="T1119" s="5" t="s">
        <v>57</v>
      </c>
      <c r="U1119" s="5" t="s">
        <v>58</v>
      </c>
      <c r="V1119" s="5" t="s">
        <v>59</v>
      </c>
      <c r="W1119" s="5" t="s">
        <v>194</v>
      </c>
      <c r="X1119" s="5" t="s">
        <v>195</v>
      </c>
      <c r="Y1119" s="5" t="s">
        <v>4832</v>
      </c>
      <c r="Z1119" s="9">
        <v>46144</v>
      </c>
      <c r="AA1119" s="8">
        <v>6</v>
      </c>
      <c r="AB1119" s="9">
        <f t="shared" si="52"/>
        <v>46328</v>
      </c>
      <c r="AC1119" s="10">
        <v>13</v>
      </c>
      <c r="AD1119" s="7">
        <f t="shared" si="53"/>
        <v>6403</v>
      </c>
      <c r="AE1119" s="7">
        <f>IF(F1119="Bullet",H1119*AD1119,MIN(MAX(I1119,1),Assumptions!$B$6)*AD1119)</f>
        <v>12806</v>
      </c>
      <c r="AF1119" s="8">
        <f>IF(F1119="Bullet",MAX(0,Assumptions!$B$4-AB1119),MAX(0,Assumptions!$B$4-L1119))</f>
        <v>0</v>
      </c>
      <c r="AG1119" s="9"/>
      <c r="AH1119" s="8" t="str">
        <f>IF(AG1119="","",Assumptions!$B$4-AG1119)</f>
        <v/>
      </c>
      <c r="AI1119" s="5" t="s">
        <v>80</v>
      </c>
      <c r="AJ1119" s="8"/>
      <c r="AK1119" s="8">
        <v>0</v>
      </c>
      <c r="AL1119" s="8">
        <v>713</v>
      </c>
      <c r="AM1119" s="8">
        <v>0</v>
      </c>
      <c r="AN1119" s="5" t="s">
        <v>63</v>
      </c>
      <c r="AO1119" s="10">
        <v>68.400000000000006</v>
      </c>
      <c r="AP1119" s="8">
        <v>30</v>
      </c>
      <c r="AQ1119" s="9">
        <v>46280</v>
      </c>
      <c r="AR1119" s="5" t="s">
        <v>70</v>
      </c>
      <c r="AS1119" s="5" t="s">
        <v>274</v>
      </c>
    </row>
    <row r="1120" spans="1:45" x14ac:dyDescent="0.35">
      <c r="A1120" s="5" t="s">
        <v>4833</v>
      </c>
      <c r="B1120" s="5" t="s">
        <v>4834</v>
      </c>
      <c r="C1120" s="6" t="s">
        <v>4835</v>
      </c>
      <c r="D1120" s="7">
        <v>61700</v>
      </c>
      <c r="E1120" s="5" t="s">
        <v>48</v>
      </c>
      <c r="F1120" s="5" t="s">
        <v>49</v>
      </c>
      <c r="G1120" s="8"/>
      <c r="H1120" s="8" t="str">
        <f>IF(F1120="Bullet",MIN(G1120,Assumptions!$B$6),"")</f>
        <v/>
      </c>
      <c r="I1120" s="8">
        <v>2</v>
      </c>
      <c r="J1120" s="8">
        <f>IF(F1120="Monthly interest",MAX(0,Assumptions!$B$5-I1120),"")</f>
        <v>1</v>
      </c>
      <c r="K1120" s="7">
        <f t="shared" si="51"/>
        <v>2468</v>
      </c>
      <c r="L1120" s="9">
        <v>46250</v>
      </c>
      <c r="M1120" s="5" t="s">
        <v>116</v>
      </c>
      <c r="N1120" s="5" t="s">
        <v>117</v>
      </c>
      <c r="O1120" s="5" t="s">
        <v>118</v>
      </c>
      <c r="P1120" s="5" t="s">
        <v>72</v>
      </c>
      <c r="Q1120" s="5" t="s">
        <v>119</v>
      </c>
      <c r="R1120" s="5" t="s">
        <v>120</v>
      </c>
      <c r="S1120" s="5" t="s">
        <v>56</v>
      </c>
      <c r="T1120" s="5" t="s">
        <v>57</v>
      </c>
      <c r="U1120" s="5" t="s">
        <v>58</v>
      </c>
      <c r="V1120" s="5" t="s">
        <v>59</v>
      </c>
      <c r="W1120" s="5" t="s">
        <v>126</v>
      </c>
      <c r="X1120" s="5" t="s">
        <v>4836</v>
      </c>
      <c r="Y1120" s="5" t="s">
        <v>4837</v>
      </c>
      <c r="Z1120" s="9">
        <v>46189</v>
      </c>
      <c r="AA1120" s="8">
        <v>24</v>
      </c>
      <c r="AB1120" s="9">
        <f t="shared" si="52"/>
        <v>46920</v>
      </c>
      <c r="AC1120" s="10">
        <v>24</v>
      </c>
      <c r="AD1120" s="7">
        <f t="shared" si="53"/>
        <v>1234</v>
      </c>
      <c r="AE1120" s="7">
        <f>IF(F1120="Bullet",H1120*AD1120,MIN(MAX(I1120,1),Assumptions!$B$6)*AD1120)</f>
        <v>2468</v>
      </c>
      <c r="AF1120" s="8">
        <f>IF(F1120="Bullet",MAX(0,Assumptions!$B$4-AB1120),MAX(0,Assumptions!$B$4-L1120))</f>
        <v>48</v>
      </c>
      <c r="AG1120" s="9">
        <v>46224</v>
      </c>
      <c r="AH1120" s="8">
        <f>IF(AG1120="","",Assumptions!$B$4-AG1120)</f>
        <v>74</v>
      </c>
      <c r="AI1120" s="5" t="s">
        <v>63</v>
      </c>
      <c r="AJ1120" s="8">
        <v>2</v>
      </c>
      <c r="AK1120" s="8">
        <v>1</v>
      </c>
      <c r="AL1120" s="8">
        <v>670</v>
      </c>
      <c r="AM1120" s="8">
        <v>1</v>
      </c>
      <c r="AN1120" s="5" t="s">
        <v>63</v>
      </c>
      <c r="AO1120" s="10">
        <v>64.400000000000006</v>
      </c>
      <c r="AP1120" s="8">
        <v>51</v>
      </c>
      <c r="AQ1120" s="9">
        <v>46275</v>
      </c>
      <c r="AR1120" s="5" t="s">
        <v>72</v>
      </c>
      <c r="AS1120" s="5" t="s">
        <v>81</v>
      </c>
    </row>
    <row r="1121" spans="1:45" x14ac:dyDescent="0.35">
      <c r="A1121" s="5" t="s">
        <v>4838</v>
      </c>
      <c r="B1121" s="5" t="s">
        <v>4839</v>
      </c>
      <c r="C1121" s="6" t="s">
        <v>4840</v>
      </c>
      <c r="D1121" s="7">
        <v>41300</v>
      </c>
      <c r="E1121" s="5" t="s">
        <v>48</v>
      </c>
      <c r="F1121" s="5" t="s">
        <v>68</v>
      </c>
      <c r="G1121" s="8">
        <v>2</v>
      </c>
      <c r="H1121" s="8">
        <f>IF(F1121="Bullet",MIN(G1121,Assumptions!$B$6),"")</f>
        <v>2</v>
      </c>
      <c r="I1121" s="8"/>
      <c r="J1121" s="8" t="str">
        <f>IF(F1121="Monthly interest",MAX(0,Assumptions!$B$5-I1121),"")</f>
        <v/>
      </c>
      <c r="K1121" s="7">
        <f t="shared" si="51"/>
        <v>1102</v>
      </c>
      <c r="L1121" s="9">
        <v>46218</v>
      </c>
      <c r="M1121" s="5" t="s">
        <v>50</v>
      </c>
      <c r="N1121" s="5" t="s">
        <v>53</v>
      </c>
      <c r="O1121" s="5" t="s">
        <v>152</v>
      </c>
      <c r="P1121" s="5" t="s">
        <v>153</v>
      </c>
      <c r="Q1121" s="5" t="s">
        <v>154</v>
      </c>
      <c r="R1121" s="5" t="s">
        <v>155</v>
      </c>
      <c r="S1121" s="5" t="s">
        <v>85</v>
      </c>
      <c r="T1121" s="5" t="s">
        <v>57</v>
      </c>
      <c r="U1121" s="5" t="s">
        <v>58</v>
      </c>
      <c r="V1121" s="5" t="s">
        <v>177</v>
      </c>
      <c r="W1121" s="5" t="s">
        <v>208</v>
      </c>
      <c r="X1121" s="5" t="s">
        <v>312</v>
      </c>
      <c r="Y1121" s="5" t="s">
        <v>4841</v>
      </c>
      <c r="Z1121" s="9">
        <v>46218</v>
      </c>
      <c r="AA1121" s="8">
        <v>6</v>
      </c>
      <c r="AB1121" s="9">
        <f t="shared" si="52"/>
        <v>46402</v>
      </c>
      <c r="AC1121" s="10">
        <v>16</v>
      </c>
      <c r="AD1121" s="7">
        <f t="shared" si="53"/>
        <v>551</v>
      </c>
      <c r="AE1121" s="7">
        <f>IF(F1121="Bullet",H1121*AD1121,MIN(MAX(I1121,1),Assumptions!$B$6)*AD1121)</f>
        <v>1102</v>
      </c>
      <c r="AF1121" s="8">
        <f>IF(F1121="Bullet",MAX(0,Assumptions!$B$4-AB1121),MAX(0,Assumptions!$B$4-L1121))</f>
        <v>0</v>
      </c>
      <c r="AG1121" s="9"/>
      <c r="AH1121" s="8" t="str">
        <f>IF(AG1121="","",Assumptions!$B$4-AG1121)</f>
        <v/>
      </c>
      <c r="AI1121" s="5" t="s">
        <v>80</v>
      </c>
      <c r="AJ1121" s="8"/>
      <c r="AK1121" s="8">
        <v>0</v>
      </c>
      <c r="AL1121" s="8">
        <v>681</v>
      </c>
      <c r="AM1121" s="8">
        <v>0</v>
      </c>
      <c r="AN1121" s="5" t="s">
        <v>63</v>
      </c>
      <c r="AO1121" s="10">
        <v>80.7</v>
      </c>
      <c r="AP1121" s="8">
        <v>26</v>
      </c>
      <c r="AQ1121" s="9">
        <v>46277</v>
      </c>
      <c r="AR1121" s="5" t="s">
        <v>70</v>
      </c>
      <c r="AS1121" s="5" t="s">
        <v>274</v>
      </c>
    </row>
    <row r="1122" spans="1:45" x14ac:dyDescent="0.35">
      <c r="A1122" s="5" t="s">
        <v>4842</v>
      </c>
      <c r="B1122" s="5" t="s">
        <v>4843</v>
      </c>
      <c r="C1122" s="6" t="s">
        <v>4844</v>
      </c>
      <c r="D1122" s="7">
        <v>1170400</v>
      </c>
      <c r="E1122" s="5" t="s">
        <v>48</v>
      </c>
      <c r="F1122" s="5" t="s">
        <v>49</v>
      </c>
      <c r="G1122" s="8"/>
      <c r="H1122" s="8" t="str">
        <f>IF(F1122="Bullet",MIN(G1122,Assumptions!$B$6),"")</f>
        <v/>
      </c>
      <c r="I1122" s="8">
        <v>1</v>
      </c>
      <c r="J1122" s="8">
        <f>IF(F1122="Monthly interest",MAX(0,Assumptions!$B$5-I1122),"")</f>
        <v>2</v>
      </c>
      <c r="K1122" s="7">
        <f t="shared" si="51"/>
        <v>13655</v>
      </c>
      <c r="L1122" s="9">
        <v>46289</v>
      </c>
      <c r="M1122" s="5" t="s">
        <v>50</v>
      </c>
      <c r="N1122" s="5" t="s">
        <v>51</v>
      </c>
      <c r="O1122" s="5" t="s">
        <v>52</v>
      </c>
      <c r="P1122" s="5" t="s">
        <v>53</v>
      </c>
      <c r="Q1122" s="5" t="s">
        <v>54</v>
      </c>
      <c r="R1122" s="5" t="s">
        <v>55</v>
      </c>
      <c r="S1122" s="5" t="s">
        <v>56</v>
      </c>
      <c r="T1122" s="5" t="s">
        <v>57</v>
      </c>
      <c r="U1122" s="5" t="s">
        <v>86</v>
      </c>
      <c r="V1122" s="5" t="s">
        <v>59</v>
      </c>
      <c r="W1122" s="5" t="s">
        <v>323</v>
      </c>
      <c r="X1122" s="5" t="s">
        <v>3308</v>
      </c>
      <c r="Y1122" s="5" t="s">
        <v>4845</v>
      </c>
      <c r="Z1122" s="9">
        <v>46105</v>
      </c>
      <c r="AA1122" s="8">
        <v>12</v>
      </c>
      <c r="AB1122" s="9">
        <f t="shared" si="52"/>
        <v>46470</v>
      </c>
      <c r="AC1122" s="10">
        <v>14</v>
      </c>
      <c r="AD1122" s="7">
        <f t="shared" si="53"/>
        <v>13655</v>
      </c>
      <c r="AE1122" s="7">
        <f>IF(F1122="Bullet",H1122*AD1122,MIN(MAX(I1122,1),Assumptions!$B$6)*AD1122)</f>
        <v>13655</v>
      </c>
      <c r="AF1122" s="8">
        <f>IF(F1122="Bullet",MAX(0,Assumptions!$B$4-AB1122),MAX(0,Assumptions!$B$4-L1122))</f>
        <v>9</v>
      </c>
      <c r="AG1122" s="9">
        <v>46263</v>
      </c>
      <c r="AH1122" s="8">
        <f>IF(AG1122="","",Assumptions!$B$4-AG1122)</f>
        <v>35</v>
      </c>
      <c r="AI1122" s="5" t="s">
        <v>63</v>
      </c>
      <c r="AJ1122" s="8">
        <v>1</v>
      </c>
      <c r="AK1122" s="8">
        <v>0</v>
      </c>
      <c r="AL1122" s="8">
        <v>722</v>
      </c>
      <c r="AM1122" s="8">
        <v>1</v>
      </c>
      <c r="AN1122" s="5" t="s">
        <v>63</v>
      </c>
      <c r="AO1122" s="10">
        <v>61.4</v>
      </c>
      <c r="AP1122" s="8">
        <v>20</v>
      </c>
      <c r="AQ1122" s="9">
        <v>46292</v>
      </c>
      <c r="AR1122" s="5" t="s">
        <v>51</v>
      </c>
      <c r="AS1122" s="5" t="s">
        <v>64</v>
      </c>
    </row>
    <row r="1123" spans="1:45" x14ac:dyDescent="0.35">
      <c r="A1123" s="5" t="s">
        <v>4846</v>
      </c>
      <c r="B1123" s="5" t="s">
        <v>4847</v>
      </c>
      <c r="C1123" s="6" t="s">
        <v>4848</v>
      </c>
      <c r="D1123" s="7">
        <v>18800</v>
      </c>
      <c r="E1123" s="5" t="s">
        <v>48</v>
      </c>
      <c r="F1123" s="5" t="s">
        <v>68</v>
      </c>
      <c r="G1123" s="8">
        <v>2</v>
      </c>
      <c r="H1123" s="8">
        <f>IF(F1123="Bullet",MIN(G1123,Assumptions!$B$6),"")</f>
        <v>2</v>
      </c>
      <c r="I1123" s="8"/>
      <c r="J1123" s="8" t="str">
        <f>IF(F1123="Monthly interest",MAX(0,Assumptions!$B$5-I1123),"")</f>
        <v/>
      </c>
      <c r="K1123" s="7">
        <f t="shared" si="51"/>
        <v>502</v>
      </c>
      <c r="L1123" s="9">
        <v>46237</v>
      </c>
      <c r="M1123" s="5" t="s">
        <v>69</v>
      </c>
      <c r="N1123" s="5" t="s">
        <v>53</v>
      </c>
      <c r="O1123" s="5" t="s">
        <v>152</v>
      </c>
      <c r="P1123" s="5" t="s">
        <v>153</v>
      </c>
      <c r="Q1123" s="5" t="s">
        <v>154</v>
      </c>
      <c r="R1123" s="5" t="s">
        <v>155</v>
      </c>
      <c r="S1123" s="5" t="s">
        <v>56</v>
      </c>
      <c r="T1123" s="5" t="s">
        <v>57</v>
      </c>
      <c r="U1123" s="5" t="s">
        <v>86</v>
      </c>
      <c r="V1123" s="5" t="s">
        <v>59</v>
      </c>
      <c r="W1123" s="5" t="s">
        <v>60</v>
      </c>
      <c r="X1123" s="5" t="s">
        <v>933</v>
      </c>
      <c r="Y1123" s="5" t="s">
        <v>4849</v>
      </c>
      <c r="Z1123" s="9">
        <v>46237</v>
      </c>
      <c r="AA1123" s="8">
        <v>12</v>
      </c>
      <c r="AB1123" s="9">
        <f t="shared" si="52"/>
        <v>46602</v>
      </c>
      <c r="AC1123" s="10">
        <v>16</v>
      </c>
      <c r="AD1123" s="7">
        <f t="shared" si="53"/>
        <v>251</v>
      </c>
      <c r="AE1123" s="7">
        <f>IF(F1123="Bullet",H1123*AD1123,MIN(MAX(I1123,1),Assumptions!$B$6)*AD1123)</f>
        <v>502</v>
      </c>
      <c r="AF1123" s="8">
        <f>IF(F1123="Bullet",MAX(0,Assumptions!$B$4-AB1123),MAX(0,Assumptions!$B$4-L1123))</f>
        <v>0</v>
      </c>
      <c r="AG1123" s="9"/>
      <c r="AH1123" s="8" t="str">
        <f>IF(AG1123="","",Assumptions!$B$4-AG1123)</f>
        <v/>
      </c>
      <c r="AI1123" s="5" t="s">
        <v>80</v>
      </c>
      <c r="AJ1123" s="8"/>
      <c r="AK1123" s="8">
        <v>0</v>
      </c>
      <c r="AL1123" s="8">
        <v>628</v>
      </c>
      <c r="AM1123" s="8">
        <v>2</v>
      </c>
      <c r="AN1123" s="5" t="s">
        <v>63</v>
      </c>
      <c r="AO1123" s="10">
        <v>53.8</v>
      </c>
      <c r="AP1123" s="8">
        <v>31</v>
      </c>
      <c r="AQ1123" s="9">
        <v>46275</v>
      </c>
      <c r="AR1123" s="5" t="s">
        <v>51</v>
      </c>
      <c r="AS1123" s="5" t="s">
        <v>64</v>
      </c>
    </row>
    <row r="1124" spans="1:45" x14ac:dyDescent="0.35">
      <c r="A1124" s="5" t="s">
        <v>4850</v>
      </c>
      <c r="B1124" s="5" t="s">
        <v>4851</v>
      </c>
      <c r="C1124" s="6" t="s">
        <v>4852</v>
      </c>
      <c r="D1124" s="7">
        <v>51000</v>
      </c>
      <c r="E1124" s="5" t="s">
        <v>48</v>
      </c>
      <c r="F1124" s="5" t="s">
        <v>49</v>
      </c>
      <c r="G1124" s="8"/>
      <c r="H1124" s="8" t="str">
        <f>IF(F1124="Bullet",MIN(G1124,Assumptions!$B$6),"")</f>
        <v/>
      </c>
      <c r="I1124" s="8">
        <v>2</v>
      </c>
      <c r="J1124" s="8">
        <f>IF(F1124="Monthly interest",MAX(0,Assumptions!$B$5-I1124),"")</f>
        <v>1</v>
      </c>
      <c r="K1124" s="7">
        <f t="shared" si="51"/>
        <v>1360</v>
      </c>
      <c r="L1124" s="9">
        <v>46249</v>
      </c>
      <c r="M1124" s="5" t="s">
        <v>69</v>
      </c>
      <c r="N1124" s="5" t="s">
        <v>70</v>
      </c>
      <c r="O1124" s="5" t="s">
        <v>271</v>
      </c>
      <c r="P1124" s="5" t="s">
        <v>72</v>
      </c>
      <c r="Q1124" s="5" t="s">
        <v>73</v>
      </c>
      <c r="R1124" s="5" t="s">
        <v>74</v>
      </c>
      <c r="S1124" s="5" t="s">
        <v>214</v>
      </c>
      <c r="T1124" s="5" t="s">
        <v>57</v>
      </c>
      <c r="U1124" s="5" t="s">
        <v>104</v>
      </c>
      <c r="V1124" s="5" t="s">
        <v>215</v>
      </c>
      <c r="W1124" s="5" t="s">
        <v>600</v>
      </c>
      <c r="X1124" s="5" t="s">
        <v>1206</v>
      </c>
      <c r="Y1124" s="5" t="s">
        <v>4853</v>
      </c>
      <c r="Z1124" s="9">
        <v>46127</v>
      </c>
      <c r="AA1124" s="8">
        <v>24</v>
      </c>
      <c r="AB1124" s="9">
        <f t="shared" si="52"/>
        <v>46858</v>
      </c>
      <c r="AC1124" s="10">
        <v>16</v>
      </c>
      <c r="AD1124" s="7">
        <f t="shared" si="53"/>
        <v>680</v>
      </c>
      <c r="AE1124" s="7">
        <f>IF(F1124="Bullet",H1124*AD1124,MIN(MAX(I1124,1),Assumptions!$B$6)*AD1124)</f>
        <v>1360</v>
      </c>
      <c r="AF1124" s="8">
        <f>IF(F1124="Bullet",MAX(0,Assumptions!$B$4-AB1124),MAX(0,Assumptions!$B$4-L1124))</f>
        <v>49</v>
      </c>
      <c r="AG1124" s="9">
        <v>46219</v>
      </c>
      <c r="AH1124" s="8">
        <f>IF(AG1124="","",Assumptions!$B$4-AG1124)</f>
        <v>79</v>
      </c>
      <c r="AI1124" s="5" t="s">
        <v>63</v>
      </c>
      <c r="AJ1124" s="8">
        <v>2</v>
      </c>
      <c r="AK1124" s="8">
        <v>0</v>
      </c>
      <c r="AL1124" s="8">
        <v>755</v>
      </c>
      <c r="AM1124" s="8">
        <v>0</v>
      </c>
      <c r="AN1124" s="5" t="s">
        <v>63</v>
      </c>
      <c r="AO1124" s="10">
        <v>78.2</v>
      </c>
      <c r="AP1124" s="8">
        <v>40</v>
      </c>
      <c r="AQ1124" s="9">
        <v>46288</v>
      </c>
      <c r="AR1124" s="5" t="s">
        <v>51</v>
      </c>
      <c r="AS1124" s="5" t="s">
        <v>274</v>
      </c>
    </row>
    <row r="1125" spans="1:45" x14ac:dyDescent="0.35">
      <c r="A1125" s="5" t="s">
        <v>4854</v>
      </c>
      <c r="B1125" s="5" t="s">
        <v>2602</v>
      </c>
      <c r="C1125" s="6" t="s">
        <v>4855</v>
      </c>
      <c r="D1125" s="7">
        <v>74200</v>
      </c>
      <c r="E1125" s="5" t="s">
        <v>48</v>
      </c>
      <c r="F1125" s="5" t="s">
        <v>49</v>
      </c>
      <c r="G1125" s="8"/>
      <c r="H1125" s="8" t="str">
        <f>IF(F1125="Bullet",MIN(G1125,Assumptions!$B$6),"")</f>
        <v/>
      </c>
      <c r="I1125" s="8">
        <v>1</v>
      </c>
      <c r="J1125" s="8">
        <f>IF(F1125="Monthly interest",MAX(0,Assumptions!$B$5-I1125),"")</f>
        <v>2</v>
      </c>
      <c r="K1125" s="7">
        <f t="shared" si="51"/>
        <v>928</v>
      </c>
      <c r="L1125" s="9">
        <v>46270</v>
      </c>
      <c r="M1125" s="5" t="s">
        <v>69</v>
      </c>
      <c r="N1125" s="5" t="s">
        <v>51</v>
      </c>
      <c r="O1125" s="5" t="s">
        <v>52</v>
      </c>
      <c r="P1125" s="5" t="s">
        <v>53</v>
      </c>
      <c r="Q1125" s="5" t="s">
        <v>54</v>
      </c>
      <c r="R1125" s="5" t="s">
        <v>55</v>
      </c>
      <c r="S1125" s="5" t="s">
        <v>85</v>
      </c>
      <c r="T1125" s="5" t="s">
        <v>57</v>
      </c>
      <c r="U1125" s="5" t="s">
        <v>58</v>
      </c>
      <c r="V1125" s="5" t="s">
        <v>96</v>
      </c>
      <c r="W1125" s="5" t="s">
        <v>171</v>
      </c>
      <c r="X1125" s="5" t="s">
        <v>3448</v>
      </c>
      <c r="Y1125" s="5" t="s">
        <v>4856</v>
      </c>
      <c r="Z1125" s="9">
        <v>46178</v>
      </c>
      <c r="AA1125" s="8">
        <v>12</v>
      </c>
      <c r="AB1125" s="9">
        <f t="shared" si="52"/>
        <v>46543</v>
      </c>
      <c r="AC1125" s="10">
        <v>15</v>
      </c>
      <c r="AD1125" s="7">
        <f t="shared" si="53"/>
        <v>928</v>
      </c>
      <c r="AE1125" s="7">
        <f>IF(F1125="Bullet",H1125*AD1125,MIN(MAX(I1125,1),Assumptions!$B$6)*AD1125)</f>
        <v>928</v>
      </c>
      <c r="AF1125" s="8">
        <f>IF(F1125="Bullet",MAX(0,Assumptions!$B$4-AB1125),MAX(0,Assumptions!$B$4-L1125))</f>
        <v>28</v>
      </c>
      <c r="AG1125" s="9">
        <v>46242</v>
      </c>
      <c r="AH1125" s="8">
        <f>IF(AG1125="","",Assumptions!$B$4-AG1125)</f>
        <v>56</v>
      </c>
      <c r="AI1125" s="5" t="s">
        <v>63</v>
      </c>
      <c r="AJ1125" s="8">
        <v>2</v>
      </c>
      <c r="AK1125" s="8">
        <v>0</v>
      </c>
      <c r="AL1125" s="8" t="s">
        <v>80</v>
      </c>
      <c r="AM1125" s="8">
        <v>1</v>
      </c>
      <c r="AN1125" s="5" t="s">
        <v>63</v>
      </c>
      <c r="AO1125" s="10">
        <v>56.7</v>
      </c>
      <c r="AP1125" s="8">
        <v>31</v>
      </c>
      <c r="AQ1125" s="9">
        <v>46285</v>
      </c>
      <c r="AR1125" s="5" t="s">
        <v>53</v>
      </c>
      <c r="AS1125" s="5" t="s">
        <v>81</v>
      </c>
    </row>
    <row r="1126" spans="1:45" x14ac:dyDescent="0.35">
      <c r="A1126" s="5" t="s">
        <v>4857</v>
      </c>
      <c r="B1126" s="5" t="s">
        <v>304</v>
      </c>
      <c r="C1126" s="6" t="s">
        <v>4858</v>
      </c>
      <c r="D1126" s="7">
        <v>145400</v>
      </c>
      <c r="E1126" s="5" t="s">
        <v>48</v>
      </c>
      <c r="F1126" s="5" t="s">
        <v>68</v>
      </c>
      <c r="G1126" s="8">
        <v>4</v>
      </c>
      <c r="H1126" s="8">
        <f>IF(F1126="Bullet",MIN(G1126,Assumptions!$B$6),"")</f>
        <v>2</v>
      </c>
      <c r="I1126" s="8"/>
      <c r="J1126" s="8" t="str">
        <f>IF(F1126="Monthly interest",MAX(0,Assumptions!$B$5-I1126),"")</f>
        <v/>
      </c>
      <c r="K1126" s="7">
        <f t="shared" si="51"/>
        <v>8724</v>
      </c>
      <c r="L1126" s="9">
        <v>46156</v>
      </c>
      <c r="M1126" s="5" t="s">
        <v>50</v>
      </c>
      <c r="N1126" s="5" t="s">
        <v>53</v>
      </c>
      <c r="O1126" s="5" t="s">
        <v>71</v>
      </c>
      <c r="P1126" s="5" t="s">
        <v>51</v>
      </c>
      <c r="Q1126" s="5" t="s">
        <v>73</v>
      </c>
      <c r="R1126" s="5" t="s">
        <v>74</v>
      </c>
      <c r="S1126" s="5" t="s">
        <v>75</v>
      </c>
      <c r="T1126" s="5" t="s">
        <v>57</v>
      </c>
      <c r="U1126" s="5" t="s">
        <v>86</v>
      </c>
      <c r="V1126" s="5" t="s">
        <v>76</v>
      </c>
      <c r="W1126" s="5" t="s">
        <v>382</v>
      </c>
      <c r="X1126" s="5" t="s">
        <v>2237</v>
      </c>
      <c r="Y1126" s="5" t="s">
        <v>4859</v>
      </c>
      <c r="Z1126" s="9">
        <v>46156</v>
      </c>
      <c r="AA1126" s="8">
        <v>6</v>
      </c>
      <c r="AB1126" s="9">
        <f t="shared" si="52"/>
        <v>46340</v>
      </c>
      <c r="AC1126" s="10">
        <v>18</v>
      </c>
      <c r="AD1126" s="7">
        <f t="shared" si="53"/>
        <v>2181</v>
      </c>
      <c r="AE1126" s="7">
        <f>IF(F1126="Bullet",H1126*AD1126,MIN(MAX(I1126,1),Assumptions!$B$6)*AD1126)</f>
        <v>4362</v>
      </c>
      <c r="AF1126" s="8">
        <f>IF(F1126="Bullet",MAX(0,Assumptions!$B$4-AB1126),MAX(0,Assumptions!$B$4-L1126))</f>
        <v>0</v>
      </c>
      <c r="AG1126" s="9"/>
      <c r="AH1126" s="8" t="str">
        <f>IF(AG1126="","",Assumptions!$B$4-AG1126)</f>
        <v/>
      </c>
      <c r="AI1126" s="5" t="s">
        <v>80</v>
      </c>
      <c r="AJ1126" s="8"/>
      <c r="AK1126" s="8">
        <v>0</v>
      </c>
      <c r="AL1126" s="8">
        <v>657</v>
      </c>
      <c r="AM1126" s="8">
        <v>1</v>
      </c>
      <c r="AN1126" s="5" t="s">
        <v>63</v>
      </c>
      <c r="AO1126" s="10">
        <v>75.5</v>
      </c>
      <c r="AP1126" s="8">
        <v>24</v>
      </c>
      <c r="AQ1126" s="9">
        <v>46279</v>
      </c>
      <c r="AR1126" s="5" t="s">
        <v>70</v>
      </c>
      <c r="AS1126" s="5" t="s">
        <v>81</v>
      </c>
    </row>
    <row r="1127" spans="1:45" x14ac:dyDescent="0.35">
      <c r="A1127" s="5" t="s">
        <v>4860</v>
      </c>
      <c r="B1127" s="5" t="s">
        <v>4861</v>
      </c>
      <c r="C1127" s="6" t="s">
        <v>4862</v>
      </c>
      <c r="D1127" s="7">
        <v>17400</v>
      </c>
      <c r="E1127" s="5" t="s">
        <v>48</v>
      </c>
      <c r="F1127" s="5" t="s">
        <v>49</v>
      </c>
      <c r="G1127" s="8"/>
      <c r="H1127" s="8" t="str">
        <f>IF(F1127="Bullet",MIN(G1127,Assumptions!$B$6),"")</f>
        <v/>
      </c>
      <c r="I1127" s="8">
        <v>1</v>
      </c>
      <c r="J1127" s="8">
        <f>IF(F1127="Monthly interest",MAX(0,Assumptions!$B$5-I1127),"")</f>
        <v>2</v>
      </c>
      <c r="K1127" s="7">
        <f t="shared" si="51"/>
        <v>348</v>
      </c>
      <c r="L1127" s="9">
        <v>46269</v>
      </c>
      <c r="M1127" s="5" t="s">
        <v>69</v>
      </c>
      <c r="N1127" s="5" t="s">
        <v>51</v>
      </c>
      <c r="O1127" s="5" t="s">
        <v>152</v>
      </c>
      <c r="P1127" s="5" t="s">
        <v>53</v>
      </c>
      <c r="Q1127" s="5" t="s">
        <v>154</v>
      </c>
      <c r="R1127" s="5" t="s">
        <v>155</v>
      </c>
      <c r="S1127" s="5" t="s">
        <v>253</v>
      </c>
      <c r="T1127" s="5" t="s">
        <v>57</v>
      </c>
      <c r="U1127" s="5" t="s">
        <v>86</v>
      </c>
      <c r="V1127" s="5" t="s">
        <v>76</v>
      </c>
      <c r="W1127" s="5" t="s">
        <v>547</v>
      </c>
      <c r="X1127" s="5" t="s">
        <v>4863</v>
      </c>
      <c r="Y1127" s="5" t="s">
        <v>4864</v>
      </c>
      <c r="Z1127" s="9">
        <v>46146</v>
      </c>
      <c r="AA1127" s="8">
        <v>12</v>
      </c>
      <c r="AB1127" s="9">
        <f t="shared" si="52"/>
        <v>46511</v>
      </c>
      <c r="AC1127" s="10">
        <v>24</v>
      </c>
      <c r="AD1127" s="7">
        <f t="shared" si="53"/>
        <v>348</v>
      </c>
      <c r="AE1127" s="7">
        <f>IF(F1127="Bullet",H1127*AD1127,MIN(MAX(I1127,1),Assumptions!$B$6)*AD1127)</f>
        <v>348</v>
      </c>
      <c r="AF1127" s="8">
        <f>IF(F1127="Bullet",MAX(0,Assumptions!$B$4-AB1127),MAX(0,Assumptions!$B$4-L1127))</f>
        <v>29</v>
      </c>
      <c r="AG1127" s="9">
        <v>46242</v>
      </c>
      <c r="AH1127" s="8">
        <f>IF(AG1127="","",Assumptions!$B$4-AG1127)</f>
        <v>56</v>
      </c>
      <c r="AI1127" s="5" t="s">
        <v>63</v>
      </c>
      <c r="AJ1127" s="8">
        <v>2</v>
      </c>
      <c r="AK1127" s="8">
        <v>0</v>
      </c>
      <c r="AL1127" s="8" t="s">
        <v>80</v>
      </c>
      <c r="AM1127" s="8">
        <v>1</v>
      </c>
      <c r="AN1127" s="5" t="s">
        <v>63</v>
      </c>
      <c r="AO1127" s="10">
        <v>88</v>
      </c>
      <c r="AP1127" s="8">
        <v>44</v>
      </c>
      <c r="AQ1127" s="9">
        <v>46286</v>
      </c>
      <c r="AR1127" s="5" t="s">
        <v>53</v>
      </c>
      <c r="AS1127" s="5" t="s">
        <v>91</v>
      </c>
    </row>
    <row r="1128" spans="1:45" x14ac:dyDescent="0.35">
      <c r="A1128" s="5" t="s">
        <v>4865</v>
      </c>
      <c r="B1128" s="5" t="s">
        <v>4866</v>
      </c>
      <c r="C1128" s="6" t="s">
        <v>4867</v>
      </c>
      <c r="D1128" s="7">
        <v>20800</v>
      </c>
      <c r="E1128" s="5" t="s">
        <v>48</v>
      </c>
      <c r="F1128" s="5" t="s">
        <v>68</v>
      </c>
      <c r="G1128" s="8">
        <v>2</v>
      </c>
      <c r="H1128" s="8">
        <f>IF(F1128="Bullet",MIN(G1128,Assumptions!$B$6),"")</f>
        <v>2</v>
      </c>
      <c r="I1128" s="8"/>
      <c r="J1128" s="8" t="str">
        <f>IF(F1128="Monthly interest",MAX(0,Assumptions!$B$5-I1128),"")</f>
        <v/>
      </c>
      <c r="K1128" s="7">
        <f t="shared" si="51"/>
        <v>486</v>
      </c>
      <c r="L1128" s="9">
        <v>46235</v>
      </c>
      <c r="M1128" s="5" t="s">
        <v>50</v>
      </c>
      <c r="N1128" s="5" t="s">
        <v>53</v>
      </c>
      <c r="O1128" s="5" t="s">
        <v>152</v>
      </c>
      <c r="P1128" s="5" t="s">
        <v>153</v>
      </c>
      <c r="Q1128" s="5" t="s">
        <v>154</v>
      </c>
      <c r="R1128" s="5" t="s">
        <v>155</v>
      </c>
      <c r="S1128" s="5" t="s">
        <v>185</v>
      </c>
      <c r="T1128" s="5" t="s">
        <v>57</v>
      </c>
      <c r="U1128" s="5" t="s">
        <v>86</v>
      </c>
      <c r="V1128" s="5" t="s">
        <v>186</v>
      </c>
      <c r="W1128" s="5" t="s">
        <v>329</v>
      </c>
      <c r="X1128" s="5" t="s">
        <v>537</v>
      </c>
      <c r="Y1128" s="5" t="s">
        <v>4868</v>
      </c>
      <c r="Z1128" s="9">
        <v>46235</v>
      </c>
      <c r="AA1128" s="8">
        <v>6</v>
      </c>
      <c r="AB1128" s="9">
        <f t="shared" si="52"/>
        <v>46419</v>
      </c>
      <c r="AC1128" s="10">
        <v>14</v>
      </c>
      <c r="AD1128" s="7">
        <f t="shared" si="53"/>
        <v>243</v>
      </c>
      <c r="AE1128" s="7">
        <f>IF(F1128="Bullet",H1128*AD1128,MIN(MAX(I1128,1),Assumptions!$B$6)*AD1128)</f>
        <v>486</v>
      </c>
      <c r="AF1128" s="8">
        <f>IF(F1128="Bullet",MAX(0,Assumptions!$B$4-AB1128),MAX(0,Assumptions!$B$4-L1128))</f>
        <v>0</v>
      </c>
      <c r="AG1128" s="9"/>
      <c r="AH1128" s="8" t="str">
        <f>IF(AG1128="","",Assumptions!$B$4-AG1128)</f>
        <v/>
      </c>
      <c r="AI1128" s="5" t="s">
        <v>80</v>
      </c>
      <c r="AJ1128" s="8"/>
      <c r="AK1128" s="8">
        <v>1</v>
      </c>
      <c r="AL1128" s="8" t="s">
        <v>80</v>
      </c>
      <c r="AM1128" s="8">
        <v>1</v>
      </c>
      <c r="AN1128" s="5" t="s">
        <v>63</v>
      </c>
      <c r="AO1128" s="10">
        <v>68.599999999999994</v>
      </c>
      <c r="AP1128" s="8">
        <v>29</v>
      </c>
      <c r="AQ1128" s="9">
        <v>46295</v>
      </c>
      <c r="AR1128" s="5" t="s">
        <v>53</v>
      </c>
      <c r="AS1128" s="5" t="s">
        <v>91</v>
      </c>
    </row>
    <row r="1129" spans="1:45" x14ac:dyDescent="0.35">
      <c r="A1129" s="5" t="s">
        <v>4869</v>
      </c>
      <c r="B1129" s="5" t="s">
        <v>3462</v>
      </c>
      <c r="C1129" s="6" t="s">
        <v>4870</v>
      </c>
      <c r="D1129" s="7">
        <v>28500</v>
      </c>
      <c r="E1129" s="5" t="s">
        <v>48</v>
      </c>
      <c r="F1129" s="5" t="s">
        <v>68</v>
      </c>
      <c r="G1129" s="8">
        <v>4</v>
      </c>
      <c r="H1129" s="8">
        <f>IF(F1129="Bullet",MIN(G1129,Assumptions!$B$6),"")</f>
        <v>2</v>
      </c>
      <c r="I1129" s="8"/>
      <c r="J1129" s="8" t="str">
        <f>IF(F1129="Monthly interest",MAX(0,Assumptions!$B$5-I1129),"")</f>
        <v/>
      </c>
      <c r="K1129" s="7">
        <f t="shared" si="51"/>
        <v>1140</v>
      </c>
      <c r="L1129" s="9">
        <v>46165</v>
      </c>
      <c r="M1129" s="5" t="s">
        <v>69</v>
      </c>
      <c r="N1129" s="5" t="s">
        <v>53</v>
      </c>
      <c r="O1129" s="5" t="s">
        <v>152</v>
      </c>
      <c r="P1129" s="5" t="s">
        <v>153</v>
      </c>
      <c r="Q1129" s="5" t="s">
        <v>154</v>
      </c>
      <c r="R1129" s="5" t="s">
        <v>155</v>
      </c>
      <c r="S1129" s="5" t="s">
        <v>214</v>
      </c>
      <c r="T1129" s="5" t="s">
        <v>57</v>
      </c>
      <c r="U1129" s="5" t="s">
        <v>104</v>
      </c>
      <c r="V1129" s="5" t="s">
        <v>215</v>
      </c>
      <c r="W1129" s="5" t="s">
        <v>242</v>
      </c>
      <c r="X1129" s="5" t="s">
        <v>1215</v>
      </c>
      <c r="Y1129" s="5" t="s">
        <v>4871</v>
      </c>
      <c r="Z1129" s="9">
        <v>46165</v>
      </c>
      <c r="AA1129" s="8">
        <v>12</v>
      </c>
      <c r="AB1129" s="9">
        <f t="shared" si="52"/>
        <v>46530</v>
      </c>
      <c r="AC1129" s="10">
        <v>12</v>
      </c>
      <c r="AD1129" s="7">
        <f t="shared" si="53"/>
        <v>285</v>
      </c>
      <c r="AE1129" s="7">
        <f>IF(F1129="Bullet",H1129*AD1129,MIN(MAX(I1129,1),Assumptions!$B$6)*AD1129)</f>
        <v>570</v>
      </c>
      <c r="AF1129" s="8">
        <f>IF(F1129="Bullet",MAX(0,Assumptions!$B$4-AB1129),MAX(0,Assumptions!$B$4-L1129))</f>
        <v>0</v>
      </c>
      <c r="AG1129" s="9"/>
      <c r="AH1129" s="8" t="str">
        <f>IF(AG1129="","",Assumptions!$B$4-AG1129)</f>
        <v/>
      </c>
      <c r="AI1129" s="5" t="s">
        <v>80</v>
      </c>
      <c r="AJ1129" s="8"/>
      <c r="AK1129" s="8">
        <v>0</v>
      </c>
      <c r="AL1129" s="8" t="s">
        <v>80</v>
      </c>
      <c r="AM1129" s="8">
        <v>2</v>
      </c>
      <c r="AN1129" s="5" t="s">
        <v>63</v>
      </c>
      <c r="AO1129" s="10">
        <v>69</v>
      </c>
      <c r="AP1129" s="8">
        <v>36</v>
      </c>
      <c r="AQ1129" s="9">
        <v>46288</v>
      </c>
      <c r="AR1129" s="5" t="s">
        <v>53</v>
      </c>
      <c r="AS1129" s="5" t="s">
        <v>81</v>
      </c>
    </row>
    <row r="1130" spans="1:45" x14ac:dyDescent="0.35">
      <c r="A1130" s="5" t="s">
        <v>4872</v>
      </c>
      <c r="B1130" s="5" t="s">
        <v>4873</v>
      </c>
      <c r="C1130" s="6" t="s">
        <v>4874</v>
      </c>
      <c r="D1130" s="7">
        <v>96900</v>
      </c>
      <c r="E1130" s="5" t="s">
        <v>48</v>
      </c>
      <c r="F1130" s="5" t="s">
        <v>49</v>
      </c>
      <c r="G1130" s="8"/>
      <c r="H1130" s="8" t="str">
        <f>IF(F1130="Bullet",MIN(G1130,Assumptions!$B$6),"")</f>
        <v/>
      </c>
      <c r="I1130" s="8">
        <v>1</v>
      </c>
      <c r="J1130" s="8">
        <f>IF(F1130="Monthly interest",MAX(0,Assumptions!$B$5-I1130),"")</f>
        <v>2</v>
      </c>
      <c r="K1130" s="7">
        <f t="shared" si="51"/>
        <v>1938</v>
      </c>
      <c r="L1130" s="9">
        <v>46289</v>
      </c>
      <c r="M1130" s="5" t="s">
        <v>50</v>
      </c>
      <c r="N1130" s="5" t="s">
        <v>53</v>
      </c>
      <c r="O1130" s="5" t="s">
        <v>103</v>
      </c>
      <c r="P1130" s="5" t="s">
        <v>70</v>
      </c>
      <c r="Q1130" s="5" t="s">
        <v>54</v>
      </c>
      <c r="R1130" s="5" t="s">
        <v>55</v>
      </c>
      <c r="S1130" s="5" t="s">
        <v>56</v>
      </c>
      <c r="T1130" s="5" t="s">
        <v>63</v>
      </c>
      <c r="U1130" s="5" t="s">
        <v>104</v>
      </c>
      <c r="V1130" s="5" t="s">
        <v>59</v>
      </c>
      <c r="W1130" s="5" t="s">
        <v>467</v>
      </c>
      <c r="X1130" s="5" t="s">
        <v>3238</v>
      </c>
      <c r="Y1130" s="5" t="s">
        <v>4875</v>
      </c>
      <c r="Z1130" s="9">
        <v>46197</v>
      </c>
      <c r="AA1130" s="8">
        <v>12</v>
      </c>
      <c r="AB1130" s="9">
        <f t="shared" si="52"/>
        <v>46562</v>
      </c>
      <c r="AC1130" s="10">
        <v>24</v>
      </c>
      <c r="AD1130" s="7">
        <f t="shared" si="53"/>
        <v>1938</v>
      </c>
      <c r="AE1130" s="7">
        <f>IF(F1130="Bullet",H1130*AD1130,MIN(MAX(I1130,1),Assumptions!$B$6)*AD1130)</f>
        <v>1938</v>
      </c>
      <c r="AF1130" s="8">
        <f>IF(F1130="Bullet",MAX(0,Assumptions!$B$4-AB1130),MAX(0,Assumptions!$B$4-L1130))</f>
        <v>9</v>
      </c>
      <c r="AG1130" s="9">
        <v>46262</v>
      </c>
      <c r="AH1130" s="8">
        <f>IF(AG1130="","",Assumptions!$B$4-AG1130)</f>
        <v>36</v>
      </c>
      <c r="AI1130" s="5" t="s">
        <v>57</v>
      </c>
      <c r="AJ1130" s="8">
        <v>1</v>
      </c>
      <c r="AK1130" s="8">
        <v>1</v>
      </c>
      <c r="AL1130" s="8">
        <v>749</v>
      </c>
      <c r="AM1130" s="8">
        <v>0</v>
      </c>
      <c r="AN1130" s="5" t="s">
        <v>63</v>
      </c>
      <c r="AO1130" s="10">
        <v>80.7</v>
      </c>
      <c r="AP1130" s="8">
        <v>30</v>
      </c>
      <c r="AQ1130" s="9">
        <v>46274</v>
      </c>
      <c r="AR1130" s="5" t="s">
        <v>51</v>
      </c>
      <c r="AS1130" s="5" t="s">
        <v>81</v>
      </c>
    </row>
    <row r="1131" spans="1:45" x14ac:dyDescent="0.35">
      <c r="A1131" s="5" t="s">
        <v>4876</v>
      </c>
      <c r="B1131" s="5" t="s">
        <v>3921</v>
      </c>
      <c r="C1131" s="6" t="s">
        <v>4877</v>
      </c>
      <c r="D1131" s="7">
        <v>155100</v>
      </c>
      <c r="E1131" s="5" t="s">
        <v>48</v>
      </c>
      <c r="F1131" s="5" t="s">
        <v>49</v>
      </c>
      <c r="G1131" s="8"/>
      <c r="H1131" s="8" t="str">
        <f>IF(F1131="Bullet",MIN(G1131,Assumptions!$B$6),"")</f>
        <v/>
      </c>
      <c r="I1131" s="8">
        <v>2</v>
      </c>
      <c r="J1131" s="8">
        <f>IF(F1131="Monthly interest",MAX(0,Assumptions!$B$5-I1131),"")</f>
        <v>1</v>
      </c>
      <c r="K1131" s="7">
        <f t="shared" si="51"/>
        <v>5170</v>
      </c>
      <c r="L1131" s="9">
        <v>46246</v>
      </c>
      <c r="M1131" s="5" t="s">
        <v>116</v>
      </c>
      <c r="N1131" s="5" t="s">
        <v>117</v>
      </c>
      <c r="O1131" s="5" t="s">
        <v>118</v>
      </c>
      <c r="P1131" s="5" t="s">
        <v>72</v>
      </c>
      <c r="Q1131" s="5" t="s">
        <v>119</v>
      </c>
      <c r="R1131" s="5" t="s">
        <v>120</v>
      </c>
      <c r="S1131" s="5" t="s">
        <v>85</v>
      </c>
      <c r="T1131" s="5" t="s">
        <v>57</v>
      </c>
      <c r="U1131" s="5" t="s">
        <v>86</v>
      </c>
      <c r="V1131" s="5" t="s">
        <v>96</v>
      </c>
      <c r="W1131" s="5" t="s">
        <v>819</v>
      </c>
      <c r="X1131" s="5" t="s">
        <v>2797</v>
      </c>
      <c r="Y1131" s="5" t="s">
        <v>4878</v>
      </c>
      <c r="Z1131" s="9">
        <v>46124</v>
      </c>
      <c r="AA1131" s="8">
        <v>12</v>
      </c>
      <c r="AB1131" s="9">
        <f t="shared" si="52"/>
        <v>46489</v>
      </c>
      <c r="AC1131" s="10">
        <v>20</v>
      </c>
      <c r="AD1131" s="7">
        <f t="shared" si="53"/>
        <v>2585</v>
      </c>
      <c r="AE1131" s="7">
        <f>IF(F1131="Bullet",H1131*AD1131,MIN(MAX(I1131,1),Assumptions!$B$6)*AD1131)</f>
        <v>5170</v>
      </c>
      <c r="AF1131" s="8">
        <f>IF(F1131="Bullet",MAX(0,Assumptions!$B$4-AB1131),MAX(0,Assumptions!$B$4-L1131))</f>
        <v>52</v>
      </c>
      <c r="AG1131" s="9">
        <v>46220</v>
      </c>
      <c r="AH1131" s="8">
        <f>IF(AG1131="","",Assumptions!$B$4-AG1131)</f>
        <v>78</v>
      </c>
      <c r="AI1131" s="5" t="s">
        <v>63</v>
      </c>
      <c r="AJ1131" s="8">
        <v>2</v>
      </c>
      <c r="AK1131" s="8">
        <v>1</v>
      </c>
      <c r="AL1131" s="8">
        <v>570</v>
      </c>
      <c r="AM1131" s="8">
        <v>3</v>
      </c>
      <c r="AN1131" s="5" t="s">
        <v>63</v>
      </c>
      <c r="AO1131" s="10">
        <v>76.599999999999994</v>
      </c>
      <c r="AP1131" s="8">
        <v>58</v>
      </c>
      <c r="AQ1131" s="9">
        <v>46275</v>
      </c>
      <c r="AR1131" s="5" t="s">
        <v>53</v>
      </c>
      <c r="AS1131" s="5" t="s">
        <v>64</v>
      </c>
    </row>
    <row r="1132" spans="1:45" x14ac:dyDescent="0.35">
      <c r="A1132" s="5" t="s">
        <v>4879</v>
      </c>
      <c r="B1132" s="5" t="s">
        <v>805</v>
      </c>
      <c r="C1132" s="6" t="s">
        <v>4880</v>
      </c>
      <c r="D1132" s="7">
        <v>88400</v>
      </c>
      <c r="E1132" s="5" t="s">
        <v>48</v>
      </c>
      <c r="F1132" s="5" t="s">
        <v>49</v>
      </c>
      <c r="G1132" s="8"/>
      <c r="H1132" s="8" t="str">
        <f>IF(F1132="Bullet",MIN(G1132,Assumptions!$B$6),"")</f>
        <v/>
      </c>
      <c r="I1132" s="8">
        <v>2</v>
      </c>
      <c r="J1132" s="8">
        <f>IF(F1132="Monthly interest",MAX(0,Assumptions!$B$5-I1132),"")</f>
        <v>1</v>
      </c>
      <c r="K1132" s="7">
        <f t="shared" si="51"/>
        <v>2062</v>
      </c>
      <c r="L1132" s="9">
        <v>46267</v>
      </c>
      <c r="M1132" s="5" t="s">
        <v>116</v>
      </c>
      <c r="N1132" s="5" t="s">
        <v>117</v>
      </c>
      <c r="O1132" s="5" t="s">
        <v>118</v>
      </c>
      <c r="P1132" s="5" t="s">
        <v>72</v>
      </c>
      <c r="Q1132" s="5" t="s">
        <v>119</v>
      </c>
      <c r="R1132" s="5" t="s">
        <v>120</v>
      </c>
      <c r="S1132" s="5" t="s">
        <v>56</v>
      </c>
      <c r="T1132" s="5" t="s">
        <v>57</v>
      </c>
      <c r="U1132" s="5" t="s">
        <v>58</v>
      </c>
      <c r="V1132" s="5" t="s">
        <v>59</v>
      </c>
      <c r="W1132" s="5" t="s">
        <v>126</v>
      </c>
      <c r="X1132" s="5" t="s">
        <v>1583</v>
      </c>
      <c r="Y1132" s="5" t="s">
        <v>4881</v>
      </c>
      <c r="Z1132" s="9">
        <v>46175</v>
      </c>
      <c r="AA1132" s="8">
        <v>12</v>
      </c>
      <c r="AB1132" s="9">
        <f t="shared" si="52"/>
        <v>46540</v>
      </c>
      <c r="AC1132" s="10">
        <v>14</v>
      </c>
      <c r="AD1132" s="7">
        <f t="shared" si="53"/>
        <v>1031</v>
      </c>
      <c r="AE1132" s="7">
        <f>IF(F1132="Bullet",H1132*AD1132,MIN(MAX(I1132,1),Assumptions!$B$6)*AD1132)</f>
        <v>2062</v>
      </c>
      <c r="AF1132" s="8">
        <f>IF(F1132="Bullet",MAX(0,Assumptions!$B$4-AB1132),MAX(0,Assumptions!$B$4-L1132))</f>
        <v>31</v>
      </c>
      <c r="AG1132" s="9">
        <v>46239</v>
      </c>
      <c r="AH1132" s="8">
        <f>IF(AG1132="","",Assumptions!$B$4-AG1132)</f>
        <v>59</v>
      </c>
      <c r="AI1132" s="5" t="s">
        <v>57</v>
      </c>
      <c r="AJ1132" s="8">
        <v>2</v>
      </c>
      <c r="AK1132" s="8">
        <v>2</v>
      </c>
      <c r="AL1132" s="8">
        <v>763</v>
      </c>
      <c r="AM1132" s="8">
        <v>2</v>
      </c>
      <c r="AN1132" s="5" t="s">
        <v>57</v>
      </c>
      <c r="AO1132" s="10">
        <v>76.099999999999994</v>
      </c>
      <c r="AP1132" s="8">
        <v>63</v>
      </c>
      <c r="AQ1132" s="9">
        <v>46289</v>
      </c>
      <c r="AR1132" s="5" t="s">
        <v>53</v>
      </c>
      <c r="AS1132" s="5" t="s">
        <v>64</v>
      </c>
    </row>
    <row r="1133" spans="1:45" x14ac:dyDescent="0.35">
      <c r="A1133" s="5" t="s">
        <v>4882</v>
      </c>
      <c r="B1133" s="5" t="s">
        <v>4883</v>
      </c>
      <c r="C1133" s="6" t="s">
        <v>4884</v>
      </c>
      <c r="D1133" s="7">
        <v>314000</v>
      </c>
      <c r="E1133" s="5" t="s">
        <v>48</v>
      </c>
      <c r="F1133" s="5" t="s">
        <v>49</v>
      </c>
      <c r="G1133" s="8"/>
      <c r="H1133" s="8" t="str">
        <f>IF(F1133="Bullet",MIN(G1133,Assumptions!$B$6),"")</f>
        <v/>
      </c>
      <c r="I1133" s="8">
        <v>2</v>
      </c>
      <c r="J1133" s="8">
        <f>IF(F1133="Monthly interest",MAX(0,Assumptions!$B$5-I1133),"")</f>
        <v>1</v>
      </c>
      <c r="K1133" s="7">
        <f t="shared" si="51"/>
        <v>8374</v>
      </c>
      <c r="L1133" s="9">
        <v>46250</v>
      </c>
      <c r="M1133" s="5" t="s">
        <v>69</v>
      </c>
      <c r="N1133" s="5" t="s">
        <v>70</v>
      </c>
      <c r="O1133" s="5" t="s">
        <v>71</v>
      </c>
      <c r="P1133" s="5" t="s">
        <v>72</v>
      </c>
      <c r="Q1133" s="5" t="s">
        <v>73</v>
      </c>
      <c r="R1133" s="5" t="s">
        <v>74</v>
      </c>
      <c r="S1133" s="5" t="s">
        <v>75</v>
      </c>
      <c r="T1133" s="5" t="s">
        <v>57</v>
      </c>
      <c r="U1133" s="5" t="s">
        <v>58</v>
      </c>
      <c r="V1133" s="5" t="s">
        <v>76</v>
      </c>
      <c r="W1133" s="5" t="s">
        <v>105</v>
      </c>
      <c r="X1133" s="5" t="s">
        <v>1588</v>
      </c>
      <c r="Y1133" s="5" t="s">
        <v>4885</v>
      </c>
      <c r="Z1133" s="9">
        <v>46038</v>
      </c>
      <c r="AA1133" s="8">
        <v>24</v>
      </c>
      <c r="AB1133" s="9">
        <f t="shared" si="52"/>
        <v>46768</v>
      </c>
      <c r="AC1133" s="10">
        <v>16</v>
      </c>
      <c r="AD1133" s="7">
        <f t="shared" si="53"/>
        <v>4187</v>
      </c>
      <c r="AE1133" s="7">
        <f>IF(F1133="Bullet",H1133*AD1133,MIN(MAX(I1133,1),Assumptions!$B$6)*AD1133)</f>
        <v>8374</v>
      </c>
      <c r="AF1133" s="8">
        <f>IF(F1133="Bullet",MAX(0,Assumptions!$B$4-AB1133),MAX(0,Assumptions!$B$4-L1133))</f>
        <v>48</v>
      </c>
      <c r="AG1133" s="9">
        <v>46224</v>
      </c>
      <c r="AH1133" s="8">
        <f>IF(AG1133="","",Assumptions!$B$4-AG1133)</f>
        <v>74</v>
      </c>
      <c r="AI1133" s="5" t="s">
        <v>63</v>
      </c>
      <c r="AJ1133" s="8">
        <v>2</v>
      </c>
      <c r="AK1133" s="8">
        <v>0</v>
      </c>
      <c r="AL1133" s="8">
        <v>770</v>
      </c>
      <c r="AM1133" s="8">
        <v>2</v>
      </c>
      <c r="AN1133" s="5" t="s">
        <v>63</v>
      </c>
      <c r="AO1133" s="10">
        <v>70</v>
      </c>
      <c r="AP1133" s="8">
        <v>39</v>
      </c>
      <c r="AQ1133" s="9">
        <v>46289</v>
      </c>
      <c r="AR1133" s="5" t="s">
        <v>51</v>
      </c>
      <c r="AS1133" s="5" t="s">
        <v>81</v>
      </c>
    </row>
    <row r="1134" spans="1:45" x14ac:dyDescent="0.35">
      <c r="A1134" s="5" t="s">
        <v>4886</v>
      </c>
      <c r="B1134" s="5" t="s">
        <v>1004</v>
      </c>
      <c r="C1134" s="6" t="s">
        <v>4887</v>
      </c>
      <c r="D1134" s="7">
        <v>1111800</v>
      </c>
      <c r="E1134" s="5" t="s">
        <v>48</v>
      </c>
      <c r="F1134" s="5" t="s">
        <v>49</v>
      </c>
      <c r="G1134" s="8"/>
      <c r="H1134" s="8" t="str">
        <f>IF(F1134="Bullet",MIN(G1134,Assumptions!$B$6),"")</f>
        <v/>
      </c>
      <c r="I1134" s="8">
        <v>1</v>
      </c>
      <c r="J1134" s="8">
        <f>IF(F1134="Monthly interest",MAX(0,Assumptions!$B$5-I1134),"")</f>
        <v>2</v>
      </c>
      <c r="K1134" s="7">
        <f t="shared" si="51"/>
        <v>20383</v>
      </c>
      <c r="L1134" s="9">
        <v>46270</v>
      </c>
      <c r="M1134" s="5" t="s">
        <v>50</v>
      </c>
      <c r="N1134" s="5" t="s">
        <v>51</v>
      </c>
      <c r="O1134" s="5" t="s">
        <v>52</v>
      </c>
      <c r="P1134" s="5" t="s">
        <v>53</v>
      </c>
      <c r="Q1134" s="5" t="s">
        <v>54</v>
      </c>
      <c r="R1134" s="5" t="s">
        <v>55</v>
      </c>
      <c r="S1134" s="5" t="s">
        <v>56</v>
      </c>
      <c r="T1134" s="5" t="s">
        <v>57</v>
      </c>
      <c r="U1134" s="5" t="s">
        <v>86</v>
      </c>
      <c r="V1134" s="5" t="s">
        <v>59</v>
      </c>
      <c r="W1134" s="5" t="s">
        <v>418</v>
      </c>
      <c r="X1134" s="5" t="s">
        <v>1184</v>
      </c>
      <c r="Y1134" s="5" t="s">
        <v>4888</v>
      </c>
      <c r="Z1134" s="9">
        <v>46208</v>
      </c>
      <c r="AA1134" s="8">
        <v>18</v>
      </c>
      <c r="AB1134" s="9">
        <f t="shared" si="52"/>
        <v>46757</v>
      </c>
      <c r="AC1134" s="10">
        <v>22</v>
      </c>
      <c r="AD1134" s="7">
        <f t="shared" si="53"/>
        <v>20383</v>
      </c>
      <c r="AE1134" s="7">
        <f>IF(F1134="Bullet",H1134*AD1134,MIN(MAX(I1134,1),Assumptions!$B$6)*AD1134)</f>
        <v>20383</v>
      </c>
      <c r="AF1134" s="8">
        <f>IF(F1134="Bullet",MAX(0,Assumptions!$B$4-AB1134),MAX(0,Assumptions!$B$4-L1134))</f>
        <v>28</v>
      </c>
      <c r="AG1134" s="9">
        <v>46242</v>
      </c>
      <c r="AH1134" s="8">
        <f>IF(AG1134="","",Assumptions!$B$4-AG1134)</f>
        <v>56</v>
      </c>
      <c r="AI1134" s="5" t="s">
        <v>63</v>
      </c>
      <c r="AJ1134" s="8">
        <v>1</v>
      </c>
      <c r="AK1134" s="8">
        <v>0</v>
      </c>
      <c r="AL1134" s="8">
        <v>732</v>
      </c>
      <c r="AM1134" s="8">
        <v>1</v>
      </c>
      <c r="AN1134" s="5" t="s">
        <v>63</v>
      </c>
      <c r="AO1134" s="10">
        <v>50.2</v>
      </c>
      <c r="AP1134" s="8">
        <v>16</v>
      </c>
      <c r="AQ1134" s="9">
        <v>46289</v>
      </c>
      <c r="AR1134" s="5" t="s">
        <v>53</v>
      </c>
      <c r="AS1134" s="5" t="s">
        <v>81</v>
      </c>
    </row>
    <row r="1135" spans="1:45" x14ac:dyDescent="0.35">
      <c r="A1135" s="5" t="s">
        <v>4889</v>
      </c>
      <c r="B1135" s="5" t="s">
        <v>4890</v>
      </c>
      <c r="C1135" s="6" t="s">
        <v>4891</v>
      </c>
      <c r="D1135" s="7">
        <v>198900</v>
      </c>
      <c r="E1135" s="5" t="s">
        <v>48</v>
      </c>
      <c r="F1135" s="5" t="s">
        <v>49</v>
      </c>
      <c r="G1135" s="8"/>
      <c r="H1135" s="8" t="str">
        <f>IF(F1135="Bullet",MIN(G1135,Assumptions!$B$6),"")</f>
        <v/>
      </c>
      <c r="I1135" s="8">
        <v>1</v>
      </c>
      <c r="J1135" s="8">
        <f>IF(F1135="Monthly interest",MAX(0,Assumptions!$B$5-I1135),"")</f>
        <v>2</v>
      </c>
      <c r="K1135" s="7">
        <f t="shared" si="51"/>
        <v>2486</v>
      </c>
      <c r="L1135" s="9">
        <v>46290</v>
      </c>
      <c r="M1135" s="5" t="s">
        <v>69</v>
      </c>
      <c r="N1135" s="5" t="s">
        <v>51</v>
      </c>
      <c r="O1135" s="5" t="s">
        <v>52</v>
      </c>
      <c r="P1135" s="5" t="s">
        <v>53</v>
      </c>
      <c r="Q1135" s="5" t="s">
        <v>54</v>
      </c>
      <c r="R1135" s="5" t="s">
        <v>55</v>
      </c>
      <c r="S1135" s="5" t="s">
        <v>56</v>
      </c>
      <c r="T1135" s="5" t="s">
        <v>57</v>
      </c>
      <c r="U1135" s="5" t="s">
        <v>86</v>
      </c>
      <c r="V1135" s="5" t="s">
        <v>59</v>
      </c>
      <c r="W1135" s="5" t="s">
        <v>156</v>
      </c>
      <c r="X1135" s="5" t="s">
        <v>2781</v>
      </c>
      <c r="Y1135" s="5" t="s">
        <v>4892</v>
      </c>
      <c r="Z1135" s="9">
        <v>46198</v>
      </c>
      <c r="AA1135" s="8">
        <v>12</v>
      </c>
      <c r="AB1135" s="9">
        <f t="shared" si="52"/>
        <v>46563</v>
      </c>
      <c r="AC1135" s="10">
        <v>15</v>
      </c>
      <c r="AD1135" s="7">
        <f t="shared" si="53"/>
        <v>2486</v>
      </c>
      <c r="AE1135" s="7">
        <f>IF(F1135="Bullet",H1135*AD1135,MIN(MAX(I1135,1),Assumptions!$B$6)*AD1135)</f>
        <v>2486</v>
      </c>
      <c r="AF1135" s="8">
        <f>IF(F1135="Bullet",MAX(0,Assumptions!$B$4-AB1135),MAX(0,Assumptions!$B$4-L1135))</f>
        <v>8</v>
      </c>
      <c r="AG1135" s="9">
        <v>46261</v>
      </c>
      <c r="AH1135" s="8">
        <f>IF(AG1135="","",Assumptions!$B$4-AG1135)</f>
        <v>37</v>
      </c>
      <c r="AI1135" s="5" t="s">
        <v>63</v>
      </c>
      <c r="AJ1135" s="8">
        <v>1</v>
      </c>
      <c r="AK1135" s="8">
        <v>0</v>
      </c>
      <c r="AL1135" s="8">
        <v>725</v>
      </c>
      <c r="AM1135" s="8">
        <v>0</v>
      </c>
      <c r="AN1135" s="5" t="s">
        <v>57</v>
      </c>
      <c r="AO1135" s="10">
        <v>84</v>
      </c>
      <c r="AP1135" s="8">
        <v>36</v>
      </c>
      <c r="AQ1135" s="9">
        <v>46276</v>
      </c>
      <c r="AR1135" s="5" t="s">
        <v>53</v>
      </c>
      <c r="AS1135" s="5" t="s">
        <v>81</v>
      </c>
    </row>
    <row r="1136" spans="1:45" x14ac:dyDescent="0.35">
      <c r="A1136" s="5" t="s">
        <v>4893</v>
      </c>
      <c r="B1136" s="5" t="s">
        <v>4894</v>
      </c>
      <c r="C1136" s="6" t="s">
        <v>4895</v>
      </c>
      <c r="D1136" s="7">
        <v>95600</v>
      </c>
      <c r="E1136" s="5" t="s">
        <v>48</v>
      </c>
      <c r="F1136" s="5" t="s">
        <v>68</v>
      </c>
      <c r="G1136" s="8">
        <v>1</v>
      </c>
      <c r="H1136" s="8">
        <f>IF(F1136="Bullet",MIN(G1136,Assumptions!$B$6),"")</f>
        <v>1</v>
      </c>
      <c r="I1136" s="8"/>
      <c r="J1136" s="8" t="str">
        <f>IF(F1136="Monthly interest",MAX(0,Assumptions!$B$5-I1136),"")</f>
        <v/>
      </c>
      <c r="K1136" s="7">
        <f t="shared" si="51"/>
        <v>1115</v>
      </c>
      <c r="L1136" s="9">
        <v>46255</v>
      </c>
      <c r="M1136" s="5" t="s">
        <v>50</v>
      </c>
      <c r="N1136" s="5" t="s">
        <v>53</v>
      </c>
      <c r="O1136" s="5" t="s">
        <v>103</v>
      </c>
      <c r="P1136" s="5" t="s">
        <v>51</v>
      </c>
      <c r="Q1136" s="5" t="s">
        <v>73</v>
      </c>
      <c r="R1136" s="5" t="s">
        <v>74</v>
      </c>
      <c r="S1136" s="5" t="s">
        <v>85</v>
      </c>
      <c r="T1136" s="5" t="s">
        <v>57</v>
      </c>
      <c r="U1136" s="5" t="s">
        <v>86</v>
      </c>
      <c r="V1136" s="5" t="s">
        <v>133</v>
      </c>
      <c r="W1136" s="5" t="s">
        <v>594</v>
      </c>
      <c r="X1136" s="5" t="s">
        <v>595</v>
      </c>
      <c r="Y1136" s="5" t="s">
        <v>4896</v>
      </c>
      <c r="Z1136" s="9">
        <v>46255</v>
      </c>
      <c r="AA1136" s="8">
        <v>6</v>
      </c>
      <c r="AB1136" s="9">
        <f t="shared" si="52"/>
        <v>46439</v>
      </c>
      <c r="AC1136" s="10">
        <v>14</v>
      </c>
      <c r="AD1136" s="7">
        <f t="shared" si="53"/>
        <v>1115</v>
      </c>
      <c r="AE1136" s="7">
        <f>IF(F1136="Bullet",H1136*AD1136,MIN(MAX(I1136,1),Assumptions!$B$6)*AD1136)</f>
        <v>1115</v>
      </c>
      <c r="AF1136" s="8">
        <f>IF(F1136="Bullet",MAX(0,Assumptions!$B$4-AB1136),MAX(0,Assumptions!$B$4-L1136))</f>
        <v>0</v>
      </c>
      <c r="AG1136" s="9"/>
      <c r="AH1136" s="8" t="str">
        <f>IF(AG1136="","",Assumptions!$B$4-AG1136)</f>
        <v/>
      </c>
      <c r="AI1136" s="5" t="s">
        <v>80</v>
      </c>
      <c r="AJ1136" s="8"/>
      <c r="AK1136" s="8">
        <v>0</v>
      </c>
      <c r="AL1136" s="8">
        <v>666</v>
      </c>
      <c r="AM1136" s="8">
        <v>0</v>
      </c>
      <c r="AN1136" s="5" t="s">
        <v>63</v>
      </c>
      <c r="AO1136" s="10">
        <v>67.900000000000006</v>
      </c>
      <c r="AP1136" s="8">
        <v>21</v>
      </c>
      <c r="AQ1136" s="9">
        <v>46289</v>
      </c>
      <c r="AR1136" s="5" t="s">
        <v>51</v>
      </c>
      <c r="AS1136" s="5" t="s">
        <v>81</v>
      </c>
    </row>
    <row r="1137" spans="1:45" x14ac:dyDescent="0.35">
      <c r="A1137" s="5" t="s">
        <v>4897</v>
      </c>
      <c r="B1137" s="5" t="s">
        <v>4898</v>
      </c>
      <c r="C1137" s="6" t="s">
        <v>4899</v>
      </c>
      <c r="D1137" s="7">
        <v>41700</v>
      </c>
      <c r="E1137" s="5" t="s">
        <v>48</v>
      </c>
      <c r="F1137" s="5" t="s">
        <v>68</v>
      </c>
      <c r="G1137" s="8">
        <v>1</v>
      </c>
      <c r="H1137" s="8">
        <f>IF(F1137="Bullet",MIN(G1137,Assumptions!$B$6),"")</f>
        <v>1</v>
      </c>
      <c r="I1137" s="8"/>
      <c r="J1137" s="8" t="str">
        <f>IF(F1137="Monthly interest",MAX(0,Assumptions!$B$5-I1137),"")</f>
        <v/>
      </c>
      <c r="K1137" s="7">
        <f t="shared" si="51"/>
        <v>487</v>
      </c>
      <c r="L1137" s="9">
        <v>46258</v>
      </c>
      <c r="M1137" s="5" t="s">
        <v>50</v>
      </c>
      <c r="N1137" s="5" t="s">
        <v>53</v>
      </c>
      <c r="O1137" s="5" t="s">
        <v>103</v>
      </c>
      <c r="P1137" s="5" t="s">
        <v>153</v>
      </c>
      <c r="Q1137" s="5" t="s">
        <v>154</v>
      </c>
      <c r="R1137" s="5" t="s">
        <v>155</v>
      </c>
      <c r="S1137" s="5" t="s">
        <v>75</v>
      </c>
      <c r="T1137" s="5" t="s">
        <v>57</v>
      </c>
      <c r="U1137" s="5" t="s">
        <v>86</v>
      </c>
      <c r="V1137" s="5" t="s">
        <v>76</v>
      </c>
      <c r="W1137" s="5" t="s">
        <v>382</v>
      </c>
      <c r="X1137" s="5" t="s">
        <v>1318</v>
      </c>
      <c r="Y1137" s="5" t="s">
        <v>4900</v>
      </c>
      <c r="Z1137" s="9">
        <v>46258</v>
      </c>
      <c r="AA1137" s="8">
        <v>12</v>
      </c>
      <c r="AB1137" s="9">
        <f t="shared" si="52"/>
        <v>46623</v>
      </c>
      <c r="AC1137" s="10">
        <v>14</v>
      </c>
      <c r="AD1137" s="7">
        <f t="shared" si="53"/>
        <v>487</v>
      </c>
      <c r="AE1137" s="7">
        <f>IF(F1137="Bullet",H1137*AD1137,MIN(MAX(I1137,1),Assumptions!$B$6)*AD1137)</f>
        <v>487</v>
      </c>
      <c r="AF1137" s="8">
        <f>IF(F1137="Bullet",MAX(0,Assumptions!$B$4-AB1137),MAX(0,Assumptions!$B$4-L1137))</f>
        <v>0</v>
      </c>
      <c r="AG1137" s="9"/>
      <c r="AH1137" s="8" t="str">
        <f>IF(AG1137="","",Assumptions!$B$4-AG1137)</f>
        <v/>
      </c>
      <c r="AI1137" s="5" t="s">
        <v>80</v>
      </c>
      <c r="AJ1137" s="8"/>
      <c r="AK1137" s="8">
        <v>1</v>
      </c>
      <c r="AL1137" s="8">
        <v>736</v>
      </c>
      <c r="AM1137" s="8">
        <v>2</v>
      </c>
      <c r="AN1137" s="5" t="s">
        <v>63</v>
      </c>
      <c r="AO1137" s="10">
        <v>70.400000000000006</v>
      </c>
      <c r="AP1137" s="8">
        <v>12</v>
      </c>
      <c r="AQ1137" s="9">
        <v>46286</v>
      </c>
      <c r="AR1137" s="5" t="s">
        <v>51</v>
      </c>
      <c r="AS1137" s="5" t="s">
        <v>81</v>
      </c>
    </row>
    <row r="1138" spans="1:45" x14ac:dyDescent="0.35">
      <c r="A1138" s="5" t="s">
        <v>4901</v>
      </c>
      <c r="B1138" s="5" t="s">
        <v>4902</v>
      </c>
      <c r="C1138" s="6" t="s">
        <v>4903</v>
      </c>
      <c r="D1138" s="7">
        <v>383100</v>
      </c>
      <c r="E1138" s="5" t="s">
        <v>48</v>
      </c>
      <c r="F1138" s="5" t="s">
        <v>49</v>
      </c>
      <c r="G1138" s="8"/>
      <c r="H1138" s="8" t="str">
        <f>IF(F1138="Bullet",MIN(G1138,Assumptions!$B$6),"")</f>
        <v/>
      </c>
      <c r="I1138" s="8">
        <v>1</v>
      </c>
      <c r="J1138" s="8">
        <f>IF(F1138="Monthly interest",MAX(0,Assumptions!$B$5-I1138),"")</f>
        <v>2</v>
      </c>
      <c r="K1138" s="7">
        <f t="shared" si="51"/>
        <v>7024</v>
      </c>
      <c r="L1138" s="9">
        <v>46274</v>
      </c>
      <c r="M1138" s="5" t="s">
        <v>69</v>
      </c>
      <c r="N1138" s="5" t="s">
        <v>53</v>
      </c>
      <c r="O1138" s="5" t="s">
        <v>132</v>
      </c>
      <c r="P1138" s="5" t="s">
        <v>70</v>
      </c>
      <c r="Q1138" s="5" t="s">
        <v>54</v>
      </c>
      <c r="R1138" s="5" t="s">
        <v>55</v>
      </c>
      <c r="S1138" s="5" t="s">
        <v>75</v>
      </c>
      <c r="T1138" s="5" t="s">
        <v>57</v>
      </c>
      <c r="U1138" s="5" t="s">
        <v>58</v>
      </c>
      <c r="V1138" s="5" t="s">
        <v>76</v>
      </c>
      <c r="W1138" s="5" t="s">
        <v>140</v>
      </c>
      <c r="X1138" s="5" t="s">
        <v>3586</v>
      </c>
      <c r="Y1138" s="5" t="s">
        <v>4904</v>
      </c>
      <c r="Z1138" s="9">
        <v>46151</v>
      </c>
      <c r="AA1138" s="8">
        <v>12</v>
      </c>
      <c r="AB1138" s="9">
        <f t="shared" si="52"/>
        <v>46516</v>
      </c>
      <c r="AC1138" s="10">
        <v>22</v>
      </c>
      <c r="AD1138" s="7">
        <f t="shared" si="53"/>
        <v>7024</v>
      </c>
      <c r="AE1138" s="7">
        <f>IF(F1138="Bullet",H1138*AD1138,MIN(MAX(I1138,1),Assumptions!$B$6)*AD1138)</f>
        <v>7024</v>
      </c>
      <c r="AF1138" s="8">
        <f>IF(F1138="Bullet",MAX(0,Assumptions!$B$4-AB1138),MAX(0,Assumptions!$B$4-L1138))</f>
        <v>24</v>
      </c>
      <c r="AG1138" s="9">
        <v>46246</v>
      </c>
      <c r="AH1138" s="8">
        <f>IF(AG1138="","",Assumptions!$B$4-AG1138)</f>
        <v>52</v>
      </c>
      <c r="AI1138" s="5" t="s">
        <v>63</v>
      </c>
      <c r="AJ1138" s="8">
        <v>2</v>
      </c>
      <c r="AK1138" s="8">
        <v>1</v>
      </c>
      <c r="AL1138" s="8">
        <v>670</v>
      </c>
      <c r="AM1138" s="8">
        <v>1</v>
      </c>
      <c r="AN1138" s="5" t="s">
        <v>63</v>
      </c>
      <c r="AO1138" s="10">
        <v>73.5</v>
      </c>
      <c r="AP1138" s="8">
        <v>37</v>
      </c>
      <c r="AQ1138" s="9">
        <v>46289</v>
      </c>
      <c r="AR1138" s="5" t="s">
        <v>51</v>
      </c>
      <c r="AS1138" s="5" t="s">
        <v>91</v>
      </c>
    </row>
    <row r="1139" spans="1:45" x14ac:dyDescent="0.35">
      <c r="A1139" s="5" t="s">
        <v>4905</v>
      </c>
      <c r="B1139" s="5" t="s">
        <v>4906</v>
      </c>
      <c r="C1139" s="6" t="s">
        <v>4907</v>
      </c>
      <c r="D1139" s="7">
        <v>286800</v>
      </c>
      <c r="E1139" s="5" t="s">
        <v>48</v>
      </c>
      <c r="F1139" s="5" t="s">
        <v>49</v>
      </c>
      <c r="G1139" s="8"/>
      <c r="H1139" s="8" t="str">
        <f>IF(F1139="Bullet",MIN(G1139,Assumptions!$B$6),"")</f>
        <v/>
      </c>
      <c r="I1139" s="8">
        <v>1</v>
      </c>
      <c r="J1139" s="8">
        <f>IF(F1139="Monthly interest",MAX(0,Assumptions!$B$5-I1139),"")</f>
        <v>2</v>
      </c>
      <c r="K1139" s="7">
        <f t="shared" si="51"/>
        <v>4780</v>
      </c>
      <c r="L1139" s="9">
        <v>46289</v>
      </c>
      <c r="M1139" s="5" t="s">
        <v>69</v>
      </c>
      <c r="N1139" s="5" t="s">
        <v>53</v>
      </c>
      <c r="O1139" s="5" t="s">
        <v>103</v>
      </c>
      <c r="P1139" s="5" t="s">
        <v>70</v>
      </c>
      <c r="Q1139" s="5" t="s">
        <v>54</v>
      </c>
      <c r="R1139" s="5" t="s">
        <v>55</v>
      </c>
      <c r="S1139" s="5" t="s">
        <v>75</v>
      </c>
      <c r="T1139" s="5" t="s">
        <v>57</v>
      </c>
      <c r="U1139" s="5" t="s">
        <v>104</v>
      </c>
      <c r="V1139" s="5" t="s">
        <v>76</v>
      </c>
      <c r="W1139" s="5" t="s">
        <v>444</v>
      </c>
      <c r="X1139" s="5" t="s">
        <v>4220</v>
      </c>
      <c r="Y1139" s="5" t="s">
        <v>4908</v>
      </c>
      <c r="Z1139" s="9">
        <v>46227</v>
      </c>
      <c r="AA1139" s="8">
        <v>12</v>
      </c>
      <c r="AB1139" s="9">
        <f t="shared" si="52"/>
        <v>46592</v>
      </c>
      <c r="AC1139" s="10">
        <v>20</v>
      </c>
      <c r="AD1139" s="7">
        <f t="shared" si="53"/>
        <v>4780</v>
      </c>
      <c r="AE1139" s="7">
        <f>IF(F1139="Bullet",H1139*AD1139,MIN(MAX(I1139,1),Assumptions!$B$6)*AD1139)</f>
        <v>4780</v>
      </c>
      <c r="AF1139" s="8">
        <f>IF(F1139="Bullet",MAX(0,Assumptions!$B$4-AB1139),MAX(0,Assumptions!$B$4-L1139))</f>
        <v>9</v>
      </c>
      <c r="AG1139" s="9">
        <v>46260</v>
      </c>
      <c r="AH1139" s="8">
        <f>IF(AG1139="","",Assumptions!$B$4-AG1139)</f>
        <v>38</v>
      </c>
      <c r="AI1139" s="5" t="s">
        <v>63</v>
      </c>
      <c r="AJ1139" s="8">
        <v>2</v>
      </c>
      <c r="AK1139" s="8">
        <v>1</v>
      </c>
      <c r="AL1139" s="8">
        <v>598</v>
      </c>
      <c r="AM1139" s="8">
        <v>1</v>
      </c>
      <c r="AN1139" s="5" t="s">
        <v>63</v>
      </c>
      <c r="AO1139" s="10">
        <v>63.1</v>
      </c>
      <c r="AP1139" s="8">
        <v>43</v>
      </c>
      <c r="AQ1139" s="9">
        <v>46282</v>
      </c>
      <c r="AR1139" s="5" t="s">
        <v>51</v>
      </c>
      <c r="AS1139" s="5" t="s">
        <v>81</v>
      </c>
    </row>
    <row r="1140" spans="1:45" x14ac:dyDescent="0.35">
      <c r="A1140" s="5" t="s">
        <v>4909</v>
      </c>
      <c r="B1140" s="5" t="s">
        <v>3683</v>
      </c>
      <c r="C1140" s="6" t="s">
        <v>4910</v>
      </c>
      <c r="D1140" s="7">
        <v>154100</v>
      </c>
      <c r="E1140" s="5" t="s">
        <v>48</v>
      </c>
      <c r="F1140" s="5" t="s">
        <v>49</v>
      </c>
      <c r="G1140" s="8"/>
      <c r="H1140" s="8" t="str">
        <f>IF(F1140="Bullet",MIN(G1140,Assumptions!$B$6),"")</f>
        <v/>
      </c>
      <c r="I1140" s="8">
        <v>1</v>
      </c>
      <c r="J1140" s="8">
        <f>IF(F1140="Monthly interest",MAX(0,Assumptions!$B$5-I1140),"")</f>
        <v>2</v>
      </c>
      <c r="K1140" s="7">
        <f t="shared" si="51"/>
        <v>2568</v>
      </c>
      <c r="L1140" s="9">
        <v>46290</v>
      </c>
      <c r="M1140" s="5" t="s">
        <v>50</v>
      </c>
      <c r="N1140" s="5" t="s">
        <v>51</v>
      </c>
      <c r="O1140" s="5" t="s">
        <v>52</v>
      </c>
      <c r="P1140" s="5" t="s">
        <v>53</v>
      </c>
      <c r="Q1140" s="5" t="s">
        <v>54</v>
      </c>
      <c r="R1140" s="5" t="s">
        <v>55</v>
      </c>
      <c r="S1140" s="5" t="s">
        <v>185</v>
      </c>
      <c r="T1140" s="5" t="s">
        <v>57</v>
      </c>
      <c r="U1140" s="5" t="s">
        <v>86</v>
      </c>
      <c r="V1140" s="5" t="s">
        <v>186</v>
      </c>
      <c r="W1140" s="5" t="s">
        <v>376</v>
      </c>
      <c r="X1140" s="5" t="s">
        <v>3839</v>
      </c>
      <c r="Y1140" s="5" t="s">
        <v>4911</v>
      </c>
      <c r="Z1140" s="9">
        <v>46137</v>
      </c>
      <c r="AA1140" s="8">
        <v>12</v>
      </c>
      <c r="AB1140" s="9">
        <f t="shared" si="52"/>
        <v>46502</v>
      </c>
      <c r="AC1140" s="10">
        <v>20</v>
      </c>
      <c r="AD1140" s="7">
        <f t="shared" si="53"/>
        <v>2568</v>
      </c>
      <c r="AE1140" s="7">
        <f>IF(F1140="Bullet",H1140*AD1140,MIN(MAX(I1140,1),Assumptions!$B$6)*AD1140)</f>
        <v>2568</v>
      </c>
      <c r="AF1140" s="8">
        <f>IF(F1140="Bullet",MAX(0,Assumptions!$B$4-AB1140),MAX(0,Assumptions!$B$4-L1140))</f>
        <v>8</v>
      </c>
      <c r="AG1140" s="9">
        <v>46259</v>
      </c>
      <c r="AH1140" s="8">
        <f>IF(AG1140="","",Assumptions!$B$4-AG1140)</f>
        <v>39</v>
      </c>
      <c r="AI1140" s="5" t="s">
        <v>63</v>
      </c>
      <c r="AJ1140" s="8">
        <v>1</v>
      </c>
      <c r="AK1140" s="8">
        <v>0</v>
      </c>
      <c r="AL1140" s="8">
        <v>714</v>
      </c>
      <c r="AM1140" s="8">
        <v>0</v>
      </c>
      <c r="AN1140" s="5" t="s">
        <v>63</v>
      </c>
      <c r="AO1140" s="10">
        <v>60.7</v>
      </c>
      <c r="AP1140" s="8">
        <v>19</v>
      </c>
      <c r="AQ1140" s="9">
        <v>46280</v>
      </c>
      <c r="AR1140" s="5" t="s">
        <v>53</v>
      </c>
      <c r="AS1140" s="5" t="s">
        <v>81</v>
      </c>
    </row>
    <row r="1141" spans="1:45" x14ac:dyDescent="0.35">
      <c r="A1141" s="5" t="s">
        <v>4912</v>
      </c>
      <c r="B1141" s="5" t="s">
        <v>4913</v>
      </c>
      <c r="C1141" s="6" t="s">
        <v>4914</v>
      </c>
      <c r="D1141" s="7">
        <v>221300</v>
      </c>
      <c r="E1141" s="5" t="s">
        <v>48</v>
      </c>
      <c r="F1141" s="5" t="s">
        <v>49</v>
      </c>
      <c r="G1141" s="8"/>
      <c r="H1141" s="8" t="str">
        <f>IF(F1141="Bullet",MIN(G1141,Assumptions!$B$6),"")</f>
        <v/>
      </c>
      <c r="I1141" s="8">
        <v>2</v>
      </c>
      <c r="J1141" s="8">
        <f>IF(F1141="Monthly interest",MAX(0,Assumptions!$B$5-I1141),"")</f>
        <v>1</v>
      </c>
      <c r="K1141" s="7">
        <f t="shared" si="51"/>
        <v>5532</v>
      </c>
      <c r="L1141" s="9">
        <v>46243</v>
      </c>
      <c r="M1141" s="5" t="s">
        <v>116</v>
      </c>
      <c r="N1141" s="5" t="s">
        <v>117</v>
      </c>
      <c r="O1141" s="5" t="s">
        <v>118</v>
      </c>
      <c r="P1141" s="5" t="s">
        <v>72</v>
      </c>
      <c r="Q1141" s="5" t="s">
        <v>119</v>
      </c>
      <c r="R1141" s="5" t="s">
        <v>120</v>
      </c>
      <c r="S1141" s="5" t="s">
        <v>75</v>
      </c>
      <c r="T1141" s="5" t="s">
        <v>57</v>
      </c>
      <c r="U1141" s="5" t="s">
        <v>86</v>
      </c>
      <c r="V1141" s="5" t="s">
        <v>76</v>
      </c>
      <c r="W1141" s="5" t="s">
        <v>382</v>
      </c>
      <c r="X1141" s="5" t="s">
        <v>383</v>
      </c>
      <c r="Y1141" s="5" t="s">
        <v>4915</v>
      </c>
      <c r="Z1141" s="9">
        <v>46121</v>
      </c>
      <c r="AA1141" s="8">
        <v>12</v>
      </c>
      <c r="AB1141" s="9">
        <f t="shared" si="52"/>
        <v>46486</v>
      </c>
      <c r="AC1141" s="10">
        <v>15</v>
      </c>
      <c r="AD1141" s="7">
        <f t="shared" si="53"/>
        <v>2766</v>
      </c>
      <c r="AE1141" s="7">
        <f>IF(F1141="Bullet",H1141*AD1141,MIN(MAX(I1141,1),Assumptions!$B$6)*AD1141)</f>
        <v>5532</v>
      </c>
      <c r="AF1141" s="8">
        <f>IF(F1141="Bullet",MAX(0,Assumptions!$B$4-AB1141),MAX(0,Assumptions!$B$4-L1141))</f>
        <v>55</v>
      </c>
      <c r="AG1141" s="9">
        <v>46214</v>
      </c>
      <c r="AH1141" s="8">
        <f>IF(AG1141="","",Assumptions!$B$4-AG1141)</f>
        <v>84</v>
      </c>
      <c r="AI1141" s="5" t="s">
        <v>63</v>
      </c>
      <c r="AJ1141" s="8">
        <v>2</v>
      </c>
      <c r="AK1141" s="8">
        <v>2</v>
      </c>
      <c r="AL1141" s="8">
        <v>638</v>
      </c>
      <c r="AM1141" s="8">
        <v>0</v>
      </c>
      <c r="AN1141" s="5" t="s">
        <v>57</v>
      </c>
      <c r="AO1141" s="10">
        <v>88</v>
      </c>
      <c r="AP1141" s="8">
        <v>85</v>
      </c>
      <c r="AQ1141" s="9">
        <v>46295</v>
      </c>
      <c r="AR1141" s="5" t="s">
        <v>70</v>
      </c>
      <c r="AS1141" s="5" t="s">
        <v>64</v>
      </c>
    </row>
    <row r="1142" spans="1:45" x14ac:dyDescent="0.35">
      <c r="A1142" s="5" t="s">
        <v>4916</v>
      </c>
      <c r="B1142" s="5" t="s">
        <v>3087</v>
      </c>
      <c r="C1142" s="6" t="s">
        <v>4917</v>
      </c>
      <c r="D1142" s="7">
        <v>59800</v>
      </c>
      <c r="E1142" s="5" t="s">
        <v>48</v>
      </c>
      <c r="F1142" s="5" t="s">
        <v>49</v>
      </c>
      <c r="G1142" s="8"/>
      <c r="H1142" s="8" t="str">
        <f>IF(F1142="Bullet",MIN(G1142,Assumptions!$B$6),"")</f>
        <v/>
      </c>
      <c r="I1142" s="8">
        <v>2</v>
      </c>
      <c r="J1142" s="8">
        <f>IF(F1142="Monthly interest",MAX(0,Assumptions!$B$5-I1142),"")</f>
        <v>1</v>
      </c>
      <c r="K1142" s="7">
        <f t="shared" si="51"/>
        <v>1594</v>
      </c>
      <c r="L1142" s="9">
        <v>46252</v>
      </c>
      <c r="M1142" s="5" t="s">
        <v>116</v>
      </c>
      <c r="N1142" s="5" t="s">
        <v>117</v>
      </c>
      <c r="O1142" s="5" t="s">
        <v>118</v>
      </c>
      <c r="P1142" s="5" t="s">
        <v>72</v>
      </c>
      <c r="Q1142" s="5" t="s">
        <v>119</v>
      </c>
      <c r="R1142" s="5" t="s">
        <v>120</v>
      </c>
      <c r="S1142" s="5" t="s">
        <v>56</v>
      </c>
      <c r="T1142" s="5" t="s">
        <v>57</v>
      </c>
      <c r="U1142" s="5" t="s">
        <v>86</v>
      </c>
      <c r="V1142" s="5" t="s">
        <v>59</v>
      </c>
      <c r="W1142" s="5" t="s">
        <v>60</v>
      </c>
      <c r="X1142" s="5" t="s">
        <v>61</v>
      </c>
      <c r="Y1142" s="5" t="s">
        <v>4918</v>
      </c>
      <c r="Z1142" s="9">
        <v>46130</v>
      </c>
      <c r="AA1142" s="8">
        <v>12</v>
      </c>
      <c r="AB1142" s="9">
        <f t="shared" si="52"/>
        <v>46495</v>
      </c>
      <c r="AC1142" s="10">
        <v>16</v>
      </c>
      <c r="AD1142" s="7">
        <f t="shared" si="53"/>
        <v>797</v>
      </c>
      <c r="AE1142" s="7">
        <f>IF(F1142="Bullet",H1142*AD1142,MIN(MAX(I1142,1),Assumptions!$B$6)*AD1142)</f>
        <v>1594</v>
      </c>
      <c r="AF1142" s="8">
        <f>IF(F1142="Bullet",MAX(0,Assumptions!$B$4-AB1142),MAX(0,Assumptions!$B$4-L1142))</f>
        <v>46</v>
      </c>
      <c r="AG1142" s="9">
        <v>46226</v>
      </c>
      <c r="AH1142" s="8">
        <f>IF(AG1142="","",Assumptions!$B$4-AG1142)</f>
        <v>72</v>
      </c>
      <c r="AI1142" s="5" t="s">
        <v>57</v>
      </c>
      <c r="AJ1142" s="8">
        <v>3</v>
      </c>
      <c r="AK1142" s="8">
        <v>2</v>
      </c>
      <c r="AL1142" s="8">
        <v>730</v>
      </c>
      <c r="AM1142" s="8">
        <v>1</v>
      </c>
      <c r="AN1142" s="5" t="s">
        <v>63</v>
      </c>
      <c r="AO1142" s="10">
        <v>73.099999999999994</v>
      </c>
      <c r="AP1142" s="8">
        <v>48</v>
      </c>
      <c r="AQ1142" s="9">
        <v>46281</v>
      </c>
      <c r="AR1142" s="5" t="s">
        <v>70</v>
      </c>
      <c r="AS1142" s="5" t="s">
        <v>64</v>
      </c>
    </row>
    <row r="1143" spans="1:45" x14ac:dyDescent="0.35">
      <c r="A1143" s="5" t="s">
        <v>4919</v>
      </c>
      <c r="B1143" s="5" t="s">
        <v>614</v>
      </c>
      <c r="C1143" s="6" t="s">
        <v>4920</v>
      </c>
      <c r="D1143" s="7">
        <v>184500</v>
      </c>
      <c r="E1143" s="5" t="s">
        <v>48</v>
      </c>
      <c r="F1143" s="5" t="s">
        <v>68</v>
      </c>
      <c r="G1143" s="8">
        <v>2</v>
      </c>
      <c r="H1143" s="8">
        <f>IF(F1143="Bullet",MIN(G1143,Assumptions!$B$6),"")</f>
        <v>2</v>
      </c>
      <c r="I1143" s="8"/>
      <c r="J1143" s="8" t="str">
        <f>IF(F1143="Monthly interest",MAX(0,Assumptions!$B$5-I1143),"")</f>
        <v/>
      </c>
      <c r="K1143" s="7">
        <f t="shared" si="51"/>
        <v>3998</v>
      </c>
      <c r="L1143" s="9">
        <v>46230</v>
      </c>
      <c r="M1143" s="5" t="s">
        <v>50</v>
      </c>
      <c r="N1143" s="5" t="s">
        <v>51</v>
      </c>
      <c r="O1143" s="5" t="s">
        <v>71</v>
      </c>
      <c r="P1143" s="5" t="s">
        <v>53</v>
      </c>
      <c r="Q1143" s="5" t="s">
        <v>73</v>
      </c>
      <c r="R1143" s="5" t="s">
        <v>74</v>
      </c>
      <c r="S1143" s="5" t="s">
        <v>214</v>
      </c>
      <c r="T1143" s="5" t="s">
        <v>57</v>
      </c>
      <c r="U1143" s="5" t="s">
        <v>58</v>
      </c>
      <c r="V1143" s="5" t="s">
        <v>215</v>
      </c>
      <c r="W1143" s="5" t="s">
        <v>278</v>
      </c>
      <c r="X1143" s="5" t="s">
        <v>1783</v>
      </c>
      <c r="Y1143" s="5" t="s">
        <v>4921</v>
      </c>
      <c r="Z1143" s="9">
        <v>46230</v>
      </c>
      <c r="AA1143" s="8">
        <v>3</v>
      </c>
      <c r="AB1143" s="9">
        <f t="shared" si="52"/>
        <v>46322</v>
      </c>
      <c r="AC1143" s="10">
        <v>13</v>
      </c>
      <c r="AD1143" s="7">
        <f t="shared" si="53"/>
        <v>1999</v>
      </c>
      <c r="AE1143" s="7">
        <f>IF(F1143="Bullet",H1143*AD1143,MIN(MAX(I1143,1),Assumptions!$B$6)*AD1143)</f>
        <v>3998</v>
      </c>
      <c r="AF1143" s="8">
        <f>IF(F1143="Bullet",MAX(0,Assumptions!$B$4-AB1143),MAX(0,Assumptions!$B$4-L1143))</f>
        <v>0</v>
      </c>
      <c r="AG1143" s="9"/>
      <c r="AH1143" s="8" t="str">
        <f>IF(AG1143="","",Assumptions!$B$4-AG1143)</f>
        <v/>
      </c>
      <c r="AI1143" s="5" t="s">
        <v>80</v>
      </c>
      <c r="AJ1143" s="8"/>
      <c r="AK1143" s="8">
        <v>1</v>
      </c>
      <c r="AL1143" s="8">
        <v>741</v>
      </c>
      <c r="AM1143" s="8">
        <v>0</v>
      </c>
      <c r="AN1143" s="5" t="s">
        <v>63</v>
      </c>
      <c r="AO1143" s="10">
        <v>74.7</v>
      </c>
      <c r="AP1143" s="8">
        <v>21</v>
      </c>
      <c r="AQ1143" s="9">
        <v>46295</v>
      </c>
      <c r="AR1143" s="5" t="s">
        <v>53</v>
      </c>
      <c r="AS1143" s="5" t="s">
        <v>81</v>
      </c>
    </row>
    <row r="1144" spans="1:45" x14ac:dyDescent="0.35">
      <c r="A1144" s="5" t="s">
        <v>4922</v>
      </c>
      <c r="B1144" s="5" t="s">
        <v>2951</v>
      </c>
      <c r="C1144" s="6" t="s">
        <v>4923</v>
      </c>
      <c r="D1144" s="7">
        <v>208700</v>
      </c>
      <c r="E1144" s="5" t="s">
        <v>48</v>
      </c>
      <c r="F1144" s="5" t="s">
        <v>49</v>
      </c>
      <c r="G1144" s="8"/>
      <c r="H1144" s="8" t="str">
        <f>IF(F1144="Bullet",MIN(G1144,Assumptions!$B$6),"")</f>
        <v/>
      </c>
      <c r="I1144" s="8">
        <v>1</v>
      </c>
      <c r="J1144" s="8">
        <f>IF(F1144="Monthly interest",MAX(0,Assumptions!$B$5-I1144),"")</f>
        <v>2</v>
      </c>
      <c r="K1144" s="7">
        <f t="shared" si="51"/>
        <v>3826</v>
      </c>
      <c r="L1144" s="9">
        <v>46271</v>
      </c>
      <c r="M1144" s="5" t="s">
        <v>69</v>
      </c>
      <c r="N1144" s="5" t="s">
        <v>53</v>
      </c>
      <c r="O1144" s="5" t="s">
        <v>132</v>
      </c>
      <c r="P1144" s="5" t="s">
        <v>70</v>
      </c>
      <c r="Q1144" s="5" t="s">
        <v>54</v>
      </c>
      <c r="R1144" s="5" t="s">
        <v>55</v>
      </c>
      <c r="S1144" s="5" t="s">
        <v>56</v>
      </c>
      <c r="T1144" s="5" t="s">
        <v>57</v>
      </c>
      <c r="U1144" s="5" t="s">
        <v>58</v>
      </c>
      <c r="V1144" s="5" t="s">
        <v>59</v>
      </c>
      <c r="W1144" s="5" t="s">
        <v>418</v>
      </c>
      <c r="X1144" s="5" t="s">
        <v>2483</v>
      </c>
      <c r="Y1144" s="5" t="s">
        <v>4924</v>
      </c>
      <c r="Z1144" s="9">
        <v>46028</v>
      </c>
      <c r="AA1144" s="8">
        <v>18</v>
      </c>
      <c r="AB1144" s="9">
        <f t="shared" si="52"/>
        <v>46574</v>
      </c>
      <c r="AC1144" s="10">
        <v>22</v>
      </c>
      <c r="AD1144" s="7">
        <f t="shared" si="53"/>
        <v>3826</v>
      </c>
      <c r="AE1144" s="7">
        <f>IF(F1144="Bullet",H1144*AD1144,MIN(MAX(I1144,1),Assumptions!$B$6)*AD1144)</f>
        <v>3826</v>
      </c>
      <c r="AF1144" s="8">
        <f>IF(F1144="Bullet",MAX(0,Assumptions!$B$4-AB1144),MAX(0,Assumptions!$B$4-L1144))</f>
        <v>27</v>
      </c>
      <c r="AG1144" s="9">
        <v>46243</v>
      </c>
      <c r="AH1144" s="8">
        <f>IF(AG1144="","",Assumptions!$B$4-AG1144)</f>
        <v>55</v>
      </c>
      <c r="AI1144" s="5" t="s">
        <v>63</v>
      </c>
      <c r="AJ1144" s="8">
        <v>1</v>
      </c>
      <c r="AK1144" s="8">
        <v>0</v>
      </c>
      <c r="AL1144" s="8" t="s">
        <v>80</v>
      </c>
      <c r="AM1144" s="8">
        <v>1</v>
      </c>
      <c r="AN1144" s="5" t="s">
        <v>63</v>
      </c>
      <c r="AO1144" s="10">
        <v>88</v>
      </c>
      <c r="AP1144" s="8">
        <v>39</v>
      </c>
      <c r="AQ1144" s="9">
        <v>46277</v>
      </c>
      <c r="AR1144" s="5" t="s">
        <v>51</v>
      </c>
      <c r="AS1144" s="5" t="s">
        <v>91</v>
      </c>
    </row>
    <row r="1145" spans="1:45" x14ac:dyDescent="0.35">
      <c r="A1145" s="5" t="s">
        <v>4925</v>
      </c>
      <c r="B1145" s="5" t="s">
        <v>2055</v>
      </c>
      <c r="C1145" s="6" t="s">
        <v>4926</v>
      </c>
      <c r="D1145" s="7">
        <v>89000</v>
      </c>
      <c r="E1145" s="5" t="s">
        <v>48</v>
      </c>
      <c r="F1145" s="5" t="s">
        <v>68</v>
      </c>
      <c r="G1145" s="8">
        <v>3</v>
      </c>
      <c r="H1145" s="8">
        <f>IF(F1145="Bullet",MIN(G1145,Assumptions!$B$6),"")</f>
        <v>2</v>
      </c>
      <c r="I1145" s="8"/>
      <c r="J1145" s="8" t="str">
        <f>IF(F1145="Monthly interest",MAX(0,Assumptions!$B$5-I1145),"")</f>
        <v/>
      </c>
      <c r="K1145" s="7">
        <f t="shared" si="51"/>
        <v>4005</v>
      </c>
      <c r="L1145" s="9">
        <v>46202</v>
      </c>
      <c r="M1145" s="5" t="s">
        <v>116</v>
      </c>
      <c r="N1145" s="5" t="s">
        <v>117</v>
      </c>
      <c r="O1145" s="5" t="s">
        <v>207</v>
      </c>
      <c r="P1145" s="5" t="s">
        <v>72</v>
      </c>
      <c r="Q1145" s="5" t="s">
        <v>73</v>
      </c>
      <c r="R1145" s="5" t="s">
        <v>74</v>
      </c>
      <c r="S1145" s="5" t="s">
        <v>185</v>
      </c>
      <c r="T1145" s="5" t="s">
        <v>57</v>
      </c>
      <c r="U1145" s="5" t="s">
        <v>58</v>
      </c>
      <c r="V1145" s="5" t="s">
        <v>186</v>
      </c>
      <c r="W1145" s="5" t="s">
        <v>187</v>
      </c>
      <c r="X1145" s="5" t="s">
        <v>2963</v>
      </c>
      <c r="Y1145" s="5" t="s">
        <v>4927</v>
      </c>
      <c r="Z1145" s="9">
        <v>46202</v>
      </c>
      <c r="AA1145" s="8">
        <v>3</v>
      </c>
      <c r="AB1145" s="9">
        <f t="shared" si="52"/>
        <v>46294</v>
      </c>
      <c r="AC1145" s="10">
        <v>18</v>
      </c>
      <c r="AD1145" s="7">
        <f t="shared" si="53"/>
        <v>1335</v>
      </c>
      <c r="AE1145" s="7">
        <f>IF(F1145="Bullet",H1145*AD1145,MIN(MAX(I1145,1),Assumptions!$B$6)*AD1145)</f>
        <v>2670</v>
      </c>
      <c r="AF1145" s="8">
        <f>IF(F1145="Bullet",MAX(0,Assumptions!$B$4-AB1145),MAX(0,Assumptions!$B$4-L1145))</f>
        <v>4</v>
      </c>
      <c r="AG1145" s="9"/>
      <c r="AH1145" s="8" t="str">
        <f>IF(AG1145="","",Assumptions!$B$4-AG1145)</f>
        <v/>
      </c>
      <c r="AI1145" s="5" t="s">
        <v>80</v>
      </c>
      <c r="AJ1145" s="8"/>
      <c r="AK1145" s="8">
        <v>2</v>
      </c>
      <c r="AL1145" s="8">
        <v>594</v>
      </c>
      <c r="AM1145" s="8">
        <v>1</v>
      </c>
      <c r="AN1145" s="5" t="s">
        <v>63</v>
      </c>
      <c r="AO1145" s="10">
        <v>77.5</v>
      </c>
      <c r="AP1145" s="8">
        <v>62</v>
      </c>
      <c r="AQ1145" s="9">
        <v>46292</v>
      </c>
      <c r="AR1145" s="5" t="s">
        <v>51</v>
      </c>
      <c r="AS1145" s="5" t="s">
        <v>81</v>
      </c>
    </row>
    <row r="1146" spans="1:45" x14ac:dyDescent="0.35">
      <c r="A1146" s="5" t="s">
        <v>4928</v>
      </c>
      <c r="B1146" s="5" t="s">
        <v>4929</v>
      </c>
      <c r="C1146" s="6" t="s">
        <v>4930</v>
      </c>
      <c r="D1146" s="7">
        <v>560000</v>
      </c>
      <c r="E1146" s="5" t="s">
        <v>48</v>
      </c>
      <c r="F1146" s="5" t="s">
        <v>68</v>
      </c>
      <c r="G1146" s="8">
        <v>1</v>
      </c>
      <c r="H1146" s="8">
        <f>IF(F1146="Bullet",MIN(G1146,Assumptions!$B$6),"")</f>
        <v>1</v>
      </c>
      <c r="I1146" s="8"/>
      <c r="J1146" s="8" t="str">
        <f>IF(F1146="Monthly interest",MAX(0,Assumptions!$B$5-I1146),"")</f>
        <v/>
      </c>
      <c r="K1146" s="7">
        <f t="shared" si="51"/>
        <v>8400</v>
      </c>
      <c r="L1146" s="9">
        <v>46255</v>
      </c>
      <c r="M1146" s="5" t="s">
        <v>50</v>
      </c>
      <c r="N1146" s="5" t="s">
        <v>53</v>
      </c>
      <c r="O1146" s="5" t="s">
        <v>95</v>
      </c>
      <c r="P1146" s="5" t="s">
        <v>70</v>
      </c>
      <c r="Q1146" s="5" t="s">
        <v>73</v>
      </c>
      <c r="R1146" s="5" t="s">
        <v>74</v>
      </c>
      <c r="S1146" s="5" t="s">
        <v>85</v>
      </c>
      <c r="T1146" s="5" t="s">
        <v>63</v>
      </c>
      <c r="U1146" s="5" t="s">
        <v>86</v>
      </c>
      <c r="V1146" s="5" t="s">
        <v>553</v>
      </c>
      <c r="W1146" s="5" t="s">
        <v>554</v>
      </c>
      <c r="X1146" s="5" t="s">
        <v>4931</v>
      </c>
      <c r="Y1146" s="5" t="s">
        <v>4932</v>
      </c>
      <c r="Z1146" s="9">
        <v>46255</v>
      </c>
      <c r="AA1146" s="8">
        <v>6</v>
      </c>
      <c r="AB1146" s="9">
        <f t="shared" si="52"/>
        <v>46439</v>
      </c>
      <c r="AC1146" s="10">
        <v>18</v>
      </c>
      <c r="AD1146" s="7">
        <f t="shared" si="53"/>
        <v>8400</v>
      </c>
      <c r="AE1146" s="7">
        <f>IF(F1146="Bullet",H1146*AD1146,MIN(MAX(I1146,1),Assumptions!$B$6)*AD1146)</f>
        <v>8400</v>
      </c>
      <c r="AF1146" s="8">
        <f>IF(F1146="Bullet",MAX(0,Assumptions!$B$4-AB1146),MAX(0,Assumptions!$B$4-L1146))</f>
        <v>0</v>
      </c>
      <c r="AG1146" s="9"/>
      <c r="AH1146" s="8" t="str">
        <f>IF(AG1146="","",Assumptions!$B$4-AG1146)</f>
        <v/>
      </c>
      <c r="AI1146" s="5" t="s">
        <v>80</v>
      </c>
      <c r="AJ1146" s="8"/>
      <c r="AK1146" s="8">
        <v>0</v>
      </c>
      <c r="AL1146" s="8">
        <v>778</v>
      </c>
      <c r="AM1146" s="8">
        <v>3</v>
      </c>
      <c r="AN1146" s="5" t="s">
        <v>63</v>
      </c>
      <c r="AO1146" s="10">
        <v>72.900000000000006</v>
      </c>
      <c r="AP1146" s="8">
        <v>4</v>
      </c>
      <c r="AQ1146" s="9"/>
      <c r="AR1146" s="5"/>
      <c r="AS1146" s="5" t="s">
        <v>159</v>
      </c>
    </row>
    <row r="1147" spans="1:45" x14ac:dyDescent="0.35">
      <c r="A1147" s="5" t="s">
        <v>4933</v>
      </c>
      <c r="B1147" s="5" t="s">
        <v>4094</v>
      </c>
      <c r="C1147" s="6" t="s">
        <v>4934</v>
      </c>
      <c r="D1147" s="7">
        <v>104300</v>
      </c>
      <c r="E1147" s="5" t="s">
        <v>48</v>
      </c>
      <c r="F1147" s="5" t="s">
        <v>49</v>
      </c>
      <c r="G1147" s="8"/>
      <c r="H1147" s="8" t="str">
        <f>IF(F1147="Bullet",MIN(G1147,Assumptions!$B$6),"")</f>
        <v/>
      </c>
      <c r="I1147" s="8">
        <v>1</v>
      </c>
      <c r="J1147" s="8">
        <f>IF(F1147="Monthly interest",MAX(0,Assumptions!$B$5-I1147),"")</f>
        <v>2</v>
      </c>
      <c r="K1147" s="7">
        <f t="shared" si="51"/>
        <v>2086</v>
      </c>
      <c r="L1147" s="9">
        <v>46297</v>
      </c>
      <c r="M1147" s="5" t="s">
        <v>69</v>
      </c>
      <c r="N1147" s="5" t="s">
        <v>53</v>
      </c>
      <c r="O1147" s="5" t="s">
        <v>95</v>
      </c>
      <c r="P1147" s="5" t="s">
        <v>70</v>
      </c>
      <c r="Q1147" s="5" t="s">
        <v>54</v>
      </c>
      <c r="R1147" s="5" t="s">
        <v>55</v>
      </c>
      <c r="S1147" s="5" t="s">
        <v>214</v>
      </c>
      <c r="T1147" s="5" t="s">
        <v>63</v>
      </c>
      <c r="U1147" s="5" t="s">
        <v>86</v>
      </c>
      <c r="V1147" s="5" t="s">
        <v>215</v>
      </c>
      <c r="W1147" s="5" t="s">
        <v>242</v>
      </c>
      <c r="X1147" s="5" t="s">
        <v>2699</v>
      </c>
      <c r="Y1147" s="5" t="s">
        <v>4935</v>
      </c>
      <c r="Z1147" s="9">
        <v>46024</v>
      </c>
      <c r="AA1147" s="8">
        <v>12</v>
      </c>
      <c r="AB1147" s="9">
        <f t="shared" si="52"/>
        <v>46389</v>
      </c>
      <c r="AC1147" s="10">
        <v>24</v>
      </c>
      <c r="AD1147" s="7">
        <f t="shared" si="53"/>
        <v>2086</v>
      </c>
      <c r="AE1147" s="7">
        <f>IF(F1147="Bullet",H1147*AD1147,MIN(MAX(I1147,1),Assumptions!$B$6)*AD1147)</f>
        <v>2086</v>
      </c>
      <c r="AF1147" s="8">
        <f>IF(F1147="Bullet",MAX(0,Assumptions!$B$4-AB1147),MAX(0,Assumptions!$B$4-L1147))</f>
        <v>1</v>
      </c>
      <c r="AG1147" s="9">
        <v>46272</v>
      </c>
      <c r="AH1147" s="8">
        <f>IF(AG1147="","",Assumptions!$B$4-AG1147)</f>
        <v>26</v>
      </c>
      <c r="AI1147" s="5" t="s">
        <v>63</v>
      </c>
      <c r="AJ1147" s="8">
        <v>1</v>
      </c>
      <c r="AK1147" s="8">
        <v>0</v>
      </c>
      <c r="AL1147" s="8" t="s">
        <v>80</v>
      </c>
      <c r="AM1147" s="8">
        <v>1</v>
      </c>
      <c r="AN1147" s="5" t="s">
        <v>57</v>
      </c>
      <c r="AO1147" s="10">
        <v>74.400000000000006</v>
      </c>
      <c r="AP1147" s="8">
        <v>31</v>
      </c>
      <c r="AQ1147" s="9">
        <v>46290</v>
      </c>
      <c r="AR1147" s="5" t="s">
        <v>53</v>
      </c>
      <c r="AS1147" s="5" t="s">
        <v>64</v>
      </c>
    </row>
    <row r="1148" spans="1:45" x14ac:dyDescent="0.35">
      <c r="A1148" s="5" t="s">
        <v>4936</v>
      </c>
      <c r="B1148" s="5" t="s">
        <v>1173</v>
      </c>
      <c r="C1148" s="6" t="s">
        <v>4937</v>
      </c>
      <c r="D1148" s="7">
        <v>52900</v>
      </c>
      <c r="E1148" s="5" t="s">
        <v>48</v>
      </c>
      <c r="F1148" s="5" t="s">
        <v>49</v>
      </c>
      <c r="G1148" s="8"/>
      <c r="H1148" s="8" t="str">
        <f>IF(F1148="Bullet",MIN(G1148,Assumptions!$B$6),"")</f>
        <v/>
      </c>
      <c r="I1148" s="8">
        <v>2</v>
      </c>
      <c r="J1148" s="8">
        <f>IF(F1148="Monthly interest",MAX(0,Assumptions!$B$5-I1148),"")</f>
        <v>1</v>
      </c>
      <c r="K1148" s="7">
        <f t="shared" si="51"/>
        <v>1764</v>
      </c>
      <c r="L1148" s="9">
        <v>46254</v>
      </c>
      <c r="M1148" s="5" t="s">
        <v>116</v>
      </c>
      <c r="N1148" s="5" t="s">
        <v>117</v>
      </c>
      <c r="O1148" s="5" t="s">
        <v>118</v>
      </c>
      <c r="P1148" s="5" t="s">
        <v>72</v>
      </c>
      <c r="Q1148" s="5" t="s">
        <v>119</v>
      </c>
      <c r="R1148" s="5" t="s">
        <v>120</v>
      </c>
      <c r="S1148" s="5" t="s">
        <v>253</v>
      </c>
      <c r="T1148" s="5" t="s">
        <v>63</v>
      </c>
      <c r="U1148" s="5" t="s">
        <v>104</v>
      </c>
      <c r="V1148" s="5" t="s">
        <v>87</v>
      </c>
      <c r="W1148" s="5" t="s">
        <v>254</v>
      </c>
      <c r="X1148" s="5" t="s">
        <v>255</v>
      </c>
      <c r="Y1148" s="5" t="s">
        <v>4938</v>
      </c>
      <c r="Z1148" s="9">
        <v>46162</v>
      </c>
      <c r="AA1148" s="8">
        <v>12</v>
      </c>
      <c r="AB1148" s="9">
        <f t="shared" si="52"/>
        <v>46527</v>
      </c>
      <c r="AC1148" s="10">
        <v>20</v>
      </c>
      <c r="AD1148" s="7">
        <f t="shared" si="53"/>
        <v>882</v>
      </c>
      <c r="AE1148" s="7">
        <f>IF(F1148="Bullet",H1148*AD1148,MIN(MAX(I1148,1),Assumptions!$B$6)*AD1148)</f>
        <v>1764</v>
      </c>
      <c r="AF1148" s="8">
        <f>IF(F1148="Bullet",MAX(0,Assumptions!$B$4-AB1148),MAX(0,Assumptions!$B$4-L1148))</f>
        <v>44</v>
      </c>
      <c r="AG1148" s="9">
        <v>46225</v>
      </c>
      <c r="AH1148" s="8">
        <f>IF(AG1148="","",Assumptions!$B$4-AG1148)</f>
        <v>73</v>
      </c>
      <c r="AI1148" s="5" t="s">
        <v>63</v>
      </c>
      <c r="AJ1148" s="8">
        <v>2</v>
      </c>
      <c r="AK1148" s="8">
        <v>0</v>
      </c>
      <c r="AL1148" s="8">
        <v>671</v>
      </c>
      <c r="AM1148" s="8">
        <v>2</v>
      </c>
      <c r="AN1148" s="5" t="s">
        <v>63</v>
      </c>
      <c r="AO1148" s="10">
        <v>67.3</v>
      </c>
      <c r="AP1148" s="8">
        <v>50</v>
      </c>
      <c r="AQ1148" s="9">
        <v>46297</v>
      </c>
      <c r="AR1148" s="5" t="s">
        <v>51</v>
      </c>
      <c r="AS1148" s="5" t="s">
        <v>190</v>
      </c>
    </row>
    <row r="1149" spans="1:45" x14ac:dyDescent="0.35">
      <c r="A1149" s="5" t="s">
        <v>4939</v>
      </c>
      <c r="B1149" s="5" t="s">
        <v>498</v>
      </c>
      <c r="C1149" s="6" t="s">
        <v>4940</v>
      </c>
      <c r="D1149" s="7">
        <v>498200</v>
      </c>
      <c r="E1149" s="5" t="s">
        <v>48</v>
      </c>
      <c r="F1149" s="5" t="s">
        <v>68</v>
      </c>
      <c r="G1149" s="8">
        <v>3</v>
      </c>
      <c r="H1149" s="8">
        <f>IF(F1149="Bullet",MIN(G1149,Assumptions!$B$6),"")</f>
        <v>2</v>
      </c>
      <c r="I1149" s="8"/>
      <c r="J1149" s="8" t="str">
        <f>IF(F1149="Monthly interest",MAX(0,Assumptions!$B$5-I1149),"")</f>
        <v/>
      </c>
      <c r="K1149" s="7">
        <f t="shared" si="51"/>
        <v>19929</v>
      </c>
      <c r="L1149" s="9">
        <v>46183</v>
      </c>
      <c r="M1149" s="5" t="s">
        <v>50</v>
      </c>
      <c r="N1149" s="5" t="s">
        <v>53</v>
      </c>
      <c r="O1149" s="5" t="s">
        <v>71</v>
      </c>
      <c r="P1149" s="5" t="s">
        <v>51</v>
      </c>
      <c r="Q1149" s="5" t="s">
        <v>73</v>
      </c>
      <c r="R1149" s="5" t="s">
        <v>74</v>
      </c>
      <c r="S1149" s="5" t="s">
        <v>185</v>
      </c>
      <c r="T1149" s="5" t="s">
        <v>57</v>
      </c>
      <c r="U1149" s="5" t="s">
        <v>86</v>
      </c>
      <c r="V1149" s="5" t="s">
        <v>186</v>
      </c>
      <c r="W1149" s="5" t="s">
        <v>187</v>
      </c>
      <c r="X1149" s="5" t="s">
        <v>1145</v>
      </c>
      <c r="Y1149" s="5" t="s">
        <v>4941</v>
      </c>
      <c r="Z1149" s="9">
        <v>46183</v>
      </c>
      <c r="AA1149" s="8">
        <v>3</v>
      </c>
      <c r="AB1149" s="9">
        <f t="shared" si="52"/>
        <v>46275</v>
      </c>
      <c r="AC1149" s="10">
        <v>16</v>
      </c>
      <c r="AD1149" s="7">
        <f t="shared" si="53"/>
        <v>6643</v>
      </c>
      <c r="AE1149" s="7">
        <f>IF(F1149="Bullet",H1149*AD1149,MIN(MAX(I1149,1),Assumptions!$B$6)*AD1149)</f>
        <v>13286</v>
      </c>
      <c r="AF1149" s="8">
        <f>IF(F1149="Bullet",MAX(0,Assumptions!$B$4-AB1149),MAX(0,Assumptions!$B$4-L1149))</f>
        <v>23</v>
      </c>
      <c r="AG1149" s="9"/>
      <c r="AH1149" s="8" t="str">
        <f>IF(AG1149="","",Assumptions!$B$4-AG1149)</f>
        <v/>
      </c>
      <c r="AI1149" s="5" t="s">
        <v>80</v>
      </c>
      <c r="AJ1149" s="8"/>
      <c r="AK1149" s="8">
        <v>1</v>
      </c>
      <c r="AL1149" s="8">
        <v>753</v>
      </c>
      <c r="AM1149" s="8">
        <v>0</v>
      </c>
      <c r="AN1149" s="5" t="s">
        <v>63</v>
      </c>
      <c r="AO1149" s="10">
        <v>59</v>
      </c>
      <c r="AP1149" s="8">
        <v>29</v>
      </c>
      <c r="AQ1149" s="9">
        <v>46296</v>
      </c>
      <c r="AR1149" s="5" t="s">
        <v>53</v>
      </c>
      <c r="AS1149" s="5" t="s">
        <v>64</v>
      </c>
    </row>
    <row r="1150" spans="1:45" x14ac:dyDescent="0.35">
      <c r="A1150" s="5" t="s">
        <v>4942</v>
      </c>
      <c r="B1150" s="5" t="s">
        <v>4943</v>
      </c>
      <c r="C1150" s="6" t="s">
        <v>4944</v>
      </c>
      <c r="D1150" s="7">
        <v>259100</v>
      </c>
      <c r="E1150" s="5" t="s">
        <v>48</v>
      </c>
      <c r="F1150" s="5" t="s">
        <v>68</v>
      </c>
      <c r="G1150" s="8">
        <v>5</v>
      </c>
      <c r="H1150" s="8">
        <f>IF(F1150="Bullet",MIN(G1150,Assumptions!$B$6),"")</f>
        <v>2</v>
      </c>
      <c r="I1150" s="8"/>
      <c r="J1150" s="8" t="str">
        <f>IF(F1150="Monthly interest",MAX(0,Assumptions!$B$5-I1150),"")</f>
        <v/>
      </c>
      <c r="K1150" s="7">
        <f t="shared" si="51"/>
        <v>12955</v>
      </c>
      <c r="L1150" s="9">
        <v>46133</v>
      </c>
      <c r="M1150" s="5" t="s">
        <v>116</v>
      </c>
      <c r="N1150" s="5" t="s">
        <v>117</v>
      </c>
      <c r="O1150" s="5" t="s">
        <v>461</v>
      </c>
      <c r="P1150" s="5" t="s">
        <v>72</v>
      </c>
      <c r="Q1150" s="5" t="s">
        <v>169</v>
      </c>
      <c r="R1150" s="5" t="s">
        <v>170</v>
      </c>
      <c r="S1150" s="5" t="s">
        <v>185</v>
      </c>
      <c r="T1150" s="5" t="s">
        <v>57</v>
      </c>
      <c r="U1150" s="5" t="s">
        <v>86</v>
      </c>
      <c r="V1150" s="5" t="s">
        <v>186</v>
      </c>
      <c r="W1150" s="5" t="s">
        <v>187</v>
      </c>
      <c r="X1150" s="5" t="s">
        <v>1792</v>
      </c>
      <c r="Y1150" s="5" t="s">
        <v>4945</v>
      </c>
      <c r="Z1150" s="9">
        <v>46133</v>
      </c>
      <c r="AA1150" s="8">
        <v>6</v>
      </c>
      <c r="AB1150" s="9">
        <f t="shared" si="52"/>
        <v>46316</v>
      </c>
      <c r="AC1150" s="10">
        <v>12</v>
      </c>
      <c r="AD1150" s="7">
        <f t="shared" si="53"/>
        <v>2591</v>
      </c>
      <c r="AE1150" s="7">
        <f>IF(F1150="Bullet",H1150*AD1150,MIN(MAX(I1150,1),Assumptions!$B$6)*AD1150)</f>
        <v>5182</v>
      </c>
      <c r="AF1150" s="8">
        <f>IF(F1150="Bullet",MAX(0,Assumptions!$B$4-AB1150),MAX(0,Assumptions!$B$4-L1150))</f>
        <v>0</v>
      </c>
      <c r="AG1150" s="9"/>
      <c r="AH1150" s="8" t="str">
        <f>IF(AG1150="","",Assumptions!$B$4-AG1150)</f>
        <v/>
      </c>
      <c r="AI1150" s="5" t="s">
        <v>80</v>
      </c>
      <c r="AJ1150" s="8"/>
      <c r="AK1150" s="8">
        <v>1</v>
      </c>
      <c r="AL1150" s="8">
        <v>618</v>
      </c>
      <c r="AM1150" s="8">
        <v>3</v>
      </c>
      <c r="AN1150" s="5" t="s">
        <v>57</v>
      </c>
      <c r="AO1150" s="10">
        <v>70.400000000000006</v>
      </c>
      <c r="AP1150" s="8">
        <v>71</v>
      </c>
      <c r="AQ1150" s="9">
        <v>46274</v>
      </c>
      <c r="AR1150" s="5" t="s">
        <v>53</v>
      </c>
      <c r="AS1150" s="5" t="s">
        <v>81</v>
      </c>
    </row>
    <row r="1151" spans="1:45" x14ac:dyDescent="0.35">
      <c r="A1151" s="5" t="s">
        <v>4946</v>
      </c>
      <c r="B1151" s="5" t="s">
        <v>2159</v>
      </c>
      <c r="C1151" s="6" t="s">
        <v>4947</v>
      </c>
      <c r="D1151" s="7">
        <v>31700</v>
      </c>
      <c r="E1151" s="5" t="s">
        <v>48</v>
      </c>
      <c r="F1151" s="5" t="s">
        <v>68</v>
      </c>
      <c r="G1151" s="8">
        <v>4</v>
      </c>
      <c r="H1151" s="8">
        <f>IF(F1151="Bullet",MIN(G1151,Assumptions!$B$6),"")</f>
        <v>2</v>
      </c>
      <c r="I1151" s="8"/>
      <c r="J1151" s="8" t="str">
        <f>IF(F1151="Monthly interest",MAX(0,Assumptions!$B$5-I1151),"")</f>
        <v/>
      </c>
      <c r="K1151" s="7">
        <f t="shared" si="51"/>
        <v>1692</v>
      </c>
      <c r="L1151" s="9">
        <v>46165</v>
      </c>
      <c r="M1151" s="5" t="s">
        <v>50</v>
      </c>
      <c r="N1151" s="5" t="s">
        <v>53</v>
      </c>
      <c r="O1151" s="5" t="s">
        <v>152</v>
      </c>
      <c r="P1151" s="5" t="s">
        <v>153</v>
      </c>
      <c r="Q1151" s="5" t="s">
        <v>154</v>
      </c>
      <c r="R1151" s="5" t="s">
        <v>155</v>
      </c>
      <c r="S1151" s="5" t="s">
        <v>56</v>
      </c>
      <c r="T1151" s="5" t="s">
        <v>57</v>
      </c>
      <c r="U1151" s="5" t="s">
        <v>86</v>
      </c>
      <c r="V1151" s="5" t="s">
        <v>59</v>
      </c>
      <c r="W1151" s="5" t="s">
        <v>300</v>
      </c>
      <c r="X1151" s="5" t="s">
        <v>1193</v>
      </c>
      <c r="Y1151" s="5" t="s">
        <v>4948</v>
      </c>
      <c r="Z1151" s="9">
        <v>46165</v>
      </c>
      <c r="AA1151" s="8">
        <v>6</v>
      </c>
      <c r="AB1151" s="9">
        <f t="shared" si="52"/>
        <v>46349</v>
      </c>
      <c r="AC1151" s="10">
        <v>16</v>
      </c>
      <c r="AD1151" s="7">
        <f t="shared" si="53"/>
        <v>423</v>
      </c>
      <c r="AE1151" s="7">
        <f>IF(F1151="Bullet",H1151*AD1151,MIN(MAX(I1151,1),Assumptions!$B$6)*AD1151)</f>
        <v>846</v>
      </c>
      <c r="AF1151" s="8">
        <f>IF(F1151="Bullet",MAX(0,Assumptions!$B$4-AB1151),MAX(0,Assumptions!$B$4-L1151))</f>
        <v>0</v>
      </c>
      <c r="AG1151" s="9"/>
      <c r="AH1151" s="8" t="str">
        <f>IF(AG1151="","",Assumptions!$B$4-AG1151)</f>
        <v/>
      </c>
      <c r="AI1151" s="5" t="s">
        <v>80</v>
      </c>
      <c r="AJ1151" s="8"/>
      <c r="AK1151" s="8">
        <v>1</v>
      </c>
      <c r="AL1151" s="8" t="s">
        <v>80</v>
      </c>
      <c r="AM1151" s="8">
        <v>1</v>
      </c>
      <c r="AN1151" s="5" t="s">
        <v>63</v>
      </c>
      <c r="AO1151" s="10">
        <v>59.8</v>
      </c>
      <c r="AP1151" s="8">
        <v>26</v>
      </c>
      <c r="AQ1151" s="9">
        <v>46286</v>
      </c>
      <c r="AR1151" s="5" t="s">
        <v>70</v>
      </c>
      <c r="AS1151" s="5" t="s">
        <v>81</v>
      </c>
    </row>
    <row r="1152" spans="1:45" x14ac:dyDescent="0.35">
      <c r="A1152" s="5" t="s">
        <v>4949</v>
      </c>
      <c r="B1152" s="5" t="s">
        <v>4950</v>
      </c>
      <c r="C1152" s="6" t="s">
        <v>4951</v>
      </c>
      <c r="D1152" s="7">
        <v>252400</v>
      </c>
      <c r="E1152" s="5" t="s">
        <v>48</v>
      </c>
      <c r="F1152" s="5" t="s">
        <v>68</v>
      </c>
      <c r="G1152" s="8">
        <v>4</v>
      </c>
      <c r="H1152" s="8">
        <f>IF(F1152="Bullet",MIN(G1152,Assumptions!$B$6),"")</f>
        <v>2</v>
      </c>
      <c r="I1152" s="8"/>
      <c r="J1152" s="8" t="str">
        <f>IF(F1152="Monthly interest",MAX(0,Assumptions!$B$5-I1152),"")</f>
        <v/>
      </c>
      <c r="K1152" s="7">
        <f t="shared" si="51"/>
        <v>13460</v>
      </c>
      <c r="L1152" s="9">
        <v>46158</v>
      </c>
      <c r="M1152" s="5" t="s">
        <v>50</v>
      </c>
      <c r="N1152" s="5" t="s">
        <v>70</v>
      </c>
      <c r="O1152" s="5" t="s">
        <v>295</v>
      </c>
      <c r="P1152" s="5" t="s">
        <v>72</v>
      </c>
      <c r="Q1152" s="5" t="s">
        <v>73</v>
      </c>
      <c r="R1152" s="5" t="s">
        <v>74</v>
      </c>
      <c r="S1152" s="5" t="s">
        <v>75</v>
      </c>
      <c r="T1152" s="5" t="s">
        <v>63</v>
      </c>
      <c r="U1152" s="5" t="s">
        <v>58</v>
      </c>
      <c r="V1152" s="5" t="s">
        <v>76</v>
      </c>
      <c r="W1152" s="5" t="s">
        <v>547</v>
      </c>
      <c r="X1152" s="5" t="s">
        <v>748</v>
      </c>
      <c r="Y1152" s="5" t="s">
        <v>4952</v>
      </c>
      <c r="Z1152" s="9">
        <v>46158</v>
      </c>
      <c r="AA1152" s="8">
        <v>6</v>
      </c>
      <c r="AB1152" s="9">
        <f t="shared" si="52"/>
        <v>46342</v>
      </c>
      <c r="AC1152" s="10">
        <v>16</v>
      </c>
      <c r="AD1152" s="7">
        <f t="shared" si="53"/>
        <v>3365</v>
      </c>
      <c r="AE1152" s="7">
        <f>IF(F1152="Bullet",H1152*AD1152,MIN(MAX(I1152,1),Assumptions!$B$6)*AD1152)</f>
        <v>6730</v>
      </c>
      <c r="AF1152" s="8">
        <f>IF(F1152="Bullet",MAX(0,Assumptions!$B$4-AB1152),MAX(0,Assumptions!$B$4-L1152))</f>
        <v>0</v>
      </c>
      <c r="AG1152" s="9"/>
      <c r="AH1152" s="8" t="str">
        <f>IF(AG1152="","",Assumptions!$B$4-AG1152)</f>
        <v/>
      </c>
      <c r="AI1152" s="5" t="s">
        <v>80</v>
      </c>
      <c r="AJ1152" s="8"/>
      <c r="AK1152" s="8">
        <v>0</v>
      </c>
      <c r="AL1152" s="8">
        <v>721</v>
      </c>
      <c r="AM1152" s="8">
        <v>1</v>
      </c>
      <c r="AN1152" s="5" t="s">
        <v>63</v>
      </c>
      <c r="AO1152" s="10">
        <v>63.8</v>
      </c>
      <c r="AP1152" s="8">
        <v>22</v>
      </c>
      <c r="AQ1152" s="9">
        <v>46295</v>
      </c>
      <c r="AR1152" s="5" t="s">
        <v>53</v>
      </c>
      <c r="AS1152" s="5" t="s">
        <v>91</v>
      </c>
    </row>
    <row r="1153" spans="1:45" x14ac:dyDescent="0.35">
      <c r="A1153" s="5" t="s">
        <v>4953</v>
      </c>
      <c r="B1153" s="5" t="s">
        <v>4031</v>
      </c>
      <c r="C1153" s="6" t="s">
        <v>4954</v>
      </c>
      <c r="D1153" s="7">
        <v>92200</v>
      </c>
      <c r="E1153" s="5" t="s">
        <v>48</v>
      </c>
      <c r="F1153" s="5" t="s">
        <v>49</v>
      </c>
      <c r="G1153" s="8"/>
      <c r="H1153" s="8" t="str">
        <f>IF(F1153="Bullet",MIN(G1153,Assumptions!$B$6),"")</f>
        <v/>
      </c>
      <c r="I1153" s="8">
        <v>1</v>
      </c>
      <c r="J1153" s="8">
        <f>IF(F1153="Monthly interest",MAX(0,Assumptions!$B$5-I1153),"")</f>
        <v>2</v>
      </c>
      <c r="K1153" s="7">
        <f t="shared" si="51"/>
        <v>1383</v>
      </c>
      <c r="L1153" s="9">
        <v>46286</v>
      </c>
      <c r="M1153" s="5" t="s">
        <v>50</v>
      </c>
      <c r="N1153" s="5" t="s">
        <v>51</v>
      </c>
      <c r="O1153" s="5" t="s">
        <v>52</v>
      </c>
      <c r="P1153" s="5" t="s">
        <v>53</v>
      </c>
      <c r="Q1153" s="5" t="s">
        <v>54</v>
      </c>
      <c r="R1153" s="5" t="s">
        <v>55</v>
      </c>
      <c r="S1153" s="5" t="s">
        <v>214</v>
      </c>
      <c r="T1153" s="5" t="s">
        <v>57</v>
      </c>
      <c r="U1153" s="5" t="s">
        <v>86</v>
      </c>
      <c r="V1153" s="5" t="s">
        <v>215</v>
      </c>
      <c r="W1153" s="5" t="s">
        <v>600</v>
      </c>
      <c r="X1153" s="5" t="s">
        <v>2327</v>
      </c>
      <c r="Y1153" s="5" t="s">
        <v>4955</v>
      </c>
      <c r="Z1153" s="9">
        <v>46102</v>
      </c>
      <c r="AA1153" s="8">
        <v>12</v>
      </c>
      <c r="AB1153" s="9">
        <f t="shared" si="52"/>
        <v>46467</v>
      </c>
      <c r="AC1153" s="10">
        <v>18</v>
      </c>
      <c r="AD1153" s="7">
        <f t="shared" si="53"/>
        <v>1383</v>
      </c>
      <c r="AE1153" s="7">
        <f>IF(F1153="Bullet",H1153*AD1153,MIN(MAX(I1153,1),Assumptions!$B$6)*AD1153)</f>
        <v>1383</v>
      </c>
      <c r="AF1153" s="8">
        <f>IF(F1153="Bullet",MAX(0,Assumptions!$B$4-AB1153),MAX(0,Assumptions!$B$4-L1153))</f>
        <v>12</v>
      </c>
      <c r="AG1153" s="9">
        <v>46259</v>
      </c>
      <c r="AH1153" s="8">
        <f>IF(AG1153="","",Assumptions!$B$4-AG1153)</f>
        <v>39</v>
      </c>
      <c r="AI1153" s="5" t="s">
        <v>57</v>
      </c>
      <c r="AJ1153" s="8">
        <v>1</v>
      </c>
      <c r="AK1153" s="8">
        <v>0</v>
      </c>
      <c r="AL1153" s="8">
        <v>657</v>
      </c>
      <c r="AM1153" s="8">
        <v>1</v>
      </c>
      <c r="AN1153" s="5" t="s">
        <v>63</v>
      </c>
      <c r="AO1153" s="10">
        <v>68.400000000000006</v>
      </c>
      <c r="AP1153" s="8">
        <v>29</v>
      </c>
      <c r="AQ1153" s="9">
        <v>46291</v>
      </c>
      <c r="AR1153" s="5" t="s">
        <v>53</v>
      </c>
      <c r="AS1153" s="5" t="s">
        <v>274</v>
      </c>
    </row>
    <row r="1154" spans="1:45" x14ac:dyDescent="0.35">
      <c r="A1154" s="5" t="s">
        <v>4956</v>
      </c>
      <c r="B1154" s="5" t="s">
        <v>4957</v>
      </c>
      <c r="C1154" s="6" t="s">
        <v>4958</v>
      </c>
      <c r="D1154" s="7">
        <v>75200</v>
      </c>
      <c r="E1154" s="5" t="s">
        <v>48</v>
      </c>
      <c r="F1154" s="5" t="s">
        <v>49</v>
      </c>
      <c r="G1154" s="8"/>
      <c r="H1154" s="8" t="str">
        <f>IF(F1154="Bullet",MIN(G1154,Assumptions!$B$6),"")</f>
        <v/>
      </c>
      <c r="I1154" s="8">
        <v>2</v>
      </c>
      <c r="J1154" s="8">
        <f>IF(F1154="Monthly interest",MAX(0,Assumptions!$B$5-I1154),"")</f>
        <v>1</v>
      </c>
      <c r="K1154" s="7">
        <f t="shared" ref="K1154:K1217" si="54">IF(F1154="Bullet",G1154*AD1154,MAX(I1154,1)*AD1154)</f>
        <v>2758</v>
      </c>
      <c r="L1154" s="9">
        <v>46267</v>
      </c>
      <c r="M1154" s="5" t="s">
        <v>69</v>
      </c>
      <c r="N1154" s="5" t="s">
        <v>53</v>
      </c>
      <c r="O1154" s="5" t="s">
        <v>71</v>
      </c>
      <c r="P1154" s="5" t="s">
        <v>70</v>
      </c>
      <c r="Q1154" s="5" t="s">
        <v>73</v>
      </c>
      <c r="R1154" s="5" t="s">
        <v>74</v>
      </c>
      <c r="S1154" s="5" t="s">
        <v>253</v>
      </c>
      <c r="T1154" s="5" t="s">
        <v>57</v>
      </c>
      <c r="U1154" s="5" t="s">
        <v>86</v>
      </c>
      <c r="V1154" s="5" t="s">
        <v>553</v>
      </c>
      <c r="W1154" s="5" t="s">
        <v>1029</v>
      </c>
      <c r="X1154" s="5" t="s">
        <v>4959</v>
      </c>
      <c r="Y1154" s="5" t="s">
        <v>4960</v>
      </c>
      <c r="Z1154" s="9">
        <v>46114</v>
      </c>
      <c r="AA1154" s="8">
        <v>12</v>
      </c>
      <c r="AB1154" s="9">
        <f t="shared" ref="AB1154:AB1217" si="55">EDATE(Z1154,AA1154)</f>
        <v>46479</v>
      </c>
      <c r="AC1154" s="10">
        <v>22</v>
      </c>
      <c r="AD1154" s="7">
        <f t="shared" ref="AD1154:AD1217" si="56">ROUND(D1154*AC1154/100/12,0)</f>
        <v>1379</v>
      </c>
      <c r="AE1154" s="7">
        <f>IF(F1154="Bullet",H1154*AD1154,MIN(MAX(I1154,1),Assumptions!$B$6)*AD1154)</f>
        <v>2758</v>
      </c>
      <c r="AF1154" s="8">
        <f>IF(F1154="Bullet",MAX(0,Assumptions!$B$4-AB1154),MAX(0,Assumptions!$B$4-L1154))</f>
        <v>31</v>
      </c>
      <c r="AG1154" s="9">
        <v>46239</v>
      </c>
      <c r="AH1154" s="8">
        <f>IF(AG1154="","",Assumptions!$B$4-AG1154)</f>
        <v>59</v>
      </c>
      <c r="AI1154" s="5" t="s">
        <v>63</v>
      </c>
      <c r="AJ1154" s="8">
        <v>2</v>
      </c>
      <c r="AK1154" s="8">
        <v>0</v>
      </c>
      <c r="AL1154" s="8">
        <v>716</v>
      </c>
      <c r="AM1154" s="8">
        <v>2</v>
      </c>
      <c r="AN1154" s="5" t="s">
        <v>63</v>
      </c>
      <c r="AO1154" s="10">
        <v>67.900000000000006</v>
      </c>
      <c r="AP1154" s="8">
        <v>38</v>
      </c>
      <c r="AQ1154" s="9">
        <v>46293</v>
      </c>
      <c r="AR1154" s="5" t="s">
        <v>51</v>
      </c>
      <c r="AS1154" s="5" t="s">
        <v>64</v>
      </c>
    </row>
    <row r="1155" spans="1:45" x14ac:dyDescent="0.35">
      <c r="A1155" s="5" t="s">
        <v>4961</v>
      </c>
      <c r="B1155" s="5" t="s">
        <v>4962</v>
      </c>
      <c r="C1155" s="6" t="s">
        <v>4963</v>
      </c>
      <c r="D1155" s="7">
        <v>64900</v>
      </c>
      <c r="E1155" s="5" t="s">
        <v>48</v>
      </c>
      <c r="F1155" s="5" t="s">
        <v>68</v>
      </c>
      <c r="G1155" s="8">
        <v>5</v>
      </c>
      <c r="H1155" s="8">
        <f>IF(F1155="Bullet",MIN(G1155,Assumptions!$B$6),"")</f>
        <v>2</v>
      </c>
      <c r="I1155" s="8"/>
      <c r="J1155" s="8" t="str">
        <f>IF(F1155="Monthly interest",MAX(0,Assumptions!$B$5-I1155),"")</f>
        <v/>
      </c>
      <c r="K1155" s="7">
        <f t="shared" si="54"/>
        <v>3785</v>
      </c>
      <c r="L1155" s="9">
        <v>46133</v>
      </c>
      <c r="M1155" s="5" t="s">
        <v>116</v>
      </c>
      <c r="N1155" s="5" t="s">
        <v>117</v>
      </c>
      <c r="O1155" s="5" t="s">
        <v>461</v>
      </c>
      <c r="P1155" s="5" t="s">
        <v>72</v>
      </c>
      <c r="Q1155" s="5" t="s">
        <v>169</v>
      </c>
      <c r="R1155" s="5" t="s">
        <v>170</v>
      </c>
      <c r="S1155" s="5" t="s">
        <v>214</v>
      </c>
      <c r="T1155" s="5" t="s">
        <v>57</v>
      </c>
      <c r="U1155" s="5" t="s">
        <v>58</v>
      </c>
      <c r="V1155" s="5" t="s">
        <v>215</v>
      </c>
      <c r="W1155" s="5" t="s">
        <v>1057</v>
      </c>
      <c r="X1155" s="5" t="s">
        <v>4964</v>
      </c>
      <c r="Y1155" s="5" t="s">
        <v>4965</v>
      </c>
      <c r="Z1155" s="9">
        <v>46133</v>
      </c>
      <c r="AA1155" s="8">
        <v>12</v>
      </c>
      <c r="AB1155" s="9">
        <f t="shared" si="55"/>
        <v>46498</v>
      </c>
      <c r="AC1155" s="10">
        <v>14</v>
      </c>
      <c r="AD1155" s="7">
        <f t="shared" si="56"/>
        <v>757</v>
      </c>
      <c r="AE1155" s="7">
        <f>IF(F1155="Bullet",H1155*AD1155,MIN(MAX(I1155,1),Assumptions!$B$6)*AD1155)</f>
        <v>1514</v>
      </c>
      <c r="AF1155" s="8">
        <f>IF(F1155="Bullet",MAX(0,Assumptions!$B$4-AB1155),MAX(0,Assumptions!$B$4-L1155))</f>
        <v>0</v>
      </c>
      <c r="AG1155" s="9"/>
      <c r="AH1155" s="8" t="str">
        <f>IF(AG1155="","",Assumptions!$B$4-AG1155)</f>
        <v/>
      </c>
      <c r="AI1155" s="5" t="s">
        <v>80</v>
      </c>
      <c r="AJ1155" s="8"/>
      <c r="AK1155" s="8">
        <v>4</v>
      </c>
      <c r="AL1155" s="8">
        <v>694</v>
      </c>
      <c r="AM1155" s="8">
        <v>1</v>
      </c>
      <c r="AN1155" s="5" t="s">
        <v>57</v>
      </c>
      <c r="AO1155" s="10">
        <v>65.8</v>
      </c>
      <c r="AP1155" s="8">
        <v>67</v>
      </c>
      <c r="AQ1155" s="9">
        <v>46284</v>
      </c>
      <c r="AR1155" s="5" t="s">
        <v>70</v>
      </c>
      <c r="AS1155" s="5" t="s">
        <v>190</v>
      </c>
    </row>
    <row r="1156" spans="1:45" x14ac:dyDescent="0.35">
      <c r="A1156" s="5" t="s">
        <v>4966</v>
      </c>
      <c r="B1156" s="5" t="s">
        <v>583</v>
      </c>
      <c r="C1156" s="6" t="s">
        <v>4967</v>
      </c>
      <c r="D1156" s="7">
        <v>111500</v>
      </c>
      <c r="E1156" s="5" t="s">
        <v>48</v>
      </c>
      <c r="F1156" s="5" t="s">
        <v>68</v>
      </c>
      <c r="G1156" s="8">
        <v>1</v>
      </c>
      <c r="H1156" s="8">
        <f>IF(F1156="Bullet",MIN(G1156,Assumptions!$B$6),"")</f>
        <v>1</v>
      </c>
      <c r="I1156" s="8"/>
      <c r="J1156" s="8" t="str">
        <f>IF(F1156="Monthly interest",MAX(0,Assumptions!$B$5-I1156),"")</f>
        <v/>
      </c>
      <c r="K1156" s="7">
        <f t="shared" si="54"/>
        <v>1301</v>
      </c>
      <c r="L1156" s="9">
        <v>46262</v>
      </c>
      <c r="M1156" s="5" t="s">
        <v>50</v>
      </c>
      <c r="N1156" s="5" t="s">
        <v>51</v>
      </c>
      <c r="O1156" s="5" t="s">
        <v>71</v>
      </c>
      <c r="P1156" s="5" t="s">
        <v>53</v>
      </c>
      <c r="Q1156" s="5" t="s">
        <v>73</v>
      </c>
      <c r="R1156" s="5" t="s">
        <v>74</v>
      </c>
      <c r="S1156" s="5" t="s">
        <v>75</v>
      </c>
      <c r="T1156" s="5" t="s">
        <v>57</v>
      </c>
      <c r="U1156" s="5" t="s">
        <v>104</v>
      </c>
      <c r="V1156" s="5" t="s">
        <v>76</v>
      </c>
      <c r="W1156" s="5" t="s">
        <v>140</v>
      </c>
      <c r="X1156" s="5" t="s">
        <v>3198</v>
      </c>
      <c r="Y1156" s="5" t="s">
        <v>4968</v>
      </c>
      <c r="Z1156" s="9">
        <v>46262</v>
      </c>
      <c r="AA1156" s="8">
        <v>6</v>
      </c>
      <c r="AB1156" s="9">
        <f t="shared" si="55"/>
        <v>46446</v>
      </c>
      <c r="AC1156" s="10">
        <v>14</v>
      </c>
      <c r="AD1156" s="7">
        <f t="shared" si="56"/>
        <v>1301</v>
      </c>
      <c r="AE1156" s="7">
        <f>IF(F1156="Bullet",H1156*AD1156,MIN(MAX(I1156,1),Assumptions!$B$6)*AD1156)</f>
        <v>1301</v>
      </c>
      <c r="AF1156" s="8">
        <f>IF(F1156="Bullet",MAX(0,Assumptions!$B$4-AB1156),MAX(0,Assumptions!$B$4-L1156))</f>
        <v>0</v>
      </c>
      <c r="AG1156" s="9"/>
      <c r="AH1156" s="8" t="str">
        <f>IF(AG1156="","",Assumptions!$B$4-AG1156)</f>
        <v/>
      </c>
      <c r="AI1156" s="5" t="s">
        <v>80</v>
      </c>
      <c r="AJ1156" s="8"/>
      <c r="AK1156" s="8">
        <v>0</v>
      </c>
      <c r="AL1156" s="8">
        <v>641</v>
      </c>
      <c r="AM1156" s="8">
        <v>2</v>
      </c>
      <c r="AN1156" s="5" t="s">
        <v>63</v>
      </c>
      <c r="AO1156" s="10">
        <v>69.8</v>
      </c>
      <c r="AP1156" s="8">
        <v>24</v>
      </c>
      <c r="AQ1156" s="9">
        <v>46291</v>
      </c>
      <c r="AR1156" s="5" t="s">
        <v>70</v>
      </c>
      <c r="AS1156" s="5" t="s">
        <v>64</v>
      </c>
    </row>
    <row r="1157" spans="1:45" x14ac:dyDescent="0.35">
      <c r="A1157" s="5" t="s">
        <v>4969</v>
      </c>
      <c r="B1157" s="5" t="s">
        <v>4970</v>
      </c>
      <c r="C1157" s="6" t="s">
        <v>4971</v>
      </c>
      <c r="D1157" s="7">
        <v>40600</v>
      </c>
      <c r="E1157" s="5" t="s">
        <v>48</v>
      </c>
      <c r="F1157" s="5" t="s">
        <v>49</v>
      </c>
      <c r="G1157" s="8"/>
      <c r="H1157" s="8" t="str">
        <f>IF(F1157="Bullet",MIN(G1157,Assumptions!$B$6),"")</f>
        <v/>
      </c>
      <c r="I1157" s="8">
        <v>2</v>
      </c>
      <c r="J1157" s="8">
        <f>IF(F1157="Monthly interest",MAX(0,Assumptions!$B$5-I1157),"")</f>
        <v>1</v>
      </c>
      <c r="K1157" s="7">
        <f t="shared" si="54"/>
        <v>948</v>
      </c>
      <c r="L1157" s="9">
        <v>46247</v>
      </c>
      <c r="M1157" s="5" t="s">
        <v>116</v>
      </c>
      <c r="N1157" s="5" t="s">
        <v>117</v>
      </c>
      <c r="O1157" s="5" t="s">
        <v>450</v>
      </c>
      <c r="P1157" s="5" t="s">
        <v>72</v>
      </c>
      <c r="Q1157" s="5" t="s">
        <v>154</v>
      </c>
      <c r="R1157" s="5" t="s">
        <v>155</v>
      </c>
      <c r="S1157" s="5" t="s">
        <v>56</v>
      </c>
      <c r="T1157" s="5" t="s">
        <v>63</v>
      </c>
      <c r="U1157" s="5" t="s">
        <v>104</v>
      </c>
      <c r="V1157" s="5" t="s">
        <v>59</v>
      </c>
      <c r="W1157" s="5" t="s">
        <v>467</v>
      </c>
      <c r="X1157" s="5" t="s">
        <v>4144</v>
      </c>
      <c r="Y1157" s="5" t="s">
        <v>4972</v>
      </c>
      <c r="Z1157" s="9">
        <v>46004</v>
      </c>
      <c r="AA1157" s="8">
        <v>18</v>
      </c>
      <c r="AB1157" s="9">
        <f t="shared" si="55"/>
        <v>46551</v>
      </c>
      <c r="AC1157" s="10">
        <v>14</v>
      </c>
      <c r="AD1157" s="7">
        <f t="shared" si="56"/>
        <v>474</v>
      </c>
      <c r="AE1157" s="7">
        <f>IF(F1157="Bullet",H1157*AD1157,MIN(MAX(I1157,1),Assumptions!$B$6)*AD1157)</f>
        <v>948</v>
      </c>
      <c r="AF1157" s="8">
        <f>IF(F1157="Bullet",MAX(0,Assumptions!$B$4-AB1157),MAX(0,Assumptions!$B$4-L1157))</f>
        <v>51</v>
      </c>
      <c r="AG1157" s="9">
        <v>46217</v>
      </c>
      <c r="AH1157" s="8">
        <f>IF(AG1157="","",Assumptions!$B$4-AG1157)</f>
        <v>81</v>
      </c>
      <c r="AI1157" s="5" t="s">
        <v>63</v>
      </c>
      <c r="AJ1157" s="8">
        <v>3</v>
      </c>
      <c r="AK1157" s="8">
        <v>1</v>
      </c>
      <c r="AL1157" s="8">
        <v>683</v>
      </c>
      <c r="AM1157" s="8">
        <v>1</v>
      </c>
      <c r="AN1157" s="5" t="s">
        <v>63</v>
      </c>
      <c r="AO1157" s="10">
        <v>71.400000000000006</v>
      </c>
      <c r="AP1157" s="8">
        <v>52</v>
      </c>
      <c r="AQ1157" s="9">
        <v>46291</v>
      </c>
      <c r="AR1157" s="5" t="s">
        <v>70</v>
      </c>
      <c r="AS1157" s="5" t="s">
        <v>190</v>
      </c>
    </row>
    <row r="1158" spans="1:45" x14ac:dyDescent="0.35">
      <c r="A1158" s="5" t="s">
        <v>4973</v>
      </c>
      <c r="B1158" s="5" t="s">
        <v>3351</v>
      </c>
      <c r="C1158" s="6" t="s">
        <v>4974</v>
      </c>
      <c r="D1158" s="7">
        <v>1310000</v>
      </c>
      <c r="E1158" s="5" t="s">
        <v>48</v>
      </c>
      <c r="F1158" s="5" t="s">
        <v>49</v>
      </c>
      <c r="G1158" s="8"/>
      <c r="H1158" s="8" t="str">
        <f>IF(F1158="Bullet",MIN(G1158,Assumptions!$B$6),"")</f>
        <v/>
      </c>
      <c r="I1158" s="8">
        <v>1</v>
      </c>
      <c r="J1158" s="8">
        <f>IF(F1158="Monthly interest",MAX(0,Assumptions!$B$5-I1158),"")</f>
        <v>2</v>
      </c>
      <c r="K1158" s="7">
        <f t="shared" si="54"/>
        <v>24017</v>
      </c>
      <c r="L1158" s="9">
        <v>46286</v>
      </c>
      <c r="M1158" s="5" t="s">
        <v>50</v>
      </c>
      <c r="N1158" s="5" t="s">
        <v>53</v>
      </c>
      <c r="O1158" s="5" t="s">
        <v>95</v>
      </c>
      <c r="P1158" s="5" t="s">
        <v>70</v>
      </c>
      <c r="Q1158" s="5" t="s">
        <v>54</v>
      </c>
      <c r="R1158" s="5" t="s">
        <v>55</v>
      </c>
      <c r="S1158" s="5" t="s">
        <v>56</v>
      </c>
      <c r="T1158" s="5" t="s">
        <v>63</v>
      </c>
      <c r="U1158" s="5" t="s">
        <v>104</v>
      </c>
      <c r="V1158" s="5" t="s">
        <v>59</v>
      </c>
      <c r="W1158" s="5" t="s">
        <v>156</v>
      </c>
      <c r="X1158" s="5" t="s">
        <v>451</v>
      </c>
      <c r="Y1158" s="5" t="s">
        <v>4975</v>
      </c>
      <c r="Z1158" s="9">
        <v>46074</v>
      </c>
      <c r="AA1158" s="8">
        <v>24</v>
      </c>
      <c r="AB1158" s="9">
        <f t="shared" si="55"/>
        <v>46804</v>
      </c>
      <c r="AC1158" s="10">
        <v>22</v>
      </c>
      <c r="AD1158" s="7">
        <f t="shared" si="56"/>
        <v>24017</v>
      </c>
      <c r="AE1158" s="7">
        <f>IF(F1158="Bullet",H1158*AD1158,MIN(MAX(I1158,1),Assumptions!$B$6)*AD1158)</f>
        <v>24017</v>
      </c>
      <c r="AF1158" s="8">
        <f>IF(F1158="Bullet",MAX(0,Assumptions!$B$4-AB1158),MAX(0,Assumptions!$B$4-L1158))</f>
        <v>12</v>
      </c>
      <c r="AG1158" s="9">
        <v>46256</v>
      </c>
      <c r="AH1158" s="8">
        <f>IF(AG1158="","",Assumptions!$B$4-AG1158)</f>
        <v>42</v>
      </c>
      <c r="AI1158" s="5" t="s">
        <v>63</v>
      </c>
      <c r="AJ1158" s="8">
        <v>1</v>
      </c>
      <c r="AK1158" s="8">
        <v>0</v>
      </c>
      <c r="AL1158" s="8">
        <v>805</v>
      </c>
      <c r="AM1158" s="8">
        <v>1</v>
      </c>
      <c r="AN1158" s="5" t="s">
        <v>63</v>
      </c>
      <c r="AO1158" s="10">
        <v>68.099999999999994</v>
      </c>
      <c r="AP1158" s="8">
        <v>12</v>
      </c>
      <c r="AQ1158" s="9">
        <v>46291</v>
      </c>
      <c r="AR1158" s="5" t="s">
        <v>53</v>
      </c>
      <c r="AS1158" s="5" t="s">
        <v>81</v>
      </c>
    </row>
    <row r="1159" spans="1:45" x14ac:dyDescent="0.35">
      <c r="A1159" s="5" t="s">
        <v>4976</v>
      </c>
      <c r="B1159" s="5" t="s">
        <v>4977</v>
      </c>
      <c r="C1159" s="6" t="s">
        <v>4978</v>
      </c>
      <c r="D1159" s="7">
        <v>85300</v>
      </c>
      <c r="E1159" s="5" t="s">
        <v>48</v>
      </c>
      <c r="F1159" s="5" t="s">
        <v>68</v>
      </c>
      <c r="G1159" s="8">
        <v>3</v>
      </c>
      <c r="H1159" s="8">
        <f>IF(F1159="Bullet",MIN(G1159,Assumptions!$B$6),"")</f>
        <v>2</v>
      </c>
      <c r="I1159" s="8"/>
      <c r="J1159" s="8" t="str">
        <f>IF(F1159="Monthly interest",MAX(0,Assumptions!$B$5-I1159),"")</f>
        <v/>
      </c>
      <c r="K1159" s="7">
        <f t="shared" si="54"/>
        <v>3840</v>
      </c>
      <c r="L1159" s="9">
        <v>46201</v>
      </c>
      <c r="M1159" s="5" t="s">
        <v>69</v>
      </c>
      <c r="N1159" s="5" t="s">
        <v>53</v>
      </c>
      <c r="O1159" s="5" t="s">
        <v>71</v>
      </c>
      <c r="P1159" s="5" t="s">
        <v>70</v>
      </c>
      <c r="Q1159" s="5" t="s">
        <v>73</v>
      </c>
      <c r="R1159" s="5" t="s">
        <v>74</v>
      </c>
      <c r="S1159" s="5" t="s">
        <v>185</v>
      </c>
      <c r="T1159" s="5" t="s">
        <v>57</v>
      </c>
      <c r="U1159" s="5" t="s">
        <v>86</v>
      </c>
      <c r="V1159" s="5" t="s">
        <v>186</v>
      </c>
      <c r="W1159" s="5" t="s">
        <v>329</v>
      </c>
      <c r="X1159" s="5" t="s">
        <v>626</v>
      </c>
      <c r="Y1159" s="5" t="s">
        <v>4979</v>
      </c>
      <c r="Z1159" s="9">
        <v>46201</v>
      </c>
      <c r="AA1159" s="8">
        <v>6</v>
      </c>
      <c r="AB1159" s="9">
        <f t="shared" si="55"/>
        <v>46384</v>
      </c>
      <c r="AC1159" s="10">
        <v>18</v>
      </c>
      <c r="AD1159" s="7">
        <f t="shared" si="56"/>
        <v>1280</v>
      </c>
      <c r="AE1159" s="7">
        <f>IF(F1159="Bullet",H1159*AD1159,MIN(MAX(I1159,1),Assumptions!$B$6)*AD1159)</f>
        <v>2560</v>
      </c>
      <c r="AF1159" s="8">
        <f>IF(F1159="Bullet",MAX(0,Assumptions!$B$4-AB1159),MAX(0,Assumptions!$B$4-L1159))</f>
        <v>0</v>
      </c>
      <c r="AG1159" s="9"/>
      <c r="AH1159" s="8" t="str">
        <f>IF(AG1159="","",Assumptions!$B$4-AG1159)</f>
        <v/>
      </c>
      <c r="AI1159" s="5" t="s">
        <v>80</v>
      </c>
      <c r="AJ1159" s="8"/>
      <c r="AK1159" s="8">
        <v>0</v>
      </c>
      <c r="AL1159" s="8">
        <v>623</v>
      </c>
      <c r="AM1159" s="8">
        <v>0</v>
      </c>
      <c r="AN1159" s="5" t="s">
        <v>57</v>
      </c>
      <c r="AO1159" s="10">
        <v>69.7</v>
      </c>
      <c r="AP1159" s="8">
        <v>40</v>
      </c>
      <c r="AQ1159" s="9">
        <v>46291</v>
      </c>
      <c r="AR1159" s="5" t="s">
        <v>70</v>
      </c>
      <c r="AS1159" s="5" t="s">
        <v>81</v>
      </c>
    </row>
    <row r="1160" spans="1:45" x14ac:dyDescent="0.35">
      <c r="A1160" s="5" t="s">
        <v>4980</v>
      </c>
      <c r="B1160" s="5" t="s">
        <v>3746</v>
      </c>
      <c r="C1160" s="6" t="s">
        <v>4981</v>
      </c>
      <c r="D1160" s="7">
        <v>272300</v>
      </c>
      <c r="E1160" s="5" t="s">
        <v>48</v>
      </c>
      <c r="F1160" s="5" t="s">
        <v>68</v>
      </c>
      <c r="G1160" s="8">
        <v>4</v>
      </c>
      <c r="H1160" s="8">
        <f>IF(F1160="Bullet",MIN(G1160,Assumptions!$B$6),"")</f>
        <v>2</v>
      </c>
      <c r="I1160" s="8"/>
      <c r="J1160" s="8" t="str">
        <f>IF(F1160="Monthly interest",MAX(0,Assumptions!$B$5-I1160),"")</f>
        <v/>
      </c>
      <c r="K1160" s="7">
        <f t="shared" si="54"/>
        <v>13616</v>
      </c>
      <c r="L1160" s="9">
        <v>46154</v>
      </c>
      <c r="M1160" s="5" t="s">
        <v>69</v>
      </c>
      <c r="N1160" s="5" t="s">
        <v>70</v>
      </c>
      <c r="O1160" s="5" t="s">
        <v>71</v>
      </c>
      <c r="P1160" s="5" t="s">
        <v>72</v>
      </c>
      <c r="Q1160" s="5" t="s">
        <v>73</v>
      </c>
      <c r="R1160" s="5" t="s">
        <v>74</v>
      </c>
      <c r="S1160" s="5" t="s">
        <v>85</v>
      </c>
      <c r="T1160" s="5" t="s">
        <v>57</v>
      </c>
      <c r="U1160" s="5" t="s">
        <v>86</v>
      </c>
      <c r="V1160" s="5" t="s">
        <v>96</v>
      </c>
      <c r="W1160" s="5" t="s">
        <v>97</v>
      </c>
      <c r="X1160" s="5" t="s">
        <v>3993</v>
      </c>
      <c r="Y1160" s="5" t="s">
        <v>4982</v>
      </c>
      <c r="Z1160" s="9">
        <v>46154</v>
      </c>
      <c r="AA1160" s="8">
        <v>12</v>
      </c>
      <c r="AB1160" s="9">
        <f t="shared" si="55"/>
        <v>46519</v>
      </c>
      <c r="AC1160" s="10">
        <v>15</v>
      </c>
      <c r="AD1160" s="7">
        <f t="shared" si="56"/>
        <v>3404</v>
      </c>
      <c r="AE1160" s="7">
        <f>IF(F1160="Bullet",H1160*AD1160,MIN(MAX(I1160,1),Assumptions!$B$6)*AD1160)</f>
        <v>6808</v>
      </c>
      <c r="AF1160" s="8">
        <f>IF(F1160="Bullet",MAX(0,Assumptions!$B$4-AB1160),MAX(0,Assumptions!$B$4-L1160))</f>
        <v>0</v>
      </c>
      <c r="AG1160" s="9"/>
      <c r="AH1160" s="8" t="str">
        <f>IF(AG1160="","",Assumptions!$B$4-AG1160)</f>
        <v/>
      </c>
      <c r="AI1160" s="5" t="s">
        <v>80</v>
      </c>
      <c r="AJ1160" s="8"/>
      <c r="AK1160" s="8">
        <v>2</v>
      </c>
      <c r="AL1160" s="8">
        <v>714</v>
      </c>
      <c r="AM1160" s="8">
        <v>0</v>
      </c>
      <c r="AN1160" s="5" t="s">
        <v>63</v>
      </c>
      <c r="AO1160" s="10">
        <v>76.3</v>
      </c>
      <c r="AP1160" s="8">
        <v>38</v>
      </c>
      <c r="AQ1160" s="9">
        <v>46296</v>
      </c>
      <c r="AR1160" s="5" t="s">
        <v>70</v>
      </c>
      <c r="AS1160" s="5" t="s">
        <v>81</v>
      </c>
    </row>
    <row r="1161" spans="1:45" x14ac:dyDescent="0.35">
      <c r="A1161" s="5" t="s">
        <v>4983</v>
      </c>
      <c r="B1161" s="5" t="s">
        <v>3968</v>
      </c>
      <c r="C1161" s="6" t="s">
        <v>4984</v>
      </c>
      <c r="D1161" s="7">
        <v>249200</v>
      </c>
      <c r="E1161" s="5" t="s">
        <v>48</v>
      </c>
      <c r="F1161" s="5" t="s">
        <v>68</v>
      </c>
      <c r="G1161" s="8">
        <v>4</v>
      </c>
      <c r="H1161" s="8">
        <f>IF(F1161="Bullet",MIN(G1161,Assumptions!$B$6),"")</f>
        <v>2</v>
      </c>
      <c r="I1161" s="8"/>
      <c r="J1161" s="8" t="str">
        <f>IF(F1161="Monthly interest",MAX(0,Assumptions!$B$5-I1161),"")</f>
        <v/>
      </c>
      <c r="K1161" s="7">
        <f t="shared" si="54"/>
        <v>13292</v>
      </c>
      <c r="L1161" s="9">
        <v>46163</v>
      </c>
      <c r="M1161" s="5" t="s">
        <v>50</v>
      </c>
      <c r="N1161" s="5" t="s">
        <v>70</v>
      </c>
      <c r="O1161" s="5" t="s">
        <v>531</v>
      </c>
      <c r="P1161" s="5" t="s">
        <v>72</v>
      </c>
      <c r="Q1161" s="5" t="s">
        <v>73</v>
      </c>
      <c r="R1161" s="5" t="s">
        <v>74</v>
      </c>
      <c r="S1161" s="5" t="s">
        <v>75</v>
      </c>
      <c r="T1161" s="5" t="s">
        <v>57</v>
      </c>
      <c r="U1161" s="5" t="s">
        <v>58</v>
      </c>
      <c r="V1161" s="5" t="s">
        <v>76</v>
      </c>
      <c r="W1161" s="5" t="s">
        <v>140</v>
      </c>
      <c r="X1161" s="5" t="s">
        <v>4369</v>
      </c>
      <c r="Y1161" s="5" t="s">
        <v>4985</v>
      </c>
      <c r="Z1161" s="9">
        <v>46163</v>
      </c>
      <c r="AA1161" s="8">
        <v>6</v>
      </c>
      <c r="AB1161" s="9">
        <f t="shared" si="55"/>
        <v>46347</v>
      </c>
      <c r="AC1161" s="10">
        <v>16</v>
      </c>
      <c r="AD1161" s="7">
        <f t="shared" si="56"/>
        <v>3323</v>
      </c>
      <c r="AE1161" s="7">
        <f>IF(F1161="Bullet",H1161*AD1161,MIN(MAX(I1161,1),Assumptions!$B$6)*AD1161)</f>
        <v>6646</v>
      </c>
      <c r="AF1161" s="8">
        <f>IF(F1161="Bullet",MAX(0,Assumptions!$B$4-AB1161),MAX(0,Assumptions!$B$4-L1161))</f>
        <v>0</v>
      </c>
      <c r="AG1161" s="9"/>
      <c r="AH1161" s="8" t="str">
        <f>IF(AG1161="","",Assumptions!$B$4-AG1161)</f>
        <v/>
      </c>
      <c r="AI1161" s="5" t="s">
        <v>80</v>
      </c>
      <c r="AJ1161" s="8"/>
      <c r="AK1161" s="8">
        <v>1</v>
      </c>
      <c r="AL1161" s="8">
        <v>743</v>
      </c>
      <c r="AM1161" s="8">
        <v>1</v>
      </c>
      <c r="AN1161" s="5" t="s">
        <v>63</v>
      </c>
      <c r="AO1161" s="10">
        <v>63.1</v>
      </c>
      <c r="AP1161" s="8">
        <v>26</v>
      </c>
      <c r="AQ1161" s="9">
        <v>46294</v>
      </c>
      <c r="AR1161" s="5" t="s">
        <v>53</v>
      </c>
      <c r="AS1161" s="5" t="s">
        <v>81</v>
      </c>
    </row>
    <row r="1162" spans="1:45" x14ac:dyDescent="0.35">
      <c r="A1162" s="5" t="s">
        <v>4986</v>
      </c>
      <c r="B1162" s="5" t="s">
        <v>4987</v>
      </c>
      <c r="C1162" s="6" t="s">
        <v>4988</v>
      </c>
      <c r="D1162" s="7">
        <v>52500</v>
      </c>
      <c r="E1162" s="5" t="s">
        <v>48</v>
      </c>
      <c r="F1162" s="5" t="s">
        <v>68</v>
      </c>
      <c r="G1162" s="8">
        <v>6</v>
      </c>
      <c r="H1162" s="8">
        <f>IF(F1162="Bullet",MIN(G1162,Assumptions!$B$6),"")</f>
        <v>2</v>
      </c>
      <c r="I1162" s="8"/>
      <c r="J1162" s="8" t="str">
        <f>IF(F1162="Monthly interest",MAX(0,Assumptions!$B$5-I1162),"")</f>
        <v/>
      </c>
      <c r="K1162" s="7">
        <f t="shared" si="54"/>
        <v>3936</v>
      </c>
      <c r="L1162" s="9">
        <v>46113</v>
      </c>
      <c r="M1162" s="5" t="s">
        <v>116</v>
      </c>
      <c r="N1162" s="5" t="s">
        <v>117</v>
      </c>
      <c r="O1162" s="5" t="s">
        <v>461</v>
      </c>
      <c r="P1162" s="5" t="s">
        <v>72</v>
      </c>
      <c r="Q1162" s="5" t="s">
        <v>169</v>
      </c>
      <c r="R1162" s="5" t="s">
        <v>170</v>
      </c>
      <c r="S1162" s="5" t="s">
        <v>75</v>
      </c>
      <c r="T1162" s="5" t="s">
        <v>57</v>
      </c>
      <c r="U1162" s="5" t="s">
        <v>104</v>
      </c>
      <c r="V1162" s="5" t="s">
        <v>76</v>
      </c>
      <c r="W1162" s="5" t="s">
        <v>77</v>
      </c>
      <c r="X1162" s="5" t="s">
        <v>1613</v>
      </c>
      <c r="Y1162" s="5" t="s">
        <v>4989</v>
      </c>
      <c r="Z1162" s="9">
        <v>46113</v>
      </c>
      <c r="AA1162" s="8">
        <v>6</v>
      </c>
      <c r="AB1162" s="9">
        <f t="shared" si="55"/>
        <v>46296</v>
      </c>
      <c r="AC1162" s="10">
        <v>15</v>
      </c>
      <c r="AD1162" s="7">
        <f t="shared" si="56"/>
        <v>656</v>
      </c>
      <c r="AE1162" s="7">
        <f>IF(F1162="Bullet",H1162*AD1162,MIN(MAX(I1162,1),Assumptions!$B$6)*AD1162)</f>
        <v>1312</v>
      </c>
      <c r="AF1162" s="8">
        <f>IF(F1162="Bullet",MAX(0,Assumptions!$B$4-AB1162),MAX(0,Assumptions!$B$4-L1162))</f>
        <v>2</v>
      </c>
      <c r="AG1162" s="9"/>
      <c r="AH1162" s="8" t="str">
        <f>IF(AG1162="","",Assumptions!$B$4-AG1162)</f>
        <v/>
      </c>
      <c r="AI1162" s="5" t="s">
        <v>80</v>
      </c>
      <c r="AJ1162" s="8"/>
      <c r="AK1162" s="8">
        <v>1</v>
      </c>
      <c r="AL1162" s="8" t="s">
        <v>80</v>
      </c>
      <c r="AM1162" s="8">
        <v>0</v>
      </c>
      <c r="AN1162" s="5" t="s">
        <v>63</v>
      </c>
      <c r="AO1162" s="10">
        <v>80</v>
      </c>
      <c r="AP1162" s="8">
        <v>55</v>
      </c>
      <c r="AQ1162" s="9">
        <v>46283</v>
      </c>
      <c r="AR1162" s="5" t="s">
        <v>51</v>
      </c>
      <c r="AS1162" s="5" t="s">
        <v>91</v>
      </c>
    </row>
    <row r="1163" spans="1:45" x14ac:dyDescent="0.35">
      <c r="A1163" s="5" t="s">
        <v>4990</v>
      </c>
      <c r="B1163" s="5" t="s">
        <v>4991</v>
      </c>
      <c r="C1163" s="6" t="s">
        <v>4992</v>
      </c>
      <c r="D1163" s="7">
        <v>134300</v>
      </c>
      <c r="E1163" s="5" t="s">
        <v>48</v>
      </c>
      <c r="F1163" s="5" t="s">
        <v>49</v>
      </c>
      <c r="G1163" s="8"/>
      <c r="H1163" s="8" t="str">
        <f>IF(F1163="Bullet",MIN(G1163,Assumptions!$B$6),"")</f>
        <v/>
      </c>
      <c r="I1163" s="8">
        <v>1</v>
      </c>
      <c r="J1163" s="8">
        <f>IF(F1163="Monthly interest",MAX(0,Assumptions!$B$5-I1163),"")</f>
        <v>2</v>
      </c>
      <c r="K1163" s="7">
        <f t="shared" si="54"/>
        <v>1791</v>
      </c>
      <c r="L1163" s="9">
        <v>46279</v>
      </c>
      <c r="M1163" s="5" t="s">
        <v>50</v>
      </c>
      <c r="N1163" s="5" t="s">
        <v>53</v>
      </c>
      <c r="O1163" s="5" t="s">
        <v>95</v>
      </c>
      <c r="P1163" s="5" t="s">
        <v>70</v>
      </c>
      <c r="Q1163" s="5" t="s">
        <v>54</v>
      </c>
      <c r="R1163" s="5" t="s">
        <v>55</v>
      </c>
      <c r="S1163" s="5" t="s">
        <v>85</v>
      </c>
      <c r="T1163" s="5" t="s">
        <v>63</v>
      </c>
      <c r="U1163" s="5" t="s">
        <v>86</v>
      </c>
      <c r="V1163" s="5" t="s">
        <v>177</v>
      </c>
      <c r="W1163" s="5" t="s">
        <v>178</v>
      </c>
      <c r="X1163" s="5" t="s">
        <v>4993</v>
      </c>
      <c r="Y1163" s="5" t="s">
        <v>4994</v>
      </c>
      <c r="Z1163" s="9">
        <v>46187</v>
      </c>
      <c r="AA1163" s="8">
        <v>18</v>
      </c>
      <c r="AB1163" s="9">
        <f t="shared" si="55"/>
        <v>46735</v>
      </c>
      <c r="AC1163" s="10">
        <v>16</v>
      </c>
      <c r="AD1163" s="7">
        <f t="shared" si="56"/>
        <v>1791</v>
      </c>
      <c r="AE1163" s="7">
        <f>IF(F1163="Bullet",H1163*AD1163,MIN(MAX(I1163,1),Assumptions!$B$6)*AD1163)</f>
        <v>1791</v>
      </c>
      <c r="AF1163" s="8">
        <f>IF(F1163="Bullet",MAX(0,Assumptions!$B$4-AB1163),MAX(0,Assumptions!$B$4-L1163))</f>
        <v>19</v>
      </c>
      <c r="AG1163" s="9">
        <v>46250</v>
      </c>
      <c r="AH1163" s="8">
        <f>IF(AG1163="","",Assumptions!$B$4-AG1163)</f>
        <v>48</v>
      </c>
      <c r="AI1163" s="5" t="s">
        <v>57</v>
      </c>
      <c r="AJ1163" s="8">
        <v>1</v>
      </c>
      <c r="AK1163" s="8">
        <v>0</v>
      </c>
      <c r="AL1163" s="8">
        <v>703</v>
      </c>
      <c r="AM1163" s="8">
        <v>2</v>
      </c>
      <c r="AN1163" s="5" t="s">
        <v>63</v>
      </c>
      <c r="AO1163" s="10">
        <v>62.6</v>
      </c>
      <c r="AP1163" s="8">
        <v>28</v>
      </c>
      <c r="AQ1163" s="9">
        <v>46275</v>
      </c>
      <c r="AR1163" s="5" t="s">
        <v>53</v>
      </c>
      <c r="AS1163" s="5" t="s">
        <v>181</v>
      </c>
    </row>
    <row r="1164" spans="1:45" x14ac:dyDescent="0.35">
      <c r="A1164" s="5" t="s">
        <v>4995</v>
      </c>
      <c r="B1164" s="5" t="s">
        <v>4996</v>
      </c>
      <c r="C1164" s="6" t="s">
        <v>4997</v>
      </c>
      <c r="D1164" s="7">
        <v>254300</v>
      </c>
      <c r="E1164" s="5" t="s">
        <v>48</v>
      </c>
      <c r="F1164" s="5" t="s">
        <v>49</v>
      </c>
      <c r="G1164" s="8"/>
      <c r="H1164" s="8" t="str">
        <f>IF(F1164="Bullet",MIN(G1164,Assumptions!$B$6),"")</f>
        <v/>
      </c>
      <c r="I1164" s="8">
        <v>2</v>
      </c>
      <c r="J1164" s="8">
        <f>IF(F1164="Monthly interest",MAX(0,Assumptions!$B$5-I1164),"")</f>
        <v>1</v>
      </c>
      <c r="K1164" s="7">
        <f t="shared" si="54"/>
        <v>5934</v>
      </c>
      <c r="L1164" s="9">
        <v>46266</v>
      </c>
      <c r="M1164" s="5" t="s">
        <v>116</v>
      </c>
      <c r="N1164" s="5" t="s">
        <v>117</v>
      </c>
      <c r="O1164" s="5" t="s">
        <v>118</v>
      </c>
      <c r="P1164" s="5" t="s">
        <v>72</v>
      </c>
      <c r="Q1164" s="5" t="s">
        <v>119</v>
      </c>
      <c r="R1164" s="5" t="s">
        <v>120</v>
      </c>
      <c r="S1164" s="5" t="s">
        <v>75</v>
      </c>
      <c r="T1164" s="5" t="s">
        <v>57</v>
      </c>
      <c r="U1164" s="5" t="s">
        <v>86</v>
      </c>
      <c r="V1164" s="5" t="s">
        <v>76</v>
      </c>
      <c r="W1164" s="5" t="s">
        <v>146</v>
      </c>
      <c r="X1164" s="5" t="s">
        <v>1723</v>
      </c>
      <c r="Y1164" s="5" t="s">
        <v>4998</v>
      </c>
      <c r="Z1164" s="9">
        <v>46113</v>
      </c>
      <c r="AA1164" s="8">
        <v>24</v>
      </c>
      <c r="AB1164" s="9">
        <f t="shared" si="55"/>
        <v>46844</v>
      </c>
      <c r="AC1164" s="10">
        <v>14</v>
      </c>
      <c r="AD1164" s="7">
        <f t="shared" si="56"/>
        <v>2967</v>
      </c>
      <c r="AE1164" s="7">
        <f>IF(F1164="Bullet",H1164*AD1164,MIN(MAX(I1164,1),Assumptions!$B$6)*AD1164)</f>
        <v>5934</v>
      </c>
      <c r="AF1164" s="8">
        <f>IF(F1164="Bullet",MAX(0,Assumptions!$B$4-AB1164),MAX(0,Assumptions!$B$4-L1164))</f>
        <v>32</v>
      </c>
      <c r="AG1164" s="9">
        <v>46237</v>
      </c>
      <c r="AH1164" s="8">
        <f>IF(AG1164="","",Assumptions!$B$4-AG1164)</f>
        <v>61</v>
      </c>
      <c r="AI1164" s="5" t="s">
        <v>63</v>
      </c>
      <c r="AJ1164" s="8">
        <v>3</v>
      </c>
      <c r="AK1164" s="8">
        <v>0</v>
      </c>
      <c r="AL1164" s="8" t="s">
        <v>80</v>
      </c>
      <c r="AM1164" s="8">
        <v>3</v>
      </c>
      <c r="AN1164" s="5" t="s">
        <v>63</v>
      </c>
      <c r="AO1164" s="10">
        <v>50.4</v>
      </c>
      <c r="AP1164" s="8">
        <v>49</v>
      </c>
      <c r="AQ1164" s="9">
        <v>46277</v>
      </c>
      <c r="AR1164" s="5" t="s">
        <v>53</v>
      </c>
      <c r="AS1164" s="5" t="s">
        <v>91</v>
      </c>
    </row>
    <row r="1165" spans="1:45" x14ac:dyDescent="0.35">
      <c r="A1165" s="5" t="s">
        <v>4999</v>
      </c>
      <c r="B1165" s="5" t="s">
        <v>5000</v>
      </c>
      <c r="C1165" s="6" t="s">
        <v>5001</v>
      </c>
      <c r="D1165" s="7">
        <v>118900</v>
      </c>
      <c r="E1165" s="5" t="s">
        <v>48</v>
      </c>
      <c r="F1165" s="5" t="s">
        <v>68</v>
      </c>
      <c r="G1165" s="8">
        <v>3</v>
      </c>
      <c r="H1165" s="8">
        <f>IF(F1165="Bullet",MIN(G1165,Assumptions!$B$6),"")</f>
        <v>2</v>
      </c>
      <c r="I1165" s="8"/>
      <c r="J1165" s="8" t="str">
        <f>IF(F1165="Monthly interest",MAX(0,Assumptions!$B$5-I1165),"")</f>
        <v/>
      </c>
      <c r="K1165" s="7">
        <f t="shared" si="54"/>
        <v>5352</v>
      </c>
      <c r="L1165" s="9">
        <v>46199</v>
      </c>
      <c r="M1165" s="5" t="s">
        <v>69</v>
      </c>
      <c r="N1165" s="5" t="s">
        <v>53</v>
      </c>
      <c r="O1165" s="5" t="s">
        <v>71</v>
      </c>
      <c r="P1165" s="5" t="s">
        <v>70</v>
      </c>
      <c r="Q1165" s="5" t="s">
        <v>73</v>
      </c>
      <c r="R1165" s="5" t="s">
        <v>74</v>
      </c>
      <c r="S1165" s="5" t="s">
        <v>85</v>
      </c>
      <c r="T1165" s="5" t="s">
        <v>57</v>
      </c>
      <c r="U1165" s="5" t="s">
        <v>58</v>
      </c>
      <c r="V1165" s="5" t="s">
        <v>87</v>
      </c>
      <c r="W1165" s="5" t="s">
        <v>88</v>
      </c>
      <c r="X1165" s="5" t="s">
        <v>5002</v>
      </c>
      <c r="Y1165" s="5" t="s">
        <v>5003</v>
      </c>
      <c r="Z1165" s="9">
        <v>46199</v>
      </c>
      <c r="AA1165" s="8">
        <v>3</v>
      </c>
      <c r="AB1165" s="9">
        <f t="shared" si="55"/>
        <v>46291</v>
      </c>
      <c r="AC1165" s="10">
        <v>18</v>
      </c>
      <c r="AD1165" s="7">
        <f t="shared" si="56"/>
        <v>1784</v>
      </c>
      <c r="AE1165" s="7">
        <f>IF(F1165="Bullet",H1165*AD1165,MIN(MAX(I1165,1),Assumptions!$B$6)*AD1165)</f>
        <v>3568</v>
      </c>
      <c r="AF1165" s="8">
        <f>IF(F1165="Bullet",MAX(0,Assumptions!$B$4-AB1165),MAX(0,Assumptions!$B$4-L1165))</f>
        <v>7</v>
      </c>
      <c r="AG1165" s="9"/>
      <c r="AH1165" s="8" t="str">
        <f>IF(AG1165="","",Assumptions!$B$4-AG1165)</f>
        <v/>
      </c>
      <c r="AI1165" s="5" t="s">
        <v>80</v>
      </c>
      <c r="AJ1165" s="8"/>
      <c r="AK1165" s="8">
        <v>0</v>
      </c>
      <c r="AL1165" s="8">
        <v>847</v>
      </c>
      <c r="AM1165" s="8">
        <v>3</v>
      </c>
      <c r="AN1165" s="5" t="s">
        <v>63</v>
      </c>
      <c r="AO1165" s="10">
        <v>80.5</v>
      </c>
      <c r="AP1165" s="8">
        <v>32</v>
      </c>
      <c r="AQ1165" s="9">
        <v>46280</v>
      </c>
      <c r="AR1165" s="5" t="s">
        <v>51</v>
      </c>
      <c r="AS1165" s="5" t="s">
        <v>91</v>
      </c>
    </row>
    <row r="1166" spans="1:45" x14ac:dyDescent="0.35">
      <c r="A1166" s="5" t="s">
        <v>5004</v>
      </c>
      <c r="B1166" s="5" t="s">
        <v>5005</v>
      </c>
      <c r="C1166" s="6" t="s">
        <v>5006</v>
      </c>
      <c r="D1166" s="7">
        <v>266900</v>
      </c>
      <c r="E1166" s="5" t="s">
        <v>48</v>
      </c>
      <c r="F1166" s="5" t="s">
        <v>49</v>
      </c>
      <c r="G1166" s="8"/>
      <c r="H1166" s="8" t="str">
        <f>IF(F1166="Bullet",MIN(G1166,Assumptions!$B$6),"")</f>
        <v/>
      </c>
      <c r="I1166" s="8">
        <v>2</v>
      </c>
      <c r="J1166" s="8">
        <f>IF(F1166="Monthly interest",MAX(0,Assumptions!$B$5-I1166),"")</f>
        <v>1</v>
      </c>
      <c r="K1166" s="7">
        <f t="shared" si="54"/>
        <v>6228</v>
      </c>
      <c r="L1166" s="9">
        <v>46240</v>
      </c>
      <c r="M1166" s="5" t="s">
        <v>69</v>
      </c>
      <c r="N1166" s="5" t="s">
        <v>70</v>
      </c>
      <c r="O1166" s="5" t="s">
        <v>71</v>
      </c>
      <c r="P1166" s="5" t="s">
        <v>72</v>
      </c>
      <c r="Q1166" s="5" t="s">
        <v>73</v>
      </c>
      <c r="R1166" s="5" t="s">
        <v>74</v>
      </c>
      <c r="S1166" s="5" t="s">
        <v>56</v>
      </c>
      <c r="T1166" s="5" t="s">
        <v>63</v>
      </c>
      <c r="U1166" s="5" t="s">
        <v>86</v>
      </c>
      <c r="V1166" s="5" t="s">
        <v>59</v>
      </c>
      <c r="W1166" s="5" t="s">
        <v>323</v>
      </c>
      <c r="X1166" s="5" t="s">
        <v>1485</v>
      </c>
      <c r="Y1166" s="5" t="s">
        <v>5007</v>
      </c>
      <c r="Z1166" s="9">
        <v>46179</v>
      </c>
      <c r="AA1166" s="8">
        <v>12</v>
      </c>
      <c r="AB1166" s="9">
        <f t="shared" si="55"/>
        <v>46544</v>
      </c>
      <c r="AC1166" s="10">
        <v>14</v>
      </c>
      <c r="AD1166" s="7">
        <f t="shared" si="56"/>
        <v>3114</v>
      </c>
      <c r="AE1166" s="7">
        <f>IF(F1166="Bullet",H1166*AD1166,MIN(MAX(I1166,1),Assumptions!$B$6)*AD1166)</f>
        <v>6228</v>
      </c>
      <c r="AF1166" s="8">
        <f>IF(F1166="Bullet",MAX(0,Assumptions!$B$4-AB1166),MAX(0,Assumptions!$B$4-L1166))</f>
        <v>58</v>
      </c>
      <c r="AG1166" s="9">
        <v>46214</v>
      </c>
      <c r="AH1166" s="8">
        <f>IF(AG1166="","",Assumptions!$B$4-AG1166)</f>
        <v>84</v>
      </c>
      <c r="AI1166" s="5" t="s">
        <v>57</v>
      </c>
      <c r="AJ1166" s="8">
        <v>2</v>
      </c>
      <c r="AK1166" s="8">
        <v>0</v>
      </c>
      <c r="AL1166" s="8">
        <v>651</v>
      </c>
      <c r="AM1166" s="8">
        <v>1</v>
      </c>
      <c r="AN1166" s="5" t="s">
        <v>63</v>
      </c>
      <c r="AO1166" s="10">
        <v>60.2</v>
      </c>
      <c r="AP1166" s="8">
        <v>47</v>
      </c>
      <c r="AQ1166" s="9">
        <v>46292</v>
      </c>
      <c r="AR1166" s="5" t="s">
        <v>70</v>
      </c>
      <c r="AS1166" s="5" t="s">
        <v>274</v>
      </c>
    </row>
    <row r="1167" spans="1:45" x14ac:dyDescent="0.35">
      <c r="A1167" s="5" t="s">
        <v>5008</v>
      </c>
      <c r="B1167" s="5" t="s">
        <v>5009</v>
      </c>
      <c r="C1167" s="6" t="s">
        <v>5010</v>
      </c>
      <c r="D1167" s="7">
        <v>24800</v>
      </c>
      <c r="E1167" s="5" t="s">
        <v>48</v>
      </c>
      <c r="F1167" s="5" t="s">
        <v>68</v>
      </c>
      <c r="G1167" s="8">
        <v>3</v>
      </c>
      <c r="H1167" s="8">
        <f>IF(F1167="Bullet",MIN(G1167,Assumptions!$B$6),"")</f>
        <v>2</v>
      </c>
      <c r="I1167" s="8"/>
      <c r="J1167" s="8" t="str">
        <f>IF(F1167="Monthly interest",MAX(0,Assumptions!$B$5-I1167),"")</f>
        <v/>
      </c>
      <c r="K1167" s="7">
        <f t="shared" si="54"/>
        <v>1116</v>
      </c>
      <c r="L1167" s="9">
        <v>46188</v>
      </c>
      <c r="M1167" s="5" t="s">
        <v>50</v>
      </c>
      <c r="N1167" s="5" t="s">
        <v>53</v>
      </c>
      <c r="O1167" s="5" t="s">
        <v>152</v>
      </c>
      <c r="P1167" s="5" t="s">
        <v>153</v>
      </c>
      <c r="Q1167" s="5" t="s">
        <v>154</v>
      </c>
      <c r="R1167" s="5" t="s">
        <v>155</v>
      </c>
      <c r="S1167" s="5" t="s">
        <v>185</v>
      </c>
      <c r="T1167" s="5" t="s">
        <v>57</v>
      </c>
      <c r="U1167" s="5" t="s">
        <v>86</v>
      </c>
      <c r="V1167" s="5" t="s">
        <v>186</v>
      </c>
      <c r="W1167" s="5" t="s">
        <v>187</v>
      </c>
      <c r="X1167" s="5" t="s">
        <v>2613</v>
      </c>
      <c r="Y1167" s="5" t="s">
        <v>5011</v>
      </c>
      <c r="Z1167" s="9">
        <v>46188</v>
      </c>
      <c r="AA1167" s="8">
        <v>6</v>
      </c>
      <c r="AB1167" s="9">
        <f t="shared" si="55"/>
        <v>46371</v>
      </c>
      <c r="AC1167" s="10">
        <v>18</v>
      </c>
      <c r="AD1167" s="7">
        <f t="shared" si="56"/>
        <v>372</v>
      </c>
      <c r="AE1167" s="7">
        <f>IF(F1167="Bullet",H1167*AD1167,MIN(MAX(I1167,1),Assumptions!$B$6)*AD1167)</f>
        <v>744</v>
      </c>
      <c r="AF1167" s="8">
        <f>IF(F1167="Bullet",MAX(0,Assumptions!$B$4-AB1167),MAX(0,Assumptions!$B$4-L1167))</f>
        <v>0</v>
      </c>
      <c r="AG1167" s="9"/>
      <c r="AH1167" s="8" t="str">
        <f>IF(AG1167="","",Assumptions!$B$4-AG1167)</f>
        <v/>
      </c>
      <c r="AI1167" s="5" t="s">
        <v>80</v>
      </c>
      <c r="AJ1167" s="8"/>
      <c r="AK1167" s="8">
        <v>0</v>
      </c>
      <c r="AL1167" s="8">
        <v>772</v>
      </c>
      <c r="AM1167" s="8">
        <v>1</v>
      </c>
      <c r="AN1167" s="5" t="s">
        <v>63</v>
      </c>
      <c r="AO1167" s="10">
        <v>65.7</v>
      </c>
      <c r="AP1167" s="8">
        <v>15</v>
      </c>
      <c r="AQ1167" s="9"/>
      <c r="AR1167" s="5"/>
      <c r="AS1167" s="5" t="s">
        <v>159</v>
      </c>
    </row>
    <row r="1168" spans="1:45" x14ac:dyDescent="0.35">
      <c r="A1168" s="5" t="s">
        <v>5012</v>
      </c>
      <c r="B1168" s="5" t="s">
        <v>5013</v>
      </c>
      <c r="C1168" s="6" t="s">
        <v>5014</v>
      </c>
      <c r="D1168" s="7">
        <v>157100</v>
      </c>
      <c r="E1168" s="5" t="s">
        <v>48</v>
      </c>
      <c r="F1168" s="5" t="s">
        <v>49</v>
      </c>
      <c r="G1168" s="8"/>
      <c r="H1168" s="8" t="str">
        <f>IF(F1168="Bullet",MIN(G1168,Assumptions!$B$6),"")</f>
        <v/>
      </c>
      <c r="I1168" s="8">
        <v>2</v>
      </c>
      <c r="J1168" s="8">
        <f>IF(F1168="Monthly interest",MAX(0,Assumptions!$B$5-I1168),"")</f>
        <v>1</v>
      </c>
      <c r="K1168" s="7">
        <f t="shared" si="54"/>
        <v>3666</v>
      </c>
      <c r="L1168" s="9">
        <v>46258</v>
      </c>
      <c r="M1168" s="5" t="s">
        <v>50</v>
      </c>
      <c r="N1168" s="5" t="s">
        <v>51</v>
      </c>
      <c r="O1168" s="5" t="s">
        <v>71</v>
      </c>
      <c r="P1168" s="5" t="s">
        <v>53</v>
      </c>
      <c r="Q1168" s="5" t="s">
        <v>73</v>
      </c>
      <c r="R1168" s="5" t="s">
        <v>74</v>
      </c>
      <c r="S1168" s="5" t="s">
        <v>185</v>
      </c>
      <c r="T1168" s="5" t="s">
        <v>57</v>
      </c>
      <c r="U1168" s="5" t="s">
        <v>58</v>
      </c>
      <c r="V1168" s="5" t="s">
        <v>200</v>
      </c>
      <c r="W1168" s="5" t="s">
        <v>1332</v>
      </c>
      <c r="X1168" s="5" t="s">
        <v>5015</v>
      </c>
      <c r="Y1168" s="5" t="s">
        <v>5016</v>
      </c>
      <c r="Z1168" s="9">
        <v>46077</v>
      </c>
      <c r="AA1168" s="8">
        <v>12</v>
      </c>
      <c r="AB1168" s="9">
        <f t="shared" si="55"/>
        <v>46442</v>
      </c>
      <c r="AC1168" s="10">
        <v>14</v>
      </c>
      <c r="AD1168" s="7">
        <f t="shared" si="56"/>
        <v>1833</v>
      </c>
      <c r="AE1168" s="7">
        <f>IF(F1168="Bullet",H1168*AD1168,MIN(MAX(I1168,1),Assumptions!$B$6)*AD1168)</f>
        <v>3666</v>
      </c>
      <c r="AF1168" s="8">
        <f>IF(F1168="Bullet",MAX(0,Assumptions!$B$4-AB1168),MAX(0,Assumptions!$B$4-L1168))</f>
        <v>40</v>
      </c>
      <c r="AG1168" s="9">
        <v>46231</v>
      </c>
      <c r="AH1168" s="8">
        <f>IF(AG1168="","",Assumptions!$B$4-AG1168)</f>
        <v>67</v>
      </c>
      <c r="AI1168" s="5" t="s">
        <v>57</v>
      </c>
      <c r="AJ1168" s="8">
        <v>2</v>
      </c>
      <c r="AK1168" s="8">
        <v>1</v>
      </c>
      <c r="AL1168" s="8">
        <v>820</v>
      </c>
      <c r="AM1168" s="8">
        <v>1</v>
      </c>
      <c r="AN1168" s="5" t="s">
        <v>63</v>
      </c>
      <c r="AO1168" s="10">
        <v>72.400000000000006</v>
      </c>
      <c r="AP1168" s="8">
        <v>29</v>
      </c>
      <c r="AQ1168" s="9"/>
      <c r="AR1168" s="5"/>
      <c r="AS1168" s="5" t="s">
        <v>159</v>
      </c>
    </row>
    <row r="1169" spans="1:45" x14ac:dyDescent="0.35">
      <c r="A1169" s="5" t="s">
        <v>5017</v>
      </c>
      <c r="B1169" s="5" t="s">
        <v>5018</v>
      </c>
      <c r="C1169" s="6" t="s">
        <v>5019</v>
      </c>
      <c r="D1169" s="7">
        <v>100100</v>
      </c>
      <c r="E1169" s="5" t="s">
        <v>48</v>
      </c>
      <c r="F1169" s="5" t="s">
        <v>49</v>
      </c>
      <c r="G1169" s="8"/>
      <c r="H1169" s="8" t="str">
        <f>IF(F1169="Bullet",MIN(G1169,Assumptions!$B$6),"")</f>
        <v/>
      </c>
      <c r="I1169" s="8">
        <v>1</v>
      </c>
      <c r="J1169" s="8">
        <f>IF(F1169="Monthly interest",MAX(0,Assumptions!$B$5-I1169),"")</f>
        <v>2</v>
      </c>
      <c r="K1169" s="7">
        <f t="shared" si="54"/>
        <v>1251</v>
      </c>
      <c r="L1169" s="9">
        <v>46278</v>
      </c>
      <c r="M1169" s="5" t="s">
        <v>50</v>
      </c>
      <c r="N1169" s="5" t="s">
        <v>51</v>
      </c>
      <c r="O1169" s="5" t="s">
        <v>52</v>
      </c>
      <c r="P1169" s="5" t="s">
        <v>53</v>
      </c>
      <c r="Q1169" s="5" t="s">
        <v>54</v>
      </c>
      <c r="R1169" s="5" t="s">
        <v>55</v>
      </c>
      <c r="S1169" s="5" t="s">
        <v>85</v>
      </c>
      <c r="T1169" s="5" t="s">
        <v>57</v>
      </c>
      <c r="U1169" s="5" t="s">
        <v>104</v>
      </c>
      <c r="V1169" s="5" t="s">
        <v>96</v>
      </c>
      <c r="W1169" s="5" t="s">
        <v>171</v>
      </c>
      <c r="X1169" s="5" t="s">
        <v>5020</v>
      </c>
      <c r="Y1169" s="5" t="s">
        <v>5021</v>
      </c>
      <c r="Z1169" s="9">
        <v>46004</v>
      </c>
      <c r="AA1169" s="8">
        <v>12</v>
      </c>
      <c r="AB1169" s="9">
        <f t="shared" si="55"/>
        <v>46369</v>
      </c>
      <c r="AC1169" s="10">
        <v>15</v>
      </c>
      <c r="AD1169" s="7">
        <f t="shared" si="56"/>
        <v>1251</v>
      </c>
      <c r="AE1169" s="7">
        <f>IF(F1169="Bullet",H1169*AD1169,MIN(MAX(I1169,1),Assumptions!$B$6)*AD1169)</f>
        <v>1251</v>
      </c>
      <c r="AF1169" s="8">
        <f>IF(F1169="Bullet",MAX(0,Assumptions!$B$4-AB1169),MAX(0,Assumptions!$B$4-L1169))</f>
        <v>20</v>
      </c>
      <c r="AG1169" s="9">
        <v>46247</v>
      </c>
      <c r="AH1169" s="8">
        <f>IF(AG1169="","",Assumptions!$B$4-AG1169)</f>
        <v>51</v>
      </c>
      <c r="AI1169" s="5" t="s">
        <v>63</v>
      </c>
      <c r="AJ1169" s="8">
        <v>1</v>
      </c>
      <c r="AK1169" s="8">
        <v>0</v>
      </c>
      <c r="AL1169" s="8">
        <v>700</v>
      </c>
      <c r="AM1169" s="8">
        <v>1</v>
      </c>
      <c r="AN1169" s="5" t="s">
        <v>63</v>
      </c>
      <c r="AO1169" s="10">
        <v>70.7</v>
      </c>
      <c r="AP1169" s="8">
        <v>20</v>
      </c>
      <c r="AQ1169" s="9">
        <v>46275</v>
      </c>
      <c r="AR1169" s="5" t="s">
        <v>51</v>
      </c>
      <c r="AS1169" s="5" t="s">
        <v>274</v>
      </c>
    </row>
    <row r="1170" spans="1:45" x14ac:dyDescent="0.35">
      <c r="A1170" s="5" t="s">
        <v>5022</v>
      </c>
      <c r="B1170" s="5" t="s">
        <v>5023</v>
      </c>
      <c r="C1170" s="6" t="s">
        <v>5024</v>
      </c>
      <c r="D1170" s="7">
        <v>127800</v>
      </c>
      <c r="E1170" s="5" t="s">
        <v>48</v>
      </c>
      <c r="F1170" s="5" t="s">
        <v>49</v>
      </c>
      <c r="G1170" s="8"/>
      <c r="H1170" s="8" t="str">
        <f>IF(F1170="Bullet",MIN(G1170,Assumptions!$B$6),"")</f>
        <v/>
      </c>
      <c r="I1170" s="8">
        <v>1</v>
      </c>
      <c r="J1170" s="8">
        <f>IF(F1170="Monthly interest",MAX(0,Assumptions!$B$5-I1170),"")</f>
        <v>2</v>
      </c>
      <c r="K1170" s="7">
        <f t="shared" si="54"/>
        <v>2343</v>
      </c>
      <c r="L1170" s="9">
        <v>46290</v>
      </c>
      <c r="M1170" s="5" t="s">
        <v>69</v>
      </c>
      <c r="N1170" s="5" t="s">
        <v>53</v>
      </c>
      <c r="O1170" s="5" t="s">
        <v>95</v>
      </c>
      <c r="P1170" s="5" t="s">
        <v>70</v>
      </c>
      <c r="Q1170" s="5" t="s">
        <v>54</v>
      </c>
      <c r="R1170" s="5" t="s">
        <v>55</v>
      </c>
      <c r="S1170" s="5" t="s">
        <v>214</v>
      </c>
      <c r="T1170" s="5" t="s">
        <v>63</v>
      </c>
      <c r="U1170" s="5" t="s">
        <v>86</v>
      </c>
      <c r="V1170" s="5" t="s">
        <v>215</v>
      </c>
      <c r="W1170" s="5" t="s">
        <v>242</v>
      </c>
      <c r="X1170" s="5" t="s">
        <v>243</v>
      </c>
      <c r="Y1170" s="5" t="s">
        <v>5025</v>
      </c>
      <c r="Z1170" s="9">
        <v>46198</v>
      </c>
      <c r="AA1170" s="8">
        <v>12</v>
      </c>
      <c r="AB1170" s="9">
        <f t="shared" si="55"/>
        <v>46563</v>
      </c>
      <c r="AC1170" s="10">
        <v>22</v>
      </c>
      <c r="AD1170" s="7">
        <f t="shared" si="56"/>
        <v>2343</v>
      </c>
      <c r="AE1170" s="7">
        <f>IF(F1170="Bullet",H1170*AD1170,MIN(MAX(I1170,1),Assumptions!$B$6)*AD1170)</f>
        <v>2343</v>
      </c>
      <c r="AF1170" s="8">
        <f>IF(F1170="Bullet",MAX(0,Assumptions!$B$4-AB1170),MAX(0,Assumptions!$B$4-L1170))</f>
        <v>8</v>
      </c>
      <c r="AG1170" s="9">
        <v>46259</v>
      </c>
      <c r="AH1170" s="8">
        <f>IF(AG1170="","",Assumptions!$B$4-AG1170)</f>
        <v>39</v>
      </c>
      <c r="AI1170" s="5" t="s">
        <v>63</v>
      </c>
      <c r="AJ1170" s="8">
        <v>1</v>
      </c>
      <c r="AK1170" s="8">
        <v>0</v>
      </c>
      <c r="AL1170" s="8">
        <v>682</v>
      </c>
      <c r="AM1170" s="8">
        <v>2</v>
      </c>
      <c r="AN1170" s="5" t="s">
        <v>63</v>
      </c>
      <c r="AO1170" s="10">
        <v>82.1</v>
      </c>
      <c r="AP1170" s="8">
        <v>37</v>
      </c>
      <c r="AQ1170" s="9">
        <v>46279</v>
      </c>
      <c r="AR1170" s="5" t="s">
        <v>51</v>
      </c>
      <c r="AS1170" s="5" t="s">
        <v>64</v>
      </c>
    </row>
    <row r="1171" spans="1:45" x14ac:dyDescent="0.35">
      <c r="A1171" s="5" t="s">
        <v>5026</v>
      </c>
      <c r="B1171" s="5" t="s">
        <v>5027</v>
      </c>
      <c r="C1171" s="6" t="s">
        <v>5028</v>
      </c>
      <c r="D1171" s="7">
        <v>312100</v>
      </c>
      <c r="E1171" s="5" t="s">
        <v>48</v>
      </c>
      <c r="F1171" s="5" t="s">
        <v>68</v>
      </c>
      <c r="G1171" s="8">
        <v>5</v>
      </c>
      <c r="H1171" s="8">
        <f>IF(F1171="Bullet",MIN(G1171,Assumptions!$B$6),"")</f>
        <v>2</v>
      </c>
      <c r="I1171" s="8"/>
      <c r="J1171" s="8" t="str">
        <f>IF(F1171="Monthly interest",MAX(0,Assumptions!$B$5-I1171),"")</f>
        <v/>
      </c>
      <c r="K1171" s="7">
        <f t="shared" si="54"/>
        <v>19505</v>
      </c>
      <c r="L1171" s="9">
        <v>46133</v>
      </c>
      <c r="M1171" s="5" t="s">
        <v>116</v>
      </c>
      <c r="N1171" s="5" t="s">
        <v>117</v>
      </c>
      <c r="O1171" s="5" t="s">
        <v>461</v>
      </c>
      <c r="P1171" s="5" t="s">
        <v>72</v>
      </c>
      <c r="Q1171" s="5" t="s">
        <v>169</v>
      </c>
      <c r="R1171" s="5" t="s">
        <v>170</v>
      </c>
      <c r="S1171" s="5" t="s">
        <v>185</v>
      </c>
      <c r="T1171" s="5" t="s">
        <v>57</v>
      </c>
      <c r="U1171" s="5" t="s">
        <v>104</v>
      </c>
      <c r="V1171" s="5" t="s">
        <v>200</v>
      </c>
      <c r="W1171" s="5" t="s">
        <v>201</v>
      </c>
      <c r="X1171" s="5" t="s">
        <v>4662</v>
      </c>
      <c r="Y1171" s="5" t="s">
        <v>5029</v>
      </c>
      <c r="Z1171" s="9">
        <v>46133</v>
      </c>
      <c r="AA1171" s="8">
        <v>6</v>
      </c>
      <c r="AB1171" s="9">
        <f t="shared" si="55"/>
        <v>46316</v>
      </c>
      <c r="AC1171" s="10">
        <v>15</v>
      </c>
      <c r="AD1171" s="7">
        <f t="shared" si="56"/>
        <v>3901</v>
      </c>
      <c r="AE1171" s="7">
        <f>IF(F1171="Bullet",H1171*AD1171,MIN(MAX(I1171,1),Assumptions!$B$6)*AD1171)</f>
        <v>7802</v>
      </c>
      <c r="AF1171" s="8">
        <f>IF(F1171="Bullet",MAX(0,Assumptions!$B$4-AB1171),MAX(0,Assumptions!$B$4-L1171))</f>
        <v>0</v>
      </c>
      <c r="AG1171" s="9"/>
      <c r="AH1171" s="8" t="str">
        <f>IF(AG1171="","",Assumptions!$B$4-AG1171)</f>
        <v/>
      </c>
      <c r="AI1171" s="5" t="s">
        <v>80</v>
      </c>
      <c r="AJ1171" s="8"/>
      <c r="AK1171" s="8">
        <v>2</v>
      </c>
      <c r="AL1171" s="8">
        <v>727</v>
      </c>
      <c r="AM1171" s="8">
        <v>2</v>
      </c>
      <c r="AN1171" s="5" t="s">
        <v>63</v>
      </c>
      <c r="AO1171" s="10">
        <v>73.400000000000006</v>
      </c>
      <c r="AP1171" s="8">
        <v>50</v>
      </c>
      <c r="AQ1171" s="9">
        <v>46290</v>
      </c>
      <c r="AR1171" s="5" t="s">
        <v>70</v>
      </c>
      <c r="AS1171" s="5" t="s">
        <v>81</v>
      </c>
    </row>
    <row r="1172" spans="1:45" x14ac:dyDescent="0.35">
      <c r="A1172" s="5" t="s">
        <v>5030</v>
      </c>
      <c r="B1172" s="5" t="s">
        <v>5031</v>
      </c>
      <c r="C1172" s="6" t="s">
        <v>5032</v>
      </c>
      <c r="D1172" s="7">
        <v>21300</v>
      </c>
      <c r="E1172" s="5" t="s">
        <v>48</v>
      </c>
      <c r="F1172" s="5" t="s">
        <v>49</v>
      </c>
      <c r="G1172" s="8"/>
      <c r="H1172" s="8" t="str">
        <f>IF(F1172="Bullet",MIN(G1172,Assumptions!$B$6),"")</f>
        <v/>
      </c>
      <c r="I1172" s="8">
        <v>1</v>
      </c>
      <c r="J1172" s="8">
        <f>IF(F1172="Monthly interest",MAX(0,Assumptions!$B$5-I1172),"")</f>
        <v>2</v>
      </c>
      <c r="K1172" s="7">
        <f t="shared" si="54"/>
        <v>320</v>
      </c>
      <c r="L1172" s="9">
        <v>46273</v>
      </c>
      <c r="M1172" s="5" t="s">
        <v>50</v>
      </c>
      <c r="N1172" s="5" t="s">
        <v>53</v>
      </c>
      <c r="O1172" s="5" t="s">
        <v>103</v>
      </c>
      <c r="P1172" s="5" t="s">
        <v>153</v>
      </c>
      <c r="Q1172" s="5" t="s">
        <v>154</v>
      </c>
      <c r="R1172" s="5" t="s">
        <v>155</v>
      </c>
      <c r="S1172" s="5" t="s">
        <v>185</v>
      </c>
      <c r="T1172" s="5" t="s">
        <v>57</v>
      </c>
      <c r="U1172" s="5" t="s">
        <v>86</v>
      </c>
      <c r="V1172" s="5" t="s">
        <v>186</v>
      </c>
      <c r="W1172" s="5" t="s">
        <v>329</v>
      </c>
      <c r="X1172" s="5" t="s">
        <v>330</v>
      </c>
      <c r="Y1172" s="5" t="s">
        <v>5033</v>
      </c>
      <c r="Z1172" s="9">
        <v>46089</v>
      </c>
      <c r="AA1172" s="8">
        <v>18</v>
      </c>
      <c r="AB1172" s="9">
        <f t="shared" si="55"/>
        <v>46638</v>
      </c>
      <c r="AC1172" s="10">
        <v>18</v>
      </c>
      <c r="AD1172" s="7">
        <f t="shared" si="56"/>
        <v>320</v>
      </c>
      <c r="AE1172" s="7">
        <f>IF(F1172="Bullet",H1172*AD1172,MIN(MAX(I1172,1),Assumptions!$B$6)*AD1172)</f>
        <v>320</v>
      </c>
      <c r="AF1172" s="8">
        <f>IF(F1172="Bullet",MAX(0,Assumptions!$B$4-AB1172),MAX(0,Assumptions!$B$4-L1172))</f>
        <v>25</v>
      </c>
      <c r="AG1172" s="9">
        <v>46247</v>
      </c>
      <c r="AH1172" s="8">
        <f>IF(AG1172="","",Assumptions!$B$4-AG1172)</f>
        <v>51</v>
      </c>
      <c r="AI1172" s="5" t="s">
        <v>63</v>
      </c>
      <c r="AJ1172" s="8">
        <v>2</v>
      </c>
      <c r="AK1172" s="8">
        <v>0</v>
      </c>
      <c r="AL1172" s="8">
        <v>751</v>
      </c>
      <c r="AM1172" s="8">
        <v>0</v>
      </c>
      <c r="AN1172" s="5" t="s">
        <v>63</v>
      </c>
      <c r="AO1172" s="10">
        <v>72.3</v>
      </c>
      <c r="AP1172" s="8">
        <v>17</v>
      </c>
      <c r="AQ1172" s="9">
        <v>46284</v>
      </c>
      <c r="AR1172" s="5" t="s">
        <v>51</v>
      </c>
      <c r="AS1172" s="5" t="s">
        <v>81</v>
      </c>
    </row>
    <row r="1173" spans="1:45" x14ac:dyDescent="0.35">
      <c r="A1173" s="5" t="s">
        <v>5034</v>
      </c>
      <c r="B1173" s="5" t="s">
        <v>5035</v>
      </c>
      <c r="C1173" s="6" t="s">
        <v>5036</v>
      </c>
      <c r="D1173" s="7">
        <v>97400</v>
      </c>
      <c r="E1173" s="5" t="s">
        <v>48</v>
      </c>
      <c r="F1173" s="5" t="s">
        <v>49</v>
      </c>
      <c r="G1173" s="8"/>
      <c r="H1173" s="8" t="str">
        <f>IF(F1173="Bullet",MIN(G1173,Assumptions!$B$6),"")</f>
        <v/>
      </c>
      <c r="I1173" s="8">
        <v>1</v>
      </c>
      <c r="J1173" s="8">
        <f>IF(F1173="Monthly interest",MAX(0,Assumptions!$B$5-I1173),"")</f>
        <v>2</v>
      </c>
      <c r="K1173" s="7">
        <f t="shared" si="54"/>
        <v>1461</v>
      </c>
      <c r="L1173" s="9">
        <v>46273</v>
      </c>
      <c r="M1173" s="5" t="s">
        <v>50</v>
      </c>
      <c r="N1173" s="5" t="s">
        <v>51</v>
      </c>
      <c r="O1173" s="5" t="s">
        <v>52</v>
      </c>
      <c r="P1173" s="5" t="s">
        <v>53</v>
      </c>
      <c r="Q1173" s="5" t="s">
        <v>54</v>
      </c>
      <c r="R1173" s="5" t="s">
        <v>55</v>
      </c>
      <c r="S1173" s="5" t="s">
        <v>85</v>
      </c>
      <c r="T1173" s="5" t="s">
        <v>57</v>
      </c>
      <c r="U1173" s="5" t="s">
        <v>58</v>
      </c>
      <c r="V1173" s="5" t="s">
        <v>87</v>
      </c>
      <c r="W1173" s="5" t="s">
        <v>361</v>
      </c>
      <c r="X1173" s="5" t="s">
        <v>5037</v>
      </c>
      <c r="Y1173" s="5" t="s">
        <v>5038</v>
      </c>
      <c r="Z1173" s="9">
        <v>46061</v>
      </c>
      <c r="AA1173" s="8">
        <v>24</v>
      </c>
      <c r="AB1173" s="9">
        <f t="shared" si="55"/>
        <v>46791</v>
      </c>
      <c r="AC1173" s="10">
        <v>18</v>
      </c>
      <c r="AD1173" s="7">
        <f t="shared" si="56"/>
        <v>1461</v>
      </c>
      <c r="AE1173" s="7">
        <f>IF(F1173="Bullet",H1173*AD1173,MIN(MAX(I1173,1),Assumptions!$B$6)*AD1173)</f>
        <v>1461</v>
      </c>
      <c r="AF1173" s="8">
        <f>IF(F1173="Bullet",MAX(0,Assumptions!$B$4-AB1173),MAX(0,Assumptions!$B$4-L1173))</f>
        <v>25</v>
      </c>
      <c r="AG1173" s="9">
        <v>46242</v>
      </c>
      <c r="AH1173" s="8">
        <f>IF(AG1173="","",Assumptions!$B$4-AG1173)</f>
        <v>56</v>
      </c>
      <c r="AI1173" s="5" t="s">
        <v>63</v>
      </c>
      <c r="AJ1173" s="8">
        <v>1</v>
      </c>
      <c r="AK1173" s="8">
        <v>0</v>
      </c>
      <c r="AL1173" s="8">
        <v>752</v>
      </c>
      <c r="AM1173" s="8">
        <v>2</v>
      </c>
      <c r="AN1173" s="5" t="s">
        <v>63</v>
      </c>
      <c r="AO1173" s="10">
        <v>59.8</v>
      </c>
      <c r="AP1173" s="8">
        <v>14</v>
      </c>
      <c r="AQ1173" s="9"/>
      <c r="AR1173" s="5"/>
      <c r="AS1173" s="5" t="s">
        <v>159</v>
      </c>
    </row>
    <row r="1174" spans="1:45" x14ac:dyDescent="0.35">
      <c r="A1174" s="5" t="s">
        <v>5039</v>
      </c>
      <c r="B1174" s="5" t="s">
        <v>5040</v>
      </c>
      <c r="C1174" s="6" t="s">
        <v>5041</v>
      </c>
      <c r="D1174" s="7">
        <v>175400</v>
      </c>
      <c r="E1174" s="5" t="s">
        <v>48</v>
      </c>
      <c r="F1174" s="5" t="s">
        <v>68</v>
      </c>
      <c r="G1174" s="8">
        <v>6</v>
      </c>
      <c r="H1174" s="8">
        <f>IF(F1174="Bullet",MIN(G1174,Assumptions!$B$6),"")</f>
        <v>2</v>
      </c>
      <c r="I1174" s="8"/>
      <c r="J1174" s="8" t="str">
        <f>IF(F1174="Monthly interest",MAX(0,Assumptions!$B$5-I1174),"")</f>
        <v/>
      </c>
      <c r="K1174" s="7">
        <f t="shared" si="54"/>
        <v>10524</v>
      </c>
      <c r="L1174" s="9">
        <v>46113</v>
      </c>
      <c r="M1174" s="5" t="s">
        <v>116</v>
      </c>
      <c r="N1174" s="5" t="s">
        <v>117</v>
      </c>
      <c r="O1174" s="5" t="s">
        <v>461</v>
      </c>
      <c r="P1174" s="5" t="s">
        <v>72</v>
      </c>
      <c r="Q1174" s="5" t="s">
        <v>169</v>
      </c>
      <c r="R1174" s="5" t="s">
        <v>170</v>
      </c>
      <c r="S1174" s="5" t="s">
        <v>214</v>
      </c>
      <c r="T1174" s="5" t="s">
        <v>57</v>
      </c>
      <c r="U1174" s="5" t="s">
        <v>104</v>
      </c>
      <c r="V1174" s="5" t="s">
        <v>215</v>
      </c>
      <c r="W1174" s="5" t="s">
        <v>284</v>
      </c>
      <c r="X1174" s="5" t="s">
        <v>4107</v>
      </c>
      <c r="Y1174" s="5" t="s">
        <v>5042</v>
      </c>
      <c r="Z1174" s="9">
        <v>46113</v>
      </c>
      <c r="AA1174" s="8">
        <v>6</v>
      </c>
      <c r="AB1174" s="9">
        <f t="shared" si="55"/>
        <v>46296</v>
      </c>
      <c r="AC1174" s="10">
        <v>12</v>
      </c>
      <c r="AD1174" s="7">
        <f t="shared" si="56"/>
        <v>1754</v>
      </c>
      <c r="AE1174" s="7">
        <f>IF(F1174="Bullet",H1174*AD1174,MIN(MAX(I1174,1),Assumptions!$B$6)*AD1174)</f>
        <v>3508</v>
      </c>
      <c r="AF1174" s="8">
        <f>IF(F1174="Bullet",MAX(0,Assumptions!$B$4-AB1174),MAX(0,Assumptions!$B$4-L1174))</f>
        <v>2</v>
      </c>
      <c r="AG1174" s="9"/>
      <c r="AH1174" s="8" t="str">
        <f>IF(AG1174="","",Assumptions!$B$4-AG1174)</f>
        <v/>
      </c>
      <c r="AI1174" s="5" t="s">
        <v>80</v>
      </c>
      <c r="AJ1174" s="8"/>
      <c r="AK1174" s="8">
        <v>2</v>
      </c>
      <c r="AL1174" s="8">
        <v>623</v>
      </c>
      <c r="AM1174" s="8">
        <v>3</v>
      </c>
      <c r="AN1174" s="5" t="s">
        <v>57</v>
      </c>
      <c r="AO1174" s="10">
        <v>79.900000000000006</v>
      </c>
      <c r="AP1174" s="8">
        <v>85</v>
      </c>
      <c r="AQ1174" s="9">
        <v>46285</v>
      </c>
      <c r="AR1174" s="5" t="s">
        <v>51</v>
      </c>
      <c r="AS1174" s="5" t="s">
        <v>274</v>
      </c>
    </row>
    <row r="1175" spans="1:45" x14ac:dyDescent="0.35">
      <c r="A1175" s="5" t="s">
        <v>5043</v>
      </c>
      <c r="B1175" s="5" t="s">
        <v>912</v>
      </c>
      <c r="C1175" s="6" t="s">
        <v>5044</v>
      </c>
      <c r="D1175" s="7">
        <v>140100</v>
      </c>
      <c r="E1175" s="5" t="s">
        <v>48</v>
      </c>
      <c r="F1175" s="5" t="s">
        <v>49</v>
      </c>
      <c r="G1175" s="8"/>
      <c r="H1175" s="8" t="str">
        <f>IF(F1175="Bullet",MIN(G1175,Assumptions!$B$6),"")</f>
        <v/>
      </c>
      <c r="I1175" s="8">
        <v>1</v>
      </c>
      <c r="J1175" s="8">
        <f>IF(F1175="Monthly interest",MAX(0,Assumptions!$B$5-I1175),"")</f>
        <v>2</v>
      </c>
      <c r="K1175" s="7">
        <f t="shared" si="54"/>
        <v>2802</v>
      </c>
      <c r="L1175" s="9">
        <v>46287</v>
      </c>
      <c r="M1175" s="5" t="s">
        <v>50</v>
      </c>
      <c r="N1175" s="5" t="s">
        <v>51</v>
      </c>
      <c r="O1175" s="5" t="s">
        <v>52</v>
      </c>
      <c r="P1175" s="5" t="s">
        <v>53</v>
      </c>
      <c r="Q1175" s="5" t="s">
        <v>54</v>
      </c>
      <c r="R1175" s="5" t="s">
        <v>55</v>
      </c>
      <c r="S1175" s="5" t="s">
        <v>75</v>
      </c>
      <c r="T1175" s="5" t="s">
        <v>57</v>
      </c>
      <c r="U1175" s="5" t="s">
        <v>86</v>
      </c>
      <c r="V1175" s="5" t="s">
        <v>76</v>
      </c>
      <c r="W1175" s="5" t="s">
        <v>105</v>
      </c>
      <c r="X1175" s="5" t="s">
        <v>163</v>
      </c>
      <c r="Y1175" s="5" t="s">
        <v>5045</v>
      </c>
      <c r="Z1175" s="9">
        <v>46134</v>
      </c>
      <c r="AA1175" s="8">
        <v>12</v>
      </c>
      <c r="AB1175" s="9">
        <f t="shared" si="55"/>
        <v>46499</v>
      </c>
      <c r="AC1175" s="10">
        <v>24</v>
      </c>
      <c r="AD1175" s="7">
        <f t="shared" si="56"/>
        <v>2802</v>
      </c>
      <c r="AE1175" s="7">
        <f>IF(F1175="Bullet",H1175*AD1175,MIN(MAX(I1175,1),Assumptions!$B$6)*AD1175)</f>
        <v>2802</v>
      </c>
      <c r="AF1175" s="8">
        <f>IF(F1175="Bullet",MAX(0,Assumptions!$B$4-AB1175),MAX(0,Assumptions!$B$4-L1175))</f>
        <v>11</v>
      </c>
      <c r="AG1175" s="9">
        <v>46259</v>
      </c>
      <c r="AH1175" s="8">
        <f>IF(AG1175="","",Assumptions!$B$4-AG1175)</f>
        <v>39</v>
      </c>
      <c r="AI1175" s="5" t="s">
        <v>63</v>
      </c>
      <c r="AJ1175" s="8">
        <v>2</v>
      </c>
      <c r="AK1175" s="8">
        <v>0</v>
      </c>
      <c r="AL1175" s="8">
        <v>804</v>
      </c>
      <c r="AM1175" s="8">
        <v>0</v>
      </c>
      <c r="AN1175" s="5" t="s">
        <v>63</v>
      </c>
      <c r="AO1175" s="10">
        <v>66.900000000000006</v>
      </c>
      <c r="AP1175" s="8">
        <v>7</v>
      </c>
      <c r="AQ1175" s="9">
        <v>46292</v>
      </c>
      <c r="AR1175" s="5" t="s">
        <v>53</v>
      </c>
      <c r="AS1175" s="5" t="s">
        <v>91</v>
      </c>
    </row>
    <row r="1176" spans="1:45" x14ac:dyDescent="0.35">
      <c r="A1176" s="5" t="s">
        <v>5046</v>
      </c>
      <c r="B1176" s="5" t="s">
        <v>5047</v>
      </c>
      <c r="C1176" s="6" t="s">
        <v>5048</v>
      </c>
      <c r="D1176" s="7">
        <v>55100</v>
      </c>
      <c r="E1176" s="5" t="s">
        <v>48</v>
      </c>
      <c r="F1176" s="5" t="s">
        <v>68</v>
      </c>
      <c r="G1176" s="8">
        <v>2</v>
      </c>
      <c r="H1176" s="8">
        <f>IF(F1176="Bullet",MIN(G1176,Assumptions!$B$6),"")</f>
        <v>2</v>
      </c>
      <c r="I1176" s="8"/>
      <c r="J1176" s="8" t="str">
        <f>IF(F1176="Monthly interest",MAX(0,Assumptions!$B$5-I1176),"")</f>
        <v/>
      </c>
      <c r="K1176" s="7">
        <f t="shared" si="54"/>
        <v>1654</v>
      </c>
      <c r="L1176" s="9">
        <v>46216</v>
      </c>
      <c r="M1176" s="5" t="s">
        <v>69</v>
      </c>
      <c r="N1176" s="5" t="s">
        <v>53</v>
      </c>
      <c r="O1176" s="5" t="s">
        <v>71</v>
      </c>
      <c r="P1176" s="5" t="s">
        <v>70</v>
      </c>
      <c r="Q1176" s="5" t="s">
        <v>73</v>
      </c>
      <c r="R1176" s="5" t="s">
        <v>74</v>
      </c>
      <c r="S1176" s="5" t="s">
        <v>85</v>
      </c>
      <c r="T1176" s="5" t="s">
        <v>57</v>
      </c>
      <c r="U1176" s="5" t="s">
        <v>86</v>
      </c>
      <c r="V1176" s="5" t="s">
        <v>553</v>
      </c>
      <c r="W1176" s="5" t="s">
        <v>1029</v>
      </c>
      <c r="X1176" s="5" t="s">
        <v>4959</v>
      </c>
      <c r="Y1176" s="5" t="s">
        <v>5049</v>
      </c>
      <c r="Z1176" s="9">
        <v>46216</v>
      </c>
      <c r="AA1176" s="8">
        <v>6</v>
      </c>
      <c r="AB1176" s="9">
        <f t="shared" si="55"/>
        <v>46400</v>
      </c>
      <c r="AC1176" s="10">
        <v>18</v>
      </c>
      <c r="AD1176" s="7">
        <f t="shared" si="56"/>
        <v>827</v>
      </c>
      <c r="AE1176" s="7">
        <f>IF(F1176="Bullet",H1176*AD1176,MIN(MAX(I1176,1),Assumptions!$B$6)*AD1176)</f>
        <v>1654</v>
      </c>
      <c r="AF1176" s="8">
        <f>IF(F1176="Bullet",MAX(0,Assumptions!$B$4-AB1176),MAX(0,Assumptions!$B$4-L1176))</f>
        <v>0</v>
      </c>
      <c r="AG1176" s="9"/>
      <c r="AH1176" s="8" t="str">
        <f>IF(AG1176="","",Assumptions!$B$4-AG1176)</f>
        <v/>
      </c>
      <c r="AI1176" s="5" t="s">
        <v>80</v>
      </c>
      <c r="AJ1176" s="8"/>
      <c r="AK1176" s="8">
        <v>3</v>
      </c>
      <c r="AL1176" s="8">
        <v>740</v>
      </c>
      <c r="AM1176" s="8">
        <v>1</v>
      </c>
      <c r="AN1176" s="5" t="s">
        <v>63</v>
      </c>
      <c r="AO1176" s="10">
        <v>85.6</v>
      </c>
      <c r="AP1176" s="8">
        <v>38</v>
      </c>
      <c r="AQ1176" s="9"/>
      <c r="AR1176" s="5"/>
      <c r="AS1176" s="5" t="s">
        <v>159</v>
      </c>
    </row>
    <row r="1177" spans="1:45" x14ac:dyDescent="0.35">
      <c r="A1177" s="5" t="s">
        <v>5050</v>
      </c>
      <c r="B1177" s="5" t="s">
        <v>5051</v>
      </c>
      <c r="C1177" s="6" t="s">
        <v>5052</v>
      </c>
      <c r="D1177" s="7">
        <v>147100</v>
      </c>
      <c r="E1177" s="5" t="s">
        <v>48</v>
      </c>
      <c r="F1177" s="5" t="s">
        <v>68</v>
      </c>
      <c r="G1177" s="8">
        <v>2</v>
      </c>
      <c r="H1177" s="8">
        <f>IF(F1177="Bullet",MIN(G1177,Assumptions!$B$6),"")</f>
        <v>2</v>
      </c>
      <c r="I1177" s="8"/>
      <c r="J1177" s="8" t="str">
        <f>IF(F1177="Monthly interest",MAX(0,Assumptions!$B$5-I1177),"")</f>
        <v/>
      </c>
      <c r="K1177" s="7">
        <f t="shared" si="54"/>
        <v>3432</v>
      </c>
      <c r="L1177" s="9">
        <v>46226</v>
      </c>
      <c r="M1177" s="5" t="s">
        <v>50</v>
      </c>
      <c r="N1177" s="5" t="s">
        <v>51</v>
      </c>
      <c r="O1177" s="5" t="s">
        <v>71</v>
      </c>
      <c r="P1177" s="5" t="s">
        <v>53</v>
      </c>
      <c r="Q1177" s="5" t="s">
        <v>73</v>
      </c>
      <c r="R1177" s="5" t="s">
        <v>74</v>
      </c>
      <c r="S1177" s="5" t="s">
        <v>214</v>
      </c>
      <c r="T1177" s="5" t="s">
        <v>57</v>
      </c>
      <c r="U1177" s="5" t="s">
        <v>104</v>
      </c>
      <c r="V1177" s="5" t="s">
        <v>215</v>
      </c>
      <c r="W1177" s="5" t="s">
        <v>1057</v>
      </c>
      <c r="X1177" s="5" t="s">
        <v>2427</v>
      </c>
      <c r="Y1177" s="5" t="s">
        <v>5053</v>
      </c>
      <c r="Z1177" s="9">
        <v>46226</v>
      </c>
      <c r="AA1177" s="8">
        <v>3</v>
      </c>
      <c r="AB1177" s="9">
        <f t="shared" si="55"/>
        <v>46318</v>
      </c>
      <c r="AC1177" s="10">
        <v>14</v>
      </c>
      <c r="AD1177" s="7">
        <f t="shared" si="56"/>
        <v>1716</v>
      </c>
      <c r="AE1177" s="7">
        <f>IF(F1177="Bullet",H1177*AD1177,MIN(MAX(I1177,1),Assumptions!$B$6)*AD1177)</f>
        <v>3432</v>
      </c>
      <c r="AF1177" s="8">
        <f>IF(F1177="Bullet",MAX(0,Assumptions!$B$4-AB1177),MAX(0,Assumptions!$B$4-L1177))</f>
        <v>0</v>
      </c>
      <c r="AG1177" s="9"/>
      <c r="AH1177" s="8" t="str">
        <f>IF(AG1177="","",Assumptions!$B$4-AG1177)</f>
        <v/>
      </c>
      <c r="AI1177" s="5" t="s">
        <v>80</v>
      </c>
      <c r="AJ1177" s="8"/>
      <c r="AK1177" s="8">
        <v>1</v>
      </c>
      <c r="AL1177" s="8">
        <v>751</v>
      </c>
      <c r="AM1177" s="8">
        <v>2</v>
      </c>
      <c r="AN1177" s="5" t="s">
        <v>63</v>
      </c>
      <c r="AO1177" s="10">
        <v>76</v>
      </c>
      <c r="AP1177" s="8">
        <v>26</v>
      </c>
      <c r="AQ1177" s="9">
        <v>46282</v>
      </c>
      <c r="AR1177" s="5" t="s">
        <v>72</v>
      </c>
      <c r="AS1177" s="5" t="s">
        <v>81</v>
      </c>
    </row>
    <row r="1178" spans="1:45" x14ac:dyDescent="0.35">
      <c r="A1178" s="5" t="s">
        <v>5054</v>
      </c>
      <c r="B1178" s="5" t="s">
        <v>3016</v>
      </c>
      <c r="C1178" s="6" t="s">
        <v>5055</v>
      </c>
      <c r="D1178" s="7">
        <v>134000</v>
      </c>
      <c r="E1178" s="5" t="s">
        <v>48</v>
      </c>
      <c r="F1178" s="5" t="s">
        <v>49</v>
      </c>
      <c r="G1178" s="8"/>
      <c r="H1178" s="8" t="str">
        <f>IF(F1178="Bullet",MIN(G1178,Assumptions!$B$6),"")</f>
        <v/>
      </c>
      <c r="I1178" s="8">
        <v>1</v>
      </c>
      <c r="J1178" s="8">
        <f>IF(F1178="Monthly interest",MAX(0,Assumptions!$B$5-I1178),"")</f>
        <v>2</v>
      </c>
      <c r="K1178" s="7">
        <f t="shared" si="54"/>
        <v>2680</v>
      </c>
      <c r="L1178" s="9">
        <v>46281</v>
      </c>
      <c r="M1178" s="5" t="s">
        <v>50</v>
      </c>
      <c r="N1178" s="5" t="s">
        <v>51</v>
      </c>
      <c r="O1178" s="5" t="s">
        <v>52</v>
      </c>
      <c r="P1178" s="5" t="s">
        <v>53</v>
      </c>
      <c r="Q1178" s="5" t="s">
        <v>54</v>
      </c>
      <c r="R1178" s="5" t="s">
        <v>55</v>
      </c>
      <c r="S1178" s="5" t="s">
        <v>75</v>
      </c>
      <c r="T1178" s="5" t="s">
        <v>57</v>
      </c>
      <c r="U1178" s="5" t="s">
        <v>86</v>
      </c>
      <c r="V1178" s="5" t="s">
        <v>76</v>
      </c>
      <c r="W1178" s="5" t="s">
        <v>382</v>
      </c>
      <c r="X1178" s="5" t="s">
        <v>1381</v>
      </c>
      <c r="Y1178" s="5" t="s">
        <v>5056</v>
      </c>
      <c r="Z1178" s="9">
        <v>46158</v>
      </c>
      <c r="AA1178" s="8">
        <v>12</v>
      </c>
      <c r="AB1178" s="9">
        <f t="shared" si="55"/>
        <v>46523</v>
      </c>
      <c r="AC1178" s="10">
        <v>24</v>
      </c>
      <c r="AD1178" s="7">
        <f t="shared" si="56"/>
        <v>2680</v>
      </c>
      <c r="AE1178" s="7">
        <f>IF(F1178="Bullet",H1178*AD1178,MIN(MAX(I1178,1),Assumptions!$B$6)*AD1178)</f>
        <v>2680</v>
      </c>
      <c r="AF1178" s="8">
        <f>IF(F1178="Bullet",MAX(0,Assumptions!$B$4-AB1178),MAX(0,Assumptions!$B$4-L1178))</f>
        <v>17</v>
      </c>
      <c r="AG1178" s="9">
        <v>46250</v>
      </c>
      <c r="AH1178" s="8">
        <f>IF(AG1178="","",Assumptions!$B$4-AG1178)</f>
        <v>48</v>
      </c>
      <c r="AI1178" s="5" t="s">
        <v>57</v>
      </c>
      <c r="AJ1178" s="8">
        <v>2</v>
      </c>
      <c r="AK1178" s="8">
        <v>0</v>
      </c>
      <c r="AL1178" s="8">
        <v>646</v>
      </c>
      <c r="AM1178" s="8">
        <v>0</v>
      </c>
      <c r="AN1178" s="5" t="s">
        <v>63</v>
      </c>
      <c r="AO1178" s="10">
        <v>66.599999999999994</v>
      </c>
      <c r="AP1178" s="8">
        <v>28</v>
      </c>
      <c r="AQ1178" s="9">
        <v>46275</v>
      </c>
      <c r="AR1178" s="5" t="s">
        <v>70</v>
      </c>
      <c r="AS1178" s="5" t="s">
        <v>91</v>
      </c>
    </row>
    <row r="1179" spans="1:45" x14ac:dyDescent="0.35">
      <c r="A1179" s="5" t="s">
        <v>5057</v>
      </c>
      <c r="B1179" s="5" t="s">
        <v>416</v>
      </c>
      <c r="C1179" s="6" t="s">
        <v>5058</v>
      </c>
      <c r="D1179" s="7">
        <v>237600</v>
      </c>
      <c r="E1179" s="5" t="s">
        <v>48</v>
      </c>
      <c r="F1179" s="5" t="s">
        <v>49</v>
      </c>
      <c r="G1179" s="8"/>
      <c r="H1179" s="8" t="str">
        <f>IF(F1179="Bullet",MIN(G1179,Assumptions!$B$6),"")</f>
        <v/>
      </c>
      <c r="I1179" s="8">
        <v>1</v>
      </c>
      <c r="J1179" s="8">
        <f>IF(F1179="Monthly interest",MAX(0,Assumptions!$B$5-I1179),"")</f>
        <v>2</v>
      </c>
      <c r="K1179" s="7">
        <f t="shared" si="54"/>
        <v>4356</v>
      </c>
      <c r="L1179" s="9">
        <v>46285</v>
      </c>
      <c r="M1179" s="5" t="s">
        <v>69</v>
      </c>
      <c r="N1179" s="5" t="s">
        <v>51</v>
      </c>
      <c r="O1179" s="5" t="s">
        <v>52</v>
      </c>
      <c r="P1179" s="5" t="s">
        <v>53</v>
      </c>
      <c r="Q1179" s="5" t="s">
        <v>54</v>
      </c>
      <c r="R1179" s="5" t="s">
        <v>55</v>
      </c>
      <c r="S1179" s="5" t="s">
        <v>56</v>
      </c>
      <c r="T1179" s="5" t="s">
        <v>57</v>
      </c>
      <c r="U1179" s="5" t="s">
        <v>104</v>
      </c>
      <c r="V1179" s="5" t="s">
        <v>59</v>
      </c>
      <c r="W1179" s="5" t="s">
        <v>323</v>
      </c>
      <c r="X1179" s="5" t="s">
        <v>611</v>
      </c>
      <c r="Y1179" s="5" t="s">
        <v>5059</v>
      </c>
      <c r="Z1179" s="9">
        <v>46073</v>
      </c>
      <c r="AA1179" s="8">
        <v>12</v>
      </c>
      <c r="AB1179" s="9">
        <f t="shared" si="55"/>
        <v>46438</v>
      </c>
      <c r="AC1179" s="10">
        <v>22</v>
      </c>
      <c r="AD1179" s="7">
        <f t="shared" si="56"/>
        <v>4356</v>
      </c>
      <c r="AE1179" s="7">
        <f>IF(F1179="Bullet",H1179*AD1179,MIN(MAX(I1179,1),Assumptions!$B$6)*AD1179)</f>
        <v>4356</v>
      </c>
      <c r="AF1179" s="8">
        <f>IF(F1179="Bullet",MAX(0,Assumptions!$B$4-AB1179),MAX(0,Assumptions!$B$4-L1179))</f>
        <v>13</v>
      </c>
      <c r="AG1179" s="9">
        <v>46257</v>
      </c>
      <c r="AH1179" s="8">
        <f>IF(AG1179="","",Assumptions!$B$4-AG1179)</f>
        <v>41</v>
      </c>
      <c r="AI1179" s="5" t="s">
        <v>63</v>
      </c>
      <c r="AJ1179" s="8">
        <v>1</v>
      </c>
      <c r="AK1179" s="8">
        <v>0</v>
      </c>
      <c r="AL1179" s="8">
        <v>705</v>
      </c>
      <c r="AM1179" s="8">
        <v>1</v>
      </c>
      <c r="AN1179" s="5" t="s">
        <v>63</v>
      </c>
      <c r="AO1179" s="10">
        <v>81.900000000000006</v>
      </c>
      <c r="AP1179" s="8">
        <v>37</v>
      </c>
      <c r="AQ1179" s="9">
        <v>46297</v>
      </c>
      <c r="AR1179" s="5" t="s">
        <v>51</v>
      </c>
      <c r="AS1179" s="5" t="s">
        <v>181</v>
      </c>
    </row>
    <row r="1180" spans="1:45" x14ac:dyDescent="0.35">
      <c r="A1180" s="5" t="s">
        <v>5060</v>
      </c>
      <c r="B1180" s="5" t="s">
        <v>2128</v>
      </c>
      <c r="C1180" s="6" t="s">
        <v>5061</v>
      </c>
      <c r="D1180" s="7">
        <v>260300</v>
      </c>
      <c r="E1180" s="5" t="s">
        <v>48</v>
      </c>
      <c r="F1180" s="5" t="s">
        <v>49</v>
      </c>
      <c r="G1180" s="8"/>
      <c r="H1180" s="8" t="str">
        <f>IF(F1180="Bullet",MIN(G1180,Assumptions!$B$6),"")</f>
        <v/>
      </c>
      <c r="I1180" s="8">
        <v>1</v>
      </c>
      <c r="J1180" s="8">
        <f>IF(F1180="Monthly interest",MAX(0,Assumptions!$B$5-I1180),"")</f>
        <v>2</v>
      </c>
      <c r="K1180" s="7">
        <f t="shared" si="54"/>
        <v>3905</v>
      </c>
      <c r="L1180" s="9">
        <v>46287</v>
      </c>
      <c r="M1180" s="5" t="s">
        <v>50</v>
      </c>
      <c r="N1180" s="5" t="s">
        <v>53</v>
      </c>
      <c r="O1180" s="5" t="s">
        <v>95</v>
      </c>
      <c r="P1180" s="5" t="s">
        <v>70</v>
      </c>
      <c r="Q1180" s="5" t="s">
        <v>54</v>
      </c>
      <c r="R1180" s="5" t="s">
        <v>55</v>
      </c>
      <c r="S1180" s="5" t="s">
        <v>75</v>
      </c>
      <c r="T1180" s="5" t="s">
        <v>63</v>
      </c>
      <c r="U1180" s="5" t="s">
        <v>86</v>
      </c>
      <c r="V1180" s="5" t="s">
        <v>76</v>
      </c>
      <c r="W1180" s="5" t="s">
        <v>105</v>
      </c>
      <c r="X1180" s="5" t="s">
        <v>914</v>
      </c>
      <c r="Y1180" s="5" t="s">
        <v>5062</v>
      </c>
      <c r="Z1180" s="9">
        <v>46013</v>
      </c>
      <c r="AA1180" s="8">
        <v>24</v>
      </c>
      <c r="AB1180" s="9">
        <f t="shared" si="55"/>
        <v>46743</v>
      </c>
      <c r="AC1180" s="10">
        <v>18</v>
      </c>
      <c r="AD1180" s="7">
        <f t="shared" si="56"/>
        <v>3905</v>
      </c>
      <c r="AE1180" s="7">
        <f>IF(F1180="Bullet",H1180*AD1180,MIN(MAX(I1180,1),Assumptions!$B$6)*AD1180)</f>
        <v>3905</v>
      </c>
      <c r="AF1180" s="8">
        <f>IF(F1180="Bullet",MAX(0,Assumptions!$B$4-AB1180),MAX(0,Assumptions!$B$4-L1180))</f>
        <v>11</v>
      </c>
      <c r="AG1180" s="9">
        <v>46258</v>
      </c>
      <c r="AH1180" s="8">
        <f>IF(AG1180="","",Assumptions!$B$4-AG1180)</f>
        <v>40</v>
      </c>
      <c r="AI1180" s="5" t="s">
        <v>57</v>
      </c>
      <c r="AJ1180" s="8">
        <v>1</v>
      </c>
      <c r="AK1180" s="8">
        <v>0</v>
      </c>
      <c r="AL1180" s="8">
        <v>668</v>
      </c>
      <c r="AM1180" s="8">
        <v>3</v>
      </c>
      <c r="AN1180" s="5" t="s">
        <v>63</v>
      </c>
      <c r="AO1180" s="10">
        <v>65.099999999999994</v>
      </c>
      <c r="AP1180" s="8">
        <v>27</v>
      </c>
      <c r="AQ1180" s="9">
        <v>46279</v>
      </c>
      <c r="AR1180" s="5" t="s">
        <v>53</v>
      </c>
      <c r="AS1180" s="5" t="s">
        <v>81</v>
      </c>
    </row>
    <row r="1181" spans="1:45" x14ac:dyDescent="0.35">
      <c r="A1181" s="5" t="s">
        <v>5063</v>
      </c>
      <c r="B1181" s="5" t="s">
        <v>5064</v>
      </c>
      <c r="C1181" s="6" t="s">
        <v>5065</v>
      </c>
      <c r="D1181" s="7">
        <v>162700</v>
      </c>
      <c r="E1181" s="5" t="s">
        <v>48</v>
      </c>
      <c r="F1181" s="5" t="s">
        <v>68</v>
      </c>
      <c r="G1181" s="8">
        <v>1</v>
      </c>
      <c r="H1181" s="8">
        <f>IF(F1181="Bullet",MIN(G1181,Assumptions!$B$6),"")</f>
        <v>1</v>
      </c>
      <c r="I1181" s="8"/>
      <c r="J1181" s="8" t="str">
        <f>IF(F1181="Monthly interest",MAX(0,Assumptions!$B$5-I1181),"")</f>
        <v/>
      </c>
      <c r="K1181" s="7">
        <f t="shared" si="54"/>
        <v>2441</v>
      </c>
      <c r="L1181" s="9">
        <v>46255</v>
      </c>
      <c r="M1181" s="5" t="s">
        <v>50</v>
      </c>
      <c r="N1181" s="5" t="s">
        <v>51</v>
      </c>
      <c r="O1181" s="5" t="s">
        <v>71</v>
      </c>
      <c r="P1181" s="5" t="s">
        <v>53</v>
      </c>
      <c r="Q1181" s="5" t="s">
        <v>73</v>
      </c>
      <c r="R1181" s="5" t="s">
        <v>74</v>
      </c>
      <c r="S1181" s="5" t="s">
        <v>75</v>
      </c>
      <c r="T1181" s="5" t="s">
        <v>57</v>
      </c>
      <c r="U1181" s="5" t="s">
        <v>104</v>
      </c>
      <c r="V1181" s="5" t="s">
        <v>76</v>
      </c>
      <c r="W1181" s="5" t="s">
        <v>77</v>
      </c>
      <c r="X1181" s="5" t="s">
        <v>1879</v>
      </c>
      <c r="Y1181" s="5" t="s">
        <v>5066</v>
      </c>
      <c r="Z1181" s="9">
        <v>46255</v>
      </c>
      <c r="AA1181" s="8">
        <v>12</v>
      </c>
      <c r="AB1181" s="9">
        <f t="shared" si="55"/>
        <v>46620</v>
      </c>
      <c r="AC1181" s="10">
        <v>18</v>
      </c>
      <c r="AD1181" s="7">
        <f t="shared" si="56"/>
        <v>2441</v>
      </c>
      <c r="AE1181" s="7">
        <f>IF(F1181="Bullet",H1181*AD1181,MIN(MAX(I1181,1),Assumptions!$B$6)*AD1181)</f>
        <v>2441</v>
      </c>
      <c r="AF1181" s="8">
        <f>IF(F1181="Bullet",MAX(0,Assumptions!$B$4-AB1181),MAX(0,Assumptions!$B$4-L1181))</f>
        <v>0</v>
      </c>
      <c r="AG1181" s="9"/>
      <c r="AH1181" s="8" t="str">
        <f>IF(AG1181="","",Assumptions!$B$4-AG1181)</f>
        <v/>
      </c>
      <c r="AI1181" s="5" t="s">
        <v>80</v>
      </c>
      <c r="AJ1181" s="8"/>
      <c r="AK1181" s="8">
        <v>0</v>
      </c>
      <c r="AL1181" s="8">
        <v>800</v>
      </c>
      <c r="AM1181" s="8">
        <v>3</v>
      </c>
      <c r="AN1181" s="5" t="s">
        <v>63</v>
      </c>
      <c r="AO1181" s="10">
        <v>72.2</v>
      </c>
      <c r="AP1181" s="8">
        <v>1</v>
      </c>
      <c r="AQ1181" s="9"/>
      <c r="AR1181" s="5"/>
      <c r="AS1181" s="5" t="s">
        <v>159</v>
      </c>
    </row>
    <row r="1182" spans="1:45" x14ac:dyDescent="0.35">
      <c r="A1182" s="5" t="s">
        <v>5067</v>
      </c>
      <c r="B1182" s="5" t="s">
        <v>5068</v>
      </c>
      <c r="C1182" s="6" t="s">
        <v>5069</v>
      </c>
      <c r="D1182" s="7">
        <v>55400</v>
      </c>
      <c r="E1182" s="5" t="s">
        <v>48</v>
      </c>
      <c r="F1182" s="5" t="s">
        <v>49</v>
      </c>
      <c r="G1182" s="8"/>
      <c r="H1182" s="8" t="str">
        <f>IF(F1182="Bullet",MIN(G1182,Assumptions!$B$6),"")</f>
        <v/>
      </c>
      <c r="I1182" s="8">
        <v>2</v>
      </c>
      <c r="J1182" s="8">
        <f>IF(F1182="Monthly interest",MAX(0,Assumptions!$B$5-I1182),"")</f>
        <v>1</v>
      </c>
      <c r="K1182" s="7">
        <f t="shared" si="54"/>
        <v>1846</v>
      </c>
      <c r="L1182" s="9">
        <v>46255</v>
      </c>
      <c r="M1182" s="5" t="s">
        <v>69</v>
      </c>
      <c r="N1182" s="5" t="s">
        <v>53</v>
      </c>
      <c r="O1182" s="5" t="s">
        <v>71</v>
      </c>
      <c r="P1182" s="5" t="s">
        <v>70</v>
      </c>
      <c r="Q1182" s="5" t="s">
        <v>73</v>
      </c>
      <c r="R1182" s="5" t="s">
        <v>74</v>
      </c>
      <c r="S1182" s="5" t="s">
        <v>85</v>
      </c>
      <c r="T1182" s="5" t="s">
        <v>57</v>
      </c>
      <c r="U1182" s="5" t="s">
        <v>86</v>
      </c>
      <c r="V1182" s="5" t="s">
        <v>96</v>
      </c>
      <c r="W1182" s="5" t="s">
        <v>97</v>
      </c>
      <c r="X1182" s="5" t="s">
        <v>4166</v>
      </c>
      <c r="Y1182" s="5" t="s">
        <v>5070</v>
      </c>
      <c r="Z1182" s="9">
        <v>46133</v>
      </c>
      <c r="AA1182" s="8">
        <v>12</v>
      </c>
      <c r="AB1182" s="9">
        <f t="shared" si="55"/>
        <v>46498</v>
      </c>
      <c r="AC1182" s="10">
        <v>20</v>
      </c>
      <c r="AD1182" s="7">
        <f t="shared" si="56"/>
        <v>923</v>
      </c>
      <c r="AE1182" s="7">
        <f>IF(F1182="Bullet",H1182*AD1182,MIN(MAX(I1182,1),Assumptions!$B$6)*AD1182)</f>
        <v>1846</v>
      </c>
      <c r="AF1182" s="8">
        <f>IF(F1182="Bullet",MAX(0,Assumptions!$B$4-AB1182),MAX(0,Assumptions!$B$4-L1182))</f>
        <v>43</v>
      </c>
      <c r="AG1182" s="9">
        <v>46224</v>
      </c>
      <c r="AH1182" s="8">
        <f>IF(AG1182="","",Assumptions!$B$4-AG1182)</f>
        <v>74</v>
      </c>
      <c r="AI1182" s="5" t="s">
        <v>63</v>
      </c>
      <c r="AJ1182" s="8">
        <v>3</v>
      </c>
      <c r="AK1182" s="8">
        <v>0</v>
      </c>
      <c r="AL1182" s="8">
        <v>767</v>
      </c>
      <c r="AM1182" s="8">
        <v>1</v>
      </c>
      <c r="AN1182" s="5" t="s">
        <v>63</v>
      </c>
      <c r="AO1182" s="10">
        <v>67</v>
      </c>
      <c r="AP1182" s="8">
        <v>34</v>
      </c>
      <c r="AQ1182" s="9">
        <v>46292</v>
      </c>
      <c r="AR1182" s="5" t="s">
        <v>70</v>
      </c>
      <c r="AS1182" s="5" t="s">
        <v>81</v>
      </c>
    </row>
    <row r="1183" spans="1:45" x14ac:dyDescent="0.35">
      <c r="A1183" s="5" t="s">
        <v>5071</v>
      </c>
      <c r="B1183" s="5" t="s">
        <v>3083</v>
      </c>
      <c r="C1183" s="6" t="s">
        <v>5072</v>
      </c>
      <c r="D1183" s="7">
        <v>73200</v>
      </c>
      <c r="E1183" s="5" t="s">
        <v>48</v>
      </c>
      <c r="F1183" s="5" t="s">
        <v>49</v>
      </c>
      <c r="G1183" s="8"/>
      <c r="H1183" s="8" t="str">
        <f>IF(F1183="Bullet",MIN(G1183,Assumptions!$B$6),"")</f>
        <v/>
      </c>
      <c r="I1183" s="8">
        <v>1</v>
      </c>
      <c r="J1183" s="8">
        <f>IF(F1183="Monthly interest",MAX(0,Assumptions!$B$5-I1183),"")</f>
        <v>2</v>
      </c>
      <c r="K1183" s="7">
        <f t="shared" si="54"/>
        <v>1098</v>
      </c>
      <c r="L1183" s="9">
        <v>46274</v>
      </c>
      <c r="M1183" s="5" t="s">
        <v>50</v>
      </c>
      <c r="N1183" s="5" t="s">
        <v>51</v>
      </c>
      <c r="O1183" s="5" t="s">
        <v>52</v>
      </c>
      <c r="P1183" s="5" t="s">
        <v>53</v>
      </c>
      <c r="Q1183" s="5" t="s">
        <v>54</v>
      </c>
      <c r="R1183" s="5" t="s">
        <v>55</v>
      </c>
      <c r="S1183" s="5" t="s">
        <v>75</v>
      </c>
      <c r="T1183" s="5" t="s">
        <v>57</v>
      </c>
      <c r="U1183" s="5" t="s">
        <v>86</v>
      </c>
      <c r="V1183" s="5" t="s">
        <v>76</v>
      </c>
      <c r="W1183" s="5" t="s">
        <v>146</v>
      </c>
      <c r="X1183" s="5" t="s">
        <v>2121</v>
      </c>
      <c r="Y1183" s="5" t="s">
        <v>5073</v>
      </c>
      <c r="Z1183" s="9">
        <v>46151</v>
      </c>
      <c r="AA1183" s="8">
        <v>24</v>
      </c>
      <c r="AB1183" s="9">
        <f t="shared" si="55"/>
        <v>46882</v>
      </c>
      <c r="AC1183" s="10">
        <v>18</v>
      </c>
      <c r="AD1183" s="7">
        <f t="shared" si="56"/>
        <v>1098</v>
      </c>
      <c r="AE1183" s="7">
        <f>IF(F1183="Bullet",H1183*AD1183,MIN(MAX(I1183,1),Assumptions!$B$6)*AD1183)</f>
        <v>1098</v>
      </c>
      <c r="AF1183" s="8">
        <f>IF(F1183="Bullet",MAX(0,Assumptions!$B$4-AB1183),MAX(0,Assumptions!$B$4-L1183))</f>
        <v>24</v>
      </c>
      <c r="AG1183" s="9">
        <v>46243</v>
      </c>
      <c r="AH1183" s="8">
        <f>IF(AG1183="","",Assumptions!$B$4-AG1183)</f>
        <v>55</v>
      </c>
      <c r="AI1183" s="5" t="s">
        <v>63</v>
      </c>
      <c r="AJ1183" s="8">
        <v>1</v>
      </c>
      <c r="AK1183" s="8">
        <v>1</v>
      </c>
      <c r="AL1183" s="8">
        <v>688</v>
      </c>
      <c r="AM1183" s="8">
        <v>0</v>
      </c>
      <c r="AN1183" s="5" t="s">
        <v>63</v>
      </c>
      <c r="AO1183" s="10">
        <v>75</v>
      </c>
      <c r="AP1183" s="8">
        <v>24</v>
      </c>
      <c r="AQ1183" s="9">
        <v>46296</v>
      </c>
      <c r="AR1183" s="5" t="s">
        <v>51</v>
      </c>
      <c r="AS1183" s="5" t="s">
        <v>181</v>
      </c>
    </row>
    <row r="1184" spans="1:45" x14ac:dyDescent="0.35">
      <c r="A1184" s="5" t="s">
        <v>5074</v>
      </c>
      <c r="B1184" s="5" t="s">
        <v>5075</v>
      </c>
      <c r="C1184" s="6" t="s">
        <v>5076</v>
      </c>
      <c r="D1184" s="7">
        <v>91100</v>
      </c>
      <c r="E1184" s="5" t="s">
        <v>48</v>
      </c>
      <c r="F1184" s="5" t="s">
        <v>68</v>
      </c>
      <c r="G1184" s="8">
        <v>6</v>
      </c>
      <c r="H1184" s="8">
        <f>IF(F1184="Bullet",MIN(G1184,Assumptions!$B$6),"")</f>
        <v>2</v>
      </c>
      <c r="I1184" s="8"/>
      <c r="J1184" s="8" t="str">
        <f>IF(F1184="Monthly interest",MAX(0,Assumptions!$B$5-I1184),"")</f>
        <v/>
      </c>
      <c r="K1184" s="7">
        <f t="shared" si="54"/>
        <v>6834</v>
      </c>
      <c r="L1184" s="9">
        <v>46102</v>
      </c>
      <c r="M1184" s="5" t="s">
        <v>69</v>
      </c>
      <c r="N1184" s="5" t="s">
        <v>53</v>
      </c>
      <c r="O1184" s="5" t="s">
        <v>168</v>
      </c>
      <c r="P1184" s="5" t="s">
        <v>70</v>
      </c>
      <c r="Q1184" s="5" t="s">
        <v>169</v>
      </c>
      <c r="R1184" s="5" t="s">
        <v>170</v>
      </c>
      <c r="S1184" s="5" t="s">
        <v>185</v>
      </c>
      <c r="T1184" s="5" t="s">
        <v>63</v>
      </c>
      <c r="U1184" s="5" t="s">
        <v>86</v>
      </c>
      <c r="V1184" s="5" t="s">
        <v>186</v>
      </c>
      <c r="W1184" s="5" t="s">
        <v>694</v>
      </c>
      <c r="X1184" s="5" t="s">
        <v>1632</v>
      </c>
      <c r="Y1184" s="5" t="s">
        <v>5077</v>
      </c>
      <c r="Z1184" s="9">
        <v>46102</v>
      </c>
      <c r="AA1184" s="8">
        <v>6</v>
      </c>
      <c r="AB1184" s="9">
        <f t="shared" si="55"/>
        <v>46286</v>
      </c>
      <c r="AC1184" s="10">
        <v>15</v>
      </c>
      <c r="AD1184" s="7">
        <f t="shared" si="56"/>
        <v>1139</v>
      </c>
      <c r="AE1184" s="7">
        <f>IF(F1184="Bullet",H1184*AD1184,MIN(MAX(I1184,1),Assumptions!$B$6)*AD1184)</f>
        <v>2278</v>
      </c>
      <c r="AF1184" s="8">
        <f>IF(F1184="Bullet",MAX(0,Assumptions!$B$4-AB1184),MAX(0,Assumptions!$B$4-L1184))</f>
        <v>12</v>
      </c>
      <c r="AG1184" s="9"/>
      <c r="AH1184" s="8" t="str">
        <f>IF(AG1184="","",Assumptions!$B$4-AG1184)</f>
        <v/>
      </c>
      <c r="AI1184" s="5" t="s">
        <v>80</v>
      </c>
      <c r="AJ1184" s="8"/>
      <c r="AK1184" s="8">
        <v>0</v>
      </c>
      <c r="AL1184" s="8">
        <v>721</v>
      </c>
      <c r="AM1184" s="8">
        <v>3</v>
      </c>
      <c r="AN1184" s="5" t="s">
        <v>63</v>
      </c>
      <c r="AO1184" s="10">
        <v>69.2</v>
      </c>
      <c r="AP1184" s="8">
        <v>43</v>
      </c>
      <c r="AQ1184" s="9">
        <v>46292</v>
      </c>
      <c r="AR1184" s="5" t="s">
        <v>70</v>
      </c>
      <c r="AS1184" s="5" t="s">
        <v>91</v>
      </c>
    </row>
    <row r="1185" spans="1:45" x14ac:dyDescent="0.35">
      <c r="A1185" s="5" t="s">
        <v>5078</v>
      </c>
      <c r="B1185" s="5" t="s">
        <v>5079</v>
      </c>
      <c r="C1185" s="6" t="s">
        <v>5080</v>
      </c>
      <c r="D1185" s="7">
        <v>54000</v>
      </c>
      <c r="E1185" s="5" t="s">
        <v>48</v>
      </c>
      <c r="F1185" s="5" t="s">
        <v>68</v>
      </c>
      <c r="G1185" s="8">
        <v>5</v>
      </c>
      <c r="H1185" s="8">
        <f>IF(F1185="Bullet",MIN(G1185,Assumptions!$B$6),"")</f>
        <v>2</v>
      </c>
      <c r="I1185" s="8"/>
      <c r="J1185" s="8" t="str">
        <f>IF(F1185="Monthly interest",MAX(0,Assumptions!$B$5-I1185),"")</f>
        <v/>
      </c>
      <c r="K1185" s="7">
        <f t="shared" si="54"/>
        <v>4050</v>
      </c>
      <c r="L1185" s="9">
        <v>46129</v>
      </c>
      <c r="M1185" s="5" t="s">
        <v>116</v>
      </c>
      <c r="N1185" s="5" t="s">
        <v>117</v>
      </c>
      <c r="O1185" s="5" t="s">
        <v>461</v>
      </c>
      <c r="P1185" s="5" t="s">
        <v>72</v>
      </c>
      <c r="Q1185" s="5" t="s">
        <v>169</v>
      </c>
      <c r="R1185" s="5" t="s">
        <v>170</v>
      </c>
      <c r="S1185" s="5" t="s">
        <v>253</v>
      </c>
      <c r="T1185" s="5" t="s">
        <v>57</v>
      </c>
      <c r="U1185" s="5" t="s">
        <v>58</v>
      </c>
      <c r="V1185" s="5" t="s">
        <v>76</v>
      </c>
      <c r="W1185" s="5" t="s">
        <v>306</v>
      </c>
      <c r="X1185" s="5" t="s">
        <v>1983</v>
      </c>
      <c r="Y1185" s="5" t="s">
        <v>5081</v>
      </c>
      <c r="Z1185" s="9">
        <v>46129</v>
      </c>
      <c r="AA1185" s="8">
        <v>6</v>
      </c>
      <c r="AB1185" s="9">
        <f t="shared" si="55"/>
        <v>46312</v>
      </c>
      <c r="AC1185" s="10">
        <v>18</v>
      </c>
      <c r="AD1185" s="7">
        <f t="shared" si="56"/>
        <v>810</v>
      </c>
      <c r="AE1185" s="7">
        <f>IF(F1185="Bullet",H1185*AD1185,MIN(MAX(I1185,1),Assumptions!$B$6)*AD1185)</f>
        <v>1620</v>
      </c>
      <c r="AF1185" s="8">
        <f>IF(F1185="Bullet",MAX(0,Assumptions!$B$4-AB1185),MAX(0,Assumptions!$B$4-L1185))</f>
        <v>0</v>
      </c>
      <c r="AG1185" s="9"/>
      <c r="AH1185" s="8" t="str">
        <f>IF(AG1185="","",Assumptions!$B$4-AG1185)</f>
        <v/>
      </c>
      <c r="AI1185" s="5" t="s">
        <v>80</v>
      </c>
      <c r="AJ1185" s="8"/>
      <c r="AK1185" s="8">
        <v>2</v>
      </c>
      <c r="AL1185" s="8" t="s">
        <v>80</v>
      </c>
      <c r="AM1185" s="8">
        <v>3</v>
      </c>
      <c r="AN1185" s="5" t="s">
        <v>63</v>
      </c>
      <c r="AO1185" s="10">
        <v>77</v>
      </c>
      <c r="AP1185" s="8">
        <v>51</v>
      </c>
      <c r="AQ1185" s="9">
        <v>46295</v>
      </c>
      <c r="AR1185" s="5" t="s">
        <v>53</v>
      </c>
      <c r="AS1185" s="5" t="s">
        <v>81</v>
      </c>
    </row>
    <row r="1186" spans="1:45" x14ac:dyDescent="0.35">
      <c r="A1186" s="5" t="s">
        <v>5082</v>
      </c>
      <c r="B1186" s="5" t="s">
        <v>5083</v>
      </c>
      <c r="C1186" s="6" t="s">
        <v>5084</v>
      </c>
      <c r="D1186" s="7">
        <v>420300</v>
      </c>
      <c r="E1186" s="5" t="s">
        <v>48</v>
      </c>
      <c r="F1186" s="5" t="s">
        <v>49</v>
      </c>
      <c r="G1186" s="8"/>
      <c r="H1186" s="8" t="str">
        <f>IF(F1186="Bullet",MIN(G1186,Assumptions!$B$6),"")</f>
        <v/>
      </c>
      <c r="I1186" s="8">
        <v>1</v>
      </c>
      <c r="J1186" s="8">
        <f>IF(F1186="Monthly interest",MAX(0,Assumptions!$B$5-I1186),"")</f>
        <v>2</v>
      </c>
      <c r="K1186" s="7">
        <f t="shared" si="54"/>
        <v>6305</v>
      </c>
      <c r="L1186" s="9">
        <v>46271</v>
      </c>
      <c r="M1186" s="5" t="s">
        <v>50</v>
      </c>
      <c r="N1186" s="5" t="s">
        <v>53</v>
      </c>
      <c r="O1186" s="5" t="s">
        <v>95</v>
      </c>
      <c r="P1186" s="5" t="s">
        <v>70</v>
      </c>
      <c r="Q1186" s="5" t="s">
        <v>54</v>
      </c>
      <c r="R1186" s="5" t="s">
        <v>55</v>
      </c>
      <c r="S1186" s="5" t="s">
        <v>56</v>
      </c>
      <c r="T1186" s="5" t="s">
        <v>63</v>
      </c>
      <c r="U1186" s="5" t="s">
        <v>58</v>
      </c>
      <c r="V1186" s="5" t="s">
        <v>59</v>
      </c>
      <c r="W1186" s="5" t="s">
        <v>194</v>
      </c>
      <c r="X1186" s="5" t="s">
        <v>195</v>
      </c>
      <c r="Y1186" s="5" t="s">
        <v>5085</v>
      </c>
      <c r="Z1186" s="9">
        <v>46179</v>
      </c>
      <c r="AA1186" s="8">
        <v>12</v>
      </c>
      <c r="AB1186" s="9">
        <f t="shared" si="55"/>
        <v>46544</v>
      </c>
      <c r="AC1186" s="10">
        <v>18</v>
      </c>
      <c r="AD1186" s="7">
        <f t="shared" si="56"/>
        <v>6305</v>
      </c>
      <c r="AE1186" s="7">
        <f>IF(F1186="Bullet",H1186*AD1186,MIN(MAX(I1186,1),Assumptions!$B$6)*AD1186)</f>
        <v>6305</v>
      </c>
      <c r="AF1186" s="8">
        <f>IF(F1186="Bullet",MAX(0,Assumptions!$B$4-AB1186),MAX(0,Assumptions!$B$4-L1186))</f>
        <v>27</v>
      </c>
      <c r="AG1186" s="9">
        <v>46240</v>
      </c>
      <c r="AH1186" s="8">
        <f>IF(AG1186="","",Assumptions!$B$4-AG1186)</f>
        <v>58</v>
      </c>
      <c r="AI1186" s="5" t="s">
        <v>63</v>
      </c>
      <c r="AJ1186" s="8">
        <v>2</v>
      </c>
      <c r="AK1186" s="8">
        <v>1</v>
      </c>
      <c r="AL1186" s="8">
        <v>755</v>
      </c>
      <c r="AM1186" s="8">
        <v>2</v>
      </c>
      <c r="AN1186" s="5" t="s">
        <v>63</v>
      </c>
      <c r="AO1186" s="10">
        <v>72.099999999999994</v>
      </c>
      <c r="AP1186" s="8">
        <v>29</v>
      </c>
      <c r="AQ1186" s="9"/>
      <c r="AR1186" s="5"/>
      <c r="AS1186" s="5" t="s">
        <v>159</v>
      </c>
    </row>
    <row r="1187" spans="1:45" x14ac:dyDescent="0.35">
      <c r="A1187" s="5" t="s">
        <v>5086</v>
      </c>
      <c r="B1187" s="5" t="s">
        <v>5087</v>
      </c>
      <c r="C1187" s="6" t="s">
        <v>5088</v>
      </c>
      <c r="D1187" s="7">
        <v>275900</v>
      </c>
      <c r="E1187" s="5" t="s">
        <v>48</v>
      </c>
      <c r="F1187" s="5" t="s">
        <v>68</v>
      </c>
      <c r="G1187" s="8">
        <v>3</v>
      </c>
      <c r="H1187" s="8">
        <f>IF(F1187="Bullet",MIN(G1187,Assumptions!$B$6),"")</f>
        <v>2</v>
      </c>
      <c r="I1187" s="8"/>
      <c r="J1187" s="8" t="str">
        <f>IF(F1187="Monthly interest",MAX(0,Assumptions!$B$5-I1187),"")</f>
        <v/>
      </c>
      <c r="K1187" s="7">
        <f t="shared" si="54"/>
        <v>9657</v>
      </c>
      <c r="L1187" s="9">
        <v>46190</v>
      </c>
      <c r="M1187" s="5" t="s">
        <v>69</v>
      </c>
      <c r="N1187" s="5" t="s">
        <v>70</v>
      </c>
      <c r="O1187" s="5" t="s">
        <v>71</v>
      </c>
      <c r="P1187" s="5" t="s">
        <v>72</v>
      </c>
      <c r="Q1187" s="5" t="s">
        <v>73</v>
      </c>
      <c r="R1187" s="5" t="s">
        <v>74</v>
      </c>
      <c r="S1187" s="5" t="s">
        <v>56</v>
      </c>
      <c r="T1187" s="5" t="s">
        <v>57</v>
      </c>
      <c r="U1187" s="5" t="s">
        <v>104</v>
      </c>
      <c r="V1187" s="5" t="s">
        <v>59</v>
      </c>
      <c r="W1187" s="5" t="s">
        <v>194</v>
      </c>
      <c r="X1187" s="5" t="s">
        <v>956</v>
      </c>
      <c r="Y1187" s="5" t="s">
        <v>5089</v>
      </c>
      <c r="Z1187" s="9">
        <v>46190</v>
      </c>
      <c r="AA1187" s="8">
        <v>6</v>
      </c>
      <c r="AB1187" s="9">
        <f t="shared" si="55"/>
        <v>46373</v>
      </c>
      <c r="AC1187" s="10">
        <v>14</v>
      </c>
      <c r="AD1187" s="7">
        <f t="shared" si="56"/>
        <v>3219</v>
      </c>
      <c r="AE1187" s="7">
        <f>IF(F1187="Bullet",H1187*AD1187,MIN(MAX(I1187,1),Assumptions!$B$6)*AD1187)</f>
        <v>6438</v>
      </c>
      <c r="AF1187" s="8">
        <f>IF(F1187="Bullet",MAX(0,Assumptions!$B$4-AB1187),MAX(0,Assumptions!$B$4-L1187))</f>
        <v>0</v>
      </c>
      <c r="AG1187" s="9"/>
      <c r="AH1187" s="8" t="str">
        <f>IF(AG1187="","",Assumptions!$B$4-AG1187)</f>
        <v/>
      </c>
      <c r="AI1187" s="5" t="s">
        <v>80</v>
      </c>
      <c r="AJ1187" s="8"/>
      <c r="AK1187" s="8">
        <v>1</v>
      </c>
      <c r="AL1187" s="8">
        <v>638</v>
      </c>
      <c r="AM1187" s="8">
        <v>1</v>
      </c>
      <c r="AN1187" s="5" t="s">
        <v>57</v>
      </c>
      <c r="AO1187" s="10">
        <v>51.3</v>
      </c>
      <c r="AP1187" s="8">
        <v>44</v>
      </c>
      <c r="AQ1187" s="9"/>
      <c r="AR1187" s="5"/>
      <c r="AS1187" s="5" t="s">
        <v>159</v>
      </c>
    </row>
    <row r="1188" spans="1:45" x14ac:dyDescent="0.35">
      <c r="A1188" s="5" t="s">
        <v>5090</v>
      </c>
      <c r="B1188" s="5" t="s">
        <v>5091</v>
      </c>
      <c r="C1188" s="6" t="s">
        <v>5092</v>
      </c>
      <c r="D1188" s="7">
        <v>183500</v>
      </c>
      <c r="E1188" s="5" t="s">
        <v>48</v>
      </c>
      <c r="F1188" s="5" t="s">
        <v>49</v>
      </c>
      <c r="G1188" s="8"/>
      <c r="H1188" s="8" t="str">
        <f>IF(F1188="Bullet",MIN(G1188,Assumptions!$B$6),"")</f>
        <v/>
      </c>
      <c r="I1188" s="8">
        <v>1</v>
      </c>
      <c r="J1188" s="8">
        <f>IF(F1188="Monthly interest",MAX(0,Assumptions!$B$5-I1188),"")</f>
        <v>2</v>
      </c>
      <c r="K1188" s="7">
        <f t="shared" si="54"/>
        <v>2294</v>
      </c>
      <c r="L1188" s="9">
        <v>46283</v>
      </c>
      <c r="M1188" s="5" t="s">
        <v>69</v>
      </c>
      <c r="N1188" s="5" t="s">
        <v>51</v>
      </c>
      <c r="O1188" s="5" t="s">
        <v>52</v>
      </c>
      <c r="P1188" s="5" t="s">
        <v>53</v>
      </c>
      <c r="Q1188" s="5" t="s">
        <v>54</v>
      </c>
      <c r="R1188" s="5" t="s">
        <v>55</v>
      </c>
      <c r="S1188" s="5" t="s">
        <v>85</v>
      </c>
      <c r="T1188" s="5" t="s">
        <v>57</v>
      </c>
      <c r="U1188" s="5" t="s">
        <v>104</v>
      </c>
      <c r="V1188" s="5" t="s">
        <v>96</v>
      </c>
      <c r="W1188" s="5" t="s">
        <v>97</v>
      </c>
      <c r="X1188" s="5" t="s">
        <v>4166</v>
      </c>
      <c r="Y1188" s="5" t="s">
        <v>5093</v>
      </c>
      <c r="Z1188" s="9">
        <v>46071</v>
      </c>
      <c r="AA1188" s="8">
        <v>12</v>
      </c>
      <c r="AB1188" s="9">
        <f t="shared" si="55"/>
        <v>46436</v>
      </c>
      <c r="AC1188" s="10">
        <v>15</v>
      </c>
      <c r="AD1188" s="7">
        <f t="shared" si="56"/>
        <v>2294</v>
      </c>
      <c r="AE1188" s="7">
        <f>IF(F1188="Bullet",H1188*AD1188,MIN(MAX(I1188,1),Assumptions!$B$6)*AD1188)</f>
        <v>2294</v>
      </c>
      <c r="AF1188" s="8">
        <f>IF(F1188="Bullet",MAX(0,Assumptions!$B$4-AB1188),MAX(0,Assumptions!$B$4-L1188))</f>
        <v>15</v>
      </c>
      <c r="AG1188" s="9">
        <v>46255</v>
      </c>
      <c r="AH1188" s="8">
        <f>IF(AG1188="","",Assumptions!$B$4-AG1188)</f>
        <v>43</v>
      </c>
      <c r="AI1188" s="5" t="s">
        <v>63</v>
      </c>
      <c r="AJ1188" s="8">
        <v>1</v>
      </c>
      <c r="AK1188" s="8">
        <v>1</v>
      </c>
      <c r="AL1188" s="8">
        <v>646</v>
      </c>
      <c r="AM1188" s="8">
        <v>0</v>
      </c>
      <c r="AN1188" s="5" t="s">
        <v>63</v>
      </c>
      <c r="AO1188" s="10">
        <v>53.2</v>
      </c>
      <c r="AP1188" s="8">
        <v>32</v>
      </c>
      <c r="AQ1188" s="9">
        <v>46285</v>
      </c>
      <c r="AR1188" s="5" t="s">
        <v>53</v>
      </c>
      <c r="AS1188" s="5" t="s">
        <v>81</v>
      </c>
    </row>
    <row r="1189" spans="1:45" x14ac:dyDescent="0.35">
      <c r="A1189" s="5" t="s">
        <v>5094</v>
      </c>
      <c r="B1189" s="5" t="s">
        <v>5095</v>
      </c>
      <c r="C1189" s="6" t="s">
        <v>5096</v>
      </c>
      <c r="D1189" s="7">
        <v>74800</v>
      </c>
      <c r="E1189" s="5" t="s">
        <v>48</v>
      </c>
      <c r="F1189" s="5" t="s">
        <v>68</v>
      </c>
      <c r="G1189" s="8">
        <v>2</v>
      </c>
      <c r="H1189" s="8">
        <f>IF(F1189="Bullet",MIN(G1189,Assumptions!$B$6),"")</f>
        <v>2</v>
      </c>
      <c r="I1189" s="8"/>
      <c r="J1189" s="8" t="str">
        <f>IF(F1189="Monthly interest",MAX(0,Assumptions!$B$5-I1189),"")</f>
        <v/>
      </c>
      <c r="K1189" s="7">
        <f t="shared" si="54"/>
        <v>1746</v>
      </c>
      <c r="L1189" s="9">
        <v>46233</v>
      </c>
      <c r="M1189" s="5" t="s">
        <v>50</v>
      </c>
      <c r="N1189" s="5" t="s">
        <v>53</v>
      </c>
      <c r="O1189" s="5" t="s">
        <v>95</v>
      </c>
      <c r="P1189" s="5" t="s">
        <v>70</v>
      </c>
      <c r="Q1189" s="5" t="s">
        <v>73</v>
      </c>
      <c r="R1189" s="5" t="s">
        <v>74</v>
      </c>
      <c r="S1189" s="5" t="s">
        <v>56</v>
      </c>
      <c r="T1189" s="5" t="s">
        <v>63</v>
      </c>
      <c r="U1189" s="5" t="s">
        <v>104</v>
      </c>
      <c r="V1189" s="5" t="s">
        <v>59</v>
      </c>
      <c r="W1189" s="5" t="s">
        <v>60</v>
      </c>
      <c r="X1189" s="5" t="s">
        <v>933</v>
      </c>
      <c r="Y1189" s="5" t="s">
        <v>5097</v>
      </c>
      <c r="Z1189" s="9">
        <v>46233</v>
      </c>
      <c r="AA1189" s="8">
        <v>6</v>
      </c>
      <c r="AB1189" s="9">
        <f t="shared" si="55"/>
        <v>46417</v>
      </c>
      <c r="AC1189" s="10">
        <v>14</v>
      </c>
      <c r="AD1189" s="7">
        <f t="shared" si="56"/>
        <v>873</v>
      </c>
      <c r="AE1189" s="7">
        <f>IF(F1189="Bullet",H1189*AD1189,MIN(MAX(I1189,1),Assumptions!$B$6)*AD1189)</f>
        <v>1746</v>
      </c>
      <c r="AF1189" s="8">
        <f>IF(F1189="Bullet",MAX(0,Assumptions!$B$4-AB1189),MAX(0,Assumptions!$B$4-L1189))</f>
        <v>0</v>
      </c>
      <c r="AG1189" s="9"/>
      <c r="AH1189" s="8" t="str">
        <f>IF(AG1189="","",Assumptions!$B$4-AG1189)</f>
        <v/>
      </c>
      <c r="AI1189" s="5" t="s">
        <v>80</v>
      </c>
      <c r="AJ1189" s="8"/>
      <c r="AK1189" s="8">
        <v>0</v>
      </c>
      <c r="AL1189" s="8">
        <v>671</v>
      </c>
      <c r="AM1189" s="8">
        <v>1</v>
      </c>
      <c r="AN1189" s="5" t="s">
        <v>63</v>
      </c>
      <c r="AO1189" s="10">
        <v>69</v>
      </c>
      <c r="AP1189" s="8">
        <v>20</v>
      </c>
      <c r="AQ1189" s="9">
        <v>46286</v>
      </c>
      <c r="AR1189" s="5" t="s">
        <v>70</v>
      </c>
      <c r="AS1189" s="5" t="s">
        <v>81</v>
      </c>
    </row>
    <row r="1190" spans="1:45" x14ac:dyDescent="0.35">
      <c r="A1190" s="5" t="s">
        <v>5098</v>
      </c>
      <c r="B1190" s="5" t="s">
        <v>5099</v>
      </c>
      <c r="C1190" s="6" t="s">
        <v>5100</v>
      </c>
      <c r="D1190" s="7">
        <v>105400</v>
      </c>
      <c r="E1190" s="5" t="s">
        <v>48</v>
      </c>
      <c r="F1190" s="5" t="s">
        <v>49</v>
      </c>
      <c r="G1190" s="8"/>
      <c r="H1190" s="8" t="str">
        <f>IF(F1190="Bullet",MIN(G1190,Assumptions!$B$6),"")</f>
        <v/>
      </c>
      <c r="I1190" s="8">
        <v>1</v>
      </c>
      <c r="J1190" s="8">
        <f>IF(F1190="Monthly interest",MAX(0,Assumptions!$B$5-I1190),"")</f>
        <v>2</v>
      </c>
      <c r="K1190" s="7">
        <f t="shared" si="54"/>
        <v>1318</v>
      </c>
      <c r="L1190" s="9">
        <v>46276</v>
      </c>
      <c r="M1190" s="5" t="s">
        <v>69</v>
      </c>
      <c r="N1190" s="5" t="s">
        <v>53</v>
      </c>
      <c r="O1190" s="5" t="s">
        <v>95</v>
      </c>
      <c r="P1190" s="5" t="s">
        <v>70</v>
      </c>
      <c r="Q1190" s="5" t="s">
        <v>54</v>
      </c>
      <c r="R1190" s="5" t="s">
        <v>55</v>
      </c>
      <c r="S1190" s="5" t="s">
        <v>185</v>
      </c>
      <c r="T1190" s="5" t="s">
        <v>63</v>
      </c>
      <c r="U1190" s="5" t="s">
        <v>58</v>
      </c>
      <c r="V1190" s="5" t="s">
        <v>200</v>
      </c>
      <c r="W1190" s="5" t="s">
        <v>201</v>
      </c>
      <c r="X1190" s="5" t="s">
        <v>428</v>
      </c>
      <c r="Y1190" s="5" t="s">
        <v>5101</v>
      </c>
      <c r="Z1190" s="9">
        <v>46092</v>
      </c>
      <c r="AA1190" s="8">
        <v>12</v>
      </c>
      <c r="AB1190" s="9">
        <f t="shared" si="55"/>
        <v>46457</v>
      </c>
      <c r="AC1190" s="10">
        <v>15</v>
      </c>
      <c r="AD1190" s="7">
        <f t="shared" si="56"/>
        <v>1318</v>
      </c>
      <c r="AE1190" s="7">
        <f>IF(F1190="Bullet",H1190*AD1190,MIN(MAX(I1190,1),Assumptions!$B$6)*AD1190)</f>
        <v>1318</v>
      </c>
      <c r="AF1190" s="8">
        <f>IF(F1190="Bullet",MAX(0,Assumptions!$B$4-AB1190),MAX(0,Assumptions!$B$4-L1190))</f>
        <v>22</v>
      </c>
      <c r="AG1190" s="9">
        <v>46249</v>
      </c>
      <c r="AH1190" s="8">
        <f>IF(AG1190="","",Assumptions!$B$4-AG1190)</f>
        <v>49</v>
      </c>
      <c r="AI1190" s="5" t="s">
        <v>63</v>
      </c>
      <c r="AJ1190" s="8">
        <v>1</v>
      </c>
      <c r="AK1190" s="8">
        <v>1</v>
      </c>
      <c r="AL1190" s="8" t="s">
        <v>80</v>
      </c>
      <c r="AM1190" s="8">
        <v>2</v>
      </c>
      <c r="AN1190" s="5" t="s">
        <v>63</v>
      </c>
      <c r="AO1190" s="10">
        <v>68.099999999999994</v>
      </c>
      <c r="AP1190" s="8">
        <v>35</v>
      </c>
      <c r="AQ1190" s="9"/>
      <c r="AR1190" s="5"/>
      <c r="AS1190" s="5" t="s">
        <v>159</v>
      </c>
    </row>
    <row r="1191" spans="1:45" x14ac:dyDescent="0.35">
      <c r="A1191" s="5" t="s">
        <v>5102</v>
      </c>
      <c r="B1191" s="5" t="s">
        <v>4094</v>
      </c>
      <c r="C1191" s="6" t="s">
        <v>5103</v>
      </c>
      <c r="D1191" s="7">
        <v>372300</v>
      </c>
      <c r="E1191" s="5" t="s">
        <v>48</v>
      </c>
      <c r="F1191" s="5" t="s">
        <v>49</v>
      </c>
      <c r="G1191" s="8"/>
      <c r="H1191" s="8" t="str">
        <f>IF(F1191="Bullet",MIN(G1191,Assumptions!$B$6),"")</f>
        <v/>
      </c>
      <c r="I1191" s="8">
        <v>1</v>
      </c>
      <c r="J1191" s="8">
        <f>IF(F1191="Monthly interest",MAX(0,Assumptions!$B$5-I1191),"")</f>
        <v>2</v>
      </c>
      <c r="K1191" s="7">
        <f t="shared" si="54"/>
        <v>6205</v>
      </c>
      <c r="L1191" s="9">
        <v>46275</v>
      </c>
      <c r="M1191" s="5" t="s">
        <v>69</v>
      </c>
      <c r="N1191" s="5" t="s">
        <v>51</v>
      </c>
      <c r="O1191" s="5" t="s">
        <v>52</v>
      </c>
      <c r="P1191" s="5" t="s">
        <v>53</v>
      </c>
      <c r="Q1191" s="5" t="s">
        <v>54</v>
      </c>
      <c r="R1191" s="5" t="s">
        <v>55</v>
      </c>
      <c r="S1191" s="5" t="s">
        <v>214</v>
      </c>
      <c r="T1191" s="5" t="s">
        <v>57</v>
      </c>
      <c r="U1191" s="5" t="s">
        <v>86</v>
      </c>
      <c r="V1191" s="5" t="s">
        <v>215</v>
      </c>
      <c r="W1191" s="5" t="s">
        <v>600</v>
      </c>
      <c r="X1191" s="5" t="s">
        <v>1166</v>
      </c>
      <c r="Y1191" s="5" t="s">
        <v>5104</v>
      </c>
      <c r="Z1191" s="9">
        <v>46183</v>
      </c>
      <c r="AA1191" s="8">
        <v>12</v>
      </c>
      <c r="AB1191" s="9">
        <f t="shared" si="55"/>
        <v>46548</v>
      </c>
      <c r="AC1191" s="10">
        <v>20</v>
      </c>
      <c r="AD1191" s="7">
        <f t="shared" si="56"/>
        <v>6205</v>
      </c>
      <c r="AE1191" s="7">
        <f>IF(F1191="Bullet",H1191*AD1191,MIN(MAX(I1191,1),Assumptions!$B$6)*AD1191)</f>
        <v>6205</v>
      </c>
      <c r="AF1191" s="8">
        <f>IF(F1191="Bullet",MAX(0,Assumptions!$B$4-AB1191),MAX(0,Assumptions!$B$4-L1191))</f>
        <v>23</v>
      </c>
      <c r="AG1191" s="9">
        <v>46247</v>
      </c>
      <c r="AH1191" s="8">
        <f>IF(AG1191="","",Assumptions!$B$4-AG1191)</f>
        <v>51</v>
      </c>
      <c r="AI1191" s="5" t="s">
        <v>63</v>
      </c>
      <c r="AJ1191" s="8">
        <v>1</v>
      </c>
      <c r="AK1191" s="8">
        <v>1</v>
      </c>
      <c r="AL1191" s="8">
        <v>750</v>
      </c>
      <c r="AM1191" s="8">
        <v>1</v>
      </c>
      <c r="AN1191" s="5" t="s">
        <v>57</v>
      </c>
      <c r="AO1191" s="10">
        <v>65.8</v>
      </c>
      <c r="AP1191" s="8">
        <v>40</v>
      </c>
      <c r="AQ1191" s="9">
        <v>46291</v>
      </c>
      <c r="AR1191" s="5" t="s">
        <v>51</v>
      </c>
      <c r="AS1191" s="5" t="s">
        <v>274</v>
      </c>
    </row>
    <row r="1192" spans="1:45" x14ac:dyDescent="0.35">
      <c r="A1192" s="5" t="s">
        <v>5105</v>
      </c>
      <c r="B1192" s="5" t="s">
        <v>5106</v>
      </c>
      <c r="C1192" s="6" t="s">
        <v>5107</v>
      </c>
      <c r="D1192" s="7">
        <v>256900</v>
      </c>
      <c r="E1192" s="5" t="s">
        <v>48</v>
      </c>
      <c r="F1192" s="5" t="s">
        <v>68</v>
      </c>
      <c r="G1192" s="8">
        <v>6</v>
      </c>
      <c r="H1192" s="8">
        <f>IF(F1192="Bullet",MIN(G1192,Assumptions!$B$6),"")</f>
        <v>2</v>
      </c>
      <c r="I1192" s="8"/>
      <c r="J1192" s="8" t="str">
        <f>IF(F1192="Monthly interest",MAX(0,Assumptions!$B$5-I1192),"")</f>
        <v/>
      </c>
      <c r="K1192" s="7">
        <f t="shared" si="54"/>
        <v>15414</v>
      </c>
      <c r="L1192" s="9">
        <v>46099</v>
      </c>
      <c r="M1192" s="5" t="s">
        <v>116</v>
      </c>
      <c r="N1192" s="5" t="s">
        <v>117</v>
      </c>
      <c r="O1192" s="5" t="s">
        <v>461</v>
      </c>
      <c r="P1192" s="5" t="s">
        <v>72</v>
      </c>
      <c r="Q1192" s="5" t="s">
        <v>169</v>
      </c>
      <c r="R1192" s="5" t="s">
        <v>170</v>
      </c>
      <c r="S1192" s="5" t="s">
        <v>214</v>
      </c>
      <c r="T1192" s="5" t="s">
        <v>57</v>
      </c>
      <c r="U1192" s="5" t="s">
        <v>86</v>
      </c>
      <c r="V1192" s="5" t="s">
        <v>215</v>
      </c>
      <c r="W1192" s="5" t="s">
        <v>278</v>
      </c>
      <c r="X1192" s="5" t="s">
        <v>1284</v>
      </c>
      <c r="Y1192" s="5" t="s">
        <v>5108</v>
      </c>
      <c r="Z1192" s="9">
        <v>46099</v>
      </c>
      <c r="AA1192" s="8">
        <v>6</v>
      </c>
      <c r="AB1192" s="9">
        <f t="shared" si="55"/>
        <v>46283</v>
      </c>
      <c r="AC1192" s="10">
        <v>12</v>
      </c>
      <c r="AD1192" s="7">
        <f t="shared" si="56"/>
        <v>2569</v>
      </c>
      <c r="AE1192" s="7">
        <f>IF(F1192="Bullet",H1192*AD1192,MIN(MAX(I1192,1),Assumptions!$B$6)*AD1192)</f>
        <v>5138</v>
      </c>
      <c r="AF1192" s="8">
        <f>IF(F1192="Bullet",MAX(0,Assumptions!$B$4-AB1192),MAX(0,Assumptions!$B$4-L1192))</f>
        <v>15</v>
      </c>
      <c r="AG1192" s="9"/>
      <c r="AH1192" s="8" t="str">
        <f>IF(AG1192="","",Assumptions!$B$4-AG1192)</f>
        <v/>
      </c>
      <c r="AI1192" s="5" t="s">
        <v>80</v>
      </c>
      <c r="AJ1192" s="8"/>
      <c r="AK1192" s="8">
        <v>3</v>
      </c>
      <c r="AL1192" s="8">
        <v>669</v>
      </c>
      <c r="AM1192" s="8">
        <v>0</v>
      </c>
      <c r="AN1192" s="5" t="s">
        <v>63</v>
      </c>
      <c r="AO1192" s="10">
        <v>69</v>
      </c>
      <c r="AP1192" s="8">
        <v>67</v>
      </c>
      <c r="AQ1192" s="9">
        <v>46292</v>
      </c>
      <c r="AR1192" s="5" t="s">
        <v>70</v>
      </c>
      <c r="AS1192" s="5" t="s">
        <v>274</v>
      </c>
    </row>
    <row r="1193" spans="1:45" x14ac:dyDescent="0.35">
      <c r="A1193" s="5" t="s">
        <v>5109</v>
      </c>
      <c r="B1193" s="5" t="s">
        <v>5110</v>
      </c>
      <c r="C1193" s="6" t="s">
        <v>5111</v>
      </c>
      <c r="D1193" s="7">
        <v>170600</v>
      </c>
      <c r="E1193" s="5" t="s">
        <v>48</v>
      </c>
      <c r="F1193" s="5" t="s">
        <v>49</v>
      </c>
      <c r="G1193" s="8"/>
      <c r="H1193" s="8" t="str">
        <f>IF(F1193="Bullet",MIN(G1193,Assumptions!$B$6),"")</f>
        <v/>
      </c>
      <c r="I1193" s="8">
        <v>2</v>
      </c>
      <c r="J1193" s="8">
        <f>IF(F1193="Monthly interest",MAX(0,Assumptions!$B$5-I1193),"")</f>
        <v>1</v>
      </c>
      <c r="K1193" s="7">
        <f t="shared" si="54"/>
        <v>4550</v>
      </c>
      <c r="L1193" s="9">
        <v>46240</v>
      </c>
      <c r="M1193" s="5" t="s">
        <v>69</v>
      </c>
      <c r="N1193" s="5" t="s">
        <v>70</v>
      </c>
      <c r="O1193" s="5" t="s">
        <v>531</v>
      </c>
      <c r="P1193" s="5" t="s">
        <v>72</v>
      </c>
      <c r="Q1193" s="5" t="s">
        <v>73</v>
      </c>
      <c r="R1193" s="5" t="s">
        <v>74</v>
      </c>
      <c r="S1193" s="5" t="s">
        <v>85</v>
      </c>
      <c r="T1193" s="5" t="s">
        <v>57</v>
      </c>
      <c r="U1193" s="5" t="s">
        <v>58</v>
      </c>
      <c r="V1193" s="5" t="s">
        <v>96</v>
      </c>
      <c r="W1193" s="5" t="s">
        <v>265</v>
      </c>
      <c r="X1193" s="5" t="s">
        <v>266</v>
      </c>
      <c r="Y1193" s="5" t="s">
        <v>5112</v>
      </c>
      <c r="Z1193" s="9">
        <v>46059</v>
      </c>
      <c r="AA1193" s="8">
        <v>24</v>
      </c>
      <c r="AB1193" s="9">
        <f t="shared" si="55"/>
        <v>46789</v>
      </c>
      <c r="AC1193" s="10">
        <v>16</v>
      </c>
      <c r="AD1193" s="7">
        <f t="shared" si="56"/>
        <v>2275</v>
      </c>
      <c r="AE1193" s="7">
        <f>IF(F1193="Bullet",H1193*AD1193,MIN(MAX(I1193,1),Assumptions!$B$6)*AD1193)</f>
        <v>4550</v>
      </c>
      <c r="AF1193" s="8">
        <f>IF(F1193="Bullet",MAX(0,Assumptions!$B$4-AB1193),MAX(0,Assumptions!$B$4-L1193))</f>
        <v>58</v>
      </c>
      <c r="AG1193" s="9">
        <v>46214</v>
      </c>
      <c r="AH1193" s="8">
        <f>IF(AG1193="","",Assumptions!$B$4-AG1193)</f>
        <v>84</v>
      </c>
      <c r="AI1193" s="5" t="s">
        <v>63</v>
      </c>
      <c r="AJ1193" s="8">
        <v>2</v>
      </c>
      <c r="AK1193" s="8">
        <v>0</v>
      </c>
      <c r="AL1193" s="8">
        <v>757</v>
      </c>
      <c r="AM1193" s="8">
        <v>1</v>
      </c>
      <c r="AN1193" s="5" t="s">
        <v>63</v>
      </c>
      <c r="AO1193" s="10">
        <v>76</v>
      </c>
      <c r="AP1193" s="8">
        <v>37</v>
      </c>
      <c r="AQ1193" s="9">
        <v>46288</v>
      </c>
      <c r="AR1193" s="5" t="s">
        <v>53</v>
      </c>
      <c r="AS1193" s="5" t="s">
        <v>81</v>
      </c>
    </row>
    <row r="1194" spans="1:45" x14ac:dyDescent="0.35">
      <c r="A1194" s="5" t="s">
        <v>5113</v>
      </c>
      <c r="B1194" s="5" t="s">
        <v>5114</v>
      </c>
      <c r="C1194" s="6" t="s">
        <v>5115</v>
      </c>
      <c r="D1194" s="7">
        <v>248900</v>
      </c>
      <c r="E1194" s="5" t="s">
        <v>48</v>
      </c>
      <c r="F1194" s="5" t="s">
        <v>49</v>
      </c>
      <c r="G1194" s="8"/>
      <c r="H1194" s="8" t="str">
        <f>IF(F1194="Bullet",MIN(G1194,Assumptions!$B$6),"")</f>
        <v/>
      </c>
      <c r="I1194" s="8">
        <v>1</v>
      </c>
      <c r="J1194" s="8">
        <f>IF(F1194="Monthly interest",MAX(0,Assumptions!$B$5-I1194),"")</f>
        <v>2</v>
      </c>
      <c r="K1194" s="7">
        <f t="shared" si="54"/>
        <v>2904</v>
      </c>
      <c r="L1194" s="9">
        <v>46278</v>
      </c>
      <c r="M1194" s="5" t="s">
        <v>69</v>
      </c>
      <c r="N1194" s="5" t="s">
        <v>53</v>
      </c>
      <c r="O1194" s="5" t="s">
        <v>132</v>
      </c>
      <c r="P1194" s="5" t="s">
        <v>70</v>
      </c>
      <c r="Q1194" s="5" t="s">
        <v>54</v>
      </c>
      <c r="R1194" s="5" t="s">
        <v>55</v>
      </c>
      <c r="S1194" s="5" t="s">
        <v>185</v>
      </c>
      <c r="T1194" s="5" t="s">
        <v>57</v>
      </c>
      <c r="U1194" s="5" t="s">
        <v>86</v>
      </c>
      <c r="V1194" s="5" t="s">
        <v>200</v>
      </c>
      <c r="W1194" s="5" t="s">
        <v>201</v>
      </c>
      <c r="X1194" s="5" t="s">
        <v>2289</v>
      </c>
      <c r="Y1194" s="5" t="s">
        <v>5116</v>
      </c>
      <c r="Z1194" s="9">
        <v>46186</v>
      </c>
      <c r="AA1194" s="8">
        <v>12</v>
      </c>
      <c r="AB1194" s="9">
        <f t="shared" si="55"/>
        <v>46551</v>
      </c>
      <c r="AC1194" s="10">
        <v>14</v>
      </c>
      <c r="AD1194" s="7">
        <f t="shared" si="56"/>
        <v>2904</v>
      </c>
      <c r="AE1194" s="7">
        <f>IF(F1194="Bullet",H1194*AD1194,MIN(MAX(I1194,1),Assumptions!$B$6)*AD1194)</f>
        <v>2904</v>
      </c>
      <c r="AF1194" s="8">
        <f>IF(F1194="Bullet",MAX(0,Assumptions!$B$4-AB1194),MAX(0,Assumptions!$B$4-L1194))</f>
        <v>20</v>
      </c>
      <c r="AG1194" s="9">
        <v>46248</v>
      </c>
      <c r="AH1194" s="8">
        <f>IF(AG1194="","",Assumptions!$B$4-AG1194)</f>
        <v>50</v>
      </c>
      <c r="AI1194" s="5" t="s">
        <v>63</v>
      </c>
      <c r="AJ1194" s="8">
        <v>1</v>
      </c>
      <c r="AK1194" s="8">
        <v>0</v>
      </c>
      <c r="AL1194" s="8">
        <v>635</v>
      </c>
      <c r="AM1194" s="8">
        <v>0</v>
      </c>
      <c r="AN1194" s="5" t="s">
        <v>63</v>
      </c>
      <c r="AO1194" s="10">
        <v>79.599999999999994</v>
      </c>
      <c r="AP1194" s="8">
        <v>41</v>
      </c>
      <c r="AQ1194" s="9">
        <v>46284</v>
      </c>
      <c r="AR1194" s="5" t="s">
        <v>51</v>
      </c>
      <c r="AS1194" s="5" t="s">
        <v>91</v>
      </c>
    </row>
    <row r="1195" spans="1:45" x14ac:dyDescent="0.35">
      <c r="A1195" s="5" t="s">
        <v>5117</v>
      </c>
      <c r="B1195" s="5" t="s">
        <v>5118</v>
      </c>
      <c r="C1195" s="6" t="s">
        <v>5119</v>
      </c>
      <c r="D1195" s="7">
        <v>112800</v>
      </c>
      <c r="E1195" s="5" t="s">
        <v>48</v>
      </c>
      <c r="F1195" s="5" t="s">
        <v>68</v>
      </c>
      <c r="G1195" s="8">
        <v>3</v>
      </c>
      <c r="H1195" s="8">
        <f>IF(F1195="Bullet",MIN(G1195,Assumptions!$B$6),"")</f>
        <v>2</v>
      </c>
      <c r="I1195" s="8"/>
      <c r="J1195" s="8" t="str">
        <f>IF(F1195="Monthly interest",MAX(0,Assumptions!$B$5-I1195),"")</f>
        <v/>
      </c>
      <c r="K1195" s="7">
        <f t="shared" si="54"/>
        <v>3384</v>
      </c>
      <c r="L1195" s="9">
        <v>46204</v>
      </c>
      <c r="M1195" s="5" t="s">
        <v>50</v>
      </c>
      <c r="N1195" s="5" t="s">
        <v>70</v>
      </c>
      <c r="O1195" s="5" t="s">
        <v>531</v>
      </c>
      <c r="P1195" s="5" t="s">
        <v>72</v>
      </c>
      <c r="Q1195" s="5" t="s">
        <v>73</v>
      </c>
      <c r="R1195" s="5" t="s">
        <v>74</v>
      </c>
      <c r="S1195" s="5" t="s">
        <v>214</v>
      </c>
      <c r="T1195" s="5" t="s">
        <v>57</v>
      </c>
      <c r="U1195" s="5" t="s">
        <v>104</v>
      </c>
      <c r="V1195" s="5" t="s">
        <v>215</v>
      </c>
      <c r="W1195" s="5" t="s">
        <v>284</v>
      </c>
      <c r="X1195" s="5" t="s">
        <v>285</v>
      </c>
      <c r="Y1195" s="5" t="s">
        <v>5120</v>
      </c>
      <c r="Z1195" s="9">
        <v>46204</v>
      </c>
      <c r="AA1195" s="8">
        <v>12</v>
      </c>
      <c r="AB1195" s="9">
        <f t="shared" si="55"/>
        <v>46569</v>
      </c>
      <c r="AC1195" s="10">
        <v>12</v>
      </c>
      <c r="AD1195" s="7">
        <f t="shared" si="56"/>
        <v>1128</v>
      </c>
      <c r="AE1195" s="7">
        <f>IF(F1195="Bullet",H1195*AD1195,MIN(MAX(I1195,1),Assumptions!$B$6)*AD1195)</f>
        <v>2256</v>
      </c>
      <c r="AF1195" s="8">
        <f>IF(F1195="Bullet",MAX(0,Assumptions!$B$4-AB1195),MAX(0,Assumptions!$B$4-L1195))</f>
        <v>0</v>
      </c>
      <c r="AG1195" s="9"/>
      <c r="AH1195" s="8" t="str">
        <f>IF(AG1195="","",Assumptions!$B$4-AG1195)</f>
        <v/>
      </c>
      <c r="AI1195" s="5" t="s">
        <v>80</v>
      </c>
      <c r="AJ1195" s="8"/>
      <c r="AK1195" s="8">
        <v>2</v>
      </c>
      <c r="AL1195" s="8">
        <v>763</v>
      </c>
      <c r="AM1195" s="8">
        <v>0</v>
      </c>
      <c r="AN1195" s="5" t="s">
        <v>63</v>
      </c>
      <c r="AO1195" s="10">
        <v>76.099999999999994</v>
      </c>
      <c r="AP1195" s="8">
        <v>21</v>
      </c>
      <c r="AQ1195" s="9">
        <v>46282</v>
      </c>
      <c r="AR1195" s="5" t="s">
        <v>53</v>
      </c>
      <c r="AS1195" s="5" t="s">
        <v>81</v>
      </c>
    </row>
    <row r="1196" spans="1:45" x14ac:dyDescent="0.35">
      <c r="A1196" s="5" t="s">
        <v>5121</v>
      </c>
      <c r="B1196" s="5" t="s">
        <v>5122</v>
      </c>
      <c r="C1196" s="6" t="s">
        <v>5123</v>
      </c>
      <c r="D1196" s="7">
        <v>121100</v>
      </c>
      <c r="E1196" s="5" t="s">
        <v>48</v>
      </c>
      <c r="F1196" s="5" t="s">
        <v>49</v>
      </c>
      <c r="G1196" s="8"/>
      <c r="H1196" s="8" t="str">
        <f>IF(F1196="Bullet",MIN(G1196,Assumptions!$B$6),"")</f>
        <v/>
      </c>
      <c r="I1196" s="8">
        <v>2</v>
      </c>
      <c r="J1196" s="8">
        <f>IF(F1196="Monthly interest",MAX(0,Assumptions!$B$5-I1196),"")</f>
        <v>1</v>
      </c>
      <c r="K1196" s="7">
        <f t="shared" si="54"/>
        <v>4844</v>
      </c>
      <c r="L1196" s="9">
        <v>46249</v>
      </c>
      <c r="M1196" s="5" t="s">
        <v>116</v>
      </c>
      <c r="N1196" s="5" t="s">
        <v>117</v>
      </c>
      <c r="O1196" s="5" t="s">
        <v>118</v>
      </c>
      <c r="P1196" s="5" t="s">
        <v>72</v>
      </c>
      <c r="Q1196" s="5" t="s">
        <v>119</v>
      </c>
      <c r="R1196" s="5" t="s">
        <v>120</v>
      </c>
      <c r="S1196" s="5" t="s">
        <v>85</v>
      </c>
      <c r="T1196" s="5" t="s">
        <v>57</v>
      </c>
      <c r="U1196" s="5" t="s">
        <v>86</v>
      </c>
      <c r="V1196" s="5" t="s">
        <v>177</v>
      </c>
      <c r="W1196" s="5" t="s">
        <v>208</v>
      </c>
      <c r="X1196" s="5" t="s">
        <v>1817</v>
      </c>
      <c r="Y1196" s="5" t="s">
        <v>5124</v>
      </c>
      <c r="Z1196" s="9">
        <v>46127</v>
      </c>
      <c r="AA1196" s="8">
        <v>18</v>
      </c>
      <c r="AB1196" s="9">
        <f t="shared" si="55"/>
        <v>46675</v>
      </c>
      <c r="AC1196" s="10">
        <v>24</v>
      </c>
      <c r="AD1196" s="7">
        <f t="shared" si="56"/>
        <v>2422</v>
      </c>
      <c r="AE1196" s="7">
        <f>IF(F1196="Bullet",H1196*AD1196,MIN(MAX(I1196,1),Assumptions!$B$6)*AD1196)</f>
        <v>4844</v>
      </c>
      <c r="AF1196" s="8">
        <f>IF(F1196="Bullet",MAX(0,Assumptions!$B$4-AB1196),MAX(0,Assumptions!$B$4-L1196))</f>
        <v>49</v>
      </c>
      <c r="AG1196" s="9">
        <v>46220</v>
      </c>
      <c r="AH1196" s="8">
        <f>IF(AG1196="","",Assumptions!$B$4-AG1196)</f>
        <v>78</v>
      </c>
      <c r="AI1196" s="5" t="s">
        <v>57</v>
      </c>
      <c r="AJ1196" s="8">
        <v>3</v>
      </c>
      <c r="AK1196" s="8">
        <v>1</v>
      </c>
      <c r="AL1196" s="8">
        <v>601</v>
      </c>
      <c r="AM1196" s="8">
        <v>2</v>
      </c>
      <c r="AN1196" s="5" t="s">
        <v>57</v>
      </c>
      <c r="AO1196" s="10">
        <v>65.099999999999994</v>
      </c>
      <c r="AP1196" s="8">
        <v>70</v>
      </c>
      <c r="AQ1196" s="9">
        <v>46292</v>
      </c>
      <c r="AR1196" s="5" t="s">
        <v>51</v>
      </c>
      <c r="AS1196" s="5" t="s">
        <v>274</v>
      </c>
    </row>
    <row r="1197" spans="1:45" x14ac:dyDescent="0.35">
      <c r="A1197" s="5" t="s">
        <v>5125</v>
      </c>
      <c r="B1197" s="5" t="s">
        <v>5126</v>
      </c>
      <c r="C1197" s="6" t="s">
        <v>5127</v>
      </c>
      <c r="D1197" s="7">
        <v>113600</v>
      </c>
      <c r="E1197" s="5" t="s">
        <v>48</v>
      </c>
      <c r="F1197" s="5" t="s">
        <v>49</v>
      </c>
      <c r="G1197" s="8"/>
      <c r="H1197" s="8" t="str">
        <f>IF(F1197="Bullet",MIN(G1197,Assumptions!$B$6),"")</f>
        <v/>
      </c>
      <c r="I1197" s="8">
        <v>1</v>
      </c>
      <c r="J1197" s="8">
        <f>IF(F1197="Monthly interest",MAX(0,Assumptions!$B$5-I1197),"")</f>
        <v>2</v>
      </c>
      <c r="K1197" s="7">
        <f t="shared" si="54"/>
        <v>2083</v>
      </c>
      <c r="L1197" s="9">
        <v>46269</v>
      </c>
      <c r="M1197" s="5" t="s">
        <v>69</v>
      </c>
      <c r="N1197" s="5" t="s">
        <v>51</v>
      </c>
      <c r="O1197" s="5" t="s">
        <v>52</v>
      </c>
      <c r="P1197" s="5" t="s">
        <v>53</v>
      </c>
      <c r="Q1197" s="5" t="s">
        <v>54</v>
      </c>
      <c r="R1197" s="5" t="s">
        <v>55</v>
      </c>
      <c r="S1197" s="5" t="s">
        <v>56</v>
      </c>
      <c r="T1197" s="5" t="s">
        <v>57</v>
      </c>
      <c r="U1197" s="5" t="s">
        <v>104</v>
      </c>
      <c r="V1197" s="5" t="s">
        <v>59</v>
      </c>
      <c r="W1197" s="5" t="s">
        <v>156</v>
      </c>
      <c r="X1197" s="5" t="s">
        <v>2809</v>
      </c>
      <c r="Y1197" s="5" t="s">
        <v>5128</v>
      </c>
      <c r="Z1197" s="9">
        <v>46026</v>
      </c>
      <c r="AA1197" s="8">
        <v>12</v>
      </c>
      <c r="AB1197" s="9">
        <f t="shared" si="55"/>
        <v>46391</v>
      </c>
      <c r="AC1197" s="10">
        <v>22</v>
      </c>
      <c r="AD1197" s="7">
        <f t="shared" si="56"/>
        <v>2083</v>
      </c>
      <c r="AE1197" s="7">
        <f>IF(F1197="Bullet",H1197*AD1197,MIN(MAX(I1197,1),Assumptions!$B$6)*AD1197)</f>
        <v>2083</v>
      </c>
      <c r="AF1197" s="8">
        <f>IF(F1197="Bullet",MAX(0,Assumptions!$B$4-AB1197),MAX(0,Assumptions!$B$4-L1197))</f>
        <v>29</v>
      </c>
      <c r="AG1197" s="9">
        <v>46242</v>
      </c>
      <c r="AH1197" s="8">
        <f>IF(AG1197="","",Assumptions!$B$4-AG1197)</f>
        <v>56</v>
      </c>
      <c r="AI1197" s="5" t="s">
        <v>57</v>
      </c>
      <c r="AJ1197" s="8">
        <v>2</v>
      </c>
      <c r="AK1197" s="8">
        <v>0</v>
      </c>
      <c r="AL1197" s="8">
        <v>793</v>
      </c>
      <c r="AM1197" s="8">
        <v>2</v>
      </c>
      <c r="AN1197" s="5" t="s">
        <v>63</v>
      </c>
      <c r="AO1197" s="10">
        <v>88</v>
      </c>
      <c r="AP1197" s="8">
        <v>37</v>
      </c>
      <c r="AQ1197" s="9">
        <v>46280</v>
      </c>
      <c r="AR1197" s="5" t="s">
        <v>51</v>
      </c>
      <c r="AS1197" s="5" t="s">
        <v>181</v>
      </c>
    </row>
    <row r="1198" spans="1:45" x14ac:dyDescent="0.35">
      <c r="A1198" s="5" t="s">
        <v>5129</v>
      </c>
      <c r="B1198" s="5" t="s">
        <v>5130</v>
      </c>
      <c r="C1198" s="6" t="s">
        <v>5131</v>
      </c>
      <c r="D1198" s="7">
        <v>30700</v>
      </c>
      <c r="E1198" s="5" t="s">
        <v>48</v>
      </c>
      <c r="F1198" s="5" t="s">
        <v>49</v>
      </c>
      <c r="G1198" s="8"/>
      <c r="H1198" s="8" t="str">
        <f>IF(F1198="Bullet",MIN(G1198,Assumptions!$B$6),"")</f>
        <v/>
      </c>
      <c r="I1198" s="8">
        <v>2</v>
      </c>
      <c r="J1198" s="8">
        <f>IF(F1198="Monthly interest",MAX(0,Assumptions!$B$5-I1198),"")</f>
        <v>1</v>
      </c>
      <c r="K1198" s="7">
        <f t="shared" si="54"/>
        <v>716</v>
      </c>
      <c r="L1198" s="9">
        <v>46260</v>
      </c>
      <c r="M1198" s="5" t="s">
        <v>50</v>
      </c>
      <c r="N1198" s="5" t="s">
        <v>53</v>
      </c>
      <c r="O1198" s="5" t="s">
        <v>152</v>
      </c>
      <c r="P1198" s="5" t="s">
        <v>153</v>
      </c>
      <c r="Q1198" s="5" t="s">
        <v>154</v>
      </c>
      <c r="R1198" s="5" t="s">
        <v>155</v>
      </c>
      <c r="S1198" s="5" t="s">
        <v>75</v>
      </c>
      <c r="T1198" s="5" t="s">
        <v>57</v>
      </c>
      <c r="U1198" s="5" t="s">
        <v>86</v>
      </c>
      <c r="V1198" s="5" t="s">
        <v>76</v>
      </c>
      <c r="W1198" s="5" t="s">
        <v>547</v>
      </c>
      <c r="X1198" s="5" t="s">
        <v>3419</v>
      </c>
      <c r="Y1198" s="5" t="s">
        <v>5132</v>
      </c>
      <c r="Z1198" s="9">
        <v>46048</v>
      </c>
      <c r="AA1198" s="8">
        <v>24</v>
      </c>
      <c r="AB1198" s="9">
        <f t="shared" si="55"/>
        <v>46778</v>
      </c>
      <c r="AC1198" s="10">
        <v>14</v>
      </c>
      <c r="AD1198" s="7">
        <f t="shared" si="56"/>
        <v>358</v>
      </c>
      <c r="AE1198" s="7">
        <f>IF(F1198="Bullet",H1198*AD1198,MIN(MAX(I1198,1),Assumptions!$B$6)*AD1198)</f>
        <v>716</v>
      </c>
      <c r="AF1198" s="8">
        <f>IF(F1198="Bullet",MAX(0,Assumptions!$B$4-AB1198),MAX(0,Assumptions!$B$4-L1198))</f>
        <v>38</v>
      </c>
      <c r="AG1198" s="9">
        <v>46232</v>
      </c>
      <c r="AH1198" s="8">
        <f>IF(AG1198="","",Assumptions!$B$4-AG1198)</f>
        <v>66</v>
      </c>
      <c r="AI1198" s="5" t="s">
        <v>63</v>
      </c>
      <c r="AJ1198" s="8">
        <v>2</v>
      </c>
      <c r="AK1198" s="8">
        <v>1</v>
      </c>
      <c r="AL1198" s="8">
        <v>780</v>
      </c>
      <c r="AM1198" s="8">
        <v>0</v>
      </c>
      <c r="AN1198" s="5" t="s">
        <v>63</v>
      </c>
      <c r="AO1198" s="10">
        <v>69.599999999999994</v>
      </c>
      <c r="AP1198" s="8">
        <v>28</v>
      </c>
      <c r="AQ1198" s="9">
        <v>46289</v>
      </c>
      <c r="AR1198" s="5" t="s">
        <v>70</v>
      </c>
      <c r="AS1198" s="5" t="s">
        <v>81</v>
      </c>
    </row>
    <row r="1199" spans="1:45" x14ac:dyDescent="0.35">
      <c r="A1199" s="5" t="s">
        <v>5133</v>
      </c>
      <c r="B1199" s="5" t="s">
        <v>5134</v>
      </c>
      <c r="C1199" s="6" t="s">
        <v>5135</v>
      </c>
      <c r="D1199" s="7">
        <v>55500</v>
      </c>
      <c r="E1199" s="5" t="s">
        <v>48</v>
      </c>
      <c r="F1199" s="5" t="s">
        <v>49</v>
      </c>
      <c r="G1199" s="8"/>
      <c r="H1199" s="8" t="str">
        <f>IF(F1199="Bullet",MIN(G1199,Assumptions!$B$6),"")</f>
        <v/>
      </c>
      <c r="I1199" s="8">
        <v>1</v>
      </c>
      <c r="J1199" s="8">
        <f>IF(F1199="Monthly interest",MAX(0,Assumptions!$B$5-I1199),"")</f>
        <v>2</v>
      </c>
      <c r="K1199" s="7">
        <f t="shared" si="54"/>
        <v>1110</v>
      </c>
      <c r="L1199" s="9">
        <v>46282</v>
      </c>
      <c r="M1199" s="5" t="s">
        <v>50</v>
      </c>
      <c r="N1199" s="5" t="s">
        <v>51</v>
      </c>
      <c r="O1199" s="5" t="s">
        <v>52</v>
      </c>
      <c r="P1199" s="5" t="s">
        <v>53</v>
      </c>
      <c r="Q1199" s="5" t="s">
        <v>54</v>
      </c>
      <c r="R1199" s="5" t="s">
        <v>55</v>
      </c>
      <c r="S1199" s="5" t="s">
        <v>56</v>
      </c>
      <c r="T1199" s="5" t="s">
        <v>57</v>
      </c>
      <c r="U1199" s="5" t="s">
        <v>86</v>
      </c>
      <c r="V1199" s="5" t="s">
        <v>59</v>
      </c>
      <c r="W1199" s="5" t="s">
        <v>194</v>
      </c>
      <c r="X1199" s="5" t="s">
        <v>5136</v>
      </c>
      <c r="Y1199" s="5" t="s">
        <v>5137</v>
      </c>
      <c r="Z1199" s="9">
        <v>46220</v>
      </c>
      <c r="AA1199" s="8">
        <v>12</v>
      </c>
      <c r="AB1199" s="9">
        <f t="shared" si="55"/>
        <v>46585</v>
      </c>
      <c r="AC1199" s="10">
        <v>24</v>
      </c>
      <c r="AD1199" s="7">
        <f t="shared" si="56"/>
        <v>1110</v>
      </c>
      <c r="AE1199" s="7">
        <f>IF(F1199="Bullet",H1199*AD1199,MIN(MAX(I1199,1),Assumptions!$B$6)*AD1199)</f>
        <v>1110</v>
      </c>
      <c r="AF1199" s="8">
        <f>IF(F1199="Bullet",MAX(0,Assumptions!$B$4-AB1199),MAX(0,Assumptions!$B$4-L1199))</f>
        <v>16</v>
      </c>
      <c r="AG1199" s="9">
        <v>46253</v>
      </c>
      <c r="AH1199" s="8">
        <f>IF(AG1199="","",Assumptions!$B$4-AG1199)</f>
        <v>45</v>
      </c>
      <c r="AI1199" s="5" t="s">
        <v>63</v>
      </c>
      <c r="AJ1199" s="8">
        <v>1</v>
      </c>
      <c r="AK1199" s="8">
        <v>0</v>
      </c>
      <c r="AL1199" s="8">
        <v>709</v>
      </c>
      <c r="AM1199" s="8">
        <v>1</v>
      </c>
      <c r="AN1199" s="5" t="s">
        <v>63</v>
      </c>
      <c r="AO1199" s="10">
        <v>59.7</v>
      </c>
      <c r="AP1199" s="8">
        <v>26</v>
      </c>
      <c r="AQ1199" s="9">
        <v>46293</v>
      </c>
      <c r="AR1199" s="5" t="s">
        <v>70</v>
      </c>
      <c r="AS1199" s="5" t="s">
        <v>81</v>
      </c>
    </row>
    <row r="1200" spans="1:45" x14ac:dyDescent="0.35">
      <c r="A1200" s="5" t="s">
        <v>5138</v>
      </c>
      <c r="B1200" s="5" t="s">
        <v>5139</v>
      </c>
      <c r="C1200" s="6" t="s">
        <v>5140</v>
      </c>
      <c r="D1200" s="7">
        <v>156000</v>
      </c>
      <c r="E1200" s="5" t="s">
        <v>48</v>
      </c>
      <c r="F1200" s="5" t="s">
        <v>68</v>
      </c>
      <c r="G1200" s="8">
        <v>6</v>
      </c>
      <c r="H1200" s="8">
        <f>IF(F1200="Bullet",MIN(G1200,Assumptions!$B$6),"")</f>
        <v>2</v>
      </c>
      <c r="I1200" s="8"/>
      <c r="J1200" s="8" t="str">
        <f>IF(F1200="Monthly interest",MAX(0,Assumptions!$B$5-I1200),"")</f>
        <v/>
      </c>
      <c r="K1200" s="7">
        <f t="shared" si="54"/>
        <v>12480</v>
      </c>
      <c r="L1200" s="9">
        <v>46092</v>
      </c>
      <c r="M1200" s="5" t="s">
        <v>116</v>
      </c>
      <c r="N1200" s="5" t="s">
        <v>117</v>
      </c>
      <c r="O1200" s="5" t="s">
        <v>461</v>
      </c>
      <c r="P1200" s="5" t="s">
        <v>72</v>
      </c>
      <c r="Q1200" s="5" t="s">
        <v>169</v>
      </c>
      <c r="R1200" s="5" t="s">
        <v>170</v>
      </c>
      <c r="S1200" s="5" t="s">
        <v>75</v>
      </c>
      <c r="T1200" s="5" t="s">
        <v>57</v>
      </c>
      <c r="U1200" s="5" t="s">
        <v>86</v>
      </c>
      <c r="V1200" s="5" t="s">
        <v>76</v>
      </c>
      <c r="W1200" s="5" t="s">
        <v>306</v>
      </c>
      <c r="X1200" s="5" t="s">
        <v>621</v>
      </c>
      <c r="Y1200" s="5" t="s">
        <v>5141</v>
      </c>
      <c r="Z1200" s="9">
        <v>46092</v>
      </c>
      <c r="AA1200" s="8">
        <v>6</v>
      </c>
      <c r="AB1200" s="9">
        <f t="shared" si="55"/>
        <v>46276</v>
      </c>
      <c r="AC1200" s="10">
        <v>16</v>
      </c>
      <c r="AD1200" s="7">
        <f t="shared" si="56"/>
        <v>2080</v>
      </c>
      <c r="AE1200" s="7">
        <f>IF(F1200="Bullet",H1200*AD1200,MIN(MAX(I1200,1),Assumptions!$B$6)*AD1200)</f>
        <v>4160</v>
      </c>
      <c r="AF1200" s="8">
        <f>IF(F1200="Bullet",MAX(0,Assumptions!$B$4-AB1200),MAX(0,Assumptions!$B$4-L1200))</f>
        <v>22</v>
      </c>
      <c r="AG1200" s="9"/>
      <c r="AH1200" s="8" t="str">
        <f>IF(AG1200="","",Assumptions!$B$4-AG1200)</f>
        <v/>
      </c>
      <c r="AI1200" s="5" t="s">
        <v>80</v>
      </c>
      <c r="AJ1200" s="8"/>
      <c r="AK1200" s="8">
        <v>0</v>
      </c>
      <c r="AL1200" s="8">
        <v>685</v>
      </c>
      <c r="AM1200" s="8">
        <v>3</v>
      </c>
      <c r="AN1200" s="5" t="s">
        <v>63</v>
      </c>
      <c r="AO1200" s="10">
        <v>88</v>
      </c>
      <c r="AP1200" s="8">
        <v>73</v>
      </c>
      <c r="AQ1200" s="9">
        <v>46288</v>
      </c>
      <c r="AR1200" s="5" t="s">
        <v>51</v>
      </c>
      <c r="AS1200" s="5" t="s">
        <v>81</v>
      </c>
    </row>
    <row r="1201" spans="1:45" x14ac:dyDescent="0.35">
      <c r="A1201" s="5" t="s">
        <v>5142</v>
      </c>
      <c r="B1201" s="5" t="s">
        <v>5143</v>
      </c>
      <c r="C1201" s="6" t="s">
        <v>5144</v>
      </c>
      <c r="D1201" s="7">
        <v>84900</v>
      </c>
      <c r="E1201" s="5" t="s">
        <v>48</v>
      </c>
      <c r="F1201" s="5" t="s">
        <v>68</v>
      </c>
      <c r="G1201" s="8">
        <v>2</v>
      </c>
      <c r="H1201" s="8">
        <f>IF(F1201="Bullet",MIN(G1201,Assumptions!$B$6),"")</f>
        <v>2</v>
      </c>
      <c r="I1201" s="8"/>
      <c r="J1201" s="8" t="str">
        <f>IF(F1201="Monthly interest",MAX(0,Assumptions!$B$5-I1201),"")</f>
        <v/>
      </c>
      <c r="K1201" s="7">
        <f t="shared" si="54"/>
        <v>2548</v>
      </c>
      <c r="L1201" s="9">
        <v>46219</v>
      </c>
      <c r="M1201" s="5" t="s">
        <v>50</v>
      </c>
      <c r="N1201" s="5" t="s">
        <v>51</v>
      </c>
      <c r="O1201" s="5" t="s">
        <v>71</v>
      </c>
      <c r="P1201" s="5" t="s">
        <v>53</v>
      </c>
      <c r="Q1201" s="5" t="s">
        <v>73</v>
      </c>
      <c r="R1201" s="5" t="s">
        <v>74</v>
      </c>
      <c r="S1201" s="5" t="s">
        <v>56</v>
      </c>
      <c r="T1201" s="5" t="s">
        <v>57</v>
      </c>
      <c r="U1201" s="5" t="s">
        <v>86</v>
      </c>
      <c r="V1201" s="5" t="s">
        <v>59</v>
      </c>
      <c r="W1201" s="5" t="s">
        <v>300</v>
      </c>
      <c r="X1201" s="5" t="s">
        <v>2653</v>
      </c>
      <c r="Y1201" s="5" t="s">
        <v>5145</v>
      </c>
      <c r="Z1201" s="9">
        <v>46219</v>
      </c>
      <c r="AA1201" s="8">
        <v>6</v>
      </c>
      <c r="AB1201" s="9">
        <f t="shared" si="55"/>
        <v>46403</v>
      </c>
      <c r="AC1201" s="10">
        <v>18</v>
      </c>
      <c r="AD1201" s="7">
        <f t="shared" si="56"/>
        <v>1274</v>
      </c>
      <c r="AE1201" s="7">
        <f>IF(F1201="Bullet",H1201*AD1201,MIN(MAX(I1201,1),Assumptions!$B$6)*AD1201)</f>
        <v>2548</v>
      </c>
      <c r="AF1201" s="8">
        <f>IF(F1201="Bullet",MAX(0,Assumptions!$B$4-AB1201),MAX(0,Assumptions!$B$4-L1201))</f>
        <v>0</v>
      </c>
      <c r="AG1201" s="9"/>
      <c r="AH1201" s="8" t="str">
        <f>IF(AG1201="","",Assumptions!$B$4-AG1201)</f>
        <v/>
      </c>
      <c r="AI1201" s="5" t="s">
        <v>80</v>
      </c>
      <c r="AJ1201" s="8"/>
      <c r="AK1201" s="8">
        <v>2</v>
      </c>
      <c r="AL1201" s="8">
        <v>768</v>
      </c>
      <c r="AM1201" s="8">
        <v>1</v>
      </c>
      <c r="AN1201" s="5" t="s">
        <v>63</v>
      </c>
      <c r="AO1201" s="10">
        <v>71.8</v>
      </c>
      <c r="AP1201" s="8">
        <v>17</v>
      </c>
      <c r="AQ1201" s="9">
        <v>46276</v>
      </c>
      <c r="AR1201" s="5" t="s">
        <v>53</v>
      </c>
      <c r="AS1201" s="5" t="s">
        <v>81</v>
      </c>
    </row>
    <row r="1202" spans="1:45" x14ac:dyDescent="0.35">
      <c r="A1202" s="5" t="s">
        <v>5146</v>
      </c>
      <c r="B1202" s="5" t="s">
        <v>5147</v>
      </c>
      <c r="C1202" s="6" t="s">
        <v>5148</v>
      </c>
      <c r="D1202" s="7">
        <v>447600</v>
      </c>
      <c r="E1202" s="5" t="s">
        <v>48</v>
      </c>
      <c r="F1202" s="5" t="s">
        <v>49</v>
      </c>
      <c r="G1202" s="8"/>
      <c r="H1202" s="8" t="str">
        <f>IF(F1202="Bullet",MIN(G1202,Assumptions!$B$6),"")</f>
        <v/>
      </c>
      <c r="I1202" s="8">
        <v>2</v>
      </c>
      <c r="J1202" s="8">
        <f>IF(F1202="Monthly interest",MAX(0,Assumptions!$B$5-I1202),"")</f>
        <v>1</v>
      </c>
      <c r="K1202" s="7">
        <f t="shared" si="54"/>
        <v>10444</v>
      </c>
      <c r="L1202" s="9">
        <v>46243</v>
      </c>
      <c r="M1202" s="5" t="s">
        <v>116</v>
      </c>
      <c r="N1202" s="5" t="s">
        <v>117</v>
      </c>
      <c r="O1202" s="5" t="s">
        <v>118</v>
      </c>
      <c r="P1202" s="5" t="s">
        <v>72</v>
      </c>
      <c r="Q1202" s="5" t="s">
        <v>119</v>
      </c>
      <c r="R1202" s="5" t="s">
        <v>120</v>
      </c>
      <c r="S1202" s="5" t="s">
        <v>85</v>
      </c>
      <c r="T1202" s="5" t="s">
        <v>57</v>
      </c>
      <c r="U1202" s="5" t="s">
        <v>86</v>
      </c>
      <c r="V1202" s="5" t="s">
        <v>96</v>
      </c>
      <c r="W1202" s="5" t="s">
        <v>819</v>
      </c>
      <c r="X1202" s="5" t="s">
        <v>820</v>
      </c>
      <c r="Y1202" s="5" t="s">
        <v>5149</v>
      </c>
      <c r="Z1202" s="9">
        <v>46121</v>
      </c>
      <c r="AA1202" s="8">
        <v>18</v>
      </c>
      <c r="AB1202" s="9">
        <f t="shared" si="55"/>
        <v>46669</v>
      </c>
      <c r="AC1202" s="10">
        <v>14</v>
      </c>
      <c r="AD1202" s="7">
        <f t="shared" si="56"/>
        <v>5222</v>
      </c>
      <c r="AE1202" s="7">
        <f>IF(F1202="Bullet",H1202*AD1202,MIN(MAX(I1202,1),Assumptions!$B$6)*AD1202)</f>
        <v>10444</v>
      </c>
      <c r="AF1202" s="8">
        <f>IF(F1202="Bullet",MAX(0,Assumptions!$B$4-AB1202),MAX(0,Assumptions!$B$4-L1202))</f>
        <v>55</v>
      </c>
      <c r="AG1202" s="9">
        <v>46214</v>
      </c>
      <c r="AH1202" s="8">
        <f>IF(AG1202="","",Assumptions!$B$4-AG1202)</f>
        <v>84</v>
      </c>
      <c r="AI1202" s="5" t="s">
        <v>63</v>
      </c>
      <c r="AJ1202" s="8">
        <v>2</v>
      </c>
      <c r="AK1202" s="8">
        <v>0</v>
      </c>
      <c r="AL1202" s="8">
        <v>600</v>
      </c>
      <c r="AM1202" s="8">
        <v>3</v>
      </c>
      <c r="AN1202" s="5" t="s">
        <v>63</v>
      </c>
      <c r="AO1202" s="10">
        <v>58.4</v>
      </c>
      <c r="AP1202" s="8">
        <v>57</v>
      </c>
      <c r="AQ1202" s="9">
        <v>46293</v>
      </c>
      <c r="AR1202" s="5" t="s">
        <v>53</v>
      </c>
      <c r="AS1202" s="5" t="s">
        <v>81</v>
      </c>
    </row>
    <row r="1203" spans="1:45" x14ac:dyDescent="0.35">
      <c r="A1203" s="5" t="s">
        <v>5150</v>
      </c>
      <c r="B1203" s="5" t="s">
        <v>5151</v>
      </c>
      <c r="C1203" s="6" t="s">
        <v>5152</v>
      </c>
      <c r="D1203" s="7">
        <v>111200</v>
      </c>
      <c r="E1203" s="5" t="s">
        <v>48</v>
      </c>
      <c r="F1203" s="5" t="s">
        <v>68</v>
      </c>
      <c r="G1203" s="8">
        <v>6</v>
      </c>
      <c r="H1203" s="8">
        <f>IF(F1203="Bullet",MIN(G1203,Assumptions!$B$6),"")</f>
        <v>2</v>
      </c>
      <c r="I1203" s="8"/>
      <c r="J1203" s="8" t="str">
        <f>IF(F1203="Monthly interest",MAX(0,Assumptions!$B$5-I1203),"")</f>
        <v/>
      </c>
      <c r="K1203" s="7">
        <f t="shared" si="54"/>
        <v>10008</v>
      </c>
      <c r="L1203" s="9">
        <v>46115</v>
      </c>
      <c r="M1203" s="5" t="s">
        <v>69</v>
      </c>
      <c r="N1203" s="5" t="s">
        <v>53</v>
      </c>
      <c r="O1203" s="5" t="s">
        <v>168</v>
      </c>
      <c r="P1203" s="5" t="s">
        <v>70</v>
      </c>
      <c r="Q1203" s="5" t="s">
        <v>169</v>
      </c>
      <c r="R1203" s="5" t="s">
        <v>170</v>
      </c>
      <c r="S1203" s="5" t="s">
        <v>75</v>
      </c>
      <c r="T1203" s="5" t="s">
        <v>57</v>
      </c>
      <c r="U1203" s="5" t="s">
        <v>86</v>
      </c>
      <c r="V1203" s="5" t="s">
        <v>76</v>
      </c>
      <c r="W1203" s="5" t="s">
        <v>444</v>
      </c>
      <c r="X1203" s="5" t="s">
        <v>445</v>
      </c>
      <c r="Y1203" s="5" t="s">
        <v>5153</v>
      </c>
      <c r="Z1203" s="9">
        <v>46115</v>
      </c>
      <c r="AA1203" s="8">
        <v>6</v>
      </c>
      <c r="AB1203" s="9">
        <f t="shared" si="55"/>
        <v>46298</v>
      </c>
      <c r="AC1203" s="10">
        <v>18</v>
      </c>
      <c r="AD1203" s="7">
        <f t="shared" si="56"/>
        <v>1668</v>
      </c>
      <c r="AE1203" s="7">
        <f>IF(F1203="Bullet",H1203*AD1203,MIN(MAX(I1203,1),Assumptions!$B$6)*AD1203)</f>
        <v>3336</v>
      </c>
      <c r="AF1203" s="8">
        <f>IF(F1203="Bullet",MAX(0,Assumptions!$B$4-AB1203),MAX(0,Assumptions!$B$4-L1203))</f>
        <v>0</v>
      </c>
      <c r="AG1203" s="9"/>
      <c r="AH1203" s="8" t="str">
        <f>IF(AG1203="","",Assumptions!$B$4-AG1203)</f>
        <v/>
      </c>
      <c r="AI1203" s="5" t="s">
        <v>80</v>
      </c>
      <c r="AJ1203" s="8"/>
      <c r="AK1203" s="8">
        <v>0</v>
      </c>
      <c r="AL1203" s="8">
        <v>645</v>
      </c>
      <c r="AM1203" s="8">
        <v>0</v>
      </c>
      <c r="AN1203" s="5" t="s">
        <v>63</v>
      </c>
      <c r="AO1203" s="10">
        <v>63</v>
      </c>
      <c r="AP1203" s="8">
        <v>43</v>
      </c>
      <c r="AQ1203" s="9">
        <v>46285</v>
      </c>
      <c r="AR1203" s="5" t="s">
        <v>70</v>
      </c>
      <c r="AS1203" s="5" t="s">
        <v>81</v>
      </c>
    </row>
    <row r="1204" spans="1:45" x14ac:dyDescent="0.35">
      <c r="A1204" s="5" t="s">
        <v>5154</v>
      </c>
      <c r="B1204" s="5" t="s">
        <v>2263</v>
      </c>
      <c r="C1204" s="6" t="s">
        <v>5155</v>
      </c>
      <c r="D1204" s="7">
        <v>243500</v>
      </c>
      <c r="E1204" s="5" t="s">
        <v>48</v>
      </c>
      <c r="F1204" s="5" t="s">
        <v>49</v>
      </c>
      <c r="G1204" s="8"/>
      <c r="H1204" s="8" t="str">
        <f>IF(F1204="Bullet",MIN(G1204,Assumptions!$B$6),"")</f>
        <v/>
      </c>
      <c r="I1204" s="8">
        <v>1</v>
      </c>
      <c r="J1204" s="8">
        <f>IF(F1204="Monthly interest",MAX(0,Assumptions!$B$5-I1204),"")</f>
        <v>2</v>
      </c>
      <c r="K1204" s="7">
        <f t="shared" si="54"/>
        <v>3247</v>
      </c>
      <c r="L1204" s="9">
        <v>46286</v>
      </c>
      <c r="M1204" s="5" t="s">
        <v>50</v>
      </c>
      <c r="N1204" s="5" t="s">
        <v>51</v>
      </c>
      <c r="O1204" s="5" t="s">
        <v>52</v>
      </c>
      <c r="P1204" s="5" t="s">
        <v>53</v>
      </c>
      <c r="Q1204" s="5" t="s">
        <v>54</v>
      </c>
      <c r="R1204" s="5" t="s">
        <v>55</v>
      </c>
      <c r="S1204" s="5" t="s">
        <v>85</v>
      </c>
      <c r="T1204" s="5" t="s">
        <v>57</v>
      </c>
      <c r="U1204" s="5" t="s">
        <v>86</v>
      </c>
      <c r="V1204" s="5" t="s">
        <v>177</v>
      </c>
      <c r="W1204" s="5" t="s">
        <v>178</v>
      </c>
      <c r="X1204" s="5" t="s">
        <v>5156</v>
      </c>
      <c r="Y1204" s="5" t="s">
        <v>5157</v>
      </c>
      <c r="Z1204" s="9">
        <v>46102</v>
      </c>
      <c r="AA1204" s="8">
        <v>12</v>
      </c>
      <c r="AB1204" s="9">
        <f t="shared" si="55"/>
        <v>46467</v>
      </c>
      <c r="AC1204" s="10">
        <v>16</v>
      </c>
      <c r="AD1204" s="7">
        <f t="shared" si="56"/>
        <v>3247</v>
      </c>
      <c r="AE1204" s="7">
        <f>IF(F1204="Bullet",H1204*AD1204,MIN(MAX(I1204,1),Assumptions!$B$6)*AD1204)</f>
        <v>3247</v>
      </c>
      <c r="AF1204" s="8">
        <f>IF(F1204="Bullet",MAX(0,Assumptions!$B$4-AB1204),MAX(0,Assumptions!$B$4-L1204))</f>
        <v>12</v>
      </c>
      <c r="AG1204" s="9">
        <v>46259</v>
      </c>
      <c r="AH1204" s="8">
        <f>IF(AG1204="","",Assumptions!$B$4-AG1204)</f>
        <v>39</v>
      </c>
      <c r="AI1204" s="5" t="s">
        <v>63</v>
      </c>
      <c r="AJ1204" s="8">
        <v>1</v>
      </c>
      <c r="AK1204" s="8">
        <v>1</v>
      </c>
      <c r="AL1204" s="8">
        <v>748</v>
      </c>
      <c r="AM1204" s="8">
        <v>1</v>
      </c>
      <c r="AN1204" s="5" t="s">
        <v>63</v>
      </c>
      <c r="AO1204" s="10">
        <v>72.099999999999994</v>
      </c>
      <c r="AP1204" s="8">
        <v>23</v>
      </c>
      <c r="AQ1204" s="9">
        <v>46291</v>
      </c>
      <c r="AR1204" s="5" t="s">
        <v>51</v>
      </c>
      <c r="AS1204" s="5" t="s">
        <v>64</v>
      </c>
    </row>
    <row r="1205" spans="1:45" x14ac:dyDescent="0.35">
      <c r="A1205" s="5" t="s">
        <v>5158</v>
      </c>
      <c r="B1205" s="5" t="s">
        <v>5159</v>
      </c>
      <c r="C1205" s="6" t="s">
        <v>5160</v>
      </c>
      <c r="D1205" s="7">
        <v>43000</v>
      </c>
      <c r="E1205" s="5" t="s">
        <v>48</v>
      </c>
      <c r="F1205" s="5" t="s">
        <v>49</v>
      </c>
      <c r="G1205" s="8"/>
      <c r="H1205" s="8" t="str">
        <f>IF(F1205="Bullet",MIN(G1205,Assumptions!$B$6),"")</f>
        <v/>
      </c>
      <c r="I1205" s="8">
        <v>1</v>
      </c>
      <c r="J1205" s="8">
        <f>IF(F1205="Monthly interest",MAX(0,Assumptions!$B$5-I1205),"")</f>
        <v>2</v>
      </c>
      <c r="K1205" s="7">
        <f t="shared" si="54"/>
        <v>788</v>
      </c>
      <c r="L1205" s="9">
        <v>46293</v>
      </c>
      <c r="M1205" s="5" t="s">
        <v>50</v>
      </c>
      <c r="N1205" s="5" t="s">
        <v>51</v>
      </c>
      <c r="O1205" s="5" t="s">
        <v>152</v>
      </c>
      <c r="P1205" s="5" t="s">
        <v>53</v>
      </c>
      <c r="Q1205" s="5" t="s">
        <v>154</v>
      </c>
      <c r="R1205" s="5" t="s">
        <v>155</v>
      </c>
      <c r="S1205" s="5" t="s">
        <v>85</v>
      </c>
      <c r="T1205" s="5" t="s">
        <v>57</v>
      </c>
      <c r="U1205" s="5" t="s">
        <v>58</v>
      </c>
      <c r="V1205" s="5" t="s">
        <v>96</v>
      </c>
      <c r="W1205" s="5" t="s">
        <v>819</v>
      </c>
      <c r="X1205" s="5" t="s">
        <v>820</v>
      </c>
      <c r="Y1205" s="5" t="s">
        <v>5161</v>
      </c>
      <c r="Z1205" s="9">
        <v>46170</v>
      </c>
      <c r="AA1205" s="8">
        <v>12</v>
      </c>
      <c r="AB1205" s="9">
        <f t="shared" si="55"/>
        <v>46535</v>
      </c>
      <c r="AC1205" s="10">
        <v>22</v>
      </c>
      <c r="AD1205" s="7">
        <f t="shared" si="56"/>
        <v>788</v>
      </c>
      <c r="AE1205" s="7">
        <f>IF(F1205="Bullet",H1205*AD1205,MIN(MAX(I1205,1),Assumptions!$B$6)*AD1205)</f>
        <v>788</v>
      </c>
      <c r="AF1205" s="8">
        <f>IF(F1205="Bullet",MAX(0,Assumptions!$B$4-AB1205),MAX(0,Assumptions!$B$4-L1205))</f>
        <v>5</v>
      </c>
      <c r="AG1205" s="9">
        <v>46267</v>
      </c>
      <c r="AH1205" s="8">
        <f>IF(AG1205="","",Assumptions!$B$4-AG1205)</f>
        <v>31</v>
      </c>
      <c r="AI1205" s="5" t="s">
        <v>57</v>
      </c>
      <c r="AJ1205" s="8">
        <v>1</v>
      </c>
      <c r="AK1205" s="8">
        <v>0</v>
      </c>
      <c r="AL1205" s="8" t="s">
        <v>80</v>
      </c>
      <c r="AM1205" s="8">
        <v>0</v>
      </c>
      <c r="AN1205" s="5" t="s">
        <v>63</v>
      </c>
      <c r="AO1205" s="10">
        <v>70</v>
      </c>
      <c r="AP1205" s="8">
        <v>25</v>
      </c>
      <c r="AQ1205" s="9"/>
      <c r="AR1205" s="5"/>
      <c r="AS1205" s="5" t="s">
        <v>159</v>
      </c>
    </row>
    <row r="1206" spans="1:45" x14ac:dyDescent="0.35">
      <c r="A1206" s="5" t="s">
        <v>5162</v>
      </c>
      <c r="B1206" s="5" t="s">
        <v>5163</v>
      </c>
      <c r="C1206" s="6" t="s">
        <v>5164</v>
      </c>
      <c r="D1206" s="7">
        <v>111600</v>
      </c>
      <c r="E1206" s="5" t="s">
        <v>48</v>
      </c>
      <c r="F1206" s="5" t="s">
        <v>49</v>
      </c>
      <c r="G1206" s="8"/>
      <c r="H1206" s="8" t="str">
        <f>IF(F1206="Bullet",MIN(G1206,Assumptions!$B$6),"")</f>
        <v/>
      </c>
      <c r="I1206" s="8">
        <v>2</v>
      </c>
      <c r="J1206" s="8">
        <f>IF(F1206="Monthly interest",MAX(0,Assumptions!$B$5-I1206),"")</f>
        <v>1</v>
      </c>
      <c r="K1206" s="7">
        <f t="shared" si="54"/>
        <v>2604</v>
      </c>
      <c r="L1206" s="9">
        <v>46268</v>
      </c>
      <c r="M1206" s="5" t="s">
        <v>116</v>
      </c>
      <c r="N1206" s="5" t="s">
        <v>117</v>
      </c>
      <c r="O1206" s="5" t="s">
        <v>118</v>
      </c>
      <c r="P1206" s="5" t="s">
        <v>72</v>
      </c>
      <c r="Q1206" s="5" t="s">
        <v>119</v>
      </c>
      <c r="R1206" s="5" t="s">
        <v>120</v>
      </c>
      <c r="S1206" s="5" t="s">
        <v>85</v>
      </c>
      <c r="T1206" s="5" t="s">
        <v>57</v>
      </c>
      <c r="U1206" s="5" t="s">
        <v>86</v>
      </c>
      <c r="V1206" s="5" t="s">
        <v>96</v>
      </c>
      <c r="W1206" s="5" t="s">
        <v>819</v>
      </c>
      <c r="X1206" s="5" t="s">
        <v>2797</v>
      </c>
      <c r="Y1206" s="5" t="s">
        <v>5165</v>
      </c>
      <c r="Z1206" s="9">
        <v>46176</v>
      </c>
      <c r="AA1206" s="8">
        <v>12</v>
      </c>
      <c r="AB1206" s="9">
        <f t="shared" si="55"/>
        <v>46541</v>
      </c>
      <c r="AC1206" s="10">
        <v>14</v>
      </c>
      <c r="AD1206" s="7">
        <f t="shared" si="56"/>
        <v>1302</v>
      </c>
      <c r="AE1206" s="7">
        <f>IF(F1206="Bullet",H1206*AD1206,MIN(MAX(I1206,1),Assumptions!$B$6)*AD1206)</f>
        <v>2604</v>
      </c>
      <c r="AF1206" s="8">
        <f>IF(F1206="Bullet",MAX(0,Assumptions!$B$4-AB1206),MAX(0,Assumptions!$B$4-L1206))</f>
        <v>30</v>
      </c>
      <c r="AG1206" s="9">
        <v>46241</v>
      </c>
      <c r="AH1206" s="8">
        <f>IF(AG1206="","",Assumptions!$B$4-AG1206)</f>
        <v>57</v>
      </c>
      <c r="AI1206" s="5" t="s">
        <v>63</v>
      </c>
      <c r="AJ1206" s="8">
        <v>4</v>
      </c>
      <c r="AK1206" s="8">
        <v>1</v>
      </c>
      <c r="AL1206" s="8">
        <v>713</v>
      </c>
      <c r="AM1206" s="8">
        <v>1</v>
      </c>
      <c r="AN1206" s="5" t="s">
        <v>63</v>
      </c>
      <c r="AO1206" s="10">
        <v>48.6</v>
      </c>
      <c r="AP1206" s="8">
        <v>56</v>
      </c>
      <c r="AQ1206" s="9">
        <v>46282</v>
      </c>
      <c r="AR1206" s="5" t="s">
        <v>70</v>
      </c>
      <c r="AS1206" s="5" t="s">
        <v>81</v>
      </c>
    </row>
    <row r="1207" spans="1:45" x14ac:dyDescent="0.35">
      <c r="A1207" s="5" t="s">
        <v>5166</v>
      </c>
      <c r="B1207" s="5" t="s">
        <v>4719</v>
      </c>
      <c r="C1207" s="6" t="s">
        <v>5167</v>
      </c>
      <c r="D1207" s="7">
        <v>28400</v>
      </c>
      <c r="E1207" s="5" t="s">
        <v>48</v>
      </c>
      <c r="F1207" s="5" t="s">
        <v>68</v>
      </c>
      <c r="G1207" s="8">
        <v>2</v>
      </c>
      <c r="H1207" s="8">
        <f>IF(F1207="Bullet",MIN(G1207,Assumptions!$B$6),"")</f>
        <v>2</v>
      </c>
      <c r="I1207" s="8"/>
      <c r="J1207" s="8" t="str">
        <f>IF(F1207="Monthly interest",MAX(0,Assumptions!$B$5-I1207),"")</f>
        <v/>
      </c>
      <c r="K1207" s="7">
        <f t="shared" si="54"/>
        <v>568</v>
      </c>
      <c r="L1207" s="9">
        <v>46215</v>
      </c>
      <c r="M1207" s="5" t="s">
        <v>50</v>
      </c>
      <c r="N1207" s="5" t="s">
        <v>53</v>
      </c>
      <c r="O1207" s="5" t="s">
        <v>152</v>
      </c>
      <c r="P1207" s="5" t="s">
        <v>153</v>
      </c>
      <c r="Q1207" s="5" t="s">
        <v>154</v>
      </c>
      <c r="R1207" s="5" t="s">
        <v>155</v>
      </c>
      <c r="S1207" s="5" t="s">
        <v>85</v>
      </c>
      <c r="T1207" s="5" t="s">
        <v>63</v>
      </c>
      <c r="U1207" s="5" t="s">
        <v>86</v>
      </c>
      <c r="V1207" s="5" t="s">
        <v>96</v>
      </c>
      <c r="W1207" s="5" t="s">
        <v>97</v>
      </c>
      <c r="X1207" s="5" t="s">
        <v>98</v>
      </c>
      <c r="Y1207" s="5" t="s">
        <v>5168</v>
      </c>
      <c r="Z1207" s="9">
        <v>46215</v>
      </c>
      <c r="AA1207" s="8">
        <v>12</v>
      </c>
      <c r="AB1207" s="9">
        <f t="shared" si="55"/>
        <v>46580</v>
      </c>
      <c r="AC1207" s="10">
        <v>12</v>
      </c>
      <c r="AD1207" s="7">
        <f t="shared" si="56"/>
        <v>284</v>
      </c>
      <c r="AE1207" s="7">
        <f>IF(F1207="Bullet",H1207*AD1207,MIN(MAX(I1207,1),Assumptions!$B$6)*AD1207)</f>
        <v>568</v>
      </c>
      <c r="AF1207" s="8">
        <f>IF(F1207="Bullet",MAX(0,Assumptions!$B$4-AB1207),MAX(0,Assumptions!$B$4-L1207))</f>
        <v>0</v>
      </c>
      <c r="AG1207" s="9"/>
      <c r="AH1207" s="8" t="str">
        <f>IF(AG1207="","",Assumptions!$B$4-AG1207)</f>
        <v/>
      </c>
      <c r="AI1207" s="5" t="s">
        <v>80</v>
      </c>
      <c r="AJ1207" s="8"/>
      <c r="AK1207" s="8">
        <v>0</v>
      </c>
      <c r="AL1207" s="8">
        <v>728</v>
      </c>
      <c r="AM1207" s="8">
        <v>2</v>
      </c>
      <c r="AN1207" s="5" t="s">
        <v>63</v>
      </c>
      <c r="AO1207" s="10">
        <v>70.2</v>
      </c>
      <c r="AP1207" s="8">
        <v>18</v>
      </c>
      <c r="AQ1207" s="9">
        <v>46279</v>
      </c>
      <c r="AR1207" s="5" t="s">
        <v>53</v>
      </c>
      <c r="AS1207" s="5" t="s">
        <v>81</v>
      </c>
    </row>
    <row r="1208" spans="1:45" x14ac:dyDescent="0.35">
      <c r="A1208" s="5" t="s">
        <v>5169</v>
      </c>
      <c r="B1208" s="5" t="s">
        <v>276</v>
      </c>
      <c r="C1208" s="6" t="s">
        <v>5170</v>
      </c>
      <c r="D1208" s="7">
        <v>572900</v>
      </c>
      <c r="E1208" s="5" t="s">
        <v>48</v>
      </c>
      <c r="F1208" s="5" t="s">
        <v>49</v>
      </c>
      <c r="G1208" s="8"/>
      <c r="H1208" s="8" t="str">
        <f>IF(F1208="Bullet",MIN(G1208,Assumptions!$B$6),"")</f>
        <v/>
      </c>
      <c r="I1208" s="8">
        <v>1</v>
      </c>
      <c r="J1208" s="8">
        <f>IF(F1208="Monthly interest",MAX(0,Assumptions!$B$5-I1208),"")</f>
        <v>2</v>
      </c>
      <c r="K1208" s="7">
        <f t="shared" si="54"/>
        <v>8594</v>
      </c>
      <c r="L1208" s="9">
        <v>46286</v>
      </c>
      <c r="M1208" s="5" t="s">
        <v>50</v>
      </c>
      <c r="N1208" s="5" t="s">
        <v>53</v>
      </c>
      <c r="O1208" s="5" t="s">
        <v>95</v>
      </c>
      <c r="P1208" s="5" t="s">
        <v>70</v>
      </c>
      <c r="Q1208" s="5" t="s">
        <v>54</v>
      </c>
      <c r="R1208" s="5" t="s">
        <v>55</v>
      </c>
      <c r="S1208" s="5" t="s">
        <v>214</v>
      </c>
      <c r="T1208" s="5" t="s">
        <v>63</v>
      </c>
      <c r="U1208" s="5" t="s">
        <v>58</v>
      </c>
      <c r="V1208" s="5" t="s">
        <v>215</v>
      </c>
      <c r="W1208" s="5" t="s">
        <v>216</v>
      </c>
      <c r="X1208" s="5" t="s">
        <v>1505</v>
      </c>
      <c r="Y1208" s="5" t="s">
        <v>5171</v>
      </c>
      <c r="Z1208" s="9">
        <v>46074</v>
      </c>
      <c r="AA1208" s="8">
        <v>24</v>
      </c>
      <c r="AB1208" s="9">
        <f t="shared" si="55"/>
        <v>46804</v>
      </c>
      <c r="AC1208" s="10">
        <v>18</v>
      </c>
      <c r="AD1208" s="7">
        <f t="shared" si="56"/>
        <v>8594</v>
      </c>
      <c r="AE1208" s="7">
        <f>IF(F1208="Bullet",H1208*AD1208,MIN(MAX(I1208,1),Assumptions!$B$6)*AD1208)</f>
        <v>8594</v>
      </c>
      <c r="AF1208" s="8">
        <f>IF(F1208="Bullet",MAX(0,Assumptions!$B$4-AB1208),MAX(0,Assumptions!$B$4-L1208))</f>
        <v>12</v>
      </c>
      <c r="AG1208" s="9">
        <v>46260</v>
      </c>
      <c r="AH1208" s="8">
        <f>IF(AG1208="","",Assumptions!$B$4-AG1208)</f>
        <v>38</v>
      </c>
      <c r="AI1208" s="5" t="s">
        <v>57</v>
      </c>
      <c r="AJ1208" s="8">
        <v>1</v>
      </c>
      <c r="AK1208" s="8">
        <v>0</v>
      </c>
      <c r="AL1208" s="8">
        <v>730</v>
      </c>
      <c r="AM1208" s="8">
        <v>0</v>
      </c>
      <c r="AN1208" s="5" t="s">
        <v>63</v>
      </c>
      <c r="AO1208" s="10">
        <v>73.7</v>
      </c>
      <c r="AP1208" s="8">
        <v>19</v>
      </c>
      <c r="AQ1208" s="9">
        <v>46285</v>
      </c>
      <c r="AR1208" s="5" t="s">
        <v>51</v>
      </c>
      <c r="AS1208" s="5" t="s">
        <v>64</v>
      </c>
    </row>
    <row r="1209" spans="1:45" x14ac:dyDescent="0.35">
      <c r="A1209" s="5" t="s">
        <v>5172</v>
      </c>
      <c r="B1209" s="5" t="s">
        <v>902</v>
      </c>
      <c r="C1209" s="6" t="s">
        <v>5173</v>
      </c>
      <c r="D1209" s="7">
        <v>105600</v>
      </c>
      <c r="E1209" s="5" t="s">
        <v>48</v>
      </c>
      <c r="F1209" s="5" t="s">
        <v>49</v>
      </c>
      <c r="G1209" s="8"/>
      <c r="H1209" s="8" t="str">
        <f>IF(F1209="Bullet",MIN(G1209,Assumptions!$B$6),"")</f>
        <v/>
      </c>
      <c r="I1209" s="8">
        <v>2</v>
      </c>
      <c r="J1209" s="8">
        <f>IF(F1209="Monthly interest",MAX(0,Assumptions!$B$5-I1209),"")</f>
        <v>1</v>
      </c>
      <c r="K1209" s="7">
        <f t="shared" si="54"/>
        <v>2640</v>
      </c>
      <c r="L1209" s="9">
        <v>46238</v>
      </c>
      <c r="M1209" s="5" t="s">
        <v>69</v>
      </c>
      <c r="N1209" s="5" t="s">
        <v>53</v>
      </c>
      <c r="O1209" s="5" t="s">
        <v>71</v>
      </c>
      <c r="P1209" s="5" t="s">
        <v>70</v>
      </c>
      <c r="Q1209" s="5" t="s">
        <v>73</v>
      </c>
      <c r="R1209" s="5" t="s">
        <v>74</v>
      </c>
      <c r="S1209" s="5" t="s">
        <v>85</v>
      </c>
      <c r="T1209" s="5" t="s">
        <v>57</v>
      </c>
      <c r="U1209" s="5" t="s">
        <v>104</v>
      </c>
      <c r="V1209" s="5" t="s">
        <v>177</v>
      </c>
      <c r="W1209" s="5" t="s">
        <v>208</v>
      </c>
      <c r="X1209" s="5" t="s">
        <v>1817</v>
      </c>
      <c r="Y1209" s="5" t="s">
        <v>5174</v>
      </c>
      <c r="Z1209" s="9">
        <v>46026</v>
      </c>
      <c r="AA1209" s="8">
        <v>12</v>
      </c>
      <c r="AB1209" s="9">
        <f t="shared" si="55"/>
        <v>46391</v>
      </c>
      <c r="AC1209" s="10">
        <v>15</v>
      </c>
      <c r="AD1209" s="7">
        <f t="shared" si="56"/>
        <v>1320</v>
      </c>
      <c r="AE1209" s="7">
        <f>IF(F1209="Bullet",H1209*AD1209,MIN(MAX(I1209,1),Assumptions!$B$6)*AD1209)</f>
        <v>2640</v>
      </c>
      <c r="AF1209" s="8">
        <f>IF(F1209="Bullet",MAX(0,Assumptions!$B$4-AB1209),MAX(0,Assumptions!$B$4-L1209))</f>
        <v>60</v>
      </c>
      <c r="AG1209" s="9">
        <v>46212</v>
      </c>
      <c r="AH1209" s="8">
        <f>IF(AG1209="","",Assumptions!$B$4-AG1209)</f>
        <v>86</v>
      </c>
      <c r="AI1209" s="5" t="s">
        <v>57</v>
      </c>
      <c r="AJ1209" s="8">
        <v>2</v>
      </c>
      <c r="AK1209" s="8">
        <v>0</v>
      </c>
      <c r="AL1209" s="8">
        <v>684</v>
      </c>
      <c r="AM1209" s="8">
        <v>1</v>
      </c>
      <c r="AN1209" s="5" t="s">
        <v>63</v>
      </c>
      <c r="AO1209" s="10">
        <v>72</v>
      </c>
      <c r="AP1209" s="8">
        <v>39</v>
      </c>
      <c r="AQ1209" s="9">
        <v>46273</v>
      </c>
      <c r="AR1209" s="5" t="s">
        <v>72</v>
      </c>
      <c r="AS1209" s="5" t="s">
        <v>190</v>
      </c>
    </row>
    <row r="1210" spans="1:45" x14ac:dyDescent="0.35">
      <c r="A1210" s="5" t="s">
        <v>5175</v>
      </c>
      <c r="B1210" s="5" t="s">
        <v>3860</v>
      </c>
      <c r="C1210" s="6" t="s">
        <v>5176</v>
      </c>
      <c r="D1210" s="7">
        <v>60800</v>
      </c>
      <c r="E1210" s="5" t="s">
        <v>48</v>
      </c>
      <c r="F1210" s="5" t="s">
        <v>49</v>
      </c>
      <c r="G1210" s="8"/>
      <c r="H1210" s="8" t="str">
        <f>IF(F1210="Bullet",MIN(G1210,Assumptions!$B$6),"")</f>
        <v/>
      </c>
      <c r="I1210" s="8">
        <v>1</v>
      </c>
      <c r="J1210" s="8">
        <f>IF(F1210="Monthly interest",MAX(0,Assumptions!$B$5-I1210),"")</f>
        <v>2</v>
      </c>
      <c r="K1210" s="7">
        <f t="shared" si="54"/>
        <v>1013</v>
      </c>
      <c r="L1210" s="9">
        <v>46291</v>
      </c>
      <c r="M1210" s="5" t="s">
        <v>69</v>
      </c>
      <c r="N1210" s="5" t="s">
        <v>53</v>
      </c>
      <c r="O1210" s="5" t="s">
        <v>103</v>
      </c>
      <c r="P1210" s="5" t="s">
        <v>70</v>
      </c>
      <c r="Q1210" s="5" t="s">
        <v>54</v>
      </c>
      <c r="R1210" s="5" t="s">
        <v>55</v>
      </c>
      <c r="S1210" s="5" t="s">
        <v>185</v>
      </c>
      <c r="T1210" s="5" t="s">
        <v>57</v>
      </c>
      <c r="U1210" s="5" t="s">
        <v>86</v>
      </c>
      <c r="V1210" s="5" t="s">
        <v>200</v>
      </c>
      <c r="W1210" s="5" t="s">
        <v>433</v>
      </c>
      <c r="X1210" s="5" t="s">
        <v>3246</v>
      </c>
      <c r="Y1210" s="5" t="s">
        <v>5177</v>
      </c>
      <c r="Z1210" s="9">
        <v>46017</v>
      </c>
      <c r="AA1210" s="8">
        <v>18</v>
      </c>
      <c r="AB1210" s="9">
        <f t="shared" si="55"/>
        <v>46564</v>
      </c>
      <c r="AC1210" s="10">
        <v>20</v>
      </c>
      <c r="AD1210" s="7">
        <f t="shared" si="56"/>
        <v>1013</v>
      </c>
      <c r="AE1210" s="7">
        <f>IF(F1210="Bullet",H1210*AD1210,MIN(MAX(I1210,1),Assumptions!$B$6)*AD1210)</f>
        <v>1013</v>
      </c>
      <c r="AF1210" s="8">
        <f>IF(F1210="Bullet",MAX(0,Assumptions!$B$4-AB1210),MAX(0,Assumptions!$B$4-L1210))</f>
        <v>7</v>
      </c>
      <c r="AG1210" s="9">
        <v>46265</v>
      </c>
      <c r="AH1210" s="8">
        <f>IF(AG1210="","",Assumptions!$B$4-AG1210)</f>
        <v>33</v>
      </c>
      <c r="AI1210" s="5" t="s">
        <v>63</v>
      </c>
      <c r="AJ1210" s="8">
        <v>2</v>
      </c>
      <c r="AK1210" s="8">
        <v>1</v>
      </c>
      <c r="AL1210" s="8">
        <v>762</v>
      </c>
      <c r="AM1210" s="8">
        <v>2</v>
      </c>
      <c r="AN1210" s="5" t="s">
        <v>63</v>
      </c>
      <c r="AO1210" s="10">
        <v>81.3</v>
      </c>
      <c r="AP1210" s="8">
        <v>33</v>
      </c>
      <c r="AQ1210" s="9">
        <v>46294</v>
      </c>
      <c r="AR1210" s="5" t="s">
        <v>51</v>
      </c>
      <c r="AS1210" s="5" t="s">
        <v>81</v>
      </c>
    </row>
    <row r="1211" spans="1:45" x14ac:dyDescent="0.35">
      <c r="A1211" s="5" t="s">
        <v>5178</v>
      </c>
      <c r="B1211" s="5" t="s">
        <v>2593</v>
      </c>
      <c r="C1211" s="6" t="s">
        <v>5179</v>
      </c>
      <c r="D1211" s="7">
        <v>155300</v>
      </c>
      <c r="E1211" s="5" t="s">
        <v>48</v>
      </c>
      <c r="F1211" s="5" t="s">
        <v>49</v>
      </c>
      <c r="G1211" s="8"/>
      <c r="H1211" s="8" t="str">
        <f>IF(F1211="Bullet",MIN(G1211,Assumptions!$B$6),"")</f>
        <v/>
      </c>
      <c r="I1211" s="8">
        <v>1</v>
      </c>
      <c r="J1211" s="8">
        <f>IF(F1211="Monthly interest",MAX(0,Assumptions!$B$5-I1211),"")</f>
        <v>2</v>
      </c>
      <c r="K1211" s="7">
        <f t="shared" si="54"/>
        <v>2847</v>
      </c>
      <c r="L1211" s="9">
        <v>46276</v>
      </c>
      <c r="M1211" s="5" t="s">
        <v>50</v>
      </c>
      <c r="N1211" s="5" t="s">
        <v>51</v>
      </c>
      <c r="O1211" s="5" t="s">
        <v>52</v>
      </c>
      <c r="P1211" s="5" t="s">
        <v>53</v>
      </c>
      <c r="Q1211" s="5" t="s">
        <v>54</v>
      </c>
      <c r="R1211" s="5" t="s">
        <v>55</v>
      </c>
      <c r="S1211" s="5" t="s">
        <v>56</v>
      </c>
      <c r="T1211" s="5" t="s">
        <v>57</v>
      </c>
      <c r="U1211" s="5" t="s">
        <v>86</v>
      </c>
      <c r="V1211" s="5" t="s">
        <v>59</v>
      </c>
      <c r="W1211" s="5" t="s">
        <v>60</v>
      </c>
      <c r="X1211" s="5" t="s">
        <v>4828</v>
      </c>
      <c r="Y1211" s="5" t="s">
        <v>5180</v>
      </c>
      <c r="Z1211" s="9">
        <v>46214</v>
      </c>
      <c r="AA1211" s="8">
        <v>18</v>
      </c>
      <c r="AB1211" s="9">
        <f t="shared" si="55"/>
        <v>46763</v>
      </c>
      <c r="AC1211" s="10">
        <v>22</v>
      </c>
      <c r="AD1211" s="7">
        <f t="shared" si="56"/>
        <v>2847</v>
      </c>
      <c r="AE1211" s="7">
        <f>IF(F1211="Bullet",H1211*AD1211,MIN(MAX(I1211,1),Assumptions!$B$6)*AD1211)</f>
        <v>2847</v>
      </c>
      <c r="AF1211" s="8">
        <f>IF(F1211="Bullet",MAX(0,Assumptions!$B$4-AB1211),MAX(0,Assumptions!$B$4-L1211))</f>
        <v>22</v>
      </c>
      <c r="AG1211" s="9">
        <v>46247</v>
      </c>
      <c r="AH1211" s="8">
        <f>IF(AG1211="","",Assumptions!$B$4-AG1211)</f>
        <v>51</v>
      </c>
      <c r="AI1211" s="5" t="s">
        <v>63</v>
      </c>
      <c r="AJ1211" s="8">
        <v>1</v>
      </c>
      <c r="AK1211" s="8">
        <v>1</v>
      </c>
      <c r="AL1211" s="8">
        <v>670</v>
      </c>
      <c r="AM1211" s="8">
        <v>1</v>
      </c>
      <c r="AN1211" s="5" t="s">
        <v>63</v>
      </c>
      <c r="AO1211" s="10">
        <v>70.2</v>
      </c>
      <c r="AP1211" s="8">
        <v>28</v>
      </c>
      <c r="AQ1211" s="9">
        <v>46275</v>
      </c>
      <c r="AR1211" s="5" t="s">
        <v>53</v>
      </c>
      <c r="AS1211" s="5" t="s">
        <v>91</v>
      </c>
    </row>
    <row r="1212" spans="1:45" x14ac:dyDescent="0.35">
      <c r="A1212" s="5" t="s">
        <v>5181</v>
      </c>
      <c r="B1212" s="5" t="s">
        <v>1173</v>
      </c>
      <c r="C1212" s="6" t="s">
        <v>5182</v>
      </c>
      <c r="D1212" s="7">
        <v>575000</v>
      </c>
      <c r="E1212" s="5" t="s">
        <v>48</v>
      </c>
      <c r="F1212" s="5" t="s">
        <v>68</v>
      </c>
      <c r="G1212" s="8">
        <v>3</v>
      </c>
      <c r="H1212" s="8">
        <f>IF(F1212="Bullet",MIN(G1212,Assumptions!$B$6),"")</f>
        <v>2</v>
      </c>
      <c r="I1212" s="8"/>
      <c r="J1212" s="8" t="str">
        <f>IF(F1212="Monthly interest",MAX(0,Assumptions!$B$5-I1212),"")</f>
        <v/>
      </c>
      <c r="K1212" s="7">
        <f t="shared" si="54"/>
        <v>20124</v>
      </c>
      <c r="L1212" s="9">
        <v>46196</v>
      </c>
      <c r="M1212" s="5" t="s">
        <v>50</v>
      </c>
      <c r="N1212" s="5" t="s">
        <v>53</v>
      </c>
      <c r="O1212" s="5" t="s">
        <v>71</v>
      </c>
      <c r="P1212" s="5" t="s">
        <v>51</v>
      </c>
      <c r="Q1212" s="5" t="s">
        <v>73</v>
      </c>
      <c r="R1212" s="5" t="s">
        <v>74</v>
      </c>
      <c r="S1212" s="5" t="s">
        <v>85</v>
      </c>
      <c r="T1212" s="5" t="s">
        <v>57</v>
      </c>
      <c r="U1212" s="5" t="s">
        <v>86</v>
      </c>
      <c r="V1212" s="5" t="s">
        <v>553</v>
      </c>
      <c r="W1212" s="5" t="s">
        <v>554</v>
      </c>
      <c r="X1212" s="5" t="s">
        <v>987</v>
      </c>
      <c r="Y1212" s="5" t="s">
        <v>5183</v>
      </c>
      <c r="Z1212" s="9">
        <v>46196</v>
      </c>
      <c r="AA1212" s="8">
        <v>12</v>
      </c>
      <c r="AB1212" s="9">
        <f t="shared" si="55"/>
        <v>46561</v>
      </c>
      <c r="AC1212" s="10">
        <v>14</v>
      </c>
      <c r="AD1212" s="7">
        <f t="shared" si="56"/>
        <v>6708</v>
      </c>
      <c r="AE1212" s="7">
        <f>IF(F1212="Bullet",H1212*AD1212,MIN(MAX(I1212,1),Assumptions!$B$6)*AD1212)</f>
        <v>13416</v>
      </c>
      <c r="AF1212" s="8">
        <f>IF(F1212="Bullet",MAX(0,Assumptions!$B$4-AB1212),MAX(0,Assumptions!$B$4-L1212))</f>
        <v>0</v>
      </c>
      <c r="AG1212" s="9"/>
      <c r="AH1212" s="8" t="str">
        <f>IF(AG1212="","",Assumptions!$B$4-AG1212)</f>
        <v/>
      </c>
      <c r="AI1212" s="5" t="s">
        <v>80</v>
      </c>
      <c r="AJ1212" s="8"/>
      <c r="AK1212" s="8">
        <v>0</v>
      </c>
      <c r="AL1212" s="8">
        <v>656</v>
      </c>
      <c r="AM1212" s="8">
        <v>0</v>
      </c>
      <c r="AN1212" s="5" t="s">
        <v>63</v>
      </c>
      <c r="AO1212" s="10">
        <v>68.099999999999994</v>
      </c>
      <c r="AP1212" s="8">
        <v>26</v>
      </c>
      <c r="AQ1212" s="9">
        <v>46291</v>
      </c>
      <c r="AR1212" s="5" t="s">
        <v>70</v>
      </c>
      <c r="AS1212" s="5" t="s">
        <v>81</v>
      </c>
    </row>
    <row r="1213" spans="1:45" x14ac:dyDescent="0.35">
      <c r="A1213" s="5" t="s">
        <v>5184</v>
      </c>
      <c r="B1213" s="5" t="s">
        <v>5185</v>
      </c>
      <c r="C1213" s="6" t="s">
        <v>5186</v>
      </c>
      <c r="D1213" s="7">
        <v>298400</v>
      </c>
      <c r="E1213" s="5" t="s">
        <v>48</v>
      </c>
      <c r="F1213" s="5" t="s">
        <v>49</v>
      </c>
      <c r="G1213" s="8"/>
      <c r="H1213" s="8" t="str">
        <f>IF(F1213="Bullet",MIN(G1213,Assumptions!$B$6),"")</f>
        <v/>
      </c>
      <c r="I1213" s="8">
        <v>1</v>
      </c>
      <c r="J1213" s="8">
        <f>IF(F1213="Monthly interest",MAX(0,Assumptions!$B$5-I1213),"")</f>
        <v>2</v>
      </c>
      <c r="K1213" s="7">
        <f t="shared" si="54"/>
        <v>5471</v>
      </c>
      <c r="L1213" s="9">
        <v>46277</v>
      </c>
      <c r="M1213" s="5" t="s">
        <v>69</v>
      </c>
      <c r="N1213" s="5" t="s">
        <v>51</v>
      </c>
      <c r="O1213" s="5" t="s">
        <v>52</v>
      </c>
      <c r="P1213" s="5" t="s">
        <v>53</v>
      </c>
      <c r="Q1213" s="5" t="s">
        <v>54</v>
      </c>
      <c r="R1213" s="5" t="s">
        <v>55</v>
      </c>
      <c r="S1213" s="5" t="s">
        <v>214</v>
      </c>
      <c r="T1213" s="5" t="s">
        <v>57</v>
      </c>
      <c r="U1213" s="5" t="s">
        <v>86</v>
      </c>
      <c r="V1213" s="5" t="s">
        <v>215</v>
      </c>
      <c r="W1213" s="5" t="s">
        <v>216</v>
      </c>
      <c r="X1213" s="5" t="s">
        <v>5187</v>
      </c>
      <c r="Y1213" s="5" t="s">
        <v>5188</v>
      </c>
      <c r="Z1213" s="9">
        <v>46185</v>
      </c>
      <c r="AA1213" s="8">
        <v>12</v>
      </c>
      <c r="AB1213" s="9">
        <f t="shared" si="55"/>
        <v>46550</v>
      </c>
      <c r="AC1213" s="10">
        <v>22</v>
      </c>
      <c r="AD1213" s="7">
        <f t="shared" si="56"/>
        <v>5471</v>
      </c>
      <c r="AE1213" s="7">
        <f>IF(F1213="Bullet",H1213*AD1213,MIN(MAX(I1213,1),Assumptions!$B$6)*AD1213)</f>
        <v>5471</v>
      </c>
      <c r="AF1213" s="8">
        <f>IF(F1213="Bullet",MAX(0,Assumptions!$B$4-AB1213),MAX(0,Assumptions!$B$4-L1213))</f>
        <v>21</v>
      </c>
      <c r="AG1213" s="9">
        <v>46247</v>
      </c>
      <c r="AH1213" s="8">
        <f>IF(AG1213="","",Assumptions!$B$4-AG1213)</f>
        <v>51</v>
      </c>
      <c r="AI1213" s="5" t="s">
        <v>63</v>
      </c>
      <c r="AJ1213" s="8">
        <v>1</v>
      </c>
      <c r="AK1213" s="8">
        <v>1</v>
      </c>
      <c r="AL1213" s="8">
        <v>686</v>
      </c>
      <c r="AM1213" s="8">
        <v>1</v>
      </c>
      <c r="AN1213" s="5" t="s">
        <v>63</v>
      </c>
      <c r="AO1213" s="10">
        <v>71.5</v>
      </c>
      <c r="AP1213" s="8">
        <v>31</v>
      </c>
      <c r="AQ1213" s="9">
        <v>46284</v>
      </c>
      <c r="AR1213" s="5" t="s">
        <v>70</v>
      </c>
      <c r="AS1213" s="5" t="s">
        <v>181</v>
      </c>
    </row>
    <row r="1214" spans="1:45" x14ac:dyDescent="0.35">
      <c r="A1214" s="5" t="s">
        <v>5189</v>
      </c>
      <c r="B1214" s="5" t="s">
        <v>2841</v>
      </c>
      <c r="C1214" s="6" t="s">
        <v>5190</v>
      </c>
      <c r="D1214" s="7">
        <v>270300</v>
      </c>
      <c r="E1214" s="5" t="s">
        <v>48</v>
      </c>
      <c r="F1214" s="5" t="s">
        <v>68</v>
      </c>
      <c r="G1214" s="8">
        <v>2</v>
      </c>
      <c r="H1214" s="8">
        <f>IF(F1214="Bullet",MIN(G1214,Assumptions!$B$6),"")</f>
        <v>2</v>
      </c>
      <c r="I1214" s="8"/>
      <c r="J1214" s="8" t="str">
        <f>IF(F1214="Monthly interest",MAX(0,Assumptions!$B$5-I1214),"")</f>
        <v/>
      </c>
      <c r="K1214" s="7">
        <f t="shared" si="54"/>
        <v>8110</v>
      </c>
      <c r="L1214" s="9">
        <v>46227</v>
      </c>
      <c r="M1214" s="5" t="s">
        <v>50</v>
      </c>
      <c r="N1214" s="5" t="s">
        <v>51</v>
      </c>
      <c r="O1214" s="5" t="s">
        <v>71</v>
      </c>
      <c r="P1214" s="5" t="s">
        <v>53</v>
      </c>
      <c r="Q1214" s="5" t="s">
        <v>73</v>
      </c>
      <c r="R1214" s="5" t="s">
        <v>74</v>
      </c>
      <c r="S1214" s="5" t="s">
        <v>185</v>
      </c>
      <c r="T1214" s="5" t="s">
        <v>57</v>
      </c>
      <c r="U1214" s="5" t="s">
        <v>104</v>
      </c>
      <c r="V1214" s="5" t="s">
        <v>186</v>
      </c>
      <c r="W1214" s="5" t="s">
        <v>187</v>
      </c>
      <c r="X1214" s="5" t="s">
        <v>734</v>
      </c>
      <c r="Y1214" s="5" t="s">
        <v>5191</v>
      </c>
      <c r="Z1214" s="9">
        <v>46227</v>
      </c>
      <c r="AA1214" s="8">
        <v>12</v>
      </c>
      <c r="AB1214" s="9">
        <f t="shared" si="55"/>
        <v>46592</v>
      </c>
      <c r="AC1214" s="10">
        <v>18</v>
      </c>
      <c r="AD1214" s="7">
        <f t="shared" si="56"/>
        <v>4055</v>
      </c>
      <c r="AE1214" s="7">
        <f>IF(F1214="Bullet",H1214*AD1214,MIN(MAX(I1214,1),Assumptions!$B$6)*AD1214)</f>
        <v>8110</v>
      </c>
      <c r="AF1214" s="8">
        <f>IF(F1214="Bullet",MAX(0,Assumptions!$B$4-AB1214),MAX(0,Assumptions!$B$4-L1214))</f>
        <v>0</v>
      </c>
      <c r="AG1214" s="9"/>
      <c r="AH1214" s="8" t="str">
        <f>IF(AG1214="","",Assumptions!$B$4-AG1214)</f>
        <v/>
      </c>
      <c r="AI1214" s="5" t="s">
        <v>80</v>
      </c>
      <c r="AJ1214" s="8"/>
      <c r="AK1214" s="8">
        <v>0</v>
      </c>
      <c r="AL1214" s="8">
        <v>724</v>
      </c>
      <c r="AM1214" s="8">
        <v>1</v>
      </c>
      <c r="AN1214" s="5" t="s">
        <v>63</v>
      </c>
      <c r="AO1214" s="10">
        <v>75.900000000000006</v>
      </c>
      <c r="AP1214" s="8">
        <v>13</v>
      </c>
      <c r="AQ1214" s="9">
        <v>46281</v>
      </c>
      <c r="AR1214" s="5" t="s">
        <v>70</v>
      </c>
      <c r="AS1214" s="5" t="s">
        <v>64</v>
      </c>
    </row>
    <row r="1215" spans="1:45" x14ac:dyDescent="0.35">
      <c r="A1215" s="5" t="s">
        <v>5192</v>
      </c>
      <c r="B1215" s="5" t="s">
        <v>4586</v>
      </c>
      <c r="C1215" s="6" t="s">
        <v>5193</v>
      </c>
      <c r="D1215" s="7">
        <v>217800</v>
      </c>
      <c r="E1215" s="5" t="s">
        <v>48</v>
      </c>
      <c r="F1215" s="5" t="s">
        <v>68</v>
      </c>
      <c r="G1215" s="8">
        <v>3</v>
      </c>
      <c r="H1215" s="8">
        <f>IF(F1215="Bullet",MIN(G1215,Assumptions!$B$6),"")</f>
        <v>2</v>
      </c>
      <c r="I1215" s="8"/>
      <c r="J1215" s="8" t="str">
        <f>IF(F1215="Monthly interest",MAX(0,Assumptions!$B$5-I1215),"")</f>
        <v/>
      </c>
      <c r="K1215" s="7">
        <f t="shared" si="54"/>
        <v>8712</v>
      </c>
      <c r="L1215" s="9">
        <v>46206</v>
      </c>
      <c r="M1215" s="5" t="s">
        <v>69</v>
      </c>
      <c r="N1215" s="5" t="s">
        <v>70</v>
      </c>
      <c r="O1215" s="5" t="s">
        <v>71</v>
      </c>
      <c r="P1215" s="5" t="s">
        <v>72</v>
      </c>
      <c r="Q1215" s="5" t="s">
        <v>73</v>
      </c>
      <c r="R1215" s="5" t="s">
        <v>74</v>
      </c>
      <c r="S1215" s="5" t="s">
        <v>85</v>
      </c>
      <c r="T1215" s="5" t="s">
        <v>57</v>
      </c>
      <c r="U1215" s="5" t="s">
        <v>58</v>
      </c>
      <c r="V1215" s="5" t="s">
        <v>96</v>
      </c>
      <c r="W1215" s="5" t="s">
        <v>819</v>
      </c>
      <c r="X1215" s="5" t="s">
        <v>1939</v>
      </c>
      <c r="Y1215" s="5" t="s">
        <v>5194</v>
      </c>
      <c r="Z1215" s="9">
        <v>46206</v>
      </c>
      <c r="AA1215" s="8">
        <v>12</v>
      </c>
      <c r="AB1215" s="9">
        <f t="shared" si="55"/>
        <v>46571</v>
      </c>
      <c r="AC1215" s="10">
        <v>16</v>
      </c>
      <c r="AD1215" s="7">
        <f t="shared" si="56"/>
        <v>2904</v>
      </c>
      <c r="AE1215" s="7">
        <f>IF(F1215="Bullet",H1215*AD1215,MIN(MAX(I1215,1),Assumptions!$B$6)*AD1215)</f>
        <v>5808</v>
      </c>
      <c r="AF1215" s="8">
        <f>IF(F1215="Bullet",MAX(0,Assumptions!$B$4-AB1215),MAX(0,Assumptions!$B$4-L1215))</f>
        <v>0</v>
      </c>
      <c r="AG1215" s="9"/>
      <c r="AH1215" s="8" t="str">
        <f>IF(AG1215="","",Assumptions!$B$4-AG1215)</f>
        <v/>
      </c>
      <c r="AI1215" s="5" t="s">
        <v>80</v>
      </c>
      <c r="AJ1215" s="8"/>
      <c r="AK1215" s="8">
        <v>1</v>
      </c>
      <c r="AL1215" s="8">
        <v>602</v>
      </c>
      <c r="AM1215" s="8">
        <v>2</v>
      </c>
      <c r="AN1215" s="5" t="s">
        <v>63</v>
      </c>
      <c r="AO1215" s="10">
        <v>75.2</v>
      </c>
      <c r="AP1215" s="8">
        <v>35</v>
      </c>
      <c r="AQ1215" s="9">
        <v>46289</v>
      </c>
      <c r="AR1215" s="5" t="s">
        <v>51</v>
      </c>
      <c r="AS1215" s="5" t="s">
        <v>81</v>
      </c>
    </row>
    <row r="1216" spans="1:45" x14ac:dyDescent="0.35">
      <c r="A1216" s="5" t="s">
        <v>5195</v>
      </c>
      <c r="B1216" s="5" t="s">
        <v>5196</v>
      </c>
      <c r="C1216" s="6" t="s">
        <v>5197</v>
      </c>
      <c r="D1216" s="7">
        <v>71200</v>
      </c>
      <c r="E1216" s="5" t="s">
        <v>48</v>
      </c>
      <c r="F1216" s="5" t="s">
        <v>68</v>
      </c>
      <c r="G1216" s="8">
        <v>2</v>
      </c>
      <c r="H1216" s="8">
        <f>IF(F1216="Bullet",MIN(G1216,Assumptions!$B$6),"")</f>
        <v>2</v>
      </c>
      <c r="I1216" s="8"/>
      <c r="J1216" s="8" t="str">
        <f>IF(F1216="Monthly interest",MAX(0,Assumptions!$B$5-I1216),"")</f>
        <v/>
      </c>
      <c r="K1216" s="7">
        <f t="shared" si="54"/>
        <v>1662</v>
      </c>
      <c r="L1216" s="9">
        <v>46219</v>
      </c>
      <c r="M1216" s="5" t="s">
        <v>50</v>
      </c>
      <c r="N1216" s="5" t="s">
        <v>51</v>
      </c>
      <c r="O1216" s="5" t="s">
        <v>71</v>
      </c>
      <c r="P1216" s="5" t="s">
        <v>53</v>
      </c>
      <c r="Q1216" s="5" t="s">
        <v>73</v>
      </c>
      <c r="R1216" s="5" t="s">
        <v>74</v>
      </c>
      <c r="S1216" s="5" t="s">
        <v>214</v>
      </c>
      <c r="T1216" s="5" t="s">
        <v>57</v>
      </c>
      <c r="U1216" s="5" t="s">
        <v>86</v>
      </c>
      <c r="V1216" s="5" t="s">
        <v>215</v>
      </c>
      <c r="W1216" s="5" t="s">
        <v>232</v>
      </c>
      <c r="X1216" s="5" t="s">
        <v>3573</v>
      </c>
      <c r="Y1216" s="5" t="s">
        <v>5198</v>
      </c>
      <c r="Z1216" s="9">
        <v>46219</v>
      </c>
      <c r="AA1216" s="8">
        <v>12</v>
      </c>
      <c r="AB1216" s="9">
        <f t="shared" si="55"/>
        <v>46584</v>
      </c>
      <c r="AC1216" s="10">
        <v>14</v>
      </c>
      <c r="AD1216" s="7">
        <f t="shared" si="56"/>
        <v>831</v>
      </c>
      <c r="AE1216" s="7">
        <f>IF(F1216="Bullet",H1216*AD1216,MIN(MAX(I1216,1),Assumptions!$B$6)*AD1216)</f>
        <v>1662</v>
      </c>
      <c r="AF1216" s="8">
        <f>IF(F1216="Bullet",MAX(0,Assumptions!$B$4-AB1216),MAX(0,Assumptions!$B$4-L1216))</f>
        <v>0</v>
      </c>
      <c r="AG1216" s="9"/>
      <c r="AH1216" s="8" t="str">
        <f>IF(AG1216="","",Assumptions!$B$4-AG1216)</f>
        <v/>
      </c>
      <c r="AI1216" s="5" t="s">
        <v>80</v>
      </c>
      <c r="AJ1216" s="8"/>
      <c r="AK1216" s="8">
        <v>1</v>
      </c>
      <c r="AL1216" s="8">
        <v>725</v>
      </c>
      <c r="AM1216" s="8">
        <v>2</v>
      </c>
      <c r="AN1216" s="5" t="s">
        <v>63</v>
      </c>
      <c r="AO1216" s="10">
        <v>76</v>
      </c>
      <c r="AP1216" s="8">
        <v>28</v>
      </c>
      <c r="AQ1216" s="9">
        <v>46275</v>
      </c>
      <c r="AR1216" s="5" t="s">
        <v>53</v>
      </c>
      <c r="AS1216" s="5" t="s">
        <v>64</v>
      </c>
    </row>
    <row r="1217" spans="1:45" x14ac:dyDescent="0.35">
      <c r="A1217" s="5" t="s">
        <v>5199</v>
      </c>
      <c r="B1217" s="5" t="s">
        <v>2186</v>
      </c>
      <c r="C1217" s="6" t="s">
        <v>5200</v>
      </c>
      <c r="D1217" s="7">
        <v>392200</v>
      </c>
      <c r="E1217" s="5" t="s">
        <v>48</v>
      </c>
      <c r="F1217" s="5" t="s">
        <v>49</v>
      </c>
      <c r="G1217" s="8"/>
      <c r="H1217" s="8" t="str">
        <f>IF(F1217="Bullet",MIN(G1217,Assumptions!$B$6),"")</f>
        <v/>
      </c>
      <c r="I1217" s="8">
        <v>2</v>
      </c>
      <c r="J1217" s="8">
        <f>IF(F1217="Monthly interest",MAX(0,Assumptions!$B$5-I1217),"")</f>
        <v>1</v>
      </c>
      <c r="K1217" s="7">
        <f t="shared" si="54"/>
        <v>15688</v>
      </c>
      <c r="L1217" s="9">
        <v>46267</v>
      </c>
      <c r="M1217" s="5" t="s">
        <v>69</v>
      </c>
      <c r="N1217" s="5" t="s">
        <v>70</v>
      </c>
      <c r="O1217" s="5" t="s">
        <v>71</v>
      </c>
      <c r="P1217" s="5" t="s">
        <v>72</v>
      </c>
      <c r="Q1217" s="5" t="s">
        <v>73</v>
      </c>
      <c r="R1217" s="5" t="s">
        <v>74</v>
      </c>
      <c r="S1217" s="5" t="s">
        <v>75</v>
      </c>
      <c r="T1217" s="5" t="s">
        <v>57</v>
      </c>
      <c r="U1217" s="5" t="s">
        <v>58</v>
      </c>
      <c r="V1217" s="5" t="s">
        <v>76</v>
      </c>
      <c r="W1217" s="5" t="s">
        <v>382</v>
      </c>
      <c r="X1217" s="5" t="s">
        <v>2691</v>
      </c>
      <c r="Y1217" s="5" t="s">
        <v>5201</v>
      </c>
      <c r="Z1217" s="9">
        <v>46055</v>
      </c>
      <c r="AA1217" s="8">
        <v>12</v>
      </c>
      <c r="AB1217" s="9">
        <f t="shared" si="55"/>
        <v>46420</v>
      </c>
      <c r="AC1217" s="10">
        <v>24</v>
      </c>
      <c r="AD1217" s="7">
        <f t="shared" si="56"/>
        <v>7844</v>
      </c>
      <c r="AE1217" s="7">
        <f>IF(F1217="Bullet",H1217*AD1217,MIN(MAX(I1217,1),Assumptions!$B$6)*AD1217)</f>
        <v>15688</v>
      </c>
      <c r="AF1217" s="8">
        <f>IF(F1217="Bullet",MAX(0,Assumptions!$B$4-AB1217),MAX(0,Assumptions!$B$4-L1217))</f>
        <v>31</v>
      </c>
      <c r="AG1217" s="9">
        <v>46240</v>
      </c>
      <c r="AH1217" s="8">
        <f>IF(AG1217="","",Assumptions!$B$4-AG1217)</f>
        <v>58</v>
      </c>
      <c r="AI1217" s="5" t="s">
        <v>63</v>
      </c>
      <c r="AJ1217" s="8">
        <v>2</v>
      </c>
      <c r="AK1217" s="8">
        <v>2</v>
      </c>
      <c r="AL1217" s="8">
        <v>761</v>
      </c>
      <c r="AM1217" s="8">
        <v>0</v>
      </c>
      <c r="AN1217" s="5" t="s">
        <v>63</v>
      </c>
      <c r="AO1217" s="10">
        <v>73.7</v>
      </c>
      <c r="AP1217" s="8">
        <v>47</v>
      </c>
      <c r="AQ1217" s="9">
        <v>46295</v>
      </c>
      <c r="AR1217" s="5" t="s">
        <v>70</v>
      </c>
      <c r="AS1217" s="5" t="s">
        <v>64</v>
      </c>
    </row>
    <row r="1218" spans="1:45" x14ac:dyDescent="0.35">
      <c r="A1218" s="5" t="s">
        <v>5202</v>
      </c>
      <c r="B1218" s="5" t="s">
        <v>5203</v>
      </c>
      <c r="C1218" s="6" t="s">
        <v>5204</v>
      </c>
      <c r="D1218" s="7">
        <v>43600</v>
      </c>
      <c r="E1218" s="5" t="s">
        <v>48</v>
      </c>
      <c r="F1218" s="5" t="s">
        <v>49</v>
      </c>
      <c r="G1218" s="8"/>
      <c r="H1218" s="8" t="str">
        <f>IF(F1218="Bullet",MIN(G1218,Assumptions!$B$6),"")</f>
        <v/>
      </c>
      <c r="I1218" s="8">
        <v>1</v>
      </c>
      <c r="J1218" s="8">
        <f>IF(F1218="Monthly interest",MAX(0,Assumptions!$B$5-I1218),"")</f>
        <v>2</v>
      </c>
      <c r="K1218" s="7">
        <f t="shared" ref="K1218:K1281" si="57">IF(F1218="Bullet",G1218*AD1218,MAX(I1218,1)*AD1218)</f>
        <v>545</v>
      </c>
      <c r="L1218" s="9">
        <v>46283</v>
      </c>
      <c r="M1218" s="5" t="s">
        <v>50</v>
      </c>
      <c r="N1218" s="5" t="s">
        <v>53</v>
      </c>
      <c r="O1218" s="5" t="s">
        <v>132</v>
      </c>
      <c r="P1218" s="5" t="s">
        <v>153</v>
      </c>
      <c r="Q1218" s="5" t="s">
        <v>154</v>
      </c>
      <c r="R1218" s="5" t="s">
        <v>155</v>
      </c>
      <c r="S1218" s="5" t="s">
        <v>56</v>
      </c>
      <c r="T1218" s="5" t="s">
        <v>57</v>
      </c>
      <c r="U1218" s="5" t="s">
        <v>58</v>
      </c>
      <c r="V1218" s="5" t="s">
        <v>59</v>
      </c>
      <c r="W1218" s="5" t="s">
        <v>126</v>
      </c>
      <c r="X1218" s="5" t="s">
        <v>4836</v>
      </c>
      <c r="Y1218" s="5" t="s">
        <v>5205</v>
      </c>
      <c r="Z1218" s="9">
        <v>46040</v>
      </c>
      <c r="AA1218" s="8">
        <v>12</v>
      </c>
      <c r="AB1218" s="9">
        <f t="shared" ref="AB1218:AB1281" si="58">EDATE(Z1218,AA1218)</f>
        <v>46405</v>
      </c>
      <c r="AC1218" s="10">
        <v>15</v>
      </c>
      <c r="AD1218" s="7">
        <f t="shared" ref="AD1218:AD1281" si="59">ROUND(D1218*AC1218/100/12,0)</f>
        <v>545</v>
      </c>
      <c r="AE1218" s="7">
        <f>IF(F1218="Bullet",H1218*AD1218,MIN(MAX(I1218,1),Assumptions!$B$6)*AD1218)</f>
        <v>545</v>
      </c>
      <c r="AF1218" s="8">
        <f>IF(F1218="Bullet",MAX(0,Assumptions!$B$4-AB1218),MAX(0,Assumptions!$B$4-L1218))</f>
        <v>15</v>
      </c>
      <c r="AG1218" s="9">
        <v>46253</v>
      </c>
      <c r="AH1218" s="8">
        <f>IF(AG1218="","",Assumptions!$B$4-AG1218)</f>
        <v>45</v>
      </c>
      <c r="AI1218" s="5" t="s">
        <v>63</v>
      </c>
      <c r="AJ1218" s="8">
        <v>2</v>
      </c>
      <c r="AK1218" s="8">
        <v>1</v>
      </c>
      <c r="AL1218" s="8">
        <v>820</v>
      </c>
      <c r="AM1218" s="8">
        <v>2</v>
      </c>
      <c r="AN1218" s="5" t="s">
        <v>63</v>
      </c>
      <c r="AO1218" s="10">
        <v>58.4</v>
      </c>
      <c r="AP1218" s="8">
        <v>29</v>
      </c>
      <c r="AQ1218" s="9">
        <v>46293</v>
      </c>
      <c r="AR1218" s="5" t="s">
        <v>51</v>
      </c>
      <c r="AS1218" s="5" t="s">
        <v>91</v>
      </c>
    </row>
    <row r="1219" spans="1:45" x14ac:dyDescent="0.35">
      <c r="A1219" s="5" t="s">
        <v>5206</v>
      </c>
      <c r="B1219" s="5" t="s">
        <v>5207</v>
      </c>
      <c r="C1219" s="6" t="s">
        <v>5208</v>
      </c>
      <c r="D1219" s="7">
        <v>24300</v>
      </c>
      <c r="E1219" s="5" t="s">
        <v>48</v>
      </c>
      <c r="F1219" s="5" t="s">
        <v>68</v>
      </c>
      <c r="G1219" s="8">
        <v>1</v>
      </c>
      <c r="H1219" s="8">
        <f>IF(F1219="Bullet",MIN(G1219,Assumptions!$B$6),"")</f>
        <v>1</v>
      </c>
      <c r="I1219" s="8"/>
      <c r="J1219" s="8" t="str">
        <f>IF(F1219="Monthly interest",MAX(0,Assumptions!$B$5-I1219),"")</f>
        <v/>
      </c>
      <c r="K1219" s="7">
        <f t="shared" si="57"/>
        <v>243</v>
      </c>
      <c r="L1219" s="9">
        <v>46264</v>
      </c>
      <c r="M1219" s="5" t="s">
        <v>50</v>
      </c>
      <c r="N1219" s="5" t="s">
        <v>53</v>
      </c>
      <c r="O1219" s="5" t="s">
        <v>132</v>
      </c>
      <c r="P1219" s="5" t="s">
        <v>153</v>
      </c>
      <c r="Q1219" s="5" t="s">
        <v>154</v>
      </c>
      <c r="R1219" s="5" t="s">
        <v>155</v>
      </c>
      <c r="S1219" s="5" t="s">
        <v>185</v>
      </c>
      <c r="T1219" s="5" t="s">
        <v>57</v>
      </c>
      <c r="U1219" s="5" t="s">
        <v>104</v>
      </c>
      <c r="V1219" s="5" t="s">
        <v>186</v>
      </c>
      <c r="W1219" s="5" t="s">
        <v>376</v>
      </c>
      <c r="X1219" s="5" t="s">
        <v>2510</v>
      </c>
      <c r="Y1219" s="5" t="s">
        <v>5209</v>
      </c>
      <c r="Z1219" s="9">
        <v>46264</v>
      </c>
      <c r="AA1219" s="8">
        <v>6</v>
      </c>
      <c r="AB1219" s="9">
        <f t="shared" si="58"/>
        <v>46446</v>
      </c>
      <c r="AC1219" s="10">
        <v>12</v>
      </c>
      <c r="AD1219" s="7">
        <f t="shared" si="59"/>
        <v>243</v>
      </c>
      <c r="AE1219" s="7">
        <f>IF(F1219="Bullet",H1219*AD1219,MIN(MAX(I1219,1),Assumptions!$B$6)*AD1219)</f>
        <v>243</v>
      </c>
      <c r="AF1219" s="8">
        <f>IF(F1219="Bullet",MAX(0,Assumptions!$B$4-AB1219),MAX(0,Assumptions!$B$4-L1219))</f>
        <v>0</v>
      </c>
      <c r="AG1219" s="9"/>
      <c r="AH1219" s="8" t="str">
        <f>IF(AG1219="","",Assumptions!$B$4-AG1219)</f>
        <v/>
      </c>
      <c r="AI1219" s="5" t="s">
        <v>80</v>
      </c>
      <c r="AJ1219" s="8"/>
      <c r="AK1219" s="8">
        <v>0</v>
      </c>
      <c r="AL1219" s="8">
        <v>650</v>
      </c>
      <c r="AM1219" s="8">
        <v>0</v>
      </c>
      <c r="AN1219" s="5" t="s">
        <v>63</v>
      </c>
      <c r="AO1219" s="10">
        <v>77.8</v>
      </c>
      <c r="AP1219" s="8">
        <v>17</v>
      </c>
      <c r="AQ1219" s="9">
        <v>46289</v>
      </c>
      <c r="AR1219" s="5" t="s">
        <v>51</v>
      </c>
      <c r="AS1219" s="5" t="s">
        <v>91</v>
      </c>
    </row>
    <row r="1220" spans="1:45" x14ac:dyDescent="0.35">
      <c r="A1220" s="5" t="s">
        <v>5210</v>
      </c>
      <c r="B1220" s="5" t="s">
        <v>5211</v>
      </c>
      <c r="C1220" s="6" t="s">
        <v>5212</v>
      </c>
      <c r="D1220" s="7">
        <v>664800</v>
      </c>
      <c r="E1220" s="5" t="s">
        <v>48</v>
      </c>
      <c r="F1220" s="5" t="s">
        <v>49</v>
      </c>
      <c r="G1220" s="8"/>
      <c r="H1220" s="8" t="str">
        <f>IF(F1220="Bullet",MIN(G1220,Assumptions!$B$6),"")</f>
        <v/>
      </c>
      <c r="I1220" s="8">
        <v>1</v>
      </c>
      <c r="J1220" s="8">
        <f>IF(F1220="Monthly interest",MAX(0,Assumptions!$B$5-I1220),"")</f>
        <v>2</v>
      </c>
      <c r="K1220" s="7">
        <f t="shared" si="57"/>
        <v>11080</v>
      </c>
      <c r="L1220" s="9">
        <v>46290</v>
      </c>
      <c r="M1220" s="5" t="s">
        <v>69</v>
      </c>
      <c r="N1220" s="5" t="s">
        <v>53</v>
      </c>
      <c r="O1220" s="5" t="s">
        <v>132</v>
      </c>
      <c r="P1220" s="5" t="s">
        <v>70</v>
      </c>
      <c r="Q1220" s="5" t="s">
        <v>54</v>
      </c>
      <c r="R1220" s="5" t="s">
        <v>55</v>
      </c>
      <c r="S1220" s="5" t="s">
        <v>185</v>
      </c>
      <c r="T1220" s="5" t="s">
        <v>57</v>
      </c>
      <c r="U1220" s="5" t="s">
        <v>86</v>
      </c>
      <c r="V1220" s="5" t="s">
        <v>186</v>
      </c>
      <c r="W1220" s="5" t="s">
        <v>376</v>
      </c>
      <c r="X1220" s="5" t="s">
        <v>1978</v>
      </c>
      <c r="Y1220" s="5" t="s">
        <v>5213</v>
      </c>
      <c r="Z1220" s="9">
        <v>46106</v>
      </c>
      <c r="AA1220" s="8">
        <v>12</v>
      </c>
      <c r="AB1220" s="9">
        <f t="shared" si="58"/>
        <v>46471</v>
      </c>
      <c r="AC1220" s="10">
        <v>20</v>
      </c>
      <c r="AD1220" s="7">
        <f t="shared" si="59"/>
        <v>11080</v>
      </c>
      <c r="AE1220" s="7">
        <f>IF(F1220="Bullet",H1220*AD1220,MIN(MAX(I1220,1),Assumptions!$B$6)*AD1220)</f>
        <v>11080</v>
      </c>
      <c r="AF1220" s="8">
        <f>IF(F1220="Bullet",MAX(0,Assumptions!$B$4-AB1220),MAX(0,Assumptions!$B$4-L1220))</f>
        <v>8</v>
      </c>
      <c r="AG1220" s="9">
        <v>46260</v>
      </c>
      <c r="AH1220" s="8">
        <f>IF(AG1220="","",Assumptions!$B$4-AG1220)</f>
        <v>38</v>
      </c>
      <c r="AI1220" s="5" t="s">
        <v>63</v>
      </c>
      <c r="AJ1220" s="8">
        <v>1</v>
      </c>
      <c r="AK1220" s="8">
        <v>0</v>
      </c>
      <c r="AL1220" s="8" t="s">
        <v>80</v>
      </c>
      <c r="AM1220" s="8">
        <v>0</v>
      </c>
      <c r="AN1220" s="5" t="s">
        <v>63</v>
      </c>
      <c r="AO1220" s="10">
        <v>82.5</v>
      </c>
      <c r="AP1220" s="8">
        <v>32</v>
      </c>
      <c r="AQ1220" s="9">
        <v>46296</v>
      </c>
      <c r="AR1220" s="5" t="s">
        <v>51</v>
      </c>
      <c r="AS1220" s="5" t="s">
        <v>91</v>
      </c>
    </row>
    <row r="1221" spans="1:45" x14ac:dyDescent="0.35">
      <c r="A1221" s="5" t="s">
        <v>5214</v>
      </c>
      <c r="B1221" s="5" t="s">
        <v>4139</v>
      </c>
      <c r="C1221" s="6" t="s">
        <v>5215</v>
      </c>
      <c r="D1221" s="7">
        <v>142500</v>
      </c>
      <c r="E1221" s="5" t="s">
        <v>48</v>
      </c>
      <c r="F1221" s="5" t="s">
        <v>49</v>
      </c>
      <c r="G1221" s="8"/>
      <c r="H1221" s="8" t="str">
        <f>IF(F1221="Bullet",MIN(G1221,Assumptions!$B$6),"")</f>
        <v/>
      </c>
      <c r="I1221" s="8">
        <v>1</v>
      </c>
      <c r="J1221" s="8">
        <f>IF(F1221="Monthly interest",MAX(0,Assumptions!$B$5-I1221),"")</f>
        <v>2</v>
      </c>
      <c r="K1221" s="7">
        <f t="shared" si="57"/>
        <v>1663</v>
      </c>
      <c r="L1221" s="9">
        <v>46276</v>
      </c>
      <c r="M1221" s="5" t="s">
        <v>50</v>
      </c>
      <c r="N1221" s="5" t="s">
        <v>53</v>
      </c>
      <c r="O1221" s="5" t="s">
        <v>95</v>
      </c>
      <c r="P1221" s="5" t="s">
        <v>70</v>
      </c>
      <c r="Q1221" s="5" t="s">
        <v>54</v>
      </c>
      <c r="R1221" s="5" t="s">
        <v>55</v>
      </c>
      <c r="S1221" s="5" t="s">
        <v>85</v>
      </c>
      <c r="T1221" s="5" t="s">
        <v>63</v>
      </c>
      <c r="U1221" s="5" t="s">
        <v>104</v>
      </c>
      <c r="V1221" s="5" t="s">
        <v>87</v>
      </c>
      <c r="W1221" s="5" t="s">
        <v>88</v>
      </c>
      <c r="X1221" s="5" t="s">
        <v>5216</v>
      </c>
      <c r="Y1221" s="5" t="s">
        <v>5217</v>
      </c>
      <c r="Z1221" s="9">
        <v>46153</v>
      </c>
      <c r="AA1221" s="8">
        <v>12</v>
      </c>
      <c r="AB1221" s="9">
        <f t="shared" si="58"/>
        <v>46518</v>
      </c>
      <c r="AC1221" s="10">
        <v>14</v>
      </c>
      <c r="AD1221" s="7">
        <f t="shared" si="59"/>
        <v>1663</v>
      </c>
      <c r="AE1221" s="7">
        <f>IF(F1221="Bullet",H1221*AD1221,MIN(MAX(I1221,1),Assumptions!$B$6)*AD1221)</f>
        <v>1663</v>
      </c>
      <c r="AF1221" s="8">
        <f>IF(F1221="Bullet",MAX(0,Assumptions!$B$4-AB1221),MAX(0,Assumptions!$B$4-L1221))</f>
        <v>22</v>
      </c>
      <c r="AG1221" s="9">
        <v>46246</v>
      </c>
      <c r="AH1221" s="8">
        <f>IF(AG1221="","",Assumptions!$B$4-AG1221)</f>
        <v>52</v>
      </c>
      <c r="AI1221" s="5" t="s">
        <v>63</v>
      </c>
      <c r="AJ1221" s="8">
        <v>1</v>
      </c>
      <c r="AK1221" s="8">
        <v>0</v>
      </c>
      <c r="AL1221" s="8" t="s">
        <v>80</v>
      </c>
      <c r="AM1221" s="8">
        <v>0</v>
      </c>
      <c r="AN1221" s="5" t="s">
        <v>63</v>
      </c>
      <c r="AO1221" s="10">
        <v>77.2</v>
      </c>
      <c r="AP1221" s="8">
        <v>30</v>
      </c>
      <c r="AQ1221" s="9">
        <v>46280</v>
      </c>
      <c r="AR1221" s="5" t="s">
        <v>51</v>
      </c>
      <c r="AS1221" s="5" t="s">
        <v>64</v>
      </c>
    </row>
    <row r="1222" spans="1:45" x14ac:dyDescent="0.35">
      <c r="A1222" s="5" t="s">
        <v>5218</v>
      </c>
      <c r="B1222" s="5" t="s">
        <v>3771</v>
      </c>
      <c r="C1222" s="6" t="s">
        <v>5219</v>
      </c>
      <c r="D1222" s="7">
        <v>192200</v>
      </c>
      <c r="E1222" s="5" t="s">
        <v>48</v>
      </c>
      <c r="F1222" s="5" t="s">
        <v>68</v>
      </c>
      <c r="G1222" s="8">
        <v>4</v>
      </c>
      <c r="H1222" s="8">
        <f>IF(F1222="Bullet",MIN(G1222,Assumptions!$B$6),"")</f>
        <v>2</v>
      </c>
      <c r="I1222" s="8"/>
      <c r="J1222" s="8" t="str">
        <f>IF(F1222="Monthly interest",MAX(0,Assumptions!$B$5-I1222),"")</f>
        <v/>
      </c>
      <c r="K1222" s="7">
        <f t="shared" si="57"/>
        <v>10252</v>
      </c>
      <c r="L1222" s="9">
        <v>46162</v>
      </c>
      <c r="M1222" s="5" t="s">
        <v>50</v>
      </c>
      <c r="N1222" s="5" t="s">
        <v>70</v>
      </c>
      <c r="O1222" s="5" t="s">
        <v>295</v>
      </c>
      <c r="P1222" s="5" t="s">
        <v>72</v>
      </c>
      <c r="Q1222" s="5" t="s">
        <v>73</v>
      </c>
      <c r="R1222" s="5" t="s">
        <v>74</v>
      </c>
      <c r="S1222" s="5" t="s">
        <v>56</v>
      </c>
      <c r="T1222" s="5" t="s">
        <v>57</v>
      </c>
      <c r="U1222" s="5" t="s">
        <v>104</v>
      </c>
      <c r="V1222" s="5" t="s">
        <v>59</v>
      </c>
      <c r="W1222" s="5" t="s">
        <v>194</v>
      </c>
      <c r="X1222" s="5" t="s">
        <v>2879</v>
      </c>
      <c r="Y1222" s="5" t="s">
        <v>5220</v>
      </c>
      <c r="Z1222" s="9">
        <v>46162</v>
      </c>
      <c r="AA1222" s="8">
        <v>12</v>
      </c>
      <c r="AB1222" s="9">
        <f t="shared" si="58"/>
        <v>46527</v>
      </c>
      <c r="AC1222" s="10">
        <v>16</v>
      </c>
      <c r="AD1222" s="7">
        <f t="shared" si="59"/>
        <v>2563</v>
      </c>
      <c r="AE1222" s="7">
        <f>IF(F1222="Bullet",H1222*AD1222,MIN(MAX(I1222,1),Assumptions!$B$6)*AD1222)</f>
        <v>5126</v>
      </c>
      <c r="AF1222" s="8">
        <f>IF(F1222="Bullet",MAX(0,Assumptions!$B$4-AB1222),MAX(0,Assumptions!$B$4-L1222))</f>
        <v>0</v>
      </c>
      <c r="AG1222" s="9"/>
      <c r="AH1222" s="8" t="str">
        <f>IF(AG1222="","",Assumptions!$B$4-AG1222)</f>
        <v/>
      </c>
      <c r="AI1222" s="5" t="s">
        <v>80</v>
      </c>
      <c r="AJ1222" s="8"/>
      <c r="AK1222" s="8">
        <v>1</v>
      </c>
      <c r="AL1222" s="8">
        <v>816</v>
      </c>
      <c r="AM1222" s="8">
        <v>0</v>
      </c>
      <c r="AN1222" s="5" t="s">
        <v>63</v>
      </c>
      <c r="AO1222" s="10">
        <v>60.8</v>
      </c>
      <c r="AP1222" s="8">
        <v>18</v>
      </c>
      <c r="AQ1222" s="9">
        <v>46289</v>
      </c>
      <c r="AR1222" s="5" t="s">
        <v>53</v>
      </c>
      <c r="AS1222" s="5" t="s">
        <v>91</v>
      </c>
    </row>
    <row r="1223" spans="1:45" x14ac:dyDescent="0.35">
      <c r="A1223" s="5" t="s">
        <v>5221</v>
      </c>
      <c r="B1223" s="5" t="s">
        <v>5222</v>
      </c>
      <c r="C1223" s="6" t="s">
        <v>5223</v>
      </c>
      <c r="D1223" s="7">
        <v>262800</v>
      </c>
      <c r="E1223" s="5" t="s">
        <v>48</v>
      </c>
      <c r="F1223" s="5" t="s">
        <v>49</v>
      </c>
      <c r="G1223" s="8"/>
      <c r="H1223" s="8" t="str">
        <f>IF(F1223="Bullet",MIN(G1223,Assumptions!$B$6),"")</f>
        <v/>
      </c>
      <c r="I1223" s="8">
        <v>2</v>
      </c>
      <c r="J1223" s="8">
        <f>IF(F1223="Monthly interest",MAX(0,Assumptions!$B$5-I1223),"")</f>
        <v>1</v>
      </c>
      <c r="K1223" s="7">
        <f t="shared" si="57"/>
        <v>6570</v>
      </c>
      <c r="L1223" s="9">
        <v>46243</v>
      </c>
      <c r="M1223" s="5" t="s">
        <v>69</v>
      </c>
      <c r="N1223" s="5" t="s">
        <v>70</v>
      </c>
      <c r="O1223" s="5" t="s">
        <v>71</v>
      </c>
      <c r="P1223" s="5" t="s">
        <v>72</v>
      </c>
      <c r="Q1223" s="5" t="s">
        <v>73</v>
      </c>
      <c r="R1223" s="5" t="s">
        <v>74</v>
      </c>
      <c r="S1223" s="5" t="s">
        <v>75</v>
      </c>
      <c r="T1223" s="5" t="s">
        <v>57</v>
      </c>
      <c r="U1223" s="5" t="s">
        <v>86</v>
      </c>
      <c r="V1223" s="5" t="s">
        <v>76</v>
      </c>
      <c r="W1223" s="5" t="s">
        <v>444</v>
      </c>
      <c r="X1223" s="5" t="s">
        <v>661</v>
      </c>
      <c r="Y1223" s="5" t="s">
        <v>5224</v>
      </c>
      <c r="Z1223" s="9">
        <v>46151</v>
      </c>
      <c r="AA1223" s="8">
        <v>24</v>
      </c>
      <c r="AB1223" s="9">
        <f t="shared" si="58"/>
        <v>46882</v>
      </c>
      <c r="AC1223" s="10">
        <v>15</v>
      </c>
      <c r="AD1223" s="7">
        <f t="shared" si="59"/>
        <v>3285</v>
      </c>
      <c r="AE1223" s="7">
        <f>IF(F1223="Bullet",H1223*AD1223,MIN(MAX(I1223,1),Assumptions!$B$6)*AD1223)</f>
        <v>6570</v>
      </c>
      <c r="AF1223" s="8">
        <f>IF(F1223="Bullet",MAX(0,Assumptions!$B$4-AB1223),MAX(0,Assumptions!$B$4-L1223))</f>
        <v>55</v>
      </c>
      <c r="AG1223" s="9">
        <v>46213</v>
      </c>
      <c r="AH1223" s="8">
        <f>IF(AG1223="","",Assumptions!$B$4-AG1223)</f>
        <v>85</v>
      </c>
      <c r="AI1223" s="5" t="s">
        <v>63</v>
      </c>
      <c r="AJ1223" s="8">
        <v>3</v>
      </c>
      <c r="AK1223" s="8">
        <v>0</v>
      </c>
      <c r="AL1223" s="8">
        <v>737</v>
      </c>
      <c r="AM1223" s="8">
        <v>0</v>
      </c>
      <c r="AN1223" s="5" t="s">
        <v>63</v>
      </c>
      <c r="AO1223" s="10">
        <v>62.7</v>
      </c>
      <c r="AP1223" s="8">
        <v>45</v>
      </c>
      <c r="AQ1223" s="9">
        <v>46282</v>
      </c>
      <c r="AR1223" s="5" t="s">
        <v>51</v>
      </c>
      <c r="AS1223" s="5" t="s">
        <v>81</v>
      </c>
    </row>
    <row r="1224" spans="1:45" x14ac:dyDescent="0.35">
      <c r="A1224" s="5" t="s">
        <v>5225</v>
      </c>
      <c r="B1224" s="5" t="s">
        <v>1295</v>
      </c>
      <c r="C1224" s="6" t="s">
        <v>5226</v>
      </c>
      <c r="D1224" s="7">
        <v>70000</v>
      </c>
      <c r="E1224" s="5" t="s">
        <v>48</v>
      </c>
      <c r="F1224" s="5" t="s">
        <v>49</v>
      </c>
      <c r="G1224" s="8"/>
      <c r="H1224" s="8" t="str">
        <f>IF(F1224="Bullet",MIN(G1224,Assumptions!$B$6),"")</f>
        <v/>
      </c>
      <c r="I1224" s="8">
        <v>1</v>
      </c>
      <c r="J1224" s="8">
        <f>IF(F1224="Monthly interest",MAX(0,Assumptions!$B$5-I1224),"")</f>
        <v>2</v>
      </c>
      <c r="K1224" s="7">
        <f t="shared" si="57"/>
        <v>817</v>
      </c>
      <c r="L1224" s="9">
        <v>46285</v>
      </c>
      <c r="M1224" s="5" t="s">
        <v>69</v>
      </c>
      <c r="N1224" s="5" t="s">
        <v>51</v>
      </c>
      <c r="O1224" s="5" t="s">
        <v>52</v>
      </c>
      <c r="P1224" s="5" t="s">
        <v>53</v>
      </c>
      <c r="Q1224" s="5" t="s">
        <v>54</v>
      </c>
      <c r="R1224" s="5" t="s">
        <v>55</v>
      </c>
      <c r="S1224" s="5" t="s">
        <v>56</v>
      </c>
      <c r="T1224" s="5" t="s">
        <v>57</v>
      </c>
      <c r="U1224" s="5" t="s">
        <v>104</v>
      </c>
      <c r="V1224" s="5" t="s">
        <v>59</v>
      </c>
      <c r="W1224" s="5" t="s">
        <v>300</v>
      </c>
      <c r="X1224" s="5" t="s">
        <v>1193</v>
      </c>
      <c r="Y1224" s="5" t="s">
        <v>5227</v>
      </c>
      <c r="Z1224" s="9">
        <v>46162</v>
      </c>
      <c r="AA1224" s="8">
        <v>24</v>
      </c>
      <c r="AB1224" s="9">
        <f t="shared" si="58"/>
        <v>46893</v>
      </c>
      <c r="AC1224" s="10">
        <v>14</v>
      </c>
      <c r="AD1224" s="7">
        <f t="shared" si="59"/>
        <v>817</v>
      </c>
      <c r="AE1224" s="7">
        <f>IF(F1224="Bullet",H1224*AD1224,MIN(MAX(I1224,1),Assumptions!$B$6)*AD1224)</f>
        <v>817</v>
      </c>
      <c r="AF1224" s="8">
        <f>IF(F1224="Bullet",MAX(0,Assumptions!$B$4-AB1224),MAX(0,Assumptions!$B$4-L1224))</f>
        <v>13</v>
      </c>
      <c r="AG1224" s="9">
        <v>46254</v>
      </c>
      <c r="AH1224" s="8">
        <f>IF(AG1224="","",Assumptions!$B$4-AG1224)</f>
        <v>44</v>
      </c>
      <c r="AI1224" s="5" t="s">
        <v>57</v>
      </c>
      <c r="AJ1224" s="8">
        <v>2</v>
      </c>
      <c r="AK1224" s="8">
        <v>1</v>
      </c>
      <c r="AL1224" s="8">
        <v>607</v>
      </c>
      <c r="AM1224" s="8">
        <v>0</v>
      </c>
      <c r="AN1224" s="5" t="s">
        <v>63</v>
      </c>
      <c r="AO1224" s="10">
        <v>49.9</v>
      </c>
      <c r="AP1224" s="8">
        <v>44</v>
      </c>
      <c r="AQ1224" s="9">
        <v>46277</v>
      </c>
      <c r="AR1224" s="5" t="s">
        <v>51</v>
      </c>
      <c r="AS1224" s="5" t="s">
        <v>181</v>
      </c>
    </row>
    <row r="1225" spans="1:45" x14ac:dyDescent="0.35">
      <c r="A1225" s="5" t="s">
        <v>5228</v>
      </c>
      <c r="B1225" s="5" t="s">
        <v>5229</v>
      </c>
      <c r="C1225" s="6" t="s">
        <v>5230</v>
      </c>
      <c r="D1225" s="7">
        <v>54700</v>
      </c>
      <c r="E1225" s="5" t="s">
        <v>48</v>
      </c>
      <c r="F1225" s="5" t="s">
        <v>68</v>
      </c>
      <c r="G1225" s="8">
        <v>2</v>
      </c>
      <c r="H1225" s="8">
        <f>IF(F1225="Bullet",MIN(G1225,Assumptions!$B$6),"")</f>
        <v>2</v>
      </c>
      <c r="I1225" s="8"/>
      <c r="J1225" s="8" t="str">
        <f>IF(F1225="Monthly interest",MAX(0,Assumptions!$B$5-I1225),"")</f>
        <v/>
      </c>
      <c r="K1225" s="7">
        <f t="shared" si="57"/>
        <v>1094</v>
      </c>
      <c r="L1225" s="9">
        <v>46220</v>
      </c>
      <c r="M1225" s="5" t="s">
        <v>50</v>
      </c>
      <c r="N1225" s="5" t="s">
        <v>51</v>
      </c>
      <c r="O1225" s="5" t="s">
        <v>71</v>
      </c>
      <c r="P1225" s="5" t="s">
        <v>53</v>
      </c>
      <c r="Q1225" s="5" t="s">
        <v>73</v>
      </c>
      <c r="R1225" s="5" t="s">
        <v>74</v>
      </c>
      <c r="S1225" s="5" t="s">
        <v>56</v>
      </c>
      <c r="T1225" s="5" t="s">
        <v>57</v>
      </c>
      <c r="U1225" s="5" t="s">
        <v>104</v>
      </c>
      <c r="V1225" s="5" t="s">
        <v>59</v>
      </c>
      <c r="W1225" s="5" t="s">
        <v>418</v>
      </c>
      <c r="X1225" s="5" t="s">
        <v>1015</v>
      </c>
      <c r="Y1225" s="5" t="s">
        <v>5231</v>
      </c>
      <c r="Z1225" s="9">
        <v>46220</v>
      </c>
      <c r="AA1225" s="8">
        <v>3</v>
      </c>
      <c r="AB1225" s="9">
        <f t="shared" si="58"/>
        <v>46312</v>
      </c>
      <c r="AC1225" s="10">
        <v>12</v>
      </c>
      <c r="AD1225" s="7">
        <f t="shared" si="59"/>
        <v>547</v>
      </c>
      <c r="AE1225" s="7">
        <f>IF(F1225="Bullet",H1225*AD1225,MIN(MAX(I1225,1),Assumptions!$B$6)*AD1225)</f>
        <v>1094</v>
      </c>
      <c r="AF1225" s="8">
        <f>IF(F1225="Bullet",MAX(0,Assumptions!$B$4-AB1225),MAX(0,Assumptions!$B$4-L1225))</f>
        <v>0</v>
      </c>
      <c r="AG1225" s="9"/>
      <c r="AH1225" s="8" t="str">
        <f>IF(AG1225="","",Assumptions!$B$4-AG1225)</f>
        <v/>
      </c>
      <c r="AI1225" s="5" t="s">
        <v>80</v>
      </c>
      <c r="AJ1225" s="8"/>
      <c r="AK1225" s="8">
        <v>0</v>
      </c>
      <c r="AL1225" s="8">
        <v>657</v>
      </c>
      <c r="AM1225" s="8">
        <v>1</v>
      </c>
      <c r="AN1225" s="5" t="s">
        <v>63</v>
      </c>
      <c r="AO1225" s="10">
        <v>60.2</v>
      </c>
      <c r="AP1225" s="8">
        <v>23</v>
      </c>
      <c r="AQ1225" s="9">
        <v>46292</v>
      </c>
      <c r="AR1225" s="5" t="s">
        <v>70</v>
      </c>
      <c r="AS1225" s="5" t="s">
        <v>81</v>
      </c>
    </row>
    <row r="1226" spans="1:45" x14ac:dyDescent="0.35">
      <c r="A1226" s="5" t="s">
        <v>5232</v>
      </c>
      <c r="B1226" s="5" t="s">
        <v>4409</v>
      </c>
      <c r="C1226" s="6" t="s">
        <v>5233</v>
      </c>
      <c r="D1226" s="7">
        <v>253200</v>
      </c>
      <c r="E1226" s="5" t="s">
        <v>48</v>
      </c>
      <c r="F1226" s="5" t="s">
        <v>68</v>
      </c>
      <c r="G1226" s="8">
        <v>3</v>
      </c>
      <c r="H1226" s="8">
        <f>IF(F1226="Bullet",MIN(G1226,Assumptions!$B$6),"")</f>
        <v>2</v>
      </c>
      <c r="I1226" s="8"/>
      <c r="J1226" s="8" t="str">
        <f>IF(F1226="Monthly interest",MAX(0,Assumptions!$B$5-I1226),"")</f>
        <v/>
      </c>
      <c r="K1226" s="7">
        <f t="shared" si="57"/>
        <v>8229</v>
      </c>
      <c r="L1226" s="9">
        <v>46189</v>
      </c>
      <c r="M1226" s="5" t="s">
        <v>116</v>
      </c>
      <c r="N1226" s="5" t="s">
        <v>117</v>
      </c>
      <c r="O1226" s="5" t="s">
        <v>207</v>
      </c>
      <c r="P1226" s="5" t="s">
        <v>72</v>
      </c>
      <c r="Q1226" s="5" t="s">
        <v>73</v>
      </c>
      <c r="R1226" s="5" t="s">
        <v>74</v>
      </c>
      <c r="S1226" s="5" t="s">
        <v>214</v>
      </c>
      <c r="T1226" s="5" t="s">
        <v>57</v>
      </c>
      <c r="U1226" s="5" t="s">
        <v>86</v>
      </c>
      <c r="V1226" s="5" t="s">
        <v>215</v>
      </c>
      <c r="W1226" s="5" t="s">
        <v>232</v>
      </c>
      <c r="X1226" s="5" t="s">
        <v>4654</v>
      </c>
      <c r="Y1226" s="5" t="s">
        <v>5234</v>
      </c>
      <c r="Z1226" s="9">
        <v>46189</v>
      </c>
      <c r="AA1226" s="8">
        <v>12</v>
      </c>
      <c r="AB1226" s="9">
        <f t="shared" si="58"/>
        <v>46554</v>
      </c>
      <c r="AC1226" s="10">
        <v>13</v>
      </c>
      <c r="AD1226" s="7">
        <f t="shared" si="59"/>
        <v>2743</v>
      </c>
      <c r="AE1226" s="7">
        <f>IF(F1226="Bullet",H1226*AD1226,MIN(MAX(I1226,1),Assumptions!$B$6)*AD1226)</f>
        <v>5486</v>
      </c>
      <c r="AF1226" s="8">
        <f>IF(F1226="Bullet",MAX(0,Assumptions!$B$4-AB1226),MAX(0,Assumptions!$B$4-L1226))</f>
        <v>0</v>
      </c>
      <c r="AG1226" s="9"/>
      <c r="AH1226" s="8" t="str">
        <f>IF(AG1226="","",Assumptions!$B$4-AG1226)</f>
        <v/>
      </c>
      <c r="AI1226" s="5" t="s">
        <v>80</v>
      </c>
      <c r="AJ1226" s="8"/>
      <c r="AK1226" s="8">
        <v>4</v>
      </c>
      <c r="AL1226" s="8">
        <v>659</v>
      </c>
      <c r="AM1226" s="8">
        <v>2</v>
      </c>
      <c r="AN1226" s="5" t="s">
        <v>63</v>
      </c>
      <c r="AO1226" s="10">
        <v>77.900000000000006</v>
      </c>
      <c r="AP1226" s="8">
        <v>57</v>
      </c>
      <c r="AQ1226" s="9">
        <v>46290</v>
      </c>
      <c r="AR1226" s="5" t="s">
        <v>51</v>
      </c>
      <c r="AS1226" s="5" t="s">
        <v>64</v>
      </c>
    </row>
    <row r="1227" spans="1:45" x14ac:dyDescent="0.35">
      <c r="A1227" s="5" t="s">
        <v>5235</v>
      </c>
      <c r="B1227" s="5" t="s">
        <v>5236</v>
      </c>
      <c r="C1227" s="6" t="s">
        <v>5237</v>
      </c>
      <c r="D1227" s="7">
        <v>236000</v>
      </c>
      <c r="E1227" s="5" t="s">
        <v>48</v>
      </c>
      <c r="F1227" s="5" t="s">
        <v>49</v>
      </c>
      <c r="G1227" s="8"/>
      <c r="H1227" s="8" t="str">
        <f>IF(F1227="Bullet",MIN(G1227,Assumptions!$B$6),"")</f>
        <v/>
      </c>
      <c r="I1227" s="8">
        <v>1</v>
      </c>
      <c r="J1227" s="8">
        <f>IF(F1227="Monthly interest",MAX(0,Assumptions!$B$5-I1227),"")</f>
        <v>2</v>
      </c>
      <c r="K1227" s="7">
        <f t="shared" si="57"/>
        <v>4327</v>
      </c>
      <c r="L1227" s="9">
        <v>46274</v>
      </c>
      <c r="M1227" s="5" t="s">
        <v>69</v>
      </c>
      <c r="N1227" s="5" t="s">
        <v>51</v>
      </c>
      <c r="O1227" s="5" t="s">
        <v>52</v>
      </c>
      <c r="P1227" s="5" t="s">
        <v>53</v>
      </c>
      <c r="Q1227" s="5" t="s">
        <v>54</v>
      </c>
      <c r="R1227" s="5" t="s">
        <v>55</v>
      </c>
      <c r="S1227" s="5" t="s">
        <v>85</v>
      </c>
      <c r="T1227" s="5" t="s">
        <v>57</v>
      </c>
      <c r="U1227" s="5" t="s">
        <v>86</v>
      </c>
      <c r="V1227" s="5" t="s">
        <v>96</v>
      </c>
      <c r="W1227" s="5" t="s">
        <v>171</v>
      </c>
      <c r="X1227" s="5" t="s">
        <v>5238</v>
      </c>
      <c r="Y1227" s="5" t="s">
        <v>5239</v>
      </c>
      <c r="Z1227" s="9">
        <v>46090</v>
      </c>
      <c r="AA1227" s="8">
        <v>24</v>
      </c>
      <c r="AB1227" s="9">
        <f t="shared" si="58"/>
        <v>46821</v>
      </c>
      <c r="AC1227" s="10">
        <v>22</v>
      </c>
      <c r="AD1227" s="7">
        <f t="shared" si="59"/>
        <v>4327</v>
      </c>
      <c r="AE1227" s="7">
        <f>IF(F1227="Bullet",H1227*AD1227,MIN(MAX(I1227,1),Assumptions!$B$6)*AD1227)</f>
        <v>4327</v>
      </c>
      <c r="AF1227" s="8">
        <f>IF(F1227="Bullet",MAX(0,Assumptions!$B$4-AB1227),MAX(0,Assumptions!$B$4-L1227))</f>
        <v>24</v>
      </c>
      <c r="AG1227" s="9">
        <v>46243</v>
      </c>
      <c r="AH1227" s="8">
        <f>IF(AG1227="","",Assumptions!$B$4-AG1227)</f>
        <v>55</v>
      </c>
      <c r="AI1227" s="5" t="s">
        <v>63</v>
      </c>
      <c r="AJ1227" s="8">
        <v>3</v>
      </c>
      <c r="AK1227" s="8">
        <v>1</v>
      </c>
      <c r="AL1227" s="8">
        <v>699</v>
      </c>
      <c r="AM1227" s="8">
        <v>0</v>
      </c>
      <c r="AN1227" s="5" t="s">
        <v>63</v>
      </c>
      <c r="AO1227" s="10">
        <v>55.4</v>
      </c>
      <c r="AP1227" s="8">
        <v>40</v>
      </c>
      <c r="AQ1227" s="9"/>
      <c r="AR1227" s="5"/>
      <c r="AS1227" s="5" t="s">
        <v>159</v>
      </c>
    </row>
    <row r="1228" spans="1:45" x14ac:dyDescent="0.35">
      <c r="A1228" s="5" t="s">
        <v>5240</v>
      </c>
      <c r="B1228" s="5" t="s">
        <v>5241</v>
      </c>
      <c r="C1228" s="6" t="s">
        <v>5242</v>
      </c>
      <c r="D1228" s="7">
        <v>135900</v>
      </c>
      <c r="E1228" s="5" t="s">
        <v>48</v>
      </c>
      <c r="F1228" s="5" t="s">
        <v>68</v>
      </c>
      <c r="G1228" s="8">
        <v>1</v>
      </c>
      <c r="H1228" s="8">
        <f>IF(F1228="Bullet",MIN(G1228,Assumptions!$B$6),"")</f>
        <v>1</v>
      </c>
      <c r="I1228" s="8"/>
      <c r="J1228" s="8" t="str">
        <f>IF(F1228="Monthly interest",MAX(0,Assumptions!$B$5-I1228),"")</f>
        <v/>
      </c>
      <c r="K1228" s="7">
        <f t="shared" si="57"/>
        <v>1586</v>
      </c>
      <c r="L1228" s="9">
        <v>46266</v>
      </c>
      <c r="M1228" s="5" t="s">
        <v>50</v>
      </c>
      <c r="N1228" s="5" t="s">
        <v>51</v>
      </c>
      <c r="O1228" s="5" t="s">
        <v>71</v>
      </c>
      <c r="P1228" s="5" t="s">
        <v>53</v>
      </c>
      <c r="Q1228" s="5" t="s">
        <v>73</v>
      </c>
      <c r="R1228" s="5" t="s">
        <v>74</v>
      </c>
      <c r="S1228" s="5" t="s">
        <v>56</v>
      </c>
      <c r="T1228" s="5" t="s">
        <v>57</v>
      </c>
      <c r="U1228" s="5" t="s">
        <v>104</v>
      </c>
      <c r="V1228" s="5" t="s">
        <v>59</v>
      </c>
      <c r="W1228" s="5" t="s">
        <v>60</v>
      </c>
      <c r="X1228" s="5" t="s">
        <v>1136</v>
      </c>
      <c r="Y1228" s="5" t="s">
        <v>5243</v>
      </c>
      <c r="Z1228" s="9">
        <v>46266</v>
      </c>
      <c r="AA1228" s="8">
        <v>6</v>
      </c>
      <c r="AB1228" s="9">
        <f t="shared" si="58"/>
        <v>46447</v>
      </c>
      <c r="AC1228" s="10">
        <v>14</v>
      </c>
      <c r="AD1228" s="7">
        <f t="shared" si="59"/>
        <v>1586</v>
      </c>
      <c r="AE1228" s="7">
        <f>IF(F1228="Bullet",H1228*AD1228,MIN(MAX(I1228,1),Assumptions!$B$6)*AD1228)</f>
        <v>1586</v>
      </c>
      <c r="AF1228" s="8">
        <f>IF(F1228="Bullet",MAX(0,Assumptions!$B$4-AB1228),MAX(0,Assumptions!$B$4-L1228))</f>
        <v>0</v>
      </c>
      <c r="AG1228" s="9"/>
      <c r="AH1228" s="8" t="str">
        <f>IF(AG1228="","",Assumptions!$B$4-AG1228)</f>
        <v/>
      </c>
      <c r="AI1228" s="5" t="s">
        <v>80</v>
      </c>
      <c r="AJ1228" s="8"/>
      <c r="AK1228" s="8">
        <v>0</v>
      </c>
      <c r="AL1228" s="8">
        <v>617</v>
      </c>
      <c r="AM1228" s="8">
        <v>1</v>
      </c>
      <c r="AN1228" s="5" t="s">
        <v>63</v>
      </c>
      <c r="AO1228" s="10">
        <v>72</v>
      </c>
      <c r="AP1228" s="8">
        <v>18</v>
      </c>
      <c r="AQ1228" s="9">
        <v>46283</v>
      </c>
      <c r="AR1228" s="5" t="s">
        <v>51</v>
      </c>
      <c r="AS1228" s="5" t="s">
        <v>190</v>
      </c>
    </row>
    <row r="1229" spans="1:45" x14ac:dyDescent="0.35">
      <c r="A1229" s="5" t="s">
        <v>5244</v>
      </c>
      <c r="B1229" s="5" t="s">
        <v>2351</v>
      </c>
      <c r="C1229" s="6" t="s">
        <v>5245</v>
      </c>
      <c r="D1229" s="7">
        <v>142000</v>
      </c>
      <c r="E1229" s="5" t="s">
        <v>48</v>
      </c>
      <c r="F1229" s="5" t="s">
        <v>49</v>
      </c>
      <c r="G1229" s="8"/>
      <c r="H1229" s="8" t="str">
        <f>IF(F1229="Bullet",MIN(G1229,Assumptions!$B$6),"")</f>
        <v/>
      </c>
      <c r="I1229" s="8">
        <v>2</v>
      </c>
      <c r="J1229" s="8">
        <f>IF(F1229="Monthly interest",MAX(0,Assumptions!$B$5-I1229),"")</f>
        <v>1</v>
      </c>
      <c r="K1229" s="7">
        <f t="shared" si="57"/>
        <v>4734</v>
      </c>
      <c r="L1229" s="9">
        <v>46246</v>
      </c>
      <c r="M1229" s="5" t="s">
        <v>69</v>
      </c>
      <c r="N1229" s="5" t="s">
        <v>53</v>
      </c>
      <c r="O1229" s="5" t="s">
        <v>71</v>
      </c>
      <c r="P1229" s="5" t="s">
        <v>70</v>
      </c>
      <c r="Q1229" s="5" t="s">
        <v>73</v>
      </c>
      <c r="R1229" s="5" t="s">
        <v>74</v>
      </c>
      <c r="S1229" s="5" t="s">
        <v>214</v>
      </c>
      <c r="T1229" s="5" t="s">
        <v>57</v>
      </c>
      <c r="U1229" s="5" t="s">
        <v>58</v>
      </c>
      <c r="V1229" s="5" t="s">
        <v>215</v>
      </c>
      <c r="W1229" s="5" t="s">
        <v>1057</v>
      </c>
      <c r="X1229" s="5" t="s">
        <v>1292</v>
      </c>
      <c r="Y1229" s="5" t="s">
        <v>5246</v>
      </c>
      <c r="Z1229" s="9">
        <v>46185</v>
      </c>
      <c r="AA1229" s="8">
        <v>12</v>
      </c>
      <c r="AB1229" s="9">
        <f t="shared" si="58"/>
        <v>46550</v>
      </c>
      <c r="AC1229" s="10">
        <v>20</v>
      </c>
      <c r="AD1229" s="7">
        <f t="shared" si="59"/>
        <v>2367</v>
      </c>
      <c r="AE1229" s="7">
        <f>IF(F1229="Bullet",H1229*AD1229,MIN(MAX(I1229,1),Assumptions!$B$6)*AD1229)</f>
        <v>4734</v>
      </c>
      <c r="AF1229" s="8">
        <f>IF(F1229="Bullet",MAX(0,Assumptions!$B$4-AB1229),MAX(0,Assumptions!$B$4-L1229))</f>
        <v>52</v>
      </c>
      <c r="AG1229" s="9">
        <v>46218</v>
      </c>
      <c r="AH1229" s="8">
        <f>IF(AG1229="","",Assumptions!$B$4-AG1229)</f>
        <v>80</v>
      </c>
      <c r="AI1229" s="5" t="s">
        <v>63</v>
      </c>
      <c r="AJ1229" s="8">
        <v>2</v>
      </c>
      <c r="AK1229" s="8">
        <v>0</v>
      </c>
      <c r="AL1229" s="8">
        <v>747</v>
      </c>
      <c r="AM1229" s="8">
        <v>0</v>
      </c>
      <c r="AN1229" s="5" t="s">
        <v>63</v>
      </c>
      <c r="AO1229" s="10">
        <v>72.5</v>
      </c>
      <c r="AP1229" s="8">
        <v>33</v>
      </c>
      <c r="AQ1229" s="9">
        <v>46291</v>
      </c>
      <c r="AR1229" s="5" t="s">
        <v>70</v>
      </c>
      <c r="AS1229" s="5" t="s">
        <v>81</v>
      </c>
    </row>
    <row r="1230" spans="1:45" x14ac:dyDescent="0.35">
      <c r="A1230" s="5" t="s">
        <v>5247</v>
      </c>
      <c r="B1230" s="5" t="s">
        <v>5248</v>
      </c>
      <c r="C1230" s="6" t="s">
        <v>5249</v>
      </c>
      <c r="D1230" s="7">
        <v>114600</v>
      </c>
      <c r="E1230" s="5" t="s">
        <v>48</v>
      </c>
      <c r="F1230" s="5" t="s">
        <v>49</v>
      </c>
      <c r="G1230" s="8"/>
      <c r="H1230" s="8" t="str">
        <f>IF(F1230="Bullet",MIN(G1230,Assumptions!$B$6),"")</f>
        <v/>
      </c>
      <c r="I1230" s="8">
        <v>1</v>
      </c>
      <c r="J1230" s="8">
        <f>IF(F1230="Monthly interest",MAX(0,Assumptions!$B$5-I1230),"")</f>
        <v>2</v>
      </c>
      <c r="K1230" s="7">
        <f t="shared" si="57"/>
        <v>2292</v>
      </c>
      <c r="L1230" s="9">
        <v>46287</v>
      </c>
      <c r="M1230" s="5" t="s">
        <v>69</v>
      </c>
      <c r="N1230" s="5" t="s">
        <v>53</v>
      </c>
      <c r="O1230" s="5" t="s">
        <v>103</v>
      </c>
      <c r="P1230" s="5" t="s">
        <v>70</v>
      </c>
      <c r="Q1230" s="5" t="s">
        <v>54</v>
      </c>
      <c r="R1230" s="5" t="s">
        <v>55</v>
      </c>
      <c r="S1230" s="5" t="s">
        <v>56</v>
      </c>
      <c r="T1230" s="5" t="s">
        <v>57</v>
      </c>
      <c r="U1230" s="5" t="s">
        <v>58</v>
      </c>
      <c r="V1230" s="5" t="s">
        <v>59</v>
      </c>
      <c r="W1230" s="5" t="s">
        <v>156</v>
      </c>
      <c r="X1230" s="5" t="s">
        <v>5250</v>
      </c>
      <c r="Y1230" s="5" t="s">
        <v>5251</v>
      </c>
      <c r="Z1230" s="9">
        <v>46134</v>
      </c>
      <c r="AA1230" s="8">
        <v>12</v>
      </c>
      <c r="AB1230" s="9">
        <f t="shared" si="58"/>
        <v>46499</v>
      </c>
      <c r="AC1230" s="10">
        <v>24</v>
      </c>
      <c r="AD1230" s="7">
        <f t="shared" si="59"/>
        <v>2292</v>
      </c>
      <c r="AE1230" s="7">
        <f>IF(F1230="Bullet",H1230*AD1230,MIN(MAX(I1230,1),Assumptions!$B$6)*AD1230)</f>
        <v>2292</v>
      </c>
      <c r="AF1230" s="8">
        <f>IF(F1230="Bullet",MAX(0,Assumptions!$B$4-AB1230),MAX(0,Assumptions!$B$4-L1230))</f>
        <v>11</v>
      </c>
      <c r="AG1230" s="9">
        <v>46256</v>
      </c>
      <c r="AH1230" s="8">
        <f>IF(AG1230="","",Assumptions!$B$4-AG1230)</f>
        <v>42</v>
      </c>
      <c r="AI1230" s="5" t="s">
        <v>63</v>
      </c>
      <c r="AJ1230" s="8">
        <v>1</v>
      </c>
      <c r="AK1230" s="8">
        <v>1</v>
      </c>
      <c r="AL1230" s="8">
        <v>645</v>
      </c>
      <c r="AM1230" s="8">
        <v>0</v>
      </c>
      <c r="AN1230" s="5" t="s">
        <v>63</v>
      </c>
      <c r="AO1230" s="10">
        <v>76.599999999999994</v>
      </c>
      <c r="AP1230" s="8">
        <v>37</v>
      </c>
      <c r="AQ1230" s="9">
        <v>46288</v>
      </c>
      <c r="AR1230" s="5" t="s">
        <v>51</v>
      </c>
      <c r="AS1230" s="5" t="s">
        <v>81</v>
      </c>
    </row>
    <row r="1231" spans="1:45" x14ac:dyDescent="0.35">
      <c r="A1231" s="5" t="s">
        <v>5252</v>
      </c>
      <c r="B1231" s="5" t="s">
        <v>5253</v>
      </c>
      <c r="C1231" s="6" t="s">
        <v>5254</v>
      </c>
      <c r="D1231" s="7">
        <v>420400</v>
      </c>
      <c r="E1231" s="5" t="s">
        <v>48</v>
      </c>
      <c r="F1231" s="5" t="s">
        <v>68</v>
      </c>
      <c r="G1231" s="8">
        <v>2</v>
      </c>
      <c r="H1231" s="8">
        <f>IF(F1231="Bullet",MIN(G1231,Assumptions!$B$6),"")</f>
        <v>2</v>
      </c>
      <c r="I1231" s="8"/>
      <c r="J1231" s="8" t="str">
        <f>IF(F1231="Monthly interest",MAX(0,Assumptions!$B$5-I1231),"")</f>
        <v/>
      </c>
      <c r="K1231" s="7">
        <f t="shared" si="57"/>
        <v>9108</v>
      </c>
      <c r="L1231" s="9">
        <v>46221</v>
      </c>
      <c r="M1231" s="5" t="s">
        <v>69</v>
      </c>
      <c r="N1231" s="5" t="s">
        <v>70</v>
      </c>
      <c r="O1231" s="5" t="s">
        <v>271</v>
      </c>
      <c r="P1231" s="5" t="s">
        <v>72</v>
      </c>
      <c r="Q1231" s="5" t="s">
        <v>73</v>
      </c>
      <c r="R1231" s="5" t="s">
        <v>74</v>
      </c>
      <c r="S1231" s="5" t="s">
        <v>253</v>
      </c>
      <c r="T1231" s="5" t="s">
        <v>57</v>
      </c>
      <c r="U1231" s="5" t="s">
        <v>104</v>
      </c>
      <c r="V1231" s="5" t="s">
        <v>59</v>
      </c>
      <c r="W1231" s="5" t="s">
        <v>418</v>
      </c>
      <c r="X1231" s="5" t="s">
        <v>919</v>
      </c>
      <c r="Y1231" s="5" t="s">
        <v>5255</v>
      </c>
      <c r="Z1231" s="9">
        <v>46221</v>
      </c>
      <c r="AA1231" s="8">
        <v>3</v>
      </c>
      <c r="AB1231" s="9">
        <f t="shared" si="58"/>
        <v>46313</v>
      </c>
      <c r="AC1231" s="10">
        <v>13</v>
      </c>
      <c r="AD1231" s="7">
        <f t="shared" si="59"/>
        <v>4554</v>
      </c>
      <c r="AE1231" s="7">
        <f>IF(F1231="Bullet",H1231*AD1231,MIN(MAX(I1231,1),Assumptions!$B$6)*AD1231)</f>
        <v>9108</v>
      </c>
      <c r="AF1231" s="8">
        <f>IF(F1231="Bullet",MAX(0,Assumptions!$B$4-AB1231),MAX(0,Assumptions!$B$4-L1231))</f>
        <v>0</v>
      </c>
      <c r="AG1231" s="9"/>
      <c r="AH1231" s="8" t="str">
        <f>IF(AG1231="","",Assumptions!$B$4-AG1231)</f>
        <v/>
      </c>
      <c r="AI1231" s="5" t="s">
        <v>80</v>
      </c>
      <c r="AJ1231" s="8"/>
      <c r="AK1231" s="8">
        <v>2</v>
      </c>
      <c r="AL1231" s="8">
        <v>613</v>
      </c>
      <c r="AM1231" s="8">
        <v>1</v>
      </c>
      <c r="AN1231" s="5" t="s">
        <v>63</v>
      </c>
      <c r="AO1231" s="10">
        <v>54.6</v>
      </c>
      <c r="AP1231" s="8">
        <v>43</v>
      </c>
      <c r="AQ1231" s="9">
        <v>46288</v>
      </c>
      <c r="AR1231" s="5" t="s">
        <v>70</v>
      </c>
      <c r="AS1231" s="5" t="s">
        <v>274</v>
      </c>
    </row>
    <row r="1232" spans="1:45" x14ac:dyDescent="0.35">
      <c r="A1232" s="5" t="s">
        <v>5256</v>
      </c>
      <c r="B1232" s="5" t="s">
        <v>832</v>
      </c>
      <c r="C1232" s="6" t="s">
        <v>5257</v>
      </c>
      <c r="D1232" s="7">
        <v>154300</v>
      </c>
      <c r="E1232" s="5" t="s">
        <v>48</v>
      </c>
      <c r="F1232" s="5" t="s">
        <v>68</v>
      </c>
      <c r="G1232" s="8">
        <v>2</v>
      </c>
      <c r="H1232" s="8">
        <f>IF(F1232="Bullet",MIN(G1232,Assumptions!$B$6),"")</f>
        <v>2</v>
      </c>
      <c r="I1232" s="8"/>
      <c r="J1232" s="8" t="str">
        <f>IF(F1232="Monthly interest",MAX(0,Assumptions!$B$5-I1232),"")</f>
        <v/>
      </c>
      <c r="K1232" s="7">
        <f t="shared" si="57"/>
        <v>3086</v>
      </c>
      <c r="L1232" s="9">
        <v>46217</v>
      </c>
      <c r="M1232" s="5" t="s">
        <v>50</v>
      </c>
      <c r="N1232" s="5" t="s">
        <v>53</v>
      </c>
      <c r="O1232" s="5" t="s">
        <v>95</v>
      </c>
      <c r="P1232" s="5" t="s">
        <v>70</v>
      </c>
      <c r="Q1232" s="5" t="s">
        <v>73</v>
      </c>
      <c r="R1232" s="5" t="s">
        <v>74</v>
      </c>
      <c r="S1232" s="5" t="s">
        <v>185</v>
      </c>
      <c r="T1232" s="5" t="s">
        <v>63</v>
      </c>
      <c r="U1232" s="5" t="s">
        <v>58</v>
      </c>
      <c r="V1232" s="5" t="s">
        <v>186</v>
      </c>
      <c r="W1232" s="5" t="s">
        <v>329</v>
      </c>
      <c r="X1232" s="5" t="s">
        <v>1454</v>
      </c>
      <c r="Y1232" s="5" t="s">
        <v>5258</v>
      </c>
      <c r="Z1232" s="9">
        <v>46217</v>
      </c>
      <c r="AA1232" s="8">
        <v>6</v>
      </c>
      <c r="AB1232" s="9">
        <f t="shared" si="58"/>
        <v>46401</v>
      </c>
      <c r="AC1232" s="10">
        <v>12</v>
      </c>
      <c r="AD1232" s="7">
        <f t="shared" si="59"/>
        <v>1543</v>
      </c>
      <c r="AE1232" s="7">
        <f>IF(F1232="Bullet",H1232*AD1232,MIN(MAX(I1232,1),Assumptions!$B$6)*AD1232)</f>
        <v>3086</v>
      </c>
      <c r="AF1232" s="8">
        <f>IF(F1232="Bullet",MAX(0,Assumptions!$B$4-AB1232),MAX(0,Assumptions!$B$4-L1232))</f>
        <v>0</v>
      </c>
      <c r="AG1232" s="9"/>
      <c r="AH1232" s="8" t="str">
        <f>IF(AG1232="","",Assumptions!$B$4-AG1232)</f>
        <v/>
      </c>
      <c r="AI1232" s="5" t="s">
        <v>80</v>
      </c>
      <c r="AJ1232" s="8"/>
      <c r="AK1232" s="8">
        <v>1</v>
      </c>
      <c r="AL1232" s="8">
        <v>774</v>
      </c>
      <c r="AM1232" s="8">
        <v>1</v>
      </c>
      <c r="AN1232" s="5" t="s">
        <v>63</v>
      </c>
      <c r="AO1232" s="10">
        <v>69.3</v>
      </c>
      <c r="AP1232" s="8">
        <v>6</v>
      </c>
      <c r="AQ1232" s="9">
        <v>46287</v>
      </c>
      <c r="AR1232" s="5" t="s">
        <v>70</v>
      </c>
      <c r="AS1232" s="5" t="s">
        <v>81</v>
      </c>
    </row>
    <row r="1233" spans="1:45" x14ac:dyDescent="0.35">
      <c r="A1233" s="5" t="s">
        <v>5259</v>
      </c>
      <c r="B1233" s="5" t="s">
        <v>5260</v>
      </c>
      <c r="C1233" s="6" t="s">
        <v>5261</v>
      </c>
      <c r="D1233" s="7">
        <v>252000</v>
      </c>
      <c r="E1233" s="5" t="s">
        <v>48</v>
      </c>
      <c r="F1233" s="5" t="s">
        <v>68</v>
      </c>
      <c r="G1233" s="8">
        <v>2</v>
      </c>
      <c r="H1233" s="8">
        <f>IF(F1233="Bullet",MIN(G1233,Assumptions!$B$6),"")</f>
        <v>2</v>
      </c>
      <c r="I1233" s="8"/>
      <c r="J1233" s="8" t="str">
        <f>IF(F1233="Monthly interest",MAX(0,Assumptions!$B$5-I1233),"")</f>
        <v/>
      </c>
      <c r="K1233" s="7">
        <f t="shared" si="57"/>
        <v>5880</v>
      </c>
      <c r="L1233" s="9">
        <v>46232</v>
      </c>
      <c r="M1233" s="5" t="s">
        <v>50</v>
      </c>
      <c r="N1233" s="5" t="s">
        <v>53</v>
      </c>
      <c r="O1233" s="5" t="s">
        <v>95</v>
      </c>
      <c r="P1233" s="5" t="s">
        <v>70</v>
      </c>
      <c r="Q1233" s="5" t="s">
        <v>73</v>
      </c>
      <c r="R1233" s="5" t="s">
        <v>74</v>
      </c>
      <c r="S1233" s="5" t="s">
        <v>56</v>
      </c>
      <c r="T1233" s="5" t="s">
        <v>63</v>
      </c>
      <c r="U1233" s="5" t="s">
        <v>86</v>
      </c>
      <c r="V1233" s="5" t="s">
        <v>59</v>
      </c>
      <c r="W1233" s="5" t="s">
        <v>418</v>
      </c>
      <c r="X1233" s="5" t="s">
        <v>919</v>
      </c>
      <c r="Y1233" s="5" t="s">
        <v>5262</v>
      </c>
      <c r="Z1233" s="9">
        <v>46232</v>
      </c>
      <c r="AA1233" s="8">
        <v>6</v>
      </c>
      <c r="AB1233" s="9">
        <f t="shared" si="58"/>
        <v>46416</v>
      </c>
      <c r="AC1233" s="10">
        <v>14</v>
      </c>
      <c r="AD1233" s="7">
        <f t="shared" si="59"/>
        <v>2940</v>
      </c>
      <c r="AE1233" s="7">
        <f>IF(F1233="Bullet",H1233*AD1233,MIN(MAX(I1233,1),Assumptions!$B$6)*AD1233)</f>
        <v>5880</v>
      </c>
      <c r="AF1233" s="8">
        <f>IF(F1233="Bullet",MAX(0,Assumptions!$B$4-AB1233),MAX(0,Assumptions!$B$4-L1233))</f>
        <v>0</v>
      </c>
      <c r="AG1233" s="9"/>
      <c r="AH1233" s="8" t="str">
        <f>IF(AG1233="","",Assumptions!$B$4-AG1233)</f>
        <v/>
      </c>
      <c r="AI1233" s="5" t="s">
        <v>80</v>
      </c>
      <c r="AJ1233" s="8"/>
      <c r="AK1233" s="8">
        <v>1</v>
      </c>
      <c r="AL1233" s="8">
        <v>688</v>
      </c>
      <c r="AM1233" s="8">
        <v>0</v>
      </c>
      <c r="AN1233" s="5" t="s">
        <v>63</v>
      </c>
      <c r="AO1233" s="10">
        <v>80.900000000000006</v>
      </c>
      <c r="AP1233" s="8">
        <v>27</v>
      </c>
      <c r="AQ1233" s="9">
        <v>46297</v>
      </c>
      <c r="AR1233" s="5" t="s">
        <v>70</v>
      </c>
      <c r="AS1233" s="5" t="s">
        <v>64</v>
      </c>
    </row>
    <row r="1234" spans="1:45" x14ac:dyDescent="0.35">
      <c r="A1234" s="5" t="s">
        <v>5263</v>
      </c>
      <c r="B1234" s="5" t="s">
        <v>5264</v>
      </c>
      <c r="C1234" s="6" t="s">
        <v>5265</v>
      </c>
      <c r="D1234" s="7">
        <v>187300</v>
      </c>
      <c r="E1234" s="5" t="s">
        <v>48</v>
      </c>
      <c r="F1234" s="5" t="s">
        <v>68</v>
      </c>
      <c r="G1234" s="8">
        <v>5</v>
      </c>
      <c r="H1234" s="8">
        <f>IF(F1234="Bullet",MIN(G1234,Assumptions!$B$6),"")</f>
        <v>2</v>
      </c>
      <c r="I1234" s="8"/>
      <c r="J1234" s="8" t="str">
        <f>IF(F1234="Monthly interest",MAX(0,Assumptions!$B$5-I1234),"")</f>
        <v/>
      </c>
      <c r="K1234" s="7">
        <f t="shared" si="57"/>
        <v>14050</v>
      </c>
      <c r="L1234" s="9">
        <v>46139</v>
      </c>
      <c r="M1234" s="5" t="s">
        <v>69</v>
      </c>
      <c r="N1234" s="5" t="s">
        <v>53</v>
      </c>
      <c r="O1234" s="5" t="s">
        <v>168</v>
      </c>
      <c r="P1234" s="5" t="s">
        <v>70</v>
      </c>
      <c r="Q1234" s="5" t="s">
        <v>169</v>
      </c>
      <c r="R1234" s="5" t="s">
        <v>170</v>
      </c>
      <c r="S1234" s="5" t="s">
        <v>185</v>
      </c>
      <c r="T1234" s="5" t="s">
        <v>57</v>
      </c>
      <c r="U1234" s="5" t="s">
        <v>104</v>
      </c>
      <c r="V1234" s="5" t="s">
        <v>186</v>
      </c>
      <c r="W1234" s="5" t="s">
        <v>694</v>
      </c>
      <c r="X1234" s="5" t="s">
        <v>715</v>
      </c>
      <c r="Y1234" s="5" t="s">
        <v>5266</v>
      </c>
      <c r="Z1234" s="9">
        <v>46139</v>
      </c>
      <c r="AA1234" s="8">
        <v>6</v>
      </c>
      <c r="AB1234" s="9">
        <f t="shared" si="58"/>
        <v>46322</v>
      </c>
      <c r="AC1234" s="10">
        <v>18</v>
      </c>
      <c r="AD1234" s="7">
        <f t="shared" si="59"/>
        <v>2810</v>
      </c>
      <c r="AE1234" s="7">
        <f>IF(F1234="Bullet",H1234*AD1234,MIN(MAX(I1234,1),Assumptions!$B$6)*AD1234)</f>
        <v>5620</v>
      </c>
      <c r="AF1234" s="8">
        <f>IF(F1234="Bullet",MAX(0,Assumptions!$B$4-AB1234),MAX(0,Assumptions!$B$4-L1234))</f>
        <v>0</v>
      </c>
      <c r="AG1234" s="9"/>
      <c r="AH1234" s="8" t="str">
        <f>IF(AG1234="","",Assumptions!$B$4-AG1234)</f>
        <v/>
      </c>
      <c r="AI1234" s="5" t="s">
        <v>80</v>
      </c>
      <c r="AJ1234" s="8"/>
      <c r="AK1234" s="8">
        <v>2</v>
      </c>
      <c r="AL1234" s="8">
        <v>722</v>
      </c>
      <c r="AM1234" s="8">
        <v>1</v>
      </c>
      <c r="AN1234" s="5" t="s">
        <v>63</v>
      </c>
      <c r="AO1234" s="10">
        <v>63.3</v>
      </c>
      <c r="AP1234" s="8">
        <v>46</v>
      </c>
      <c r="AQ1234" s="9">
        <v>46280</v>
      </c>
      <c r="AR1234" s="5" t="s">
        <v>51</v>
      </c>
      <c r="AS1234" s="5" t="s">
        <v>64</v>
      </c>
    </row>
    <row r="1235" spans="1:45" x14ac:dyDescent="0.35">
      <c r="A1235" s="5" t="s">
        <v>5267</v>
      </c>
      <c r="B1235" s="5" t="s">
        <v>2861</v>
      </c>
      <c r="C1235" s="6" t="s">
        <v>5268</v>
      </c>
      <c r="D1235" s="7">
        <v>342800</v>
      </c>
      <c r="E1235" s="5" t="s">
        <v>48</v>
      </c>
      <c r="F1235" s="5" t="s">
        <v>68</v>
      </c>
      <c r="G1235" s="8">
        <v>6</v>
      </c>
      <c r="H1235" s="8">
        <f>IF(F1235="Bullet",MIN(G1235,Assumptions!$B$6),"")</f>
        <v>2</v>
      </c>
      <c r="I1235" s="8"/>
      <c r="J1235" s="8" t="str">
        <f>IF(F1235="Monthly interest",MAX(0,Assumptions!$B$5-I1235),"")</f>
        <v/>
      </c>
      <c r="K1235" s="7">
        <f t="shared" si="57"/>
        <v>20568</v>
      </c>
      <c r="L1235" s="9">
        <v>46113</v>
      </c>
      <c r="M1235" s="5" t="s">
        <v>116</v>
      </c>
      <c r="N1235" s="5" t="s">
        <v>117</v>
      </c>
      <c r="O1235" s="5" t="s">
        <v>461</v>
      </c>
      <c r="P1235" s="5" t="s">
        <v>72</v>
      </c>
      <c r="Q1235" s="5" t="s">
        <v>169</v>
      </c>
      <c r="R1235" s="5" t="s">
        <v>170</v>
      </c>
      <c r="S1235" s="5" t="s">
        <v>214</v>
      </c>
      <c r="T1235" s="5" t="s">
        <v>63</v>
      </c>
      <c r="U1235" s="5" t="s">
        <v>58</v>
      </c>
      <c r="V1235" s="5" t="s">
        <v>215</v>
      </c>
      <c r="W1235" s="5" t="s">
        <v>216</v>
      </c>
      <c r="X1235" s="5" t="s">
        <v>1578</v>
      </c>
      <c r="Y1235" s="5" t="s">
        <v>5269</v>
      </c>
      <c r="Z1235" s="9">
        <v>46113</v>
      </c>
      <c r="AA1235" s="8">
        <v>6</v>
      </c>
      <c r="AB1235" s="9">
        <f t="shared" si="58"/>
        <v>46296</v>
      </c>
      <c r="AC1235" s="10">
        <v>12</v>
      </c>
      <c r="AD1235" s="7">
        <f t="shared" si="59"/>
        <v>3428</v>
      </c>
      <c r="AE1235" s="7">
        <f>IF(F1235="Bullet",H1235*AD1235,MIN(MAX(I1235,1),Assumptions!$B$6)*AD1235)</f>
        <v>6856</v>
      </c>
      <c r="AF1235" s="8">
        <f>IF(F1235="Bullet",MAX(0,Assumptions!$B$4-AB1235),MAX(0,Assumptions!$B$4-L1235))</f>
        <v>2</v>
      </c>
      <c r="AG1235" s="9"/>
      <c r="AH1235" s="8" t="str">
        <f>IF(AG1235="","",Assumptions!$B$4-AG1235)</f>
        <v/>
      </c>
      <c r="AI1235" s="5" t="s">
        <v>80</v>
      </c>
      <c r="AJ1235" s="8"/>
      <c r="AK1235" s="8">
        <v>2</v>
      </c>
      <c r="AL1235" s="8" t="s">
        <v>80</v>
      </c>
      <c r="AM1235" s="8">
        <v>3</v>
      </c>
      <c r="AN1235" s="5" t="s">
        <v>63</v>
      </c>
      <c r="AO1235" s="10">
        <v>82.3</v>
      </c>
      <c r="AP1235" s="8">
        <v>71</v>
      </c>
      <c r="AQ1235" s="9">
        <v>46285</v>
      </c>
      <c r="AR1235" s="5" t="s">
        <v>70</v>
      </c>
      <c r="AS1235" s="5" t="s">
        <v>64</v>
      </c>
    </row>
    <row r="1236" spans="1:45" x14ac:dyDescent="0.35">
      <c r="A1236" s="5" t="s">
        <v>5270</v>
      </c>
      <c r="B1236" s="5" t="s">
        <v>5271</v>
      </c>
      <c r="C1236" s="6" t="s">
        <v>5272</v>
      </c>
      <c r="D1236" s="7">
        <v>61800</v>
      </c>
      <c r="E1236" s="5" t="s">
        <v>48</v>
      </c>
      <c r="F1236" s="5" t="s">
        <v>68</v>
      </c>
      <c r="G1236" s="8">
        <v>2</v>
      </c>
      <c r="H1236" s="8">
        <f>IF(F1236="Bullet",MIN(G1236,Assumptions!$B$6),"")</f>
        <v>2</v>
      </c>
      <c r="I1236" s="8"/>
      <c r="J1236" s="8" t="str">
        <f>IF(F1236="Monthly interest",MAX(0,Assumptions!$B$5-I1236),"")</f>
        <v/>
      </c>
      <c r="K1236" s="7">
        <f t="shared" si="57"/>
        <v>1854</v>
      </c>
      <c r="L1236" s="9">
        <v>46229</v>
      </c>
      <c r="M1236" s="5" t="s">
        <v>50</v>
      </c>
      <c r="N1236" s="5" t="s">
        <v>51</v>
      </c>
      <c r="O1236" s="5" t="s">
        <v>71</v>
      </c>
      <c r="P1236" s="5" t="s">
        <v>53</v>
      </c>
      <c r="Q1236" s="5" t="s">
        <v>73</v>
      </c>
      <c r="R1236" s="5" t="s">
        <v>74</v>
      </c>
      <c r="S1236" s="5" t="s">
        <v>214</v>
      </c>
      <c r="T1236" s="5" t="s">
        <v>57</v>
      </c>
      <c r="U1236" s="5" t="s">
        <v>86</v>
      </c>
      <c r="V1236" s="5" t="s">
        <v>215</v>
      </c>
      <c r="W1236" s="5" t="s">
        <v>232</v>
      </c>
      <c r="X1236" s="5" t="s">
        <v>3406</v>
      </c>
      <c r="Y1236" s="5" t="s">
        <v>5273</v>
      </c>
      <c r="Z1236" s="9">
        <v>46229</v>
      </c>
      <c r="AA1236" s="8">
        <v>3</v>
      </c>
      <c r="AB1236" s="9">
        <f t="shared" si="58"/>
        <v>46321</v>
      </c>
      <c r="AC1236" s="10">
        <v>18</v>
      </c>
      <c r="AD1236" s="7">
        <f t="shared" si="59"/>
        <v>927</v>
      </c>
      <c r="AE1236" s="7">
        <f>IF(F1236="Bullet",H1236*AD1236,MIN(MAX(I1236,1),Assumptions!$B$6)*AD1236)</f>
        <v>1854</v>
      </c>
      <c r="AF1236" s="8">
        <f>IF(F1236="Bullet",MAX(0,Assumptions!$B$4-AB1236),MAX(0,Assumptions!$B$4-L1236))</f>
        <v>0</v>
      </c>
      <c r="AG1236" s="9"/>
      <c r="AH1236" s="8" t="str">
        <f>IF(AG1236="","",Assumptions!$B$4-AG1236)</f>
        <v/>
      </c>
      <c r="AI1236" s="5" t="s">
        <v>80</v>
      </c>
      <c r="AJ1236" s="8"/>
      <c r="AK1236" s="8">
        <v>1</v>
      </c>
      <c r="AL1236" s="8">
        <v>729</v>
      </c>
      <c r="AM1236" s="8">
        <v>0</v>
      </c>
      <c r="AN1236" s="5" t="s">
        <v>63</v>
      </c>
      <c r="AO1236" s="10">
        <v>64.7</v>
      </c>
      <c r="AP1236" s="8">
        <v>22</v>
      </c>
      <c r="AQ1236" s="9">
        <v>46292</v>
      </c>
      <c r="AR1236" s="5" t="s">
        <v>53</v>
      </c>
      <c r="AS1236" s="5" t="s">
        <v>91</v>
      </c>
    </row>
    <row r="1237" spans="1:45" x14ac:dyDescent="0.35">
      <c r="A1237" s="5" t="s">
        <v>5274</v>
      </c>
      <c r="B1237" s="5" t="s">
        <v>5275</v>
      </c>
      <c r="C1237" s="6" t="s">
        <v>5276</v>
      </c>
      <c r="D1237" s="7">
        <v>141400</v>
      </c>
      <c r="E1237" s="5" t="s">
        <v>48</v>
      </c>
      <c r="F1237" s="5" t="s">
        <v>49</v>
      </c>
      <c r="G1237" s="8"/>
      <c r="H1237" s="8" t="str">
        <f>IF(F1237="Bullet",MIN(G1237,Assumptions!$B$6),"")</f>
        <v/>
      </c>
      <c r="I1237" s="8">
        <v>1</v>
      </c>
      <c r="J1237" s="8">
        <f>IF(F1237="Monthly interest",MAX(0,Assumptions!$B$5-I1237),"")</f>
        <v>2</v>
      </c>
      <c r="K1237" s="7">
        <f t="shared" si="57"/>
        <v>2121</v>
      </c>
      <c r="L1237" s="9">
        <v>46298</v>
      </c>
      <c r="M1237" s="5" t="s">
        <v>50</v>
      </c>
      <c r="N1237" s="5" t="s">
        <v>51</v>
      </c>
      <c r="O1237" s="5" t="s">
        <v>52</v>
      </c>
      <c r="P1237" s="5" t="s">
        <v>53</v>
      </c>
      <c r="Q1237" s="5" t="s">
        <v>54</v>
      </c>
      <c r="R1237" s="5" t="s">
        <v>55</v>
      </c>
      <c r="S1237" s="5" t="s">
        <v>85</v>
      </c>
      <c r="T1237" s="5" t="s">
        <v>57</v>
      </c>
      <c r="U1237" s="5" t="s">
        <v>86</v>
      </c>
      <c r="V1237" s="5" t="s">
        <v>133</v>
      </c>
      <c r="W1237" s="5" t="s">
        <v>594</v>
      </c>
      <c r="X1237" s="5" t="s">
        <v>595</v>
      </c>
      <c r="Y1237" s="5" t="s">
        <v>5277</v>
      </c>
      <c r="Z1237" s="9">
        <v>46056</v>
      </c>
      <c r="AA1237" s="8">
        <v>12</v>
      </c>
      <c r="AB1237" s="9">
        <f t="shared" si="58"/>
        <v>46421</v>
      </c>
      <c r="AC1237" s="10">
        <v>18</v>
      </c>
      <c r="AD1237" s="7">
        <f t="shared" si="59"/>
        <v>2121</v>
      </c>
      <c r="AE1237" s="7">
        <f>IF(F1237="Bullet",H1237*AD1237,MIN(MAX(I1237,1),Assumptions!$B$6)*AD1237)</f>
        <v>2121</v>
      </c>
      <c r="AF1237" s="8">
        <f>IF(F1237="Bullet",MAX(0,Assumptions!$B$4-AB1237),MAX(0,Assumptions!$B$4-L1237))</f>
        <v>0</v>
      </c>
      <c r="AG1237" s="9">
        <v>46270</v>
      </c>
      <c r="AH1237" s="8">
        <f>IF(AG1237="","",Assumptions!$B$4-AG1237)</f>
        <v>28</v>
      </c>
      <c r="AI1237" s="5" t="s">
        <v>63</v>
      </c>
      <c r="AJ1237" s="8">
        <v>1</v>
      </c>
      <c r="AK1237" s="8">
        <v>1</v>
      </c>
      <c r="AL1237" s="8">
        <v>702</v>
      </c>
      <c r="AM1237" s="8">
        <v>1</v>
      </c>
      <c r="AN1237" s="5" t="s">
        <v>63</v>
      </c>
      <c r="AO1237" s="10">
        <v>56.6</v>
      </c>
      <c r="AP1237" s="8">
        <v>29</v>
      </c>
      <c r="AQ1237" s="9">
        <v>46278</v>
      </c>
      <c r="AR1237" s="5" t="s">
        <v>53</v>
      </c>
      <c r="AS1237" s="5" t="s">
        <v>81</v>
      </c>
    </row>
    <row r="1238" spans="1:45" x14ac:dyDescent="0.35">
      <c r="A1238" s="5" t="s">
        <v>5278</v>
      </c>
      <c r="B1238" s="5" t="s">
        <v>4277</v>
      </c>
      <c r="C1238" s="6" t="s">
        <v>5279</v>
      </c>
      <c r="D1238" s="7">
        <v>60500</v>
      </c>
      <c r="E1238" s="5" t="s">
        <v>48</v>
      </c>
      <c r="F1238" s="5" t="s">
        <v>49</v>
      </c>
      <c r="G1238" s="8"/>
      <c r="H1238" s="8" t="str">
        <f>IF(F1238="Bullet",MIN(G1238,Assumptions!$B$6),"")</f>
        <v/>
      </c>
      <c r="I1238" s="8">
        <v>1</v>
      </c>
      <c r="J1238" s="8">
        <f>IF(F1238="Monthly interest",MAX(0,Assumptions!$B$5-I1238),"")</f>
        <v>2</v>
      </c>
      <c r="K1238" s="7">
        <f t="shared" si="57"/>
        <v>1210</v>
      </c>
      <c r="L1238" s="9">
        <v>46282</v>
      </c>
      <c r="M1238" s="5" t="s">
        <v>69</v>
      </c>
      <c r="N1238" s="5" t="s">
        <v>53</v>
      </c>
      <c r="O1238" s="5" t="s">
        <v>103</v>
      </c>
      <c r="P1238" s="5" t="s">
        <v>70</v>
      </c>
      <c r="Q1238" s="5" t="s">
        <v>54</v>
      </c>
      <c r="R1238" s="5" t="s">
        <v>55</v>
      </c>
      <c r="S1238" s="5" t="s">
        <v>75</v>
      </c>
      <c r="T1238" s="5" t="s">
        <v>63</v>
      </c>
      <c r="U1238" s="5" t="s">
        <v>58</v>
      </c>
      <c r="V1238" s="5" t="s">
        <v>76</v>
      </c>
      <c r="W1238" s="5" t="s">
        <v>444</v>
      </c>
      <c r="X1238" s="5" t="s">
        <v>1228</v>
      </c>
      <c r="Y1238" s="5" t="s">
        <v>5280</v>
      </c>
      <c r="Z1238" s="9">
        <v>46070</v>
      </c>
      <c r="AA1238" s="8">
        <v>12</v>
      </c>
      <c r="AB1238" s="9">
        <f t="shared" si="58"/>
        <v>46435</v>
      </c>
      <c r="AC1238" s="10">
        <v>24</v>
      </c>
      <c r="AD1238" s="7">
        <f t="shared" si="59"/>
        <v>1210</v>
      </c>
      <c r="AE1238" s="7">
        <f>IF(F1238="Bullet",H1238*AD1238,MIN(MAX(I1238,1),Assumptions!$B$6)*AD1238)</f>
        <v>1210</v>
      </c>
      <c r="AF1238" s="8">
        <f>IF(F1238="Bullet",MAX(0,Assumptions!$B$4-AB1238),MAX(0,Assumptions!$B$4-L1238))</f>
        <v>16</v>
      </c>
      <c r="AG1238" s="9">
        <v>46251</v>
      </c>
      <c r="AH1238" s="8">
        <f>IF(AG1238="","",Assumptions!$B$4-AG1238)</f>
        <v>47</v>
      </c>
      <c r="AI1238" s="5" t="s">
        <v>57</v>
      </c>
      <c r="AJ1238" s="8">
        <v>1</v>
      </c>
      <c r="AK1238" s="8">
        <v>0</v>
      </c>
      <c r="AL1238" s="8">
        <v>714</v>
      </c>
      <c r="AM1238" s="8">
        <v>2</v>
      </c>
      <c r="AN1238" s="5" t="s">
        <v>57</v>
      </c>
      <c r="AO1238" s="10">
        <v>81.5</v>
      </c>
      <c r="AP1238" s="8">
        <v>37</v>
      </c>
      <c r="AQ1238" s="9">
        <v>46286</v>
      </c>
      <c r="AR1238" s="5" t="s">
        <v>51</v>
      </c>
      <c r="AS1238" s="5" t="s">
        <v>81</v>
      </c>
    </row>
    <row r="1239" spans="1:45" x14ac:dyDescent="0.35">
      <c r="A1239" s="5" t="s">
        <v>5281</v>
      </c>
      <c r="B1239" s="5" t="s">
        <v>5282</v>
      </c>
      <c r="C1239" s="6" t="s">
        <v>5283</v>
      </c>
      <c r="D1239" s="7">
        <v>134700</v>
      </c>
      <c r="E1239" s="5" t="s">
        <v>48</v>
      </c>
      <c r="F1239" s="5" t="s">
        <v>68</v>
      </c>
      <c r="G1239" s="8">
        <v>2</v>
      </c>
      <c r="H1239" s="8">
        <f>IF(F1239="Bullet",MIN(G1239,Assumptions!$B$6),"")</f>
        <v>2</v>
      </c>
      <c r="I1239" s="8"/>
      <c r="J1239" s="8" t="str">
        <f>IF(F1239="Monthly interest",MAX(0,Assumptions!$B$5-I1239),"")</f>
        <v/>
      </c>
      <c r="K1239" s="7">
        <f t="shared" si="57"/>
        <v>3144</v>
      </c>
      <c r="L1239" s="9">
        <v>46222</v>
      </c>
      <c r="M1239" s="5" t="s">
        <v>50</v>
      </c>
      <c r="N1239" s="5" t="s">
        <v>51</v>
      </c>
      <c r="O1239" s="5" t="s">
        <v>71</v>
      </c>
      <c r="P1239" s="5" t="s">
        <v>53</v>
      </c>
      <c r="Q1239" s="5" t="s">
        <v>73</v>
      </c>
      <c r="R1239" s="5" t="s">
        <v>74</v>
      </c>
      <c r="S1239" s="5" t="s">
        <v>56</v>
      </c>
      <c r="T1239" s="5" t="s">
        <v>57</v>
      </c>
      <c r="U1239" s="5" t="s">
        <v>104</v>
      </c>
      <c r="V1239" s="5" t="s">
        <v>59</v>
      </c>
      <c r="W1239" s="5" t="s">
        <v>156</v>
      </c>
      <c r="X1239" s="5" t="s">
        <v>157</v>
      </c>
      <c r="Y1239" s="5" t="s">
        <v>5284</v>
      </c>
      <c r="Z1239" s="9">
        <v>46222</v>
      </c>
      <c r="AA1239" s="8">
        <v>12</v>
      </c>
      <c r="AB1239" s="9">
        <f t="shared" si="58"/>
        <v>46587</v>
      </c>
      <c r="AC1239" s="10">
        <v>14</v>
      </c>
      <c r="AD1239" s="7">
        <f t="shared" si="59"/>
        <v>1572</v>
      </c>
      <c r="AE1239" s="7">
        <f>IF(F1239="Bullet",H1239*AD1239,MIN(MAX(I1239,1),Assumptions!$B$6)*AD1239)</f>
        <v>3144</v>
      </c>
      <c r="AF1239" s="8">
        <f>IF(F1239="Bullet",MAX(0,Assumptions!$B$4-AB1239),MAX(0,Assumptions!$B$4-L1239))</f>
        <v>0</v>
      </c>
      <c r="AG1239" s="9"/>
      <c r="AH1239" s="8" t="str">
        <f>IF(AG1239="","",Assumptions!$B$4-AG1239)</f>
        <v/>
      </c>
      <c r="AI1239" s="5" t="s">
        <v>80</v>
      </c>
      <c r="AJ1239" s="8"/>
      <c r="AK1239" s="8">
        <v>1</v>
      </c>
      <c r="AL1239" s="8">
        <v>696</v>
      </c>
      <c r="AM1239" s="8">
        <v>2</v>
      </c>
      <c r="AN1239" s="5" t="s">
        <v>63</v>
      </c>
      <c r="AO1239" s="10">
        <v>76.400000000000006</v>
      </c>
      <c r="AP1239" s="8">
        <v>29</v>
      </c>
      <c r="AQ1239" s="9">
        <v>46289</v>
      </c>
      <c r="AR1239" s="5" t="s">
        <v>72</v>
      </c>
      <c r="AS1239" s="5" t="s">
        <v>81</v>
      </c>
    </row>
    <row r="1240" spans="1:45" x14ac:dyDescent="0.35">
      <c r="A1240" s="5" t="s">
        <v>5285</v>
      </c>
      <c r="B1240" s="5" t="s">
        <v>1196</v>
      </c>
      <c r="C1240" s="6" t="s">
        <v>5286</v>
      </c>
      <c r="D1240" s="7">
        <v>47200</v>
      </c>
      <c r="E1240" s="5" t="s">
        <v>48</v>
      </c>
      <c r="F1240" s="5" t="s">
        <v>49</v>
      </c>
      <c r="G1240" s="8"/>
      <c r="H1240" s="8" t="str">
        <f>IF(F1240="Bullet",MIN(G1240,Assumptions!$B$6),"")</f>
        <v/>
      </c>
      <c r="I1240" s="8">
        <v>1</v>
      </c>
      <c r="J1240" s="8">
        <f>IF(F1240="Monthly interest",MAX(0,Assumptions!$B$5-I1240),"")</f>
        <v>2</v>
      </c>
      <c r="K1240" s="7">
        <f t="shared" si="57"/>
        <v>865</v>
      </c>
      <c r="L1240" s="9">
        <v>46277</v>
      </c>
      <c r="M1240" s="5" t="s">
        <v>69</v>
      </c>
      <c r="N1240" s="5" t="s">
        <v>51</v>
      </c>
      <c r="O1240" s="5" t="s">
        <v>152</v>
      </c>
      <c r="P1240" s="5" t="s">
        <v>53</v>
      </c>
      <c r="Q1240" s="5" t="s">
        <v>154</v>
      </c>
      <c r="R1240" s="5" t="s">
        <v>155</v>
      </c>
      <c r="S1240" s="5" t="s">
        <v>75</v>
      </c>
      <c r="T1240" s="5" t="s">
        <v>57</v>
      </c>
      <c r="U1240" s="5" t="s">
        <v>86</v>
      </c>
      <c r="V1240" s="5" t="s">
        <v>76</v>
      </c>
      <c r="W1240" s="5" t="s">
        <v>140</v>
      </c>
      <c r="X1240" s="5" t="s">
        <v>3586</v>
      </c>
      <c r="Y1240" s="5" t="s">
        <v>5287</v>
      </c>
      <c r="Z1240" s="9">
        <v>46003</v>
      </c>
      <c r="AA1240" s="8">
        <v>12</v>
      </c>
      <c r="AB1240" s="9">
        <f t="shared" si="58"/>
        <v>46368</v>
      </c>
      <c r="AC1240" s="10">
        <v>22</v>
      </c>
      <c r="AD1240" s="7">
        <f t="shared" si="59"/>
        <v>865</v>
      </c>
      <c r="AE1240" s="7">
        <f>IF(F1240="Bullet",H1240*AD1240,MIN(MAX(I1240,1),Assumptions!$B$6)*AD1240)</f>
        <v>865</v>
      </c>
      <c r="AF1240" s="8">
        <f>IF(F1240="Bullet",MAX(0,Assumptions!$B$4-AB1240),MAX(0,Assumptions!$B$4-L1240))</f>
        <v>21</v>
      </c>
      <c r="AG1240" s="9">
        <v>46246</v>
      </c>
      <c r="AH1240" s="8">
        <f>IF(AG1240="","",Assumptions!$B$4-AG1240)</f>
        <v>52</v>
      </c>
      <c r="AI1240" s="5" t="s">
        <v>63</v>
      </c>
      <c r="AJ1240" s="8">
        <v>1</v>
      </c>
      <c r="AK1240" s="8">
        <v>0</v>
      </c>
      <c r="AL1240" s="8">
        <v>663</v>
      </c>
      <c r="AM1240" s="8">
        <v>1</v>
      </c>
      <c r="AN1240" s="5" t="s">
        <v>63</v>
      </c>
      <c r="AO1240" s="10">
        <v>83.9</v>
      </c>
      <c r="AP1240" s="8">
        <v>33</v>
      </c>
      <c r="AQ1240" s="9">
        <v>46286</v>
      </c>
      <c r="AR1240" s="5" t="s">
        <v>53</v>
      </c>
      <c r="AS1240" s="5" t="s">
        <v>91</v>
      </c>
    </row>
    <row r="1241" spans="1:45" x14ac:dyDescent="0.35">
      <c r="A1241" s="5" t="s">
        <v>5288</v>
      </c>
      <c r="B1241" s="5" t="s">
        <v>4906</v>
      </c>
      <c r="C1241" s="6" t="s">
        <v>5289</v>
      </c>
      <c r="D1241" s="7">
        <v>96400</v>
      </c>
      <c r="E1241" s="5" t="s">
        <v>48</v>
      </c>
      <c r="F1241" s="5" t="s">
        <v>68</v>
      </c>
      <c r="G1241" s="8">
        <v>4</v>
      </c>
      <c r="H1241" s="8">
        <f>IF(F1241="Bullet",MIN(G1241,Assumptions!$B$6),"")</f>
        <v>2</v>
      </c>
      <c r="I1241" s="8"/>
      <c r="J1241" s="8" t="str">
        <f>IF(F1241="Monthly interest",MAX(0,Assumptions!$B$5-I1241),"")</f>
        <v/>
      </c>
      <c r="K1241" s="7">
        <f t="shared" si="57"/>
        <v>3856</v>
      </c>
      <c r="L1241" s="9">
        <v>46156</v>
      </c>
      <c r="M1241" s="5" t="s">
        <v>116</v>
      </c>
      <c r="N1241" s="5" t="s">
        <v>117</v>
      </c>
      <c r="O1241" s="5" t="s">
        <v>207</v>
      </c>
      <c r="P1241" s="5" t="s">
        <v>72</v>
      </c>
      <c r="Q1241" s="5" t="s">
        <v>73</v>
      </c>
      <c r="R1241" s="5" t="s">
        <v>74</v>
      </c>
      <c r="S1241" s="5" t="s">
        <v>253</v>
      </c>
      <c r="T1241" s="5" t="s">
        <v>57</v>
      </c>
      <c r="U1241" s="5" t="s">
        <v>58</v>
      </c>
      <c r="V1241" s="5" t="s">
        <v>76</v>
      </c>
      <c r="W1241" s="5" t="s">
        <v>140</v>
      </c>
      <c r="X1241" s="5" t="s">
        <v>2036</v>
      </c>
      <c r="Y1241" s="5" t="s">
        <v>5290</v>
      </c>
      <c r="Z1241" s="9">
        <v>46156</v>
      </c>
      <c r="AA1241" s="8">
        <v>3</v>
      </c>
      <c r="AB1241" s="9">
        <f t="shared" si="58"/>
        <v>46248</v>
      </c>
      <c r="AC1241" s="10">
        <v>12</v>
      </c>
      <c r="AD1241" s="7">
        <f t="shared" si="59"/>
        <v>964</v>
      </c>
      <c r="AE1241" s="7">
        <f>IF(F1241="Bullet",H1241*AD1241,MIN(MAX(I1241,1),Assumptions!$B$6)*AD1241)</f>
        <v>1928</v>
      </c>
      <c r="AF1241" s="8">
        <f>IF(F1241="Bullet",MAX(0,Assumptions!$B$4-AB1241),MAX(0,Assumptions!$B$4-L1241))</f>
        <v>50</v>
      </c>
      <c r="AG1241" s="9"/>
      <c r="AH1241" s="8" t="str">
        <f>IF(AG1241="","",Assumptions!$B$4-AG1241)</f>
        <v/>
      </c>
      <c r="AI1241" s="5" t="s">
        <v>80</v>
      </c>
      <c r="AJ1241" s="8"/>
      <c r="AK1241" s="8">
        <v>3</v>
      </c>
      <c r="AL1241" s="8" t="s">
        <v>80</v>
      </c>
      <c r="AM1241" s="8">
        <v>1</v>
      </c>
      <c r="AN1241" s="5" t="s">
        <v>63</v>
      </c>
      <c r="AO1241" s="10">
        <v>75.5</v>
      </c>
      <c r="AP1241" s="8">
        <v>60</v>
      </c>
      <c r="AQ1241" s="9">
        <v>46277</v>
      </c>
      <c r="AR1241" s="5" t="s">
        <v>51</v>
      </c>
      <c r="AS1241" s="5" t="s">
        <v>91</v>
      </c>
    </row>
    <row r="1242" spans="1:45" x14ac:dyDescent="0.35">
      <c r="A1242" s="5" t="s">
        <v>5291</v>
      </c>
      <c r="B1242" s="5" t="s">
        <v>2991</v>
      </c>
      <c r="C1242" s="6" t="s">
        <v>5292</v>
      </c>
      <c r="D1242" s="7">
        <v>128600</v>
      </c>
      <c r="E1242" s="5" t="s">
        <v>48</v>
      </c>
      <c r="F1242" s="5" t="s">
        <v>68</v>
      </c>
      <c r="G1242" s="8">
        <v>5</v>
      </c>
      <c r="H1242" s="8">
        <f>IF(F1242="Bullet",MIN(G1242,Assumptions!$B$6),"")</f>
        <v>2</v>
      </c>
      <c r="I1242" s="8"/>
      <c r="J1242" s="8" t="str">
        <f>IF(F1242="Monthly interest",MAX(0,Assumptions!$B$5-I1242),"")</f>
        <v/>
      </c>
      <c r="K1242" s="7">
        <f t="shared" si="57"/>
        <v>7500</v>
      </c>
      <c r="L1242" s="9">
        <v>46128</v>
      </c>
      <c r="M1242" s="5" t="s">
        <v>116</v>
      </c>
      <c r="N1242" s="5" t="s">
        <v>117</v>
      </c>
      <c r="O1242" s="5" t="s">
        <v>461</v>
      </c>
      <c r="P1242" s="5" t="s">
        <v>72</v>
      </c>
      <c r="Q1242" s="5" t="s">
        <v>169</v>
      </c>
      <c r="R1242" s="5" t="s">
        <v>170</v>
      </c>
      <c r="S1242" s="5" t="s">
        <v>214</v>
      </c>
      <c r="T1242" s="5" t="s">
        <v>57</v>
      </c>
      <c r="U1242" s="5" t="s">
        <v>104</v>
      </c>
      <c r="V1242" s="5" t="s">
        <v>215</v>
      </c>
      <c r="W1242" s="5" t="s">
        <v>284</v>
      </c>
      <c r="X1242" s="5" t="s">
        <v>1052</v>
      </c>
      <c r="Y1242" s="5" t="s">
        <v>5293</v>
      </c>
      <c r="Z1242" s="9">
        <v>46128</v>
      </c>
      <c r="AA1242" s="8">
        <v>3</v>
      </c>
      <c r="AB1242" s="9">
        <f t="shared" si="58"/>
        <v>46219</v>
      </c>
      <c r="AC1242" s="10">
        <v>14</v>
      </c>
      <c r="AD1242" s="7">
        <f t="shared" si="59"/>
        <v>1500</v>
      </c>
      <c r="AE1242" s="7">
        <f>IF(F1242="Bullet",H1242*AD1242,MIN(MAX(I1242,1),Assumptions!$B$6)*AD1242)</f>
        <v>3000</v>
      </c>
      <c r="AF1242" s="8">
        <f>IF(F1242="Bullet",MAX(0,Assumptions!$B$4-AB1242),MAX(0,Assumptions!$B$4-L1242))</f>
        <v>79</v>
      </c>
      <c r="AG1242" s="9"/>
      <c r="AH1242" s="8" t="str">
        <f>IF(AG1242="","",Assumptions!$B$4-AG1242)</f>
        <v/>
      </c>
      <c r="AI1242" s="5" t="s">
        <v>80</v>
      </c>
      <c r="AJ1242" s="8"/>
      <c r="AK1242" s="8">
        <v>2</v>
      </c>
      <c r="AL1242" s="8">
        <v>677</v>
      </c>
      <c r="AM1242" s="8">
        <v>0</v>
      </c>
      <c r="AN1242" s="5" t="s">
        <v>63</v>
      </c>
      <c r="AO1242" s="10">
        <v>62.7</v>
      </c>
      <c r="AP1242" s="8">
        <v>57</v>
      </c>
      <c r="AQ1242" s="9">
        <v>46288</v>
      </c>
      <c r="AR1242" s="5" t="s">
        <v>51</v>
      </c>
      <c r="AS1242" s="5" t="s">
        <v>64</v>
      </c>
    </row>
    <row r="1243" spans="1:45" x14ac:dyDescent="0.35">
      <c r="A1243" s="5" t="s">
        <v>5294</v>
      </c>
      <c r="B1243" s="5" t="s">
        <v>4260</v>
      </c>
      <c r="C1243" s="6" t="s">
        <v>5295</v>
      </c>
      <c r="D1243" s="7">
        <v>286900</v>
      </c>
      <c r="E1243" s="5" t="s">
        <v>48</v>
      </c>
      <c r="F1243" s="5" t="s">
        <v>68</v>
      </c>
      <c r="G1243" s="8">
        <v>2</v>
      </c>
      <c r="H1243" s="8">
        <f>IF(F1243="Bullet",MIN(G1243,Assumptions!$B$6),"")</f>
        <v>2</v>
      </c>
      <c r="I1243" s="8"/>
      <c r="J1243" s="8" t="str">
        <f>IF(F1243="Monthly interest",MAX(0,Assumptions!$B$5-I1243),"")</f>
        <v/>
      </c>
      <c r="K1243" s="7">
        <f t="shared" si="57"/>
        <v>6216</v>
      </c>
      <c r="L1243" s="9">
        <v>46218</v>
      </c>
      <c r="M1243" s="5" t="s">
        <v>50</v>
      </c>
      <c r="N1243" s="5" t="s">
        <v>53</v>
      </c>
      <c r="O1243" s="5" t="s">
        <v>103</v>
      </c>
      <c r="P1243" s="5" t="s">
        <v>51</v>
      </c>
      <c r="Q1243" s="5" t="s">
        <v>73</v>
      </c>
      <c r="R1243" s="5" t="s">
        <v>74</v>
      </c>
      <c r="S1243" s="5" t="s">
        <v>85</v>
      </c>
      <c r="T1243" s="5" t="s">
        <v>57</v>
      </c>
      <c r="U1243" s="5" t="s">
        <v>104</v>
      </c>
      <c r="V1243" s="5" t="s">
        <v>177</v>
      </c>
      <c r="W1243" s="5" t="s">
        <v>178</v>
      </c>
      <c r="X1243" s="5" t="s">
        <v>1261</v>
      </c>
      <c r="Y1243" s="5" t="s">
        <v>5296</v>
      </c>
      <c r="Z1243" s="9">
        <v>46218</v>
      </c>
      <c r="AA1243" s="8">
        <v>12</v>
      </c>
      <c r="AB1243" s="9">
        <f t="shared" si="58"/>
        <v>46583</v>
      </c>
      <c r="AC1243" s="10">
        <v>13</v>
      </c>
      <c r="AD1243" s="7">
        <f t="shared" si="59"/>
        <v>3108</v>
      </c>
      <c r="AE1243" s="7">
        <f>IF(F1243="Bullet",H1243*AD1243,MIN(MAX(I1243,1),Assumptions!$B$6)*AD1243)</f>
        <v>6216</v>
      </c>
      <c r="AF1243" s="8">
        <f>IF(F1243="Bullet",MAX(0,Assumptions!$B$4-AB1243),MAX(0,Assumptions!$B$4-L1243))</f>
        <v>0</v>
      </c>
      <c r="AG1243" s="9"/>
      <c r="AH1243" s="8" t="str">
        <f>IF(AG1243="","",Assumptions!$B$4-AG1243)</f>
        <v/>
      </c>
      <c r="AI1243" s="5" t="s">
        <v>80</v>
      </c>
      <c r="AJ1243" s="8"/>
      <c r="AK1243" s="8">
        <v>0</v>
      </c>
      <c r="AL1243" s="8">
        <v>723</v>
      </c>
      <c r="AM1243" s="8">
        <v>0</v>
      </c>
      <c r="AN1243" s="5" t="s">
        <v>63</v>
      </c>
      <c r="AO1243" s="10">
        <v>71</v>
      </c>
      <c r="AP1243" s="8">
        <v>11</v>
      </c>
      <c r="AQ1243" s="9">
        <v>46286</v>
      </c>
      <c r="AR1243" s="5" t="s">
        <v>51</v>
      </c>
      <c r="AS1243" s="5" t="s">
        <v>81</v>
      </c>
    </row>
    <row r="1244" spans="1:45" x14ac:dyDescent="0.35">
      <c r="A1244" s="5" t="s">
        <v>5297</v>
      </c>
      <c r="B1244" s="5" t="s">
        <v>5298</v>
      </c>
      <c r="C1244" s="6" t="s">
        <v>5299</v>
      </c>
      <c r="D1244" s="7">
        <v>143600</v>
      </c>
      <c r="E1244" s="5" t="s">
        <v>48</v>
      </c>
      <c r="F1244" s="5" t="s">
        <v>49</v>
      </c>
      <c r="G1244" s="8"/>
      <c r="H1244" s="8" t="str">
        <f>IF(F1244="Bullet",MIN(G1244,Assumptions!$B$6),"")</f>
        <v/>
      </c>
      <c r="I1244" s="8">
        <v>2</v>
      </c>
      <c r="J1244" s="8">
        <f>IF(F1244="Monthly interest",MAX(0,Assumptions!$B$5-I1244),"")</f>
        <v>1</v>
      </c>
      <c r="K1244" s="7">
        <f t="shared" si="57"/>
        <v>5744</v>
      </c>
      <c r="L1244" s="9">
        <v>46240</v>
      </c>
      <c r="M1244" s="5" t="s">
        <v>116</v>
      </c>
      <c r="N1244" s="5" t="s">
        <v>117</v>
      </c>
      <c r="O1244" s="5" t="s">
        <v>118</v>
      </c>
      <c r="P1244" s="5" t="s">
        <v>72</v>
      </c>
      <c r="Q1244" s="5" t="s">
        <v>119</v>
      </c>
      <c r="R1244" s="5" t="s">
        <v>120</v>
      </c>
      <c r="S1244" s="5" t="s">
        <v>56</v>
      </c>
      <c r="T1244" s="5" t="s">
        <v>63</v>
      </c>
      <c r="U1244" s="5" t="s">
        <v>86</v>
      </c>
      <c r="V1244" s="5" t="s">
        <v>59</v>
      </c>
      <c r="W1244" s="5" t="s">
        <v>418</v>
      </c>
      <c r="X1244" s="5" t="s">
        <v>743</v>
      </c>
      <c r="Y1244" s="5" t="s">
        <v>5300</v>
      </c>
      <c r="Z1244" s="9">
        <v>45997</v>
      </c>
      <c r="AA1244" s="8">
        <v>12</v>
      </c>
      <c r="AB1244" s="9">
        <f t="shared" si="58"/>
        <v>46362</v>
      </c>
      <c r="AC1244" s="10">
        <v>24</v>
      </c>
      <c r="AD1244" s="7">
        <f t="shared" si="59"/>
        <v>2872</v>
      </c>
      <c r="AE1244" s="7">
        <f>IF(F1244="Bullet",H1244*AD1244,MIN(MAX(I1244,1),Assumptions!$B$6)*AD1244)</f>
        <v>5744</v>
      </c>
      <c r="AF1244" s="8">
        <f>IF(F1244="Bullet",MAX(0,Assumptions!$B$4-AB1244),MAX(0,Assumptions!$B$4-L1244))</f>
        <v>58</v>
      </c>
      <c r="AG1244" s="9">
        <v>46210</v>
      </c>
      <c r="AH1244" s="8">
        <f>IF(AG1244="","",Assumptions!$B$4-AG1244)</f>
        <v>88</v>
      </c>
      <c r="AI1244" s="5" t="s">
        <v>63</v>
      </c>
      <c r="AJ1244" s="8">
        <v>2</v>
      </c>
      <c r="AK1244" s="8">
        <v>2</v>
      </c>
      <c r="AL1244" s="8" t="s">
        <v>80</v>
      </c>
      <c r="AM1244" s="8">
        <v>1</v>
      </c>
      <c r="AN1244" s="5" t="s">
        <v>63</v>
      </c>
      <c r="AO1244" s="10">
        <v>80.2</v>
      </c>
      <c r="AP1244" s="8">
        <v>57</v>
      </c>
      <c r="AQ1244" s="9">
        <v>46274</v>
      </c>
      <c r="AR1244" s="5" t="s">
        <v>70</v>
      </c>
      <c r="AS1244" s="5" t="s">
        <v>190</v>
      </c>
    </row>
    <row r="1245" spans="1:45" x14ac:dyDescent="0.35">
      <c r="A1245" s="5" t="s">
        <v>5301</v>
      </c>
      <c r="B1245" s="5" t="s">
        <v>5302</v>
      </c>
      <c r="C1245" s="6" t="s">
        <v>5303</v>
      </c>
      <c r="D1245" s="7">
        <v>219300</v>
      </c>
      <c r="E1245" s="5" t="s">
        <v>48</v>
      </c>
      <c r="F1245" s="5" t="s">
        <v>68</v>
      </c>
      <c r="G1245" s="8">
        <v>4</v>
      </c>
      <c r="H1245" s="8">
        <f>IF(F1245="Bullet",MIN(G1245,Assumptions!$B$6),"")</f>
        <v>2</v>
      </c>
      <c r="I1245" s="8"/>
      <c r="J1245" s="8" t="str">
        <f>IF(F1245="Monthly interest",MAX(0,Assumptions!$B$5-I1245),"")</f>
        <v/>
      </c>
      <c r="K1245" s="7">
        <f t="shared" si="57"/>
        <v>9504</v>
      </c>
      <c r="L1245" s="9">
        <v>46165</v>
      </c>
      <c r="M1245" s="5" t="s">
        <v>50</v>
      </c>
      <c r="N1245" s="5" t="s">
        <v>70</v>
      </c>
      <c r="O1245" s="5" t="s">
        <v>531</v>
      </c>
      <c r="P1245" s="5" t="s">
        <v>72</v>
      </c>
      <c r="Q1245" s="5" t="s">
        <v>73</v>
      </c>
      <c r="R1245" s="5" t="s">
        <v>74</v>
      </c>
      <c r="S1245" s="5" t="s">
        <v>253</v>
      </c>
      <c r="T1245" s="5" t="s">
        <v>57</v>
      </c>
      <c r="U1245" s="5" t="s">
        <v>58</v>
      </c>
      <c r="V1245" s="5" t="s">
        <v>59</v>
      </c>
      <c r="W1245" s="5" t="s">
        <v>323</v>
      </c>
      <c r="X1245" s="5" t="s">
        <v>3308</v>
      </c>
      <c r="Y1245" s="5" t="s">
        <v>5304</v>
      </c>
      <c r="Z1245" s="9">
        <v>46165</v>
      </c>
      <c r="AA1245" s="8">
        <v>12</v>
      </c>
      <c r="AB1245" s="9">
        <f t="shared" si="58"/>
        <v>46530</v>
      </c>
      <c r="AC1245" s="10">
        <v>13</v>
      </c>
      <c r="AD1245" s="7">
        <f t="shared" si="59"/>
        <v>2376</v>
      </c>
      <c r="AE1245" s="7">
        <f>IF(F1245="Bullet",H1245*AD1245,MIN(MAX(I1245,1),Assumptions!$B$6)*AD1245)</f>
        <v>4752</v>
      </c>
      <c r="AF1245" s="8">
        <f>IF(F1245="Bullet",MAX(0,Assumptions!$B$4-AB1245),MAX(0,Assumptions!$B$4-L1245))</f>
        <v>0</v>
      </c>
      <c r="AG1245" s="9"/>
      <c r="AH1245" s="8" t="str">
        <f>IF(AG1245="","",Assumptions!$B$4-AG1245)</f>
        <v/>
      </c>
      <c r="AI1245" s="5" t="s">
        <v>80</v>
      </c>
      <c r="AJ1245" s="8"/>
      <c r="AK1245" s="8">
        <v>0</v>
      </c>
      <c r="AL1245" s="8" t="s">
        <v>80</v>
      </c>
      <c r="AM1245" s="8">
        <v>0</v>
      </c>
      <c r="AN1245" s="5" t="s">
        <v>57</v>
      </c>
      <c r="AO1245" s="10">
        <v>60.3</v>
      </c>
      <c r="AP1245" s="8">
        <v>26</v>
      </c>
      <c r="AQ1245" s="9">
        <v>46279</v>
      </c>
      <c r="AR1245" s="5" t="s">
        <v>53</v>
      </c>
      <c r="AS1245" s="5" t="s">
        <v>81</v>
      </c>
    </row>
    <row r="1246" spans="1:45" x14ac:dyDescent="0.35">
      <c r="A1246" s="5" t="s">
        <v>5305</v>
      </c>
      <c r="B1246" s="5" t="s">
        <v>493</v>
      </c>
      <c r="C1246" s="6" t="s">
        <v>5306</v>
      </c>
      <c r="D1246" s="7">
        <v>463500</v>
      </c>
      <c r="E1246" s="5" t="s">
        <v>48</v>
      </c>
      <c r="F1246" s="5" t="s">
        <v>68</v>
      </c>
      <c r="G1246" s="8">
        <v>2</v>
      </c>
      <c r="H1246" s="8">
        <f>IF(F1246="Bullet",MIN(G1246,Assumptions!$B$6),"")</f>
        <v>2</v>
      </c>
      <c r="I1246" s="8"/>
      <c r="J1246" s="8" t="str">
        <f>IF(F1246="Monthly interest",MAX(0,Assumptions!$B$5-I1246),"")</f>
        <v/>
      </c>
      <c r="K1246" s="7">
        <f t="shared" si="57"/>
        <v>13906</v>
      </c>
      <c r="L1246" s="9">
        <v>46226</v>
      </c>
      <c r="M1246" s="5" t="s">
        <v>50</v>
      </c>
      <c r="N1246" s="5" t="s">
        <v>53</v>
      </c>
      <c r="O1246" s="5" t="s">
        <v>95</v>
      </c>
      <c r="P1246" s="5" t="s">
        <v>70</v>
      </c>
      <c r="Q1246" s="5" t="s">
        <v>73</v>
      </c>
      <c r="R1246" s="5" t="s">
        <v>74</v>
      </c>
      <c r="S1246" s="5" t="s">
        <v>185</v>
      </c>
      <c r="T1246" s="5" t="s">
        <v>63</v>
      </c>
      <c r="U1246" s="5" t="s">
        <v>86</v>
      </c>
      <c r="V1246" s="5" t="s">
        <v>186</v>
      </c>
      <c r="W1246" s="5" t="s">
        <v>329</v>
      </c>
      <c r="X1246" s="5" t="s">
        <v>5307</v>
      </c>
      <c r="Y1246" s="5" t="s">
        <v>5308</v>
      </c>
      <c r="Z1246" s="9">
        <v>46226</v>
      </c>
      <c r="AA1246" s="8">
        <v>12</v>
      </c>
      <c r="AB1246" s="9">
        <f t="shared" si="58"/>
        <v>46591</v>
      </c>
      <c r="AC1246" s="10">
        <v>18</v>
      </c>
      <c r="AD1246" s="7">
        <f t="shared" si="59"/>
        <v>6953</v>
      </c>
      <c r="AE1246" s="7">
        <f>IF(F1246="Bullet",H1246*AD1246,MIN(MAX(I1246,1),Assumptions!$B$6)*AD1246)</f>
        <v>13906</v>
      </c>
      <c r="AF1246" s="8">
        <f>IF(F1246="Bullet",MAX(0,Assumptions!$B$4-AB1246),MAX(0,Assumptions!$B$4-L1246))</f>
        <v>0</v>
      </c>
      <c r="AG1246" s="9"/>
      <c r="AH1246" s="8" t="str">
        <f>IF(AG1246="","",Assumptions!$B$4-AG1246)</f>
        <v/>
      </c>
      <c r="AI1246" s="5" t="s">
        <v>80</v>
      </c>
      <c r="AJ1246" s="8"/>
      <c r="AK1246" s="8">
        <v>1</v>
      </c>
      <c r="AL1246" s="8">
        <v>718</v>
      </c>
      <c r="AM1246" s="8">
        <v>1</v>
      </c>
      <c r="AN1246" s="5" t="s">
        <v>63</v>
      </c>
      <c r="AO1246" s="10">
        <v>71.5</v>
      </c>
      <c r="AP1246" s="8">
        <v>20</v>
      </c>
      <c r="AQ1246" s="9">
        <v>46292</v>
      </c>
      <c r="AR1246" s="5" t="s">
        <v>70</v>
      </c>
      <c r="AS1246" s="5" t="s">
        <v>81</v>
      </c>
    </row>
    <row r="1247" spans="1:45" x14ac:dyDescent="0.35">
      <c r="A1247" s="5" t="s">
        <v>5309</v>
      </c>
      <c r="B1247" s="5" t="s">
        <v>4326</v>
      </c>
      <c r="C1247" s="6" t="s">
        <v>5310</v>
      </c>
      <c r="D1247" s="7">
        <v>71400</v>
      </c>
      <c r="E1247" s="5" t="s">
        <v>48</v>
      </c>
      <c r="F1247" s="5" t="s">
        <v>49</v>
      </c>
      <c r="G1247" s="8"/>
      <c r="H1247" s="8" t="str">
        <f>IF(F1247="Bullet",MIN(G1247,Assumptions!$B$6),"")</f>
        <v/>
      </c>
      <c r="I1247" s="8">
        <v>1</v>
      </c>
      <c r="J1247" s="8">
        <f>IF(F1247="Monthly interest",MAX(0,Assumptions!$B$5-I1247),"")</f>
        <v>2</v>
      </c>
      <c r="K1247" s="7">
        <f t="shared" si="57"/>
        <v>952</v>
      </c>
      <c r="L1247" s="9">
        <v>46298</v>
      </c>
      <c r="M1247" s="5" t="s">
        <v>116</v>
      </c>
      <c r="N1247" s="5" t="s">
        <v>117</v>
      </c>
      <c r="O1247" s="5" t="s">
        <v>118</v>
      </c>
      <c r="P1247" s="5" t="s">
        <v>72</v>
      </c>
      <c r="Q1247" s="5" t="s">
        <v>119</v>
      </c>
      <c r="R1247" s="5" t="s">
        <v>120</v>
      </c>
      <c r="S1247" s="5" t="s">
        <v>75</v>
      </c>
      <c r="T1247" s="5" t="s">
        <v>57</v>
      </c>
      <c r="U1247" s="5" t="s">
        <v>86</v>
      </c>
      <c r="V1247" s="5" t="s">
        <v>76</v>
      </c>
      <c r="W1247" s="5" t="s">
        <v>444</v>
      </c>
      <c r="X1247" s="5" t="s">
        <v>1403</v>
      </c>
      <c r="Y1247" s="5" t="s">
        <v>5311</v>
      </c>
      <c r="Z1247" s="9">
        <v>46145</v>
      </c>
      <c r="AA1247" s="8">
        <v>24</v>
      </c>
      <c r="AB1247" s="9">
        <f t="shared" si="58"/>
        <v>46876</v>
      </c>
      <c r="AC1247" s="10">
        <v>16</v>
      </c>
      <c r="AD1247" s="7">
        <f t="shared" si="59"/>
        <v>952</v>
      </c>
      <c r="AE1247" s="7">
        <f>IF(F1247="Bullet",H1247*AD1247,MIN(MAX(I1247,1),Assumptions!$B$6)*AD1247)</f>
        <v>952</v>
      </c>
      <c r="AF1247" s="8">
        <f>IF(F1247="Bullet",MAX(0,Assumptions!$B$4-AB1247),MAX(0,Assumptions!$B$4-L1247))</f>
        <v>0</v>
      </c>
      <c r="AG1247" s="9">
        <v>46271</v>
      </c>
      <c r="AH1247" s="8">
        <f>IF(AG1247="","",Assumptions!$B$4-AG1247)</f>
        <v>27</v>
      </c>
      <c r="AI1247" s="5" t="s">
        <v>57</v>
      </c>
      <c r="AJ1247" s="8">
        <v>3</v>
      </c>
      <c r="AK1247" s="8">
        <v>1</v>
      </c>
      <c r="AL1247" s="8">
        <v>732</v>
      </c>
      <c r="AM1247" s="8">
        <v>1</v>
      </c>
      <c r="AN1247" s="5" t="s">
        <v>63</v>
      </c>
      <c r="AO1247" s="10">
        <v>88</v>
      </c>
      <c r="AP1247" s="8">
        <v>50</v>
      </c>
      <c r="AQ1247" s="9">
        <v>46281</v>
      </c>
      <c r="AR1247" s="5" t="s">
        <v>70</v>
      </c>
      <c r="AS1247" s="5" t="s">
        <v>91</v>
      </c>
    </row>
    <row r="1248" spans="1:45" x14ac:dyDescent="0.35">
      <c r="A1248" s="5" t="s">
        <v>5312</v>
      </c>
      <c r="B1248" s="5" t="s">
        <v>708</v>
      </c>
      <c r="C1248" s="6" t="s">
        <v>5313</v>
      </c>
      <c r="D1248" s="7">
        <v>77200</v>
      </c>
      <c r="E1248" s="5" t="s">
        <v>48</v>
      </c>
      <c r="F1248" s="5" t="s">
        <v>68</v>
      </c>
      <c r="G1248" s="8">
        <v>6</v>
      </c>
      <c r="H1248" s="8">
        <f>IF(F1248="Bullet",MIN(G1248,Assumptions!$B$6),"")</f>
        <v>2</v>
      </c>
      <c r="I1248" s="8"/>
      <c r="J1248" s="8" t="str">
        <f>IF(F1248="Monthly interest",MAX(0,Assumptions!$B$5-I1248),"")</f>
        <v/>
      </c>
      <c r="K1248" s="7">
        <f t="shared" si="57"/>
        <v>5406</v>
      </c>
      <c r="L1248" s="9">
        <v>46094</v>
      </c>
      <c r="M1248" s="5" t="s">
        <v>116</v>
      </c>
      <c r="N1248" s="5" t="s">
        <v>117</v>
      </c>
      <c r="O1248" s="5" t="s">
        <v>461</v>
      </c>
      <c r="P1248" s="5" t="s">
        <v>72</v>
      </c>
      <c r="Q1248" s="5" t="s">
        <v>169</v>
      </c>
      <c r="R1248" s="5" t="s">
        <v>170</v>
      </c>
      <c r="S1248" s="5" t="s">
        <v>214</v>
      </c>
      <c r="T1248" s="5" t="s">
        <v>57</v>
      </c>
      <c r="U1248" s="5" t="s">
        <v>58</v>
      </c>
      <c r="V1248" s="5" t="s">
        <v>215</v>
      </c>
      <c r="W1248" s="5" t="s">
        <v>216</v>
      </c>
      <c r="X1248" s="5" t="s">
        <v>217</v>
      </c>
      <c r="Y1248" s="5" t="s">
        <v>5314</v>
      </c>
      <c r="Z1248" s="9">
        <v>46094</v>
      </c>
      <c r="AA1248" s="8">
        <v>6</v>
      </c>
      <c r="AB1248" s="9">
        <f t="shared" si="58"/>
        <v>46278</v>
      </c>
      <c r="AC1248" s="10">
        <v>14</v>
      </c>
      <c r="AD1248" s="7">
        <f t="shared" si="59"/>
        <v>901</v>
      </c>
      <c r="AE1248" s="7">
        <f>IF(F1248="Bullet",H1248*AD1248,MIN(MAX(I1248,1),Assumptions!$B$6)*AD1248)</f>
        <v>1802</v>
      </c>
      <c r="AF1248" s="8">
        <f>IF(F1248="Bullet",MAX(0,Assumptions!$B$4-AB1248),MAX(0,Assumptions!$B$4-L1248))</f>
        <v>20</v>
      </c>
      <c r="AG1248" s="9"/>
      <c r="AH1248" s="8" t="str">
        <f>IF(AG1248="","",Assumptions!$B$4-AG1248)</f>
        <v/>
      </c>
      <c r="AI1248" s="5" t="s">
        <v>80</v>
      </c>
      <c r="AJ1248" s="8"/>
      <c r="AK1248" s="8">
        <v>2</v>
      </c>
      <c r="AL1248" s="8" t="s">
        <v>80</v>
      </c>
      <c r="AM1248" s="8">
        <v>3</v>
      </c>
      <c r="AN1248" s="5" t="s">
        <v>63</v>
      </c>
      <c r="AO1248" s="10">
        <v>65</v>
      </c>
      <c r="AP1248" s="8">
        <v>65</v>
      </c>
      <c r="AQ1248" s="9">
        <v>46275</v>
      </c>
      <c r="AR1248" s="5" t="s">
        <v>53</v>
      </c>
      <c r="AS1248" s="5" t="s">
        <v>64</v>
      </c>
    </row>
    <row r="1249" spans="1:45" x14ac:dyDescent="0.35">
      <c r="A1249" s="5" t="s">
        <v>5315</v>
      </c>
      <c r="B1249" s="5" t="s">
        <v>5316</v>
      </c>
      <c r="C1249" s="6" t="s">
        <v>5317</v>
      </c>
      <c r="D1249" s="7">
        <v>207900</v>
      </c>
      <c r="E1249" s="5" t="s">
        <v>48</v>
      </c>
      <c r="F1249" s="5" t="s">
        <v>49</v>
      </c>
      <c r="G1249" s="8"/>
      <c r="H1249" s="8" t="str">
        <f>IF(F1249="Bullet",MIN(G1249,Assumptions!$B$6),"")</f>
        <v/>
      </c>
      <c r="I1249" s="8">
        <v>1</v>
      </c>
      <c r="J1249" s="8">
        <f>IF(F1249="Monthly interest",MAX(0,Assumptions!$B$5-I1249),"")</f>
        <v>2</v>
      </c>
      <c r="K1249" s="7">
        <f t="shared" si="57"/>
        <v>2426</v>
      </c>
      <c r="L1249" s="9">
        <v>46278</v>
      </c>
      <c r="M1249" s="5" t="s">
        <v>50</v>
      </c>
      <c r="N1249" s="5" t="s">
        <v>51</v>
      </c>
      <c r="O1249" s="5" t="s">
        <v>52</v>
      </c>
      <c r="P1249" s="5" t="s">
        <v>53</v>
      </c>
      <c r="Q1249" s="5" t="s">
        <v>54</v>
      </c>
      <c r="R1249" s="5" t="s">
        <v>55</v>
      </c>
      <c r="S1249" s="5" t="s">
        <v>185</v>
      </c>
      <c r="T1249" s="5" t="s">
        <v>57</v>
      </c>
      <c r="U1249" s="5" t="s">
        <v>104</v>
      </c>
      <c r="V1249" s="5" t="s">
        <v>186</v>
      </c>
      <c r="W1249" s="5" t="s">
        <v>694</v>
      </c>
      <c r="X1249" s="5" t="s">
        <v>695</v>
      </c>
      <c r="Y1249" s="5" t="s">
        <v>5318</v>
      </c>
      <c r="Z1249" s="9">
        <v>46216</v>
      </c>
      <c r="AA1249" s="8">
        <v>12</v>
      </c>
      <c r="AB1249" s="9">
        <f t="shared" si="58"/>
        <v>46581</v>
      </c>
      <c r="AC1249" s="10">
        <v>14</v>
      </c>
      <c r="AD1249" s="7">
        <f t="shared" si="59"/>
        <v>2426</v>
      </c>
      <c r="AE1249" s="7">
        <f>IF(F1249="Bullet",H1249*AD1249,MIN(MAX(I1249,1),Assumptions!$B$6)*AD1249)</f>
        <v>2426</v>
      </c>
      <c r="AF1249" s="8">
        <f>IF(F1249="Bullet",MAX(0,Assumptions!$B$4-AB1249),MAX(0,Assumptions!$B$4-L1249))</f>
        <v>20</v>
      </c>
      <c r="AG1249" s="9">
        <v>46252</v>
      </c>
      <c r="AH1249" s="8">
        <f>IF(AG1249="","",Assumptions!$B$4-AG1249)</f>
        <v>46</v>
      </c>
      <c r="AI1249" s="5" t="s">
        <v>63</v>
      </c>
      <c r="AJ1249" s="8">
        <v>1</v>
      </c>
      <c r="AK1249" s="8">
        <v>0</v>
      </c>
      <c r="AL1249" s="8">
        <v>711</v>
      </c>
      <c r="AM1249" s="8">
        <v>1</v>
      </c>
      <c r="AN1249" s="5" t="s">
        <v>63</v>
      </c>
      <c r="AO1249" s="10">
        <v>58.7</v>
      </c>
      <c r="AP1249" s="8">
        <v>30</v>
      </c>
      <c r="AQ1249" s="9"/>
      <c r="AR1249" s="5"/>
      <c r="AS1249" s="5" t="s">
        <v>159</v>
      </c>
    </row>
    <row r="1250" spans="1:45" x14ac:dyDescent="0.35">
      <c r="A1250" s="5" t="s">
        <v>5319</v>
      </c>
      <c r="B1250" s="5" t="s">
        <v>5320</v>
      </c>
      <c r="C1250" s="6" t="s">
        <v>5321</v>
      </c>
      <c r="D1250" s="7">
        <v>121900</v>
      </c>
      <c r="E1250" s="5" t="s">
        <v>48</v>
      </c>
      <c r="F1250" s="5" t="s">
        <v>49</v>
      </c>
      <c r="G1250" s="8"/>
      <c r="H1250" s="8" t="str">
        <f>IF(F1250="Bullet",MIN(G1250,Assumptions!$B$6),"")</f>
        <v/>
      </c>
      <c r="I1250" s="8">
        <v>2</v>
      </c>
      <c r="J1250" s="8">
        <f>IF(F1250="Monthly interest",MAX(0,Assumptions!$B$5-I1250),"")</f>
        <v>1</v>
      </c>
      <c r="K1250" s="7">
        <f t="shared" si="57"/>
        <v>3048</v>
      </c>
      <c r="L1250" s="9">
        <v>46242</v>
      </c>
      <c r="M1250" s="5" t="s">
        <v>116</v>
      </c>
      <c r="N1250" s="5" t="s">
        <v>117</v>
      </c>
      <c r="O1250" s="5" t="s">
        <v>118</v>
      </c>
      <c r="P1250" s="5" t="s">
        <v>72</v>
      </c>
      <c r="Q1250" s="5" t="s">
        <v>119</v>
      </c>
      <c r="R1250" s="5" t="s">
        <v>120</v>
      </c>
      <c r="S1250" s="5" t="s">
        <v>56</v>
      </c>
      <c r="T1250" s="5" t="s">
        <v>57</v>
      </c>
      <c r="U1250" s="5" t="s">
        <v>104</v>
      </c>
      <c r="V1250" s="5" t="s">
        <v>59</v>
      </c>
      <c r="W1250" s="5" t="s">
        <v>60</v>
      </c>
      <c r="X1250" s="5" t="s">
        <v>408</v>
      </c>
      <c r="Y1250" s="5" t="s">
        <v>5322</v>
      </c>
      <c r="Z1250" s="9">
        <v>45999</v>
      </c>
      <c r="AA1250" s="8">
        <v>18</v>
      </c>
      <c r="AB1250" s="9">
        <f t="shared" si="58"/>
        <v>46546</v>
      </c>
      <c r="AC1250" s="10">
        <v>15</v>
      </c>
      <c r="AD1250" s="7">
        <f t="shared" si="59"/>
        <v>1524</v>
      </c>
      <c r="AE1250" s="7">
        <f>IF(F1250="Bullet",H1250*AD1250,MIN(MAX(I1250,1),Assumptions!$B$6)*AD1250)</f>
        <v>3048</v>
      </c>
      <c r="AF1250" s="8">
        <f>IF(F1250="Bullet",MAX(0,Assumptions!$B$4-AB1250),MAX(0,Assumptions!$B$4-L1250))</f>
        <v>56</v>
      </c>
      <c r="AG1250" s="9">
        <v>46214</v>
      </c>
      <c r="AH1250" s="8">
        <f>IF(AG1250="","",Assumptions!$B$4-AG1250)</f>
        <v>84</v>
      </c>
      <c r="AI1250" s="5" t="s">
        <v>57</v>
      </c>
      <c r="AJ1250" s="8">
        <v>4</v>
      </c>
      <c r="AK1250" s="8">
        <v>1</v>
      </c>
      <c r="AL1250" s="8">
        <v>719</v>
      </c>
      <c r="AM1250" s="8">
        <v>1</v>
      </c>
      <c r="AN1250" s="5" t="s">
        <v>63</v>
      </c>
      <c r="AO1250" s="10">
        <v>79.599999999999994</v>
      </c>
      <c r="AP1250" s="8">
        <v>55</v>
      </c>
      <c r="AQ1250" s="9">
        <v>46285</v>
      </c>
      <c r="AR1250" s="5" t="s">
        <v>51</v>
      </c>
      <c r="AS1250" s="5" t="s">
        <v>64</v>
      </c>
    </row>
    <row r="1251" spans="1:45" x14ac:dyDescent="0.35">
      <c r="A1251" s="5" t="s">
        <v>5323</v>
      </c>
      <c r="B1251" s="5" t="s">
        <v>5324</v>
      </c>
      <c r="C1251" s="6" t="s">
        <v>5325</v>
      </c>
      <c r="D1251" s="7">
        <v>32200</v>
      </c>
      <c r="E1251" s="5" t="s">
        <v>48</v>
      </c>
      <c r="F1251" s="5" t="s">
        <v>49</v>
      </c>
      <c r="G1251" s="8"/>
      <c r="H1251" s="8" t="str">
        <f>IF(F1251="Bullet",MIN(G1251,Assumptions!$B$6),"")</f>
        <v/>
      </c>
      <c r="I1251" s="8">
        <v>2</v>
      </c>
      <c r="J1251" s="8">
        <f>IF(F1251="Monthly interest",MAX(0,Assumptions!$B$5-I1251),"")</f>
        <v>1</v>
      </c>
      <c r="K1251" s="7">
        <f t="shared" si="57"/>
        <v>1288</v>
      </c>
      <c r="L1251" s="9">
        <v>46256</v>
      </c>
      <c r="M1251" s="5" t="s">
        <v>116</v>
      </c>
      <c r="N1251" s="5" t="s">
        <v>117</v>
      </c>
      <c r="O1251" s="5" t="s">
        <v>450</v>
      </c>
      <c r="P1251" s="5" t="s">
        <v>72</v>
      </c>
      <c r="Q1251" s="5" t="s">
        <v>154</v>
      </c>
      <c r="R1251" s="5" t="s">
        <v>155</v>
      </c>
      <c r="S1251" s="5" t="s">
        <v>185</v>
      </c>
      <c r="T1251" s="5" t="s">
        <v>57</v>
      </c>
      <c r="U1251" s="5" t="s">
        <v>104</v>
      </c>
      <c r="V1251" s="5" t="s">
        <v>200</v>
      </c>
      <c r="W1251" s="5" t="s">
        <v>201</v>
      </c>
      <c r="X1251" s="5" t="s">
        <v>2289</v>
      </c>
      <c r="Y1251" s="5" t="s">
        <v>5326</v>
      </c>
      <c r="Z1251" s="9">
        <v>46013</v>
      </c>
      <c r="AA1251" s="8">
        <v>24</v>
      </c>
      <c r="AB1251" s="9">
        <f t="shared" si="58"/>
        <v>46743</v>
      </c>
      <c r="AC1251" s="10">
        <v>24</v>
      </c>
      <c r="AD1251" s="7">
        <f t="shared" si="59"/>
        <v>644</v>
      </c>
      <c r="AE1251" s="7">
        <f>IF(F1251="Bullet",H1251*AD1251,MIN(MAX(I1251,1),Assumptions!$B$6)*AD1251)</f>
        <v>1288</v>
      </c>
      <c r="AF1251" s="8">
        <f>IF(F1251="Bullet",MAX(0,Assumptions!$B$4-AB1251),MAX(0,Assumptions!$B$4-L1251))</f>
        <v>42</v>
      </c>
      <c r="AG1251" s="9">
        <v>46226</v>
      </c>
      <c r="AH1251" s="8">
        <f>IF(AG1251="","",Assumptions!$B$4-AG1251)</f>
        <v>72</v>
      </c>
      <c r="AI1251" s="5" t="s">
        <v>57</v>
      </c>
      <c r="AJ1251" s="8">
        <v>2</v>
      </c>
      <c r="AK1251" s="8">
        <v>0</v>
      </c>
      <c r="AL1251" s="8">
        <v>651</v>
      </c>
      <c r="AM1251" s="8">
        <v>1</v>
      </c>
      <c r="AN1251" s="5" t="s">
        <v>63</v>
      </c>
      <c r="AO1251" s="10">
        <v>60</v>
      </c>
      <c r="AP1251" s="8">
        <v>53</v>
      </c>
      <c r="AQ1251" s="9">
        <v>46286</v>
      </c>
      <c r="AR1251" s="5" t="s">
        <v>70</v>
      </c>
      <c r="AS1251" s="5" t="s">
        <v>190</v>
      </c>
    </row>
    <row r="1252" spans="1:45" x14ac:dyDescent="0.35">
      <c r="A1252" s="5" t="s">
        <v>5327</v>
      </c>
      <c r="B1252" s="5" t="s">
        <v>5328</v>
      </c>
      <c r="C1252" s="6" t="s">
        <v>5329</v>
      </c>
      <c r="D1252" s="7">
        <v>68100</v>
      </c>
      <c r="E1252" s="5" t="s">
        <v>48</v>
      </c>
      <c r="F1252" s="5" t="s">
        <v>49</v>
      </c>
      <c r="G1252" s="8"/>
      <c r="H1252" s="8" t="str">
        <f>IF(F1252="Bullet",MIN(G1252,Assumptions!$B$6),"")</f>
        <v/>
      </c>
      <c r="I1252" s="8">
        <v>1</v>
      </c>
      <c r="J1252" s="8">
        <f>IF(F1252="Monthly interest",MAX(0,Assumptions!$B$5-I1252),"")</f>
        <v>2</v>
      </c>
      <c r="K1252" s="7">
        <f t="shared" si="57"/>
        <v>1022</v>
      </c>
      <c r="L1252" s="9">
        <v>46291</v>
      </c>
      <c r="M1252" s="5" t="s">
        <v>69</v>
      </c>
      <c r="N1252" s="5" t="s">
        <v>51</v>
      </c>
      <c r="O1252" s="5" t="s">
        <v>52</v>
      </c>
      <c r="P1252" s="5" t="s">
        <v>53</v>
      </c>
      <c r="Q1252" s="5" t="s">
        <v>54</v>
      </c>
      <c r="R1252" s="5" t="s">
        <v>55</v>
      </c>
      <c r="S1252" s="5" t="s">
        <v>75</v>
      </c>
      <c r="T1252" s="5" t="s">
        <v>57</v>
      </c>
      <c r="U1252" s="5" t="s">
        <v>58</v>
      </c>
      <c r="V1252" s="5" t="s">
        <v>76</v>
      </c>
      <c r="W1252" s="5" t="s">
        <v>547</v>
      </c>
      <c r="X1252" s="5" t="s">
        <v>3727</v>
      </c>
      <c r="Y1252" s="5" t="s">
        <v>5330</v>
      </c>
      <c r="Z1252" s="9">
        <v>46079</v>
      </c>
      <c r="AA1252" s="8">
        <v>18</v>
      </c>
      <c r="AB1252" s="9">
        <f t="shared" si="58"/>
        <v>46625</v>
      </c>
      <c r="AC1252" s="10">
        <v>18</v>
      </c>
      <c r="AD1252" s="7">
        <f t="shared" si="59"/>
        <v>1022</v>
      </c>
      <c r="AE1252" s="7">
        <f>IF(F1252="Bullet",H1252*AD1252,MIN(MAX(I1252,1),Assumptions!$B$6)*AD1252)</f>
        <v>1022</v>
      </c>
      <c r="AF1252" s="8">
        <f>IF(F1252="Bullet",MAX(0,Assumptions!$B$4-AB1252),MAX(0,Assumptions!$B$4-L1252))</f>
        <v>7</v>
      </c>
      <c r="AG1252" s="9">
        <v>46261</v>
      </c>
      <c r="AH1252" s="8">
        <f>IF(AG1252="","",Assumptions!$B$4-AG1252)</f>
        <v>37</v>
      </c>
      <c r="AI1252" s="5" t="s">
        <v>63</v>
      </c>
      <c r="AJ1252" s="8">
        <v>1</v>
      </c>
      <c r="AK1252" s="8">
        <v>0</v>
      </c>
      <c r="AL1252" s="8">
        <v>689</v>
      </c>
      <c r="AM1252" s="8">
        <v>0</v>
      </c>
      <c r="AN1252" s="5" t="s">
        <v>63</v>
      </c>
      <c r="AO1252" s="10">
        <v>75.2</v>
      </c>
      <c r="AP1252" s="8">
        <v>31</v>
      </c>
      <c r="AQ1252" s="9">
        <v>46281</v>
      </c>
      <c r="AR1252" s="5" t="s">
        <v>70</v>
      </c>
      <c r="AS1252" s="5" t="s">
        <v>81</v>
      </c>
    </row>
    <row r="1253" spans="1:45" x14ac:dyDescent="0.35">
      <c r="A1253" s="5" t="s">
        <v>5331</v>
      </c>
      <c r="B1253" s="5" t="s">
        <v>5332</v>
      </c>
      <c r="C1253" s="6" t="s">
        <v>5333</v>
      </c>
      <c r="D1253" s="7">
        <v>174100</v>
      </c>
      <c r="E1253" s="5" t="s">
        <v>48</v>
      </c>
      <c r="F1253" s="5" t="s">
        <v>49</v>
      </c>
      <c r="G1253" s="8"/>
      <c r="H1253" s="8" t="str">
        <f>IF(F1253="Bullet",MIN(G1253,Assumptions!$B$6),"")</f>
        <v/>
      </c>
      <c r="I1253" s="8">
        <v>1</v>
      </c>
      <c r="J1253" s="8">
        <f>IF(F1253="Monthly interest",MAX(0,Assumptions!$B$5-I1253),"")</f>
        <v>2</v>
      </c>
      <c r="K1253" s="7">
        <f t="shared" si="57"/>
        <v>2321</v>
      </c>
      <c r="L1253" s="9">
        <v>46270</v>
      </c>
      <c r="M1253" s="5" t="s">
        <v>50</v>
      </c>
      <c r="N1253" s="5" t="s">
        <v>51</v>
      </c>
      <c r="O1253" s="5" t="s">
        <v>52</v>
      </c>
      <c r="P1253" s="5" t="s">
        <v>53</v>
      </c>
      <c r="Q1253" s="5" t="s">
        <v>54</v>
      </c>
      <c r="R1253" s="5" t="s">
        <v>55</v>
      </c>
      <c r="S1253" s="5" t="s">
        <v>253</v>
      </c>
      <c r="T1253" s="5" t="s">
        <v>57</v>
      </c>
      <c r="U1253" s="5" t="s">
        <v>86</v>
      </c>
      <c r="V1253" s="5" t="s">
        <v>76</v>
      </c>
      <c r="W1253" s="5" t="s">
        <v>105</v>
      </c>
      <c r="X1253" s="5" t="s">
        <v>163</v>
      </c>
      <c r="Y1253" s="5" t="s">
        <v>5334</v>
      </c>
      <c r="Z1253" s="9">
        <v>46086</v>
      </c>
      <c r="AA1253" s="8">
        <v>12</v>
      </c>
      <c r="AB1253" s="9">
        <f t="shared" si="58"/>
        <v>46451</v>
      </c>
      <c r="AC1253" s="10">
        <v>16</v>
      </c>
      <c r="AD1253" s="7">
        <f t="shared" si="59"/>
        <v>2321</v>
      </c>
      <c r="AE1253" s="7">
        <f>IF(F1253="Bullet",H1253*AD1253,MIN(MAX(I1253,1),Assumptions!$B$6)*AD1253)</f>
        <v>2321</v>
      </c>
      <c r="AF1253" s="8">
        <f>IF(F1253="Bullet",MAX(0,Assumptions!$B$4-AB1253),MAX(0,Assumptions!$B$4-L1253))</f>
        <v>28</v>
      </c>
      <c r="AG1253" s="9">
        <v>46242</v>
      </c>
      <c r="AH1253" s="8">
        <f>IF(AG1253="","",Assumptions!$B$4-AG1253)</f>
        <v>56</v>
      </c>
      <c r="AI1253" s="5" t="s">
        <v>63</v>
      </c>
      <c r="AJ1253" s="8">
        <v>2</v>
      </c>
      <c r="AK1253" s="8">
        <v>0</v>
      </c>
      <c r="AL1253" s="8">
        <v>749</v>
      </c>
      <c r="AM1253" s="8">
        <v>2</v>
      </c>
      <c r="AN1253" s="5" t="s">
        <v>63</v>
      </c>
      <c r="AO1253" s="10">
        <v>74.099999999999994</v>
      </c>
      <c r="AP1253" s="8">
        <v>25</v>
      </c>
      <c r="AQ1253" s="9">
        <v>46297</v>
      </c>
      <c r="AR1253" s="5" t="s">
        <v>51</v>
      </c>
      <c r="AS1253" s="5" t="s">
        <v>64</v>
      </c>
    </row>
    <row r="1254" spans="1:45" x14ac:dyDescent="0.35">
      <c r="A1254" s="5" t="s">
        <v>5335</v>
      </c>
      <c r="B1254" s="5" t="s">
        <v>5336</v>
      </c>
      <c r="C1254" s="6" t="s">
        <v>5337</v>
      </c>
      <c r="D1254" s="7">
        <v>113500</v>
      </c>
      <c r="E1254" s="5" t="s">
        <v>48</v>
      </c>
      <c r="F1254" s="5" t="s">
        <v>49</v>
      </c>
      <c r="G1254" s="8"/>
      <c r="H1254" s="8" t="str">
        <f>IF(F1254="Bullet",MIN(G1254,Assumptions!$B$6),"")</f>
        <v/>
      </c>
      <c r="I1254" s="8">
        <v>1</v>
      </c>
      <c r="J1254" s="8">
        <f>IF(F1254="Monthly interest",MAX(0,Assumptions!$B$5-I1254),"")</f>
        <v>2</v>
      </c>
      <c r="K1254" s="7">
        <f t="shared" si="57"/>
        <v>1513</v>
      </c>
      <c r="L1254" s="9">
        <v>46291</v>
      </c>
      <c r="M1254" s="5" t="s">
        <v>69</v>
      </c>
      <c r="N1254" s="5" t="s">
        <v>53</v>
      </c>
      <c r="O1254" s="5" t="s">
        <v>95</v>
      </c>
      <c r="P1254" s="5" t="s">
        <v>70</v>
      </c>
      <c r="Q1254" s="5" t="s">
        <v>54</v>
      </c>
      <c r="R1254" s="5" t="s">
        <v>55</v>
      </c>
      <c r="S1254" s="5" t="s">
        <v>85</v>
      </c>
      <c r="T1254" s="5" t="s">
        <v>63</v>
      </c>
      <c r="U1254" s="5" t="s">
        <v>104</v>
      </c>
      <c r="V1254" s="5" t="s">
        <v>96</v>
      </c>
      <c r="W1254" s="5" t="s">
        <v>171</v>
      </c>
      <c r="X1254" s="5" t="s">
        <v>1248</v>
      </c>
      <c r="Y1254" s="5" t="s">
        <v>5338</v>
      </c>
      <c r="Z1254" s="9">
        <v>46138</v>
      </c>
      <c r="AA1254" s="8">
        <v>12</v>
      </c>
      <c r="AB1254" s="9">
        <f t="shared" si="58"/>
        <v>46503</v>
      </c>
      <c r="AC1254" s="10">
        <v>16</v>
      </c>
      <c r="AD1254" s="7">
        <f t="shared" si="59"/>
        <v>1513</v>
      </c>
      <c r="AE1254" s="7">
        <f>IF(F1254="Bullet",H1254*AD1254,MIN(MAX(I1254,1),Assumptions!$B$6)*AD1254)</f>
        <v>1513</v>
      </c>
      <c r="AF1254" s="8">
        <f>IF(F1254="Bullet",MAX(0,Assumptions!$B$4-AB1254),MAX(0,Assumptions!$B$4-L1254))</f>
        <v>7</v>
      </c>
      <c r="AG1254" s="9">
        <v>46265</v>
      </c>
      <c r="AH1254" s="8">
        <f>IF(AG1254="","",Assumptions!$B$4-AG1254)</f>
        <v>33</v>
      </c>
      <c r="AI1254" s="5" t="s">
        <v>63</v>
      </c>
      <c r="AJ1254" s="8">
        <v>1</v>
      </c>
      <c r="AK1254" s="8">
        <v>1</v>
      </c>
      <c r="AL1254" s="8">
        <v>764</v>
      </c>
      <c r="AM1254" s="8">
        <v>1</v>
      </c>
      <c r="AN1254" s="5" t="s">
        <v>63</v>
      </c>
      <c r="AO1254" s="10">
        <v>84.6</v>
      </c>
      <c r="AP1254" s="8">
        <v>33</v>
      </c>
      <c r="AQ1254" s="9">
        <v>46285</v>
      </c>
      <c r="AR1254" s="5" t="s">
        <v>51</v>
      </c>
      <c r="AS1254" s="5" t="s">
        <v>274</v>
      </c>
    </row>
    <row r="1255" spans="1:45" x14ac:dyDescent="0.35">
      <c r="A1255" s="5" t="s">
        <v>5339</v>
      </c>
      <c r="B1255" s="5" t="s">
        <v>5340</v>
      </c>
      <c r="C1255" s="6" t="s">
        <v>5341</v>
      </c>
      <c r="D1255" s="7">
        <v>137300</v>
      </c>
      <c r="E1255" s="5" t="s">
        <v>48</v>
      </c>
      <c r="F1255" s="5" t="s">
        <v>49</v>
      </c>
      <c r="G1255" s="8"/>
      <c r="H1255" s="8" t="str">
        <f>IF(F1255="Bullet",MIN(G1255,Assumptions!$B$6),"")</f>
        <v/>
      </c>
      <c r="I1255" s="8">
        <v>2</v>
      </c>
      <c r="J1255" s="8">
        <f>IF(F1255="Monthly interest",MAX(0,Assumptions!$B$5-I1255),"")</f>
        <v>1</v>
      </c>
      <c r="K1255" s="7">
        <f t="shared" si="57"/>
        <v>4120</v>
      </c>
      <c r="L1255" s="9">
        <v>46260</v>
      </c>
      <c r="M1255" s="5" t="s">
        <v>69</v>
      </c>
      <c r="N1255" s="5" t="s">
        <v>53</v>
      </c>
      <c r="O1255" s="5" t="s">
        <v>71</v>
      </c>
      <c r="P1255" s="5" t="s">
        <v>70</v>
      </c>
      <c r="Q1255" s="5" t="s">
        <v>73</v>
      </c>
      <c r="R1255" s="5" t="s">
        <v>74</v>
      </c>
      <c r="S1255" s="5" t="s">
        <v>85</v>
      </c>
      <c r="T1255" s="5" t="s">
        <v>57</v>
      </c>
      <c r="U1255" s="5" t="s">
        <v>86</v>
      </c>
      <c r="V1255" s="5" t="s">
        <v>177</v>
      </c>
      <c r="W1255" s="5" t="s">
        <v>345</v>
      </c>
      <c r="X1255" s="5" t="s">
        <v>456</v>
      </c>
      <c r="Y1255" s="5" t="s">
        <v>5342</v>
      </c>
      <c r="Z1255" s="9">
        <v>46079</v>
      </c>
      <c r="AA1255" s="8">
        <v>24</v>
      </c>
      <c r="AB1255" s="9">
        <f t="shared" si="58"/>
        <v>46809</v>
      </c>
      <c r="AC1255" s="10">
        <v>18</v>
      </c>
      <c r="AD1255" s="7">
        <f t="shared" si="59"/>
        <v>2060</v>
      </c>
      <c r="AE1255" s="7">
        <f>IF(F1255="Bullet",H1255*AD1255,MIN(MAX(I1255,1),Assumptions!$B$6)*AD1255)</f>
        <v>4120</v>
      </c>
      <c r="AF1255" s="8">
        <f>IF(F1255="Bullet",MAX(0,Assumptions!$B$4-AB1255),MAX(0,Assumptions!$B$4-L1255))</f>
        <v>38</v>
      </c>
      <c r="AG1255" s="9">
        <v>46234</v>
      </c>
      <c r="AH1255" s="8">
        <f>IF(AG1255="","",Assumptions!$B$4-AG1255)</f>
        <v>64</v>
      </c>
      <c r="AI1255" s="5" t="s">
        <v>57</v>
      </c>
      <c r="AJ1255" s="8">
        <v>2</v>
      </c>
      <c r="AK1255" s="8">
        <v>1</v>
      </c>
      <c r="AL1255" s="8">
        <v>720</v>
      </c>
      <c r="AM1255" s="8">
        <v>0</v>
      </c>
      <c r="AN1255" s="5" t="s">
        <v>63</v>
      </c>
      <c r="AO1255" s="10">
        <v>69.5</v>
      </c>
      <c r="AP1255" s="8">
        <v>39</v>
      </c>
      <c r="AQ1255" s="9">
        <v>46293</v>
      </c>
      <c r="AR1255" s="5" t="s">
        <v>70</v>
      </c>
      <c r="AS1255" s="5" t="s">
        <v>81</v>
      </c>
    </row>
    <row r="1256" spans="1:45" x14ac:dyDescent="0.35">
      <c r="A1256" s="5" t="s">
        <v>5343</v>
      </c>
      <c r="B1256" s="5" t="s">
        <v>917</v>
      </c>
      <c r="C1256" s="6" t="s">
        <v>5344</v>
      </c>
      <c r="D1256" s="7">
        <v>44000</v>
      </c>
      <c r="E1256" s="5" t="s">
        <v>48</v>
      </c>
      <c r="F1256" s="5" t="s">
        <v>49</v>
      </c>
      <c r="G1256" s="8"/>
      <c r="H1256" s="8" t="str">
        <f>IF(F1256="Bullet",MIN(G1256,Assumptions!$B$6),"")</f>
        <v/>
      </c>
      <c r="I1256" s="8">
        <v>2</v>
      </c>
      <c r="J1256" s="8">
        <f>IF(F1256="Monthly interest",MAX(0,Assumptions!$B$5-I1256),"")</f>
        <v>1</v>
      </c>
      <c r="K1256" s="7">
        <f t="shared" si="57"/>
        <v>1760</v>
      </c>
      <c r="L1256" s="9">
        <v>46239</v>
      </c>
      <c r="M1256" s="5" t="s">
        <v>116</v>
      </c>
      <c r="N1256" s="5" t="s">
        <v>117</v>
      </c>
      <c r="O1256" s="5" t="s">
        <v>450</v>
      </c>
      <c r="P1256" s="5" t="s">
        <v>72</v>
      </c>
      <c r="Q1256" s="5" t="s">
        <v>154</v>
      </c>
      <c r="R1256" s="5" t="s">
        <v>155</v>
      </c>
      <c r="S1256" s="5" t="s">
        <v>56</v>
      </c>
      <c r="T1256" s="5" t="s">
        <v>57</v>
      </c>
      <c r="U1256" s="5" t="s">
        <v>86</v>
      </c>
      <c r="V1256" s="5" t="s">
        <v>59</v>
      </c>
      <c r="W1256" s="5" t="s">
        <v>60</v>
      </c>
      <c r="X1256" s="5" t="s">
        <v>121</v>
      </c>
      <c r="Y1256" s="5" t="s">
        <v>5345</v>
      </c>
      <c r="Z1256" s="9">
        <v>46027</v>
      </c>
      <c r="AA1256" s="8">
        <v>12</v>
      </c>
      <c r="AB1256" s="9">
        <f t="shared" si="58"/>
        <v>46392</v>
      </c>
      <c r="AC1256" s="10">
        <v>24</v>
      </c>
      <c r="AD1256" s="7">
        <f t="shared" si="59"/>
        <v>880</v>
      </c>
      <c r="AE1256" s="7">
        <f>IF(F1256="Bullet",H1256*AD1256,MIN(MAX(I1256,1),Assumptions!$B$6)*AD1256)</f>
        <v>1760</v>
      </c>
      <c r="AF1256" s="8">
        <f>IF(F1256="Bullet",MAX(0,Assumptions!$B$4-AB1256),MAX(0,Assumptions!$B$4-L1256))</f>
        <v>59</v>
      </c>
      <c r="AG1256" s="9">
        <v>46211</v>
      </c>
      <c r="AH1256" s="8">
        <f>IF(AG1256="","",Assumptions!$B$4-AG1256)</f>
        <v>87</v>
      </c>
      <c r="AI1256" s="5" t="s">
        <v>63</v>
      </c>
      <c r="AJ1256" s="8">
        <v>2</v>
      </c>
      <c r="AK1256" s="8">
        <v>0</v>
      </c>
      <c r="AL1256" s="8">
        <v>589</v>
      </c>
      <c r="AM1256" s="8">
        <v>0</v>
      </c>
      <c r="AN1256" s="5" t="s">
        <v>63</v>
      </c>
      <c r="AO1256" s="10">
        <v>54.7</v>
      </c>
      <c r="AP1256" s="8">
        <v>54</v>
      </c>
      <c r="AQ1256" s="9">
        <v>46277</v>
      </c>
      <c r="AR1256" s="5" t="s">
        <v>70</v>
      </c>
      <c r="AS1256" s="5" t="s">
        <v>274</v>
      </c>
    </row>
    <row r="1257" spans="1:45" x14ac:dyDescent="0.35">
      <c r="A1257" s="5" t="s">
        <v>5346</v>
      </c>
      <c r="B1257" s="5" t="s">
        <v>4466</v>
      </c>
      <c r="C1257" s="6" t="s">
        <v>5347</v>
      </c>
      <c r="D1257" s="7">
        <v>147700</v>
      </c>
      <c r="E1257" s="5" t="s">
        <v>48</v>
      </c>
      <c r="F1257" s="5" t="s">
        <v>49</v>
      </c>
      <c r="G1257" s="8"/>
      <c r="H1257" s="8" t="str">
        <f>IF(F1257="Bullet",MIN(G1257,Assumptions!$B$6),"")</f>
        <v/>
      </c>
      <c r="I1257" s="8">
        <v>2</v>
      </c>
      <c r="J1257" s="8">
        <f>IF(F1257="Monthly interest",MAX(0,Assumptions!$B$5-I1257),"")</f>
        <v>1</v>
      </c>
      <c r="K1257" s="7">
        <f t="shared" si="57"/>
        <v>3446</v>
      </c>
      <c r="L1257" s="9">
        <v>46266</v>
      </c>
      <c r="M1257" s="5" t="s">
        <v>69</v>
      </c>
      <c r="N1257" s="5" t="s">
        <v>70</v>
      </c>
      <c r="O1257" s="5" t="s">
        <v>271</v>
      </c>
      <c r="P1257" s="5" t="s">
        <v>72</v>
      </c>
      <c r="Q1257" s="5" t="s">
        <v>73</v>
      </c>
      <c r="R1257" s="5" t="s">
        <v>74</v>
      </c>
      <c r="S1257" s="5" t="s">
        <v>56</v>
      </c>
      <c r="T1257" s="5" t="s">
        <v>57</v>
      </c>
      <c r="U1257" s="5" t="s">
        <v>58</v>
      </c>
      <c r="V1257" s="5" t="s">
        <v>59</v>
      </c>
      <c r="W1257" s="5" t="s">
        <v>60</v>
      </c>
      <c r="X1257" s="5" t="s">
        <v>4828</v>
      </c>
      <c r="Y1257" s="5" t="s">
        <v>5348</v>
      </c>
      <c r="Z1257" s="9">
        <v>46113</v>
      </c>
      <c r="AA1257" s="8">
        <v>12</v>
      </c>
      <c r="AB1257" s="9">
        <f t="shared" si="58"/>
        <v>46478</v>
      </c>
      <c r="AC1257" s="10">
        <v>14</v>
      </c>
      <c r="AD1257" s="7">
        <f t="shared" si="59"/>
        <v>1723</v>
      </c>
      <c r="AE1257" s="7">
        <f>IF(F1257="Bullet",H1257*AD1257,MIN(MAX(I1257,1),Assumptions!$B$6)*AD1257)</f>
        <v>3446</v>
      </c>
      <c r="AF1257" s="8">
        <f>IF(F1257="Bullet",MAX(0,Assumptions!$B$4-AB1257),MAX(0,Assumptions!$B$4-L1257))</f>
        <v>32</v>
      </c>
      <c r="AG1257" s="9">
        <v>46239</v>
      </c>
      <c r="AH1257" s="8">
        <f>IF(AG1257="","",Assumptions!$B$4-AG1257)</f>
        <v>59</v>
      </c>
      <c r="AI1257" s="5" t="s">
        <v>63</v>
      </c>
      <c r="AJ1257" s="8">
        <v>3</v>
      </c>
      <c r="AK1257" s="8">
        <v>0</v>
      </c>
      <c r="AL1257" s="8">
        <v>658</v>
      </c>
      <c r="AM1257" s="8">
        <v>0</v>
      </c>
      <c r="AN1257" s="5" t="s">
        <v>63</v>
      </c>
      <c r="AO1257" s="10">
        <v>65.2</v>
      </c>
      <c r="AP1257" s="8">
        <v>47</v>
      </c>
      <c r="AQ1257" s="9">
        <v>46289</v>
      </c>
      <c r="AR1257" s="5" t="s">
        <v>72</v>
      </c>
      <c r="AS1257" s="5" t="s">
        <v>274</v>
      </c>
    </row>
    <row r="1258" spans="1:45" x14ac:dyDescent="0.35">
      <c r="A1258" s="5" t="s">
        <v>5349</v>
      </c>
      <c r="B1258" s="5" t="s">
        <v>240</v>
      </c>
      <c r="C1258" s="6" t="s">
        <v>5350</v>
      </c>
      <c r="D1258" s="7">
        <v>221100</v>
      </c>
      <c r="E1258" s="5" t="s">
        <v>48</v>
      </c>
      <c r="F1258" s="5" t="s">
        <v>49</v>
      </c>
      <c r="G1258" s="8"/>
      <c r="H1258" s="8" t="str">
        <f>IF(F1258="Bullet",MIN(G1258,Assumptions!$B$6),"")</f>
        <v/>
      </c>
      <c r="I1258" s="8">
        <v>1</v>
      </c>
      <c r="J1258" s="8">
        <f>IF(F1258="Monthly interest",MAX(0,Assumptions!$B$5-I1258),"")</f>
        <v>2</v>
      </c>
      <c r="K1258" s="7">
        <f t="shared" si="57"/>
        <v>3685</v>
      </c>
      <c r="L1258" s="9">
        <v>46290</v>
      </c>
      <c r="M1258" s="5" t="s">
        <v>50</v>
      </c>
      <c r="N1258" s="5" t="s">
        <v>51</v>
      </c>
      <c r="O1258" s="5" t="s">
        <v>52</v>
      </c>
      <c r="P1258" s="5" t="s">
        <v>53</v>
      </c>
      <c r="Q1258" s="5" t="s">
        <v>54</v>
      </c>
      <c r="R1258" s="5" t="s">
        <v>55</v>
      </c>
      <c r="S1258" s="5" t="s">
        <v>214</v>
      </c>
      <c r="T1258" s="5" t="s">
        <v>57</v>
      </c>
      <c r="U1258" s="5" t="s">
        <v>58</v>
      </c>
      <c r="V1258" s="5" t="s">
        <v>215</v>
      </c>
      <c r="W1258" s="5" t="s">
        <v>216</v>
      </c>
      <c r="X1258" s="5" t="s">
        <v>5351</v>
      </c>
      <c r="Y1258" s="5" t="s">
        <v>5352</v>
      </c>
      <c r="Z1258" s="9">
        <v>46047</v>
      </c>
      <c r="AA1258" s="8">
        <v>24</v>
      </c>
      <c r="AB1258" s="9">
        <f t="shared" si="58"/>
        <v>46777</v>
      </c>
      <c r="AC1258" s="10">
        <v>20</v>
      </c>
      <c r="AD1258" s="7">
        <f t="shared" si="59"/>
        <v>3685</v>
      </c>
      <c r="AE1258" s="7">
        <f>IF(F1258="Bullet",H1258*AD1258,MIN(MAX(I1258,1),Assumptions!$B$6)*AD1258)</f>
        <v>3685</v>
      </c>
      <c r="AF1258" s="8">
        <f>IF(F1258="Bullet",MAX(0,Assumptions!$B$4-AB1258),MAX(0,Assumptions!$B$4-L1258))</f>
        <v>8</v>
      </c>
      <c r="AG1258" s="9">
        <v>46259</v>
      </c>
      <c r="AH1258" s="8">
        <f>IF(AG1258="","",Assumptions!$B$4-AG1258)</f>
        <v>39</v>
      </c>
      <c r="AI1258" s="5" t="s">
        <v>63</v>
      </c>
      <c r="AJ1258" s="8">
        <v>1</v>
      </c>
      <c r="AK1258" s="8">
        <v>0</v>
      </c>
      <c r="AL1258" s="8">
        <v>719</v>
      </c>
      <c r="AM1258" s="8">
        <v>0</v>
      </c>
      <c r="AN1258" s="5" t="s">
        <v>63</v>
      </c>
      <c r="AO1258" s="10">
        <v>52.2</v>
      </c>
      <c r="AP1258" s="8">
        <v>16</v>
      </c>
      <c r="AQ1258" s="9">
        <v>46294</v>
      </c>
      <c r="AR1258" s="5" t="s">
        <v>51</v>
      </c>
      <c r="AS1258" s="5" t="s">
        <v>190</v>
      </c>
    </row>
    <row r="1259" spans="1:45" x14ac:dyDescent="0.35">
      <c r="A1259" s="5" t="s">
        <v>5353</v>
      </c>
      <c r="B1259" s="5" t="s">
        <v>751</v>
      </c>
      <c r="C1259" s="6" t="s">
        <v>5354</v>
      </c>
      <c r="D1259" s="7">
        <v>386400</v>
      </c>
      <c r="E1259" s="5" t="s">
        <v>48</v>
      </c>
      <c r="F1259" s="5" t="s">
        <v>49</v>
      </c>
      <c r="G1259" s="8"/>
      <c r="H1259" s="8" t="str">
        <f>IF(F1259="Bullet",MIN(G1259,Assumptions!$B$6),"")</f>
        <v/>
      </c>
      <c r="I1259" s="8">
        <v>1</v>
      </c>
      <c r="J1259" s="8">
        <f>IF(F1259="Monthly interest",MAX(0,Assumptions!$B$5-I1259),"")</f>
        <v>2</v>
      </c>
      <c r="K1259" s="7">
        <f t="shared" si="57"/>
        <v>7084</v>
      </c>
      <c r="L1259" s="9">
        <v>46279</v>
      </c>
      <c r="M1259" s="5" t="s">
        <v>50</v>
      </c>
      <c r="N1259" s="5" t="s">
        <v>51</v>
      </c>
      <c r="O1259" s="5" t="s">
        <v>52</v>
      </c>
      <c r="P1259" s="5" t="s">
        <v>53</v>
      </c>
      <c r="Q1259" s="5" t="s">
        <v>54</v>
      </c>
      <c r="R1259" s="5" t="s">
        <v>55</v>
      </c>
      <c r="S1259" s="5" t="s">
        <v>56</v>
      </c>
      <c r="T1259" s="5" t="s">
        <v>57</v>
      </c>
      <c r="U1259" s="5" t="s">
        <v>86</v>
      </c>
      <c r="V1259" s="5" t="s">
        <v>59</v>
      </c>
      <c r="W1259" s="5" t="s">
        <v>60</v>
      </c>
      <c r="X1259" s="5" t="s">
        <v>4828</v>
      </c>
      <c r="Y1259" s="5" t="s">
        <v>5355</v>
      </c>
      <c r="Z1259" s="9">
        <v>46036</v>
      </c>
      <c r="AA1259" s="8">
        <v>18</v>
      </c>
      <c r="AB1259" s="9">
        <f t="shared" si="58"/>
        <v>46582</v>
      </c>
      <c r="AC1259" s="10">
        <v>22</v>
      </c>
      <c r="AD1259" s="7">
        <f t="shared" si="59"/>
        <v>7084</v>
      </c>
      <c r="AE1259" s="7">
        <f>IF(F1259="Bullet",H1259*AD1259,MIN(MAX(I1259,1),Assumptions!$B$6)*AD1259)</f>
        <v>7084</v>
      </c>
      <c r="AF1259" s="8">
        <f>IF(F1259="Bullet",MAX(0,Assumptions!$B$4-AB1259),MAX(0,Assumptions!$B$4-L1259))</f>
        <v>19</v>
      </c>
      <c r="AG1259" s="9">
        <v>46251</v>
      </c>
      <c r="AH1259" s="8">
        <f>IF(AG1259="","",Assumptions!$B$4-AG1259)</f>
        <v>47</v>
      </c>
      <c r="AI1259" s="5" t="s">
        <v>63</v>
      </c>
      <c r="AJ1259" s="8">
        <v>1</v>
      </c>
      <c r="AK1259" s="8">
        <v>1</v>
      </c>
      <c r="AL1259" s="8" t="s">
        <v>80</v>
      </c>
      <c r="AM1259" s="8">
        <v>0</v>
      </c>
      <c r="AN1259" s="5" t="s">
        <v>63</v>
      </c>
      <c r="AO1259" s="10">
        <v>62.4</v>
      </c>
      <c r="AP1259" s="8">
        <v>25</v>
      </c>
      <c r="AQ1259" s="9">
        <v>46287</v>
      </c>
      <c r="AR1259" s="5" t="s">
        <v>53</v>
      </c>
      <c r="AS1259" s="5" t="s">
        <v>181</v>
      </c>
    </row>
    <row r="1260" spans="1:45" x14ac:dyDescent="0.35">
      <c r="A1260" s="5" t="s">
        <v>5356</v>
      </c>
      <c r="B1260" s="5" t="s">
        <v>380</v>
      </c>
      <c r="C1260" s="6" t="s">
        <v>5357</v>
      </c>
      <c r="D1260" s="7">
        <v>134600</v>
      </c>
      <c r="E1260" s="5" t="s">
        <v>48</v>
      </c>
      <c r="F1260" s="5" t="s">
        <v>49</v>
      </c>
      <c r="G1260" s="8"/>
      <c r="H1260" s="8" t="str">
        <f>IF(F1260="Bullet",MIN(G1260,Assumptions!$B$6),"")</f>
        <v/>
      </c>
      <c r="I1260" s="8">
        <v>1</v>
      </c>
      <c r="J1260" s="8">
        <f>IF(F1260="Monthly interest",MAX(0,Assumptions!$B$5-I1260),"")</f>
        <v>2</v>
      </c>
      <c r="K1260" s="7">
        <f t="shared" si="57"/>
        <v>2468</v>
      </c>
      <c r="L1260" s="9">
        <v>46296</v>
      </c>
      <c r="M1260" s="5" t="s">
        <v>50</v>
      </c>
      <c r="N1260" s="5" t="s">
        <v>53</v>
      </c>
      <c r="O1260" s="5" t="s">
        <v>103</v>
      </c>
      <c r="P1260" s="5" t="s">
        <v>51</v>
      </c>
      <c r="Q1260" s="5" t="s">
        <v>54</v>
      </c>
      <c r="R1260" s="5" t="s">
        <v>55</v>
      </c>
      <c r="S1260" s="5" t="s">
        <v>75</v>
      </c>
      <c r="T1260" s="5" t="s">
        <v>57</v>
      </c>
      <c r="U1260" s="5" t="s">
        <v>104</v>
      </c>
      <c r="V1260" s="5" t="s">
        <v>76</v>
      </c>
      <c r="W1260" s="5" t="s">
        <v>306</v>
      </c>
      <c r="X1260" s="5" t="s">
        <v>1094</v>
      </c>
      <c r="Y1260" s="5" t="s">
        <v>5358</v>
      </c>
      <c r="Z1260" s="9">
        <v>46082</v>
      </c>
      <c r="AA1260" s="8">
        <v>18</v>
      </c>
      <c r="AB1260" s="9">
        <f t="shared" si="58"/>
        <v>46631</v>
      </c>
      <c r="AC1260" s="10">
        <v>22</v>
      </c>
      <c r="AD1260" s="7">
        <f t="shared" si="59"/>
        <v>2468</v>
      </c>
      <c r="AE1260" s="7">
        <f>IF(F1260="Bullet",H1260*AD1260,MIN(MAX(I1260,1),Assumptions!$B$6)*AD1260)</f>
        <v>2468</v>
      </c>
      <c r="AF1260" s="8">
        <f>IF(F1260="Bullet",MAX(0,Assumptions!$B$4-AB1260),MAX(0,Assumptions!$B$4-L1260))</f>
        <v>2</v>
      </c>
      <c r="AG1260" s="9">
        <v>46267</v>
      </c>
      <c r="AH1260" s="8">
        <f>IF(AG1260="","",Assumptions!$B$4-AG1260)</f>
        <v>31</v>
      </c>
      <c r="AI1260" s="5" t="s">
        <v>63</v>
      </c>
      <c r="AJ1260" s="8">
        <v>1</v>
      </c>
      <c r="AK1260" s="8">
        <v>0</v>
      </c>
      <c r="AL1260" s="8" t="s">
        <v>80</v>
      </c>
      <c r="AM1260" s="8">
        <v>2</v>
      </c>
      <c r="AN1260" s="5" t="s">
        <v>63</v>
      </c>
      <c r="AO1260" s="10">
        <v>51.3</v>
      </c>
      <c r="AP1260" s="8">
        <v>30</v>
      </c>
      <c r="AQ1260" s="9">
        <v>46291</v>
      </c>
      <c r="AR1260" s="5" t="s">
        <v>51</v>
      </c>
      <c r="AS1260" s="5" t="s">
        <v>81</v>
      </c>
    </row>
    <row r="1261" spans="1:45" x14ac:dyDescent="0.35">
      <c r="A1261" s="5" t="s">
        <v>5359</v>
      </c>
      <c r="B1261" s="5" t="s">
        <v>5360</v>
      </c>
      <c r="C1261" s="6" t="s">
        <v>5361</v>
      </c>
      <c r="D1261" s="7">
        <v>360100</v>
      </c>
      <c r="E1261" s="5" t="s">
        <v>48</v>
      </c>
      <c r="F1261" s="5" t="s">
        <v>49</v>
      </c>
      <c r="G1261" s="8"/>
      <c r="H1261" s="8" t="str">
        <f>IF(F1261="Bullet",MIN(G1261,Assumptions!$B$6),"")</f>
        <v/>
      </c>
      <c r="I1261" s="8">
        <v>1</v>
      </c>
      <c r="J1261" s="8">
        <f>IF(F1261="Monthly interest",MAX(0,Assumptions!$B$5-I1261),"")</f>
        <v>2</v>
      </c>
      <c r="K1261" s="7">
        <f t="shared" si="57"/>
        <v>6602</v>
      </c>
      <c r="L1261" s="9">
        <v>46269</v>
      </c>
      <c r="M1261" s="5" t="s">
        <v>50</v>
      </c>
      <c r="N1261" s="5" t="s">
        <v>51</v>
      </c>
      <c r="O1261" s="5" t="s">
        <v>52</v>
      </c>
      <c r="P1261" s="5" t="s">
        <v>53</v>
      </c>
      <c r="Q1261" s="5" t="s">
        <v>54</v>
      </c>
      <c r="R1261" s="5" t="s">
        <v>55</v>
      </c>
      <c r="S1261" s="5" t="s">
        <v>56</v>
      </c>
      <c r="T1261" s="5" t="s">
        <v>57</v>
      </c>
      <c r="U1261" s="5" t="s">
        <v>58</v>
      </c>
      <c r="V1261" s="5" t="s">
        <v>59</v>
      </c>
      <c r="W1261" s="5" t="s">
        <v>126</v>
      </c>
      <c r="X1261" s="5" t="s">
        <v>2383</v>
      </c>
      <c r="Y1261" s="5" t="s">
        <v>5362</v>
      </c>
      <c r="Z1261" s="9">
        <v>46057</v>
      </c>
      <c r="AA1261" s="8">
        <v>12</v>
      </c>
      <c r="AB1261" s="9">
        <f t="shared" si="58"/>
        <v>46422</v>
      </c>
      <c r="AC1261" s="10">
        <v>22</v>
      </c>
      <c r="AD1261" s="7">
        <f t="shared" si="59"/>
        <v>6602</v>
      </c>
      <c r="AE1261" s="7">
        <f>IF(F1261="Bullet",H1261*AD1261,MIN(MAX(I1261,1),Assumptions!$B$6)*AD1261)</f>
        <v>6602</v>
      </c>
      <c r="AF1261" s="8">
        <f>IF(F1261="Bullet",MAX(0,Assumptions!$B$4-AB1261),MAX(0,Assumptions!$B$4-L1261))</f>
        <v>29</v>
      </c>
      <c r="AG1261" s="9">
        <v>46239</v>
      </c>
      <c r="AH1261" s="8">
        <f>IF(AG1261="","",Assumptions!$B$4-AG1261)</f>
        <v>59</v>
      </c>
      <c r="AI1261" s="5" t="s">
        <v>63</v>
      </c>
      <c r="AJ1261" s="8">
        <v>3</v>
      </c>
      <c r="AK1261" s="8">
        <v>0</v>
      </c>
      <c r="AL1261" s="8" t="s">
        <v>80</v>
      </c>
      <c r="AM1261" s="8">
        <v>1</v>
      </c>
      <c r="AN1261" s="5" t="s">
        <v>63</v>
      </c>
      <c r="AO1261" s="10">
        <v>71.7</v>
      </c>
      <c r="AP1261" s="8">
        <v>28</v>
      </c>
      <c r="AQ1261" s="9"/>
      <c r="AR1261" s="5"/>
      <c r="AS1261" s="5" t="s">
        <v>159</v>
      </c>
    </row>
    <row r="1262" spans="1:45" x14ac:dyDescent="0.35">
      <c r="A1262" s="5" t="s">
        <v>5363</v>
      </c>
      <c r="B1262" s="5" t="s">
        <v>5364</v>
      </c>
      <c r="C1262" s="6" t="s">
        <v>5365</v>
      </c>
      <c r="D1262" s="7">
        <v>160100</v>
      </c>
      <c r="E1262" s="5" t="s">
        <v>48</v>
      </c>
      <c r="F1262" s="5" t="s">
        <v>49</v>
      </c>
      <c r="G1262" s="8"/>
      <c r="H1262" s="8" t="str">
        <f>IF(F1262="Bullet",MIN(G1262,Assumptions!$B$6),"")</f>
        <v/>
      </c>
      <c r="I1262" s="8">
        <v>1</v>
      </c>
      <c r="J1262" s="8">
        <f>IF(F1262="Monthly interest",MAX(0,Assumptions!$B$5-I1262),"")</f>
        <v>2</v>
      </c>
      <c r="K1262" s="7">
        <f t="shared" si="57"/>
        <v>2001</v>
      </c>
      <c r="L1262" s="9">
        <v>46296</v>
      </c>
      <c r="M1262" s="5" t="s">
        <v>50</v>
      </c>
      <c r="N1262" s="5" t="s">
        <v>51</v>
      </c>
      <c r="O1262" s="5" t="s">
        <v>52</v>
      </c>
      <c r="P1262" s="5" t="s">
        <v>53</v>
      </c>
      <c r="Q1262" s="5" t="s">
        <v>54</v>
      </c>
      <c r="R1262" s="5" t="s">
        <v>55</v>
      </c>
      <c r="S1262" s="5" t="s">
        <v>185</v>
      </c>
      <c r="T1262" s="5" t="s">
        <v>57</v>
      </c>
      <c r="U1262" s="5" t="s">
        <v>86</v>
      </c>
      <c r="V1262" s="5" t="s">
        <v>186</v>
      </c>
      <c r="W1262" s="5" t="s">
        <v>694</v>
      </c>
      <c r="X1262" s="5" t="s">
        <v>1342</v>
      </c>
      <c r="Y1262" s="5" t="s">
        <v>5366</v>
      </c>
      <c r="Z1262" s="9">
        <v>46204</v>
      </c>
      <c r="AA1262" s="8">
        <v>18</v>
      </c>
      <c r="AB1262" s="9">
        <f t="shared" si="58"/>
        <v>46753</v>
      </c>
      <c r="AC1262" s="10">
        <v>15</v>
      </c>
      <c r="AD1262" s="7">
        <f t="shared" si="59"/>
        <v>2001</v>
      </c>
      <c r="AE1262" s="7">
        <f>IF(F1262="Bullet",H1262*AD1262,MIN(MAX(I1262,1),Assumptions!$B$6)*AD1262)</f>
        <v>2001</v>
      </c>
      <c r="AF1262" s="8">
        <f>IF(F1262="Bullet",MAX(0,Assumptions!$B$4-AB1262),MAX(0,Assumptions!$B$4-L1262))</f>
        <v>2</v>
      </c>
      <c r="AG1262" s="9">
        <v>46270</v>
      </c>
      <c r="AH1262" s="8">
        <f>IF(AG1262="","",Assumptions!$B$4-AG1262)</f>
        <v>28</v>
      </c>
      <c r="AI1262" s="5" t="s">
        <v>63</v>
      </c>
      <c r="AJ1262" s="8">
        <v>1</v>
      </c>
      <c r="AK1262" s="8">
        <v>2</v>
      </c>
      <c r="AL1262" s="8">
        <v>770</v>
      </c>
      <c r="AM1262" s="8">
        <v>1</v>
      </c>
      <c r="AN1262" s="5" t="s">
        <v>63</v>
      </c>
      <c r="AO1262" s="10">
        <v>61.5</v>
      </c>
      <c r="AP1262" s="8">
        <v>29</v>
      </c>
      <c r="AQ1262" s="9">
        <v>46284</v>
      </c>
      <c r="AR1262" s="5" t="s">
        <v>51</v>
      </c>
      <c r="AS1262" s="5" t="s">
        <v>190</v>
      </c>
    </row>
    <row r="1263" spans="1:45" x14ac:dyDescent="0.35">
      <c r="A1263" s="5" t="s">
        <v>5367</v>
      </c>
      <c r="B1263" s="5" t="s">
        <v>4518</v>
      </c>
      <c r="C1263" s="6" t="s">
        <v>5368</v>
      </c>
      <c r="D1263" s="7">
        <v>657800</v>
      </c>
      <c r="E1263" s="5" t="s">
        <v>48</v>
      </c>
      <c r="F1263" s="5" t="s">
        <v>49</v>
      </c>
      <c r="G1263" s="8"/>
      <c r="H1263" s="8" t="str">
        <f>IF(F1263="Bullet",MIN(G1263,Assumptions!$B$6),"")</f>
        <v/>
      </c>
      <c r="I1263" s="8">
        <v>1</v>
      </c>
      <c r="J1263" s="8">
        <f>IF(F1263="Monthly interest",MAX(0,Assumptions!$B$5-I1263),"")</f>
        <v>2</v>
      </c>
      <c r="K1263" s="7">
        <f t="shared" si="57"/>
        <v>12060</v>
      </c>
      <c r="L1263" s="9">
        <v>46272</v>
      </c>
      <c r="M1263" s="5" t="s">
        <v>69</v>
      </c>
      <c r="N1263" s="5" t="s">
        <v>51</v>
      </c>
      <c r="O1263" s="5" t="s">
        <v>52</v>
      </c>
      <c r="P1263" s="5" t="s">
        <v>53</v>
      </c>
      <c r="Q1263" s="5" t="s">
        <v>54</v>
      </c>
      <c r="R1263" s="5" t="s">
        <v>55</v>
      </c>
      <c r="S1263" s="5" t="s">
        <v>214</v>
      </c>
      <c r="T1263" s="5" t="s">
        <v>57</v>
      </c>
      <c r="U1263" s="5" t="s">
        <v>86</v>
      </c>
      <c r="V1263" s="5" t="s">
        <v>215</v>
      </c>
      <c r="W1263" s="5" t="s">
        <v>284</v>
      </c>
      <c r="X1263" s="5" t="s">
        <v>1778</v>
      </c>
      <c r="Y1263" s="5" t="s">
        <v>5369</v>
      </c>
      <c r="Z1263" s="9">
        <v>46180</v>
      </c>
      <c r="AA1263" s="8">
        <v>12</v>
      </c>
      <c r="AB1263" s="9">
        <f t="shared" si="58"/>
        <v>46545</v>
      </c>
      <c r="AC1263" s="10">
        <v>22</v>
      </c>
      <c r="AD1263" s="7">
        <f t="shared" si="59"/>
        <v>12060</v>
      </c>
      <c r="AE1263" s="7">
        <f>IF(F1263="Bullet",H1263*AD1263,MIN(MAX(I1263,1),Assumptions!$B$6)*AD1263)</f>
        <v>12060</v>
      </c>
      <c r="AF1263" s="8">
        <f>IF(F1263="Bullet",MAX(0,Assumptions!$B$4-AB1263),MAX(0,Assumptions!$B$4-L1263))</f>
        <v>26</v>
      </c>
      <c r="AG1263" s="9">
        <v>46242</v>
      </c>
      <c r="AH1263" s="8">
        <f>IF(AG1263="","",Assumptions!$B$4-AG1263)</f>
        <v>56</v>
      </c>
      <c r="AI1263" s="5" t="s">
        <v>57</v>
      </c>
      <c r="AJ1263" s="8">
        <v>2</v>
      </c>
      <c r="AK1263" s="8">
        <v>0</v>
      </c>
      <c r="AL1263" s="8">
        <v>760</v>
      </c>
      <c r="AM1263" s="8">
        <v>1</v>
      </c>
      <c r="AN1263" s="5" t="s">
        <v>63</v>
      </c>
      <c r="AO1263" s="10">
        <v>85.4</v>
      </c>
      <c r="AP1263" s="8">
        <v>33</v>
      </c>
      <c r="AQ1263" s="9">
        <v>46277</v>
      </c>
      <c r="AR1263" s="5" t="s">
        <v>53</v>
      </c>
      <c r="AS1263" s="5" t="s">
        <v>181</v>
      </c>
    </row>
    <row r="1264" spans="1:45" x14ac:dyDescent="0.35">
      <c r="A1264" s="5" t="s">
        <v>5370</v>
      </c>
      <c r="B1264" s="5" t="s">
        <v>2168</v>
      </c>
      <c r="C1264" s="6" t="s">
        <v>5371</v>
      </c>
      <c r="D1264" s="7">
        <v>49500</v>
      </c>
      <c r="E1264" s="5" t="s">
        <v>48</v>
      </c>
      <c r="F1264" s="5" t="s">
        <v>49</v>
      </c>
      <c r="G1264" s="8"/>
      <c r="H1264" s="8" t="str">
        <f>IF(F1264="Bullet",MIN(G1264,Assumptions!$B$6),"")</f>
        <v/>
      </c>
      <c r="I1264" s="8">
        <v>2</v>
      </c>
      <c r="J1264" s="8">
        <f>IF(F1264="Monthly interest",MAX(0,Assumptions!$B$5-I1264),"")</f>
        <v>1</v>
      </c>
      <c r="K1264" s="7">
        <f t="shared" si="57"/>
        <v>1486</v>
      </c>
      <c r="L1264" s="9">
        <v>46261</v>
      </c>
      <c r="M1264" s="5" t="s">
        <v>116</v>
      </c>
      <c r="N1264" s="5" t="s">
        <v>117</v>
      </c>
      <c r="O1264" s="5" t="s">
        <v>450</v>
      </c>
      <c r="P1264" s="5" t="s">
        <v>72</v>
      </c>
      <c r="Q1264" s="5" t="s">
        <v>154</v>
      </c>
      <c r="R1264" s="5" t="s">
        <v>155</v>
      </c>
      <c r="S1264" s="5" t="s">
        <v>56</v>
      </c>
      <c r="T1264" s="5" t="s">
        <v>57</v>
      </c>
      <c r="U1264" s="5" t="s">
        <v>58</v>
      </c>
      <c r="V1264" s="5" t="s">
        <v>59</v>
      </c>
      <c r="W1264" s="5" t="s">
        <v>300</v>
      </c>
      <c r="X1264" s="5" t="s">
        <v>1747</v>
      </c>
      <c r="Y1264" s="5" t="s">
        <v>5372</v>
      </c>
      <c r="Z1264" s="9">
        <v>46108</v>
      </c>
      <c r="AA1264" s="8">
        <v>12</v>
      </c>
      <c r="AB1264" s="9">
        <f t="shared" si="58"/>
        <v>46473</v>
      </c>
      <c r="AC1264" s="10">
        <v>18</v>
      </c>
      <c r="AD1264" s="7">
        <f t="shared" si="59"/>
        <v>743</v>
      </c>
      <c r="AE1264" s="7">
        <f>IF(F1264="Bullet",H1264*AD1264,MIN(MAX(I1264,1),Assumptions!$B$6)*AD1264)</f>
        <v>1486</v>
      </c>
      <c r="AF1264" s="8">
        <f>IF(F1264="Bullet",MAX(0,Assumptions!$B$4-AB1264),MAX(0,Assumptions!$B$4-L1264))</f>
        <v>37</v>
      </c>
      <c r="AG1264" s="9">
        <v>46230</v>
      </c>
      <c r="AH1264" s="8">
        <f>IF(AG1264="","",Assumptions!$B$4-AG1264)</f>
        <v>68</v>
      </c>
      <c r="AI1264" s="5" t="s">
        <v>57</v>
      </c>
      <c r="AJ1264" s="8">
        <v>3</v>
      </c>
      <c r="AK1264" s="8">
        <v>0</v>
      </c>
      <c r="AL1264" s="8" t="s">
        <v>80</v>
      </c>
      <c r="AM1264" s="8">
        <v>1</v>
      </c>
      <c r="AN1264" s="5" t="s">
        <v>63</v>
      </c>
      <c r="AO1264" s="10">
        <v>65.3</v>
      </c>
      <c r="AP1264" s="8">
        <v>49</v>
      </c>
      <c r="AQ1264" s="9">
        <v>46293</v>
      </c>
      <c r="AR1264" s="5" t="s">
        <v>51</v>
      </c>
      <c r="AS1264" s="5" t="s">
        <v>91</v>
      </c>
    </row>
    <row r="1265" spans="1:45" x14ac:dyDescent="0.35">
      <c r="A1265" s="5" t="s">
        <v>5373</v>
      </c>
      <c r="B1265" s="5" t="s">
        <v>4792</v>
      </c>
      <c r="C1265" s="6" t="s">
        <v>5374</v>
      </c>
      <c r="D1265" s="7">
        <v>158800</v>
      </c>
      <c r="E1265" s="5" t="s">
        <v>48</v>
      </c>
      <c r="F1265" s="5" t="s">
        <v>49</v>
      </c>
      <c r="G1265" s="8"/>
      <c r="H1265" s="8" t="str">
        <f>IF(F1265="Bullet",MIN(G1265,Assumptions!$B$6),"")</f>
        <v/>
      </c>
      <c r="I1265" s="8">
        <v>1</v>
      </c>
      <c r="J1265" s="8">
        <f>IF(F1265="Monthly interest",MAX(0,Assumptions!$B$5-I1265),"")</f>
        <v>2</v>
      </c>
      <c r="K1265" s="7">
        <f t="shared" si="57"/>
        <v>2117</v>
      </c>
      <c r="L1265" s="9">
        <v>46272</v>
      </c>
      <c r="M1265" s="5" t="s">
        <v>50</v>
      </c>
      <c r="N1265" s="5" t="s">
        <v>53</v>
      </c>
      <c r="O1265" s="5" t="s">
        <v>103</v>
      </c>
      <c r="P1265" s="5" t="s">
        <v>51</v>
      </c>
      <c r="Q1265" s="5" t="s">
        <v>54</v>
      </c>
      <c r="R1265" s="5" t="s">
        <v>55</v>
      </c>
      <c r="S1265" s="5" t="s">
        <v>56</v>
      </c>
      <c r="T1265" s="5" t="s">
        <v>57</v>
      </c>
      <c r="U1265" s="5" t="s">
        <v>86</v>
      </c>
      <c r="V1265" s="5" t="s">
        <v>59</v>
      </c>
      <c r="W1265" s="5" t="s">
        <v>467</v>
      </c>
      <c r="X1265" s="5" t="s">
        <v>4144</v>
      </c>
      <c r="Y1265" s="5" t="s">
        <v>5375</v>
      </c>
      <c r="Z1265" s="9">
        <v>45998</v>
      </c>
      <c r="AA1265" s="8">
        <v>12</v>
      </c>
      <c r="AB1265" s="9">
        <f t="shared" si="58"/>
        <v>46363</v>
      </c>
      <c r="AC1265" s="10">
        <v>16</v>
      </c>
      <c r="AD1265" s="7">
        <f t="shared" si="59"/>
        <v>2117</v>
      </c>
      <c r="AE1265" s="7">
        <f>IF(F1265="Bullet",H1265*AD1265,MIN(MAX(I1265,1),Assumptions!$B$6)*AD1265)</f>
        <v>2117</v>
      </c>
      <c r="AF1265" s="8">
        <f>IF(F1265="Bullet",MAX(0,Assumptions!$B$4-AB1265),MAX(0,Assumptions!$B$4-L1265))</f>
        <v>26</v>
      </c>
      <c r="AG1265" s="9">
        <v>46244</v>
      </c>
      <c r="AH1265" s="8">
        <f>IF(AG1265="","",Assumptions!$B$4-AG1265)</f>
        <v>54</v>
      </c>
      <c r="AI1265" s="5" t="s">
        <v>63</v>
      </c>
      <c r="AJ1265" s="8">
        <v>1</v>
      </c>
      <c r="AK1265" s="8">
        <v>1</v>
      </c>
      <c r="AL1265" s="8" t="s">
        <v>80</v>
      </c>
      <c r="AM1265" s="8">
        <v>2</v>
      </c>
      <c r="AN1265" s="5" t="s">
        <v>63</v>
      </c>
      <c r="AO1265" s="10">
        <v>75.599999999999994</v>
      </c>
      <c r="AP1265" s="8">
        <v>23</v>
      </c>
      <c r="AQ1265" s="9">
        <v>46287</v>
      </c>
      <c r="AR1265" s="5" t="s">
        <v>51</v>
      </c>
      <c r="AS1265" s="5" t="s">
        <v>81</v>
      </c>
    </row>
    <row r="1266" spans="1:45" x14ac:dyDescent="0.35">
      <c r="A1266" s="5" t="s">
        <v>5376</v>
      </c>
      <c r="B1266" s="5" t="s">
        <v>2442</v>
      </c>
      <c r="C1266" s="6" t="s">
        <v>5377</v>
      </c>
      <c r="D1266" s="7">
        <v>623800</v>
      </c>
      <c r="E1266" s="5" t="s">
        <v>48</v>
      </c>
      <c r="F1266" s="5" t="s">
        <v>68</v>
      </c>
      <c r="G1266" s="8">
        <v>3</v>
      </c>
      <c r="H1266" s="8">
        <f>IF(F1266="Bullet",MIN(G1266,Assumptions!$B$6),"")</f>
        <v>2</v>
      </c>
      <c r="I1266" s="8"/>
      <c r="J1266" s="8" t="str">
        <f>IF(F1266="Monthly interest",MAX(0,Assumptions!$B$5-I1266),"")</f>
        <v/>
      </c>
      <c r="K1266" s="7">
        <f t="shared" si="57"/>
        <v>24951</v>
      </c>
      <c r="L1266" s="9">
        <v>46191</v>
      </c>
      <c r="M1266" s="5" t="s">
        <v>50</v>
      </c>
      <c r="N1266" s="5" t="s">
        <v>53</v>
      </c>
      <c r="O1266" s="5" t="s">
        <v>71</v>
      </c>
      <c r="P1266" s="5" t="s">
        <v>51</v>
      </c>
      <c r="Q1266" s="5" t="s">
        <v>73</v>
      </c>
      <c r="R1266" s="5" t="s">
        <v>74</v>
      </c>
      <c r="S1266" s="5" t="s">
        <v>85</v>
      </c>
      <c r="T1266" s="5" t="s">
        <v>57</v>
      </c>
      <c r="U1266" s="5" t="s">
        <v>104</v>
      </c>
      <c r="V1266" s="5" t="s">
        <v>87</v>
      </c>
      <c r="W1266" s="5" t="s">
        <v>361</v>
      </c>
      <c r="X1266" s="5" t="s">
        <v>646</v>
      </c>
      <c r="Y1266" s="5" t="s">
        <v>5378</v>
      </c>
      <c r="Z1266" s="9">
        <v>46191</v>
      </c>
      <c r="AA1266" s="8">
        <v>12</v>
      </c>
      <c r="AB1266" s="9">
        <f t="shared" si="58"/>
        <v>46556</v>
      </c>
      <c r="AC1266" s="10">
        <v>16</v>
      </c>
      <c r="AD1266" s="7">
        <f t="shared" si="59"/>
        <v>8317</v>
      </c>
      <c r="AE1266" s="7">
        <f>IF(F1266="Bullet",H1266*AD1266,MIN(MAX(I1266,1),Assumptions!$B$6)*AD1266)</f>
        <v>16634</v>
      </c>
      <c r="AF1266" s="8">
        <f>IF(F1266="Bullet",MAX(0,Assumptions!$B$4-AB1266),MAX(0,Assumptions!$B$4-L1266))</f>
        <v>0</v>
      </c>
      <c r="AG1266" s="9"/>
      <c r="AH1266" s="8" t="str">
        <f>IF(AG1266="","",Assumptions!$B$4-AG1266)</f>
        <v/>
      </c>
      <c r="AI1266" s="5" t="s">
        <v>80</v>
      </c>
      <c r="AJ1266" s="8"/>
      <c r="AK1266" s="8">
        <v>0</v>
      </c>
      <c r="AL1266" s="8">
        <v>760</v>
      </c>
      <c r="AM1266" s="8">
        <v>1</v>
      </c>
      <c r="AN1266" s="5" t="s">
        <v>63</v>
      </c>
      <c r="AO1266" s="10">
        <v>58.4</v>
      </c>
      <c r="AP1266" s="8">
        <v>1</v>
      </c>
      <c r="AQ1266" s="9">
        <v>46286</v>
      </c>
      <c r="AR1266" s="5" t="s">
        <v>70</v>
      </c>
      <c r="AS1266" s="5" t="s">
        <v>64</v>
      </c>
    </row>
    <row r="1267" spans="1:45" x14ac:dyDescent="0.35">
      <c r="A1267" s="5" t="s">
        <v>5379</v>
      </c>
      <c r="B1267" s="5" t="s">
        <v>1717</v>
      </c>
      <c r="C1267" s="6" t="s">
        <v>5380</v>
      </c>
      <c r="D1267" s="7">
        <v>228100</v>
      </c>
      <c r="E1267" s="5" t="s">
        <v>48</v>
      </c>
      <c r="F1267" s="5" t="s">
        <v>49</v>
      </c>
      <c r="G1267" s="8"/>
      <c r="H1267" s="8" t="str">
        <f>IF(F1267="Bullet",MIN(G1267,Assumptions!$B$6),"")</f>
        <v/>
      </c>
      <c r="I1267" s="8">
        <v>2</v>
      </c>
      <c r="J1267" s="8">
        <f>IF(F1267="Monthly interest",MAX(0,Assumptions!$B$5-I1267),"")</f>
        <v>1</v>
      </c>
      <c r="K1267" s="7">
        <f t="shared" si="57"/>
        <v>6082</v>
      </c>
      <c r="L1267" s="9">
        <v>46249</v>
      </c>
      <c r="M1267" s="5" t="s">
        <v>116</v>
      </c>
      <c r="N1267" s="5" t="s">
        <v>117</v>
      </c>
      <c r="O1267" s="5" t="s">
        <v>118</v>
      </c>
      <c r="P1267" s="5" t="s">
        <v>72</v>
      </c>
      <c r="Q1267" s="5" t="s">
        <v>119</v>
      </c>
      <c r="R1267" s="5" t="s">
        <v>120</v>
      </c>
      <c r="S1267" s="5" t="s">
        <v>75</v>
      </c>
      <c r="T1267" s="5" t="s">
        <v>57</v>
      </c>
      <c r="U1267" s="5" t="s">
        <v>104</v>
      </c>
      <c r="V1267" s="5" t="s">
        <v>76</v>
      </c>
      <c r="W1267" s="5" t="s">
        <v>547</v>
      </c>
      <c r="X1267" s="5" t="s">
        <v>3226</v>
      </c>
      <c r="Y1267" s="5" t="s">
        <v>5381</v>
      </c>
      <c r="Z1267" s="9">
        <v>46127</v>
      </c>
      <c r="AA1267" s="8">
        <v>12</v>
      </c>
      <c r="AB1267" s="9">
        <f t="shared" si="58"/>
        <v>46492</v>
      </c>
      <c r="AC1267" s="10">
        <v>16</v>
      </c>
      <c r="AD1267" s="7">
        <f t="shared" si="59"/>
        <v>3041</v>
      </c>
      <c r="AE1267" s="7">
        <f>IF(F1267="Bullet",H1267*AD1267,MIN(MAX(I1267,1),Assumptions!$B$6)*AD1267)</f>
        <v>6082</v>
      </c>
      <c r="AF1267" s="8">
        <f>IF(F1267="Bullet",MAX(0,Assumptions!$B$4-AB1267),MAX(0,Assumptions!$B$4-L1267))</f>
        <v>49</v>
      </c>
      <c r="AG1267" s="9">
        <v>46220</v>
      </c>
      <c r="AH1267" s="8">
        <f>IF(AG1267="","",Assumptions!$B$4-AG1267)</f>
        <v>78</v>
      </c>
      <c r="AI1267" s="5" t="s">
        <v>63</v>
      </c>
      <c r="AJ1267" s="8">
        <v>3</v>
      </c>
      <c r="AK1267" s="8">
        <v>1</v>
      </c>
      <c r="AL1267" s="8">
        <v>600</v>
      </c>
      <c r="AM1267" s="8">
        <v>1</v>
      </c>
      <c r="AN1267" s="5" t="s">
        <v>63</v>
      </c>
      <c r="AO1267" s="10">
        <v>79.099999999999994</v>
      </c>
      <c r="AP1267" s="8">
        <v>73</v>
      </c>
      <c r="AQ1267" s="9">
        <v>46273</v>
      </c>
      <c r="AR1267" s="5" t="s">
        <v>53</v>
      </c>
      <c r="AS1267" s="5" t="s">
        <v>81</v>
      </c>
    </row>
    <row r="1268" spans="1:45" x14ac:dyDescent="0.35">
      <c r="A1268" s="5" t="s">
        <v>5382</v>
      </c>
      <c r="B1268" s="5" t="s">
        <v>5383</v>
      </c>
      <c r="C1268" s="6" t="s">
        <v>5384</v>
      </c>
      <c r="D1268" s="7">
        <v>151900</v>
      </c>
      <c r="E1268" s="5" t="s">
        <v>48</v>
      </c>
      <c r="F1268" s="5" t="s">
        <v>49</v>
      </c>
      <c r="G1268" s="8"/>
      <c r="H1268" s="8" t="str">
        <f>IF(F1268="Bullet",MIN(G1268,Assumptions!$B$6),"")</f>
        <v/>
      </c>
      <c r="I1268" s="8">
        <v>2</v>
      </c>
      <c r="J1268" s="8">
        <f>IF(F1268="Monthly interest",MAX(0,Assumptions!$B$5-I1268),"")</f>
        <v>1</v>
      </c>
      <c r="K1268" s="7">
        <f t="shared" si="57"/>
        <v>5570</v>
      </c>
      <c r="L1268" s="9">
        <v>46251</v>
      </c>
      <c r="M1268" s="5" t="s">
        <v>116</v>
      </c>
      <c r="N1268" s="5" t="s">
        <v>117</v>
      </c>
      <c r="O1268" s="5" t="s">
        <v>118</v>
      </c>
      <c r="P1268" s="5" t="s">
        <v>72</v>
      </c>
      <c r="Q1268" s="5" t="s">
        <v>119</v>
      </c>
      <c r="R1268" s="5" t="s">
        <v>120</v>
      </c>
      <c r="S1268" s="5" t="s">
        <v>214</v>
      </c>
      <c r="T1268" s="5" t="s">
        <v>57</v>
      </c>
      <c r="U1268" s="5" t="s">
        <v>104</v>
      </c>
      <c r="V1268" s="5" t="s">
        <v>215</v>
      </c>
      <c r="W1268" s="5" t="s">
        <v>1057</v>
      </c>
      <c r="X1268" s="5" t="s">
        <v>4964</v>
      </c>
      <c r="Y1268" s="5" t="s">
        <v>5385</v>
      </c>
      <c r="Z1268" s="9">
        <v>46008</v>
      </c>
      <c r="AA1268" s="8">
        <v>12</v>
      </c>
      <c r="AB1268" s="9">
        <f t="shared" si="58"/>
        <v>46373</v>
      </c>
      <c r="AC1268" s="10">
        <v>22</v>
      </c>
      <c r="AD1268" s="7">
        <f t="shared" si="59"/>
        <v>2785</v>
      </c>
      <c r="AE1268" s="7">
        <f>IF(F1268="Bullet",H1268*AD1268,MIN(MAX(I1268,1),Assumptions!$B$6)*AD1268)</f>
        <v>5570</v>
      </c>
      <c r="AF1268" s="8">
        <f>IF(F1268="Bullet",MAX(0,Assumptions!$B$4-AB1268),MAX(0,Assumptions!$B$4-L1268))</f>
        <v>47</v>
      </c>
      <c r="AG1268" s="9">
        <v>46225</v>
      </c>
      <c r="AH1268" s="8">
        <f>IF(AG1268="","",Assumptions!$B$4-AG1268)</f>
        <v>73</v>
      </c>
      <c r="AI1268" s="5" t="s">
        <v>63</v>
      </c>
      <c r="AJ1268" s="8">
        <v>2</v>
      </c>
      <c r="AK1268" s="8">
        <v>0</v>
      </c>
      <c r="AL1268" s="8">
        <v>649</v>
      </c>
      <c r="AM1268" s="8">
        <v>0</v>
      </c>
      <c r="AN1268" s="5" t="s">
        <v>63</v>
      </c>
      <c r="AO1268" s="10">
        <v>77.8</v>
      </c>
      <c r="AP1268" s="8">
        <v>57</v>
      </c>
      <c r="AQ1268" s="9">
        <v>46296</v>
      </c>
      <c r="AR1268" s="5" t="s">
        <v>70</v>
      </c>
      <c r="AS1268" s="5" t="s">
        <v>81</v>
      </c>
    </row>
    <row r="1269" spans="1:45" x14ac:dyDescent="0.35">
      <c r="A1269" s="5" t="s">
        <v>5386</v>
      </c>
      <c r="B1269" s="5" t="s">
        <v>5387</v>
      </c>
      <c r="C1269" s="6" t="s">
        <v>5388</v>
      </c>
      <c r="D1269" s="7">
        <v>40600</v>
      </c>
      <c r="E1269" s="5" t="s">
        <v>48</v>
      </c>
      <c r="F1269" s="5" t="s">
        <v>49</v>
      </c>
      <c r="G1269" s="8"/>
      <c r="H1269" s="8" t="str">
        <f>IF(F1269="Bullet",MIN(G1269,Assumptions!$B$6),"")</f>
        <v/>
      </c>
      <c r="I1269" s="8">
        <v>1</v>
      </c>
      <c r="J1269" s="8">
        <f>IF(F1269="Monthly interest",MAX(0,Assumptions!$B$5-I1269),"")</f>
        <v>2</v>
      </c>
      <c r="K1269" s="7">
        <f t="shared" si="57"/>
        <v>474</v>
      </c>
      <c r="L1269" s="9">
        <v>46278</v>
      </c>
      <c r="M1269" s="5" t="s">
        <v>116</v>
      </c>
      <c r="N1269" s="5" t="s">
        <v>117</v>
      </c>
      <c r="O1269" s="5" t="s">
        <v>450</v>
      </c>
      <c r="P1269" s="5" t="s">
        <v>72</v>
      </c>
      <c r="Q1269" s="5" t="s">
        <v>154</v>
      </c>
      <c r="R1269" s="5" t="s">
        <v>155</v>
      </c>
      <c r="S1269" s="5" t="s">
        <v>56</v>
      </c>
      <c r="T1269" s="5" t="s">
        <v>57</v>
      </c>
      <c r="U1269" s="5" t="s">
        <v>104</v>
      </c>
      <c r="V1269" s="5" t="s">
        <v>59</v>
      </c>
      <c r="W1269" s="5" t="s">
        <v>156</v>
      </c>
      <c r="X1269" s="5" t="s">
        <v>2761</v>
      </c>
      <c r="Y1269" s="5" t="s">
        <v>5389</v>
      </c>
      <c r="Z1269" s="9">
        <v>46216</v>
      </c>
      <c r="AA1269" s="8">
        <v>18</v>
      </c>
      <c r="AB1269" s="9">
        <f t="shared" si="58"/>
        <v>46765</v>
      </c>
      <c r="AC1269" s="10">
        <v>14</v>
      </c>
      <c r="AD1269" s="7">
        <f t="shared" si="59"/>
        <v>474</v>
      </c>
      <c r="AE1269" s="7">
        <f>IF(F1269="Bullet",H1269*AD1269,MIN(MAX(I1269,1),Assumptions!$B$6)*AD1269)</f>
        <v>474</v>
      </c>
      <c r="AF1269" s="8">
        <f>IF(F1269="Bullet",MAX(0,Assumptions!$B$4-AB1269),MAX(0,Assumptions!$B$4-L1269))</f>
        <v>20</v>
      </c>
      <c r="AG1269" s="9">
        <v>46248</v>
      </c>
      <c r="AH1269" s="8">
        <f>IF(AG1269="","",Assumptions!$B$4-AG1269)</f>
        <v>50</v>
      </c>
      <c r="AI1269" s="5" t="s">
        <v>63</v>
      </c>
      <c r="AJ1269" s="8">
        <v>1</v>
      </c>
      <c r="AK1269" s="8">
        <v>0</v>
      </c>
      <c r="AL1269" s="8">
        <v>649</v>
      </c>
      <c r="AM1269" s="8">
        <v>0</v>
      </c>
      <c r="AN1269" s="5" t="s">
        <v>57</v>
      </c>
      <c r="AO1269" s="10">
        <v>66</v>
      </c>
      <c r="AP1269" s="8">
        <v>48</v>
      </c>
      <c r="AQ1269" s="9">
        <v>46288</v>
      </c>
      <c r="AR1269" s="5" t="s">
        <v>51</v>
      </c>
      <c r="AS1269" s="5" t="s">
        <v>81</v>
      </c>
    </row>
    <row r="1270" spans="1:45" x14ac:dyDescent="0.35">
      <c r="A1270" s="5" t="s">
        <v>5390</v>
      </c>
      <c r="B1270" s="5" t="s">
        <v>5391</v>
      </c>
      <c r="C1270" s="6" t="s">
        <v>5392</v>
      </c>
      <c r="D1270" s="7">
        <v>48200</v>
      </c>
      <c r="E1270" s="5" t="s">
        <v>48</v>
      </c>
      <c r="F1270" s="5" t="s">
        <v>49</v>
      </c>
      <c r="G1270" s="8"/>
      <c r="H1270" s="8" t="str">
        <f>IF(F1270="Bullet",MIN(G1270,Assumptions!$B$6),"")</f>
        <v/>
      </c>
      <c r="I1270" s="8">
        <v>1</v>
      </c>
      <c r="J1270" s="8">
        <f>IF(F1270="Monthly interest",MAX(0,Assumptions!$B$5-I1270),"")</f>
        <v>2</v>
      </c>
      <c r="K1270" s="7">
        <f t="shared" si="57"/>
        <v>803</v>
      </c>
      <c r="L1270" s="9">
        <v>46281</v>
      </c>
      <c r="M1270" s="5" t="s">
        <v>69</v>
      </c>
      <c r="N1270" s="5" t="s">
        <v>51</v>
      </c>
      <c r="O1270" s="5" t="s">
        <v>152</v>
      </c>
      <c r="P1270" s="5" t="s">
        <v>53</v>
      </c>
      <c r="Q1270" s="5" t="s">
        <v>154</v>
      </c>
      <c r="R1270" s="5" t="s">
        <v>155</v>
      </c>
      <c r="S1270" s="5" t="s">
        <v>185</v>
      </c>
      <c r="T1270" s="5" t="s">
        <v>57</v>
      </c>
      <c r="U1270" s="5" t="s">
        <v>58</v>
      </c>
      <c r="V1270" s="5" t="s">
        <v>200</v>
      </c>
      <c r="W1270" s="5" t="s">
        <v>433</v>
      </c>
      <c r="X1270" s="5" t="s">
        <v>5393</v>
      </c>
      <c r="Y1270" s="5" t="s">
        <v>5394</v>
      </c>
      <c r="Z1270" s="9">
        <v>46189</v>
      </c>
      <c r="AA1270" s="8">
        <v>12</v>
      </c>
      <c r="AB1270" s="9">
        <f t="shared" si="58"/>
        <v>46554</v>
      </c>
      <c r="AC1270" s="10">
        <v>20</v>
      </c>
      <c r="AD1270" s="7">
        <f t="shared" si="59"/>
        <v>803</v>
      </c>
      <c r="AE1270" s="7">
        <f>IF(F1270="Bullet",H1270*AD1270,MIN(MAX(I1270,1),Assumptions!$B$6)*AD1270)</f>
        <v>803</v>
      </c>
      <c r="AF1270" s="8">
        <f>IF(F1270="Bullet",MAX(0,Assumptions!$B$4-AB1270),MAX(0,Assumptions!$B$4-L1270))</f>
        <v>17</v>
      </c>
      <c r="AG1270" s="9">
        <v>46253</v>
      </c>
      <c r="AH1270" s="8">
        <f>IF(AG1270="","",Assumptions!$B$4-AG1270)</f>
        <v>45</v>
      </c>
      <c r="AI1270" s="5" t="s">
        <v>63</v>
      </c>
      <c r="AJ1270" s="8">
        <v>1</v>
      </c>
      <c r="AK1270" s="8">
        <v>1</v>
      </c>
      <c r="AL1270" s="8">
        <v>703</v>
      </c>
      <c r="AM1270" s="8">
        <v>1</v>
      </c>
      <c r="AN1270" s="5" t="s">
        <v>63</v>
      </c>
      <c r="AO1270" s="10">
        <v>72.7</v>
      </c>
      <c r="AP1270" s="8">
        <v>32</v>
      </c>
      <c r="AQ1270" s="9">
        <v>46290</v>
      </c>
      <c r="AR1270" s="5" t="s">
        <v>70</v>
      </c>
      <c r="AS1270" s="5" t="s">
        <v>274</v>
      </c>
    </row>
    <row r="1271" spans="1:45" x14ac:dyDescent="0.35">
      <c r="A1271" s="5" t="s">
        <v>5395</v>
      </c>
      <c r="B1271" s="5" t="s">
        <v>2714</v>
      </c>
      <c r="C1271" s="6" t="s">
        <v>5396</v>
      </c>
      <c r="D1271" s="7">
        <v>61100</v>
      </c>
      <c r="E1271" s="5" t="s">
        <v>48</v>
      </c>
      <c r="F1271" s="5" t="s">
        <v>68</v>
      </c>
      <c r="G1271" s="8">
        <v>6</v>
      </c>
      <c r="H1271" s="8">
        <f>IF(F1271="Bullet",MIN(G1271,Assumptions!$B$6),"")</f>
        <v>2</v>
      </c>
      <c r="I1271" s="8"/>
      <c r="J1271" s="8" t="str">
        <f>IF(F1271="Monthly interest",MAX(0,Assumptions!$B$5-I1271),"")</f>
        <v/>
      </c>
      <c r="K1271" s="7">
        <f t="shared" si="57"/>
        <v>5502</v>
      </c>
      <c r="L1271" s="9">
        <v>46109</v>
      </c>
      <c r="M1271" s="5" t="s">
        <v>116</v>
      </c>
      <c r="N1271" s="5" t="s">
        <v>117</v>
      </c>
      <c r="O1271" s="5" t="s">
        <v>461</v>
      </c>
      <c r="P1271" s="5" t="s">
        <v>72</v>
      </c>
      <c r="Q1271" s="5" t="s">
        <v>169</v>
      </c>
      <c r="R1271" s="5" t="s">
        <v>170</v>
      </c>
      <c r="S1271" s="5" t="s">
        <v>85</v>
      </c>
      <c r="T1271" s="5" t="s">
        <v>57</v>
      </c>
      <c r="U1271" s="5" t="s">
        <v>104</v>
      </c>
      <c r="V1271" s="5" t="s">
        <v>96</v>
      </c>
      <c r="W1271" s="5" t="s">
        <v>265</v>
      </c>
      <c r="X1271" s="5" t="s">
        <v>272</v>
      </c>
      <c r="Y1271" s="5" t="s">
        <v>5397</v>
      </c>
      <c r="Z1271" s="9">
        <v>46109</v>
      </c>
      <c r="AA1271" s="8">
        <v>6</v>
      </c>
      <c r="AB1271" s="9">
        <f t="shared" si="58"/>
        <v>46293</v>
      </c>
      <c r="AC1271" s="10">
        <v>18</v>
      </c>
      <c r="AD1271" s="7">
        <f t="shared" si="59"/>
        <v>917</v>
      </c>
      <c r="AE1271" s="7">
        <f>IF(F1271="Bullet",H1271*AD1271,MIN(MAX(I1271,1),Assumptions!$B$6)*AD1271)</f>
        <v>1834</v>
      </c>
      <c r="AF1271" s="8">
        <f>IF(F1271="Bullet",MAX(0,Assumptions!$B$4-AB1271),MAX(0,Assumptions!$B$4-L1271))</f>
        <v>5</v>
      </c>
      <c r="AG1271" s="9"/>
      <c r="AH1271" s="8" t="str">
        <f>IF(AG1271="","",Assumptions!$B$4-AG1271)</f>
        <v/>
      </c>
      <c r="AI1271" s="5" t="s">
        <v>80</v>
      </c>
      <c r="AJ1271" s="8"/>
      <c r="AK1271" s="8">
        <v>4</v>
      </c>
      <c r="AL1271" s="8">
        <v>624</v>
      </c>
      <c r="AM1271" s="8">
        <v>0</v>
      </c>
      <c r="AN1271" s="5" t="s">
        <v>57</v>
      </c>
      <c r="AO1271" s="10">
        <v>77.900000000000006</v>
      </c>
      <c r="AP1271" s="8">
        <v>96</v>
      </c>
      <c r="AQ1271" s="9">
        <v>46274</v>
      </c>
      <c r="AR1271" s="5" t="s">
        <v>51</v>
      </c>
      <c r="AS1271" s="5" t="s">
        <v>91</v>
      </c>
    </row>
    <row r="1272" spans="1:45" x14ac:dyDescent="0.35">
      <c r="A1272" s="5" t="s">
        <v>5398</v>
      </c>
      <c r="B1272" s="5" t="s">
        <v>3205</v>
      </c>
      <c r="C1272" s="6" t="s">
        <v>5399</v>
      </c>
      <c r="D1272" s="7">
        <v>121200</v>
      </c>
      <c r="E1272" s="5" t="s">
        <v>48</v>
      </c>
      <c r="F1272" s="5" t="s">
        <v>68</v>
      </c>
      <c r="G1272" s="8">
        <v>3</v>
      </c>
      <c r="H1272" s="8">
        <f>IF(F1272="Bullet",MIN(G1272,Assumptions!$B$6),"")</f>
        <v>2</v>
      </c>
      <c r="I1272" s="8"/>
      <c r="J1272" s="8" t="str">
        <f>IF(F1272="Monthly interest",MAX(0,Assumptions!$B$5-I1272),"")</f>
        <v/>
      </c>
      <c r="K1272" s="7">
        <f t="shared" si="57"/>
        <v>4242</v>
      </c>
      <c r="L1272" s="9">
        <v>46204</v>
      </c>
      <c r="M1272" s="5" t="s">
        <v>69</v>
      </c>
      <c r="N1272" s="5" t="s">
        <v>53</v>
      </c>
      <c r="O1272" s="5" t="s">
        <v>71</v>
      </c>
      <c r="P1272" s="5" t="s">
        <v>70</v>
      </c>
      <c r="Q1272" s="5" t="s">
        <v>73</v>
      </c>
      <c r="R1272" s="5" t="s">
        <v>74</v>
      </c>
      <c r="S1272" s="5" t="s">
        <v>75</v>
      </c>
      <c r="T1272" s="5" t="s">
        <v>63</v>
      </c>
      <c r="U1272" s="5" t="s">
        <v>58</v>
      </c>
      <c r="V1272" s="5" t="s">
        <v>76</v>
      </c>
      <c r="W1272" s="5" t="s">
        <v>547</v>
      </c>
      <c r="X1272" s="5" t="s">
        <v>1428</v>
      </c>
      <c r="Y1272" s="5" t="s">
        <v>5400</v>
      </c>
      <c r="Z1272" s="9">
        <v>46204</v>
      </c>
      <c r="AA1272" s="8">
        <v>3</v>
      </c>
      <c r="AB1272" s="9">
        <f t="shared" si="58"/>
        <v>46296</v>
      </c>
      <c r="AC1272" s="10">
        <v>14</v>
      </c>
      <c r="AD1272" s="7">
        <f t="shared" si="59"/>
        <v>1414</v>
      </c>
      <c r="AE1272" s="7">
        <f>IF(F1272="Bullet",H1272*AD1272,MIN(MAX(I1272,1),Assumptions!$B$6)*AD1272)</f>
        <v>2828</v>
      </c>
      <c r="AF1272" s="8">
        <f>IF(F1272="Bullet",MAX(0,Assumptions!$B$4-AB1272),MAX(0,Assumptions!$B$4-L1272))</f>
        <v>2</v>
      </c>
      <c r="AG1272" s="9"/>
      <c r="AH1272" s="8" t="str">
        <f>IF(AG1272="","",Assumptions!$B$4-AG1272)</f>
        <v/>
      </c>
      <c r="AI1272" s="5" t="s">
        <v>80</v>
      </c>
      <c r="AJ1272" s="8"/>
      <c r="AK1272" s="8">
        <v>0</v>
      </c>
      <c r="AL1272" s="8">
        <v>637</v>
      </c>
      <c r="AM1272" s="8">
        <v>2</v>
      </c>
      <c r="AN1272" s="5" t="s">
        <v>63</v>
      </c>
      <c r="AO1272" s="10">
        <v>53.8</v>
      </c>
      <c r="AP1272" s="8">
        <v>43</v>
      </c>
      <c r="AQ1272" s="9"/>
      <c r="AR1272" s="5"/>
      <c r="AS1272" s="5" t="s">
        <v>159</v>
      </c>
    </row>
    <row r="1273" spans="1:45" x14ac:dyDescent="0.35">
      <c r="A1273" s="5" t="s">
        <v>5401</v>
      </c>
      <c r="B1273" s="5" t="s">
        <v>727</v>
      </c>
      <c r="C1273" s="6" t="s">
        <v>5402</v>
      </c>
      <c r="D1273" s="7">
        <v>317800</v>
      </c>
      <c r="E1273" s="5" t="s">
        <v>48</v>
      </c>
      <c r="F1273" s="5" t="s">
        <v>49</v>
      </c>
      <c r="G1273" s="8"/>
      <c r="H1273" s="8" t="str">
        <f>IF(F1273="Bullet",MIN(G1273,Assumptions!$B$6),"")</f>
        <v/>
      </c>
      <c r="I1273" s="8">
        <v>2</v>
      </c>
      <c r="J1273" s="8">
        <f>IF(F1273="Monthly interest",MAX(0,Assumptions!$B$5-I1273),"")</f>
        <v>1</v>
      </c>
      <c r="K1273" s="7">
        <f t="shared" si="57"/>
        <v>9534</v>
      </c>
      <c r="L1273" s="9">
        <v>46266</v>
      </c>
      <c r="M1273" s="5" t="s">
        <v>69</v>
      </c>
      <c r="N1273" s="5" t="s">
        <v>70</v>
      </c>
      <c r="O1273" s="5" t="s">
        <v>71</v>
      </c>
      <c r="P1273" s="5" t="s">
        <v>72</v>
      </c>
      <c r="Q1273" s="5" t="s">
        <v>73</v>
      </c>
      <c r="R1273" s="5" t="s">
        <v>74</v>
      </c>
      <c r="S1273" s="5" t="s">
        <v>85</v>
      </c>
      <c r="T1273" s="5" t="s">
        <v>57</v>
      </c>
      <c r="U1273" s="5" t="s">
        <v>104</v>
      </c>
      <c r="V1273" s="5" t="s">
        <v>177</v>
      </c>
      <c r="W1273" s="5" t="s">
        <v>178</v>
      </c>
      <c r="X1273" s="5" t="s">
        <v>1261</v>
      </c>
      <c r="Y1273" s="5" t="s">
        <v>5403</v>
      </c>
      <c r="Z1273" s="9">
        <v>46054</v>
      </c>
      <c r="AA1273" s="8">
        <v>12</v>
      </c>
      <c r="AB1273" s="9">
        <f t="shared" si="58"/>
        <v>46419</v>
      </c>
      <c r="AC1273" s="10">
        <v>18</v>
      </c>
      <c r="AD1273" s="7">
        <f t="shared" si="59"/>
        <v>4767</v>
      </c>
      <c r="AE1273" s="7">
        <f>IF(F1273="Bullet",H1273*AD1273,MIN(MAX(I1273,1),Assumptions!$B$6)*AD1273)</f>
        <v>9534</v>
      </c>
      <c r="AF1273" s="8">
        <f>IF(F1273="Bullet",MAX(0,Assumptions!$B$4-AB1273),MAX(0,Assumptions!$B$4-L1273))</f>
        <v>32</v>
      </c>
      <c r="AG1273" s="9">
        <v>46236</v>
      </c>
      <c r="AH1273" s="8">
        <f>IF(AG1273="","",Assumptions!$B$4-AG1273)</f>
        <v>62</v>
      </c>
      <c r="AI1273" s="5" t="s">
        <v>57</v>
      </c>
      <c r="AJ1273" s="8">
        <v>2</v>
      </c>
      <c r="AK1273" s="8">
        <v>0</v>
      </c>
      <c r="AL1273" s="8">
        <v>726</v>
      </c>
      <c r="AM1273" s="8">
        <v>1</v>
      </c>
      <c r="AN1273" s="5" t="s">
        <v>63</v>
      </c>
      <c r="AO1273" s="10">
        <v>57.1</v>
      </c>
      <c r="AP1273" s="8">
        <v>34</v>
      </c>
      <c r="AQ1273" s="9">
        <v>46286</v>
      </c>
      <c r="AR1273" s="5" t="s">
        <v>70</v>
      </c>
      <c r="AS1273" s="5" t="s">
        <v>81</v>
      </c>
    </row>
    <row r="1274" spans="1:45" x14ac:dyDescent="0.35">
      <c r="A1274" s="5" t="s">
        <v>5404</v>
      </c>
      <c r="B1274" s="5" t="s">
        <v>4176</v>
      </c>
      <c r="C1274" s="6" t="s">
        <v>5405</v>
      </c>
      <c r="D1274" s="7">
        <v>685600</v>
      </c>
      <c r="E1274" s="5" t="s">
        <v>48</v>
      </c>
      <c r="F1274" s="5" t="s">
        <v>49</v>
      </c>
      <c r="G1274" s="8"/>
      <c r="H1274" s="8" t="str">
        <f>IF(F1274="Bullet",MIN(G1274,Assumptions!$B$6),"")</f>
        <v/>
      </c>
      <c r="I1274" s="8">
        <v>1</v>
      </c>
      <c r="J1274" s="8">
        <f>IF(F1274="Monthly interest",MAX(0,Assumptions!$B$5-I1274),"")</f>
        <v>2</v>
      </c>
      <c r="K1274" s="7">
        <f t="shared" si="57"/>
        <v>9141</v>
      </c>
      <c r="L1274" s="9">
        <v>46292</v>
      </c>
      <c r="M1274" s="5" t="s">
        <v>50</v>
      </c>
      <c r="N1274" s="5" t="s">
        <v>53</v>
      </c>
      <c r="O1274" s="5" t="s">
        <v>132</v>
      </c>
      <c r="P1274" s="5" t="s">
        <v>51</v>
      </c>
      <c r="Q1274" s="5" t="s">
        <v>54</v>
      </c>
      <c r="R1274" s="5" t="s">
        <v>55</v>
      </c>
      <c r="S1274" s="5" t="s">
        <v>85</v>
      </c>
      <c r="T1274" s="5" t="s">
        <v>57</v>
      </c>
      <c r="U1274" s="5" t="s">
        <v>58</v>
      </c>
      <c r="V1274" s="5" t="s">
        <v>96</v>
      </c>
      <c r="W1274" s="5" t="s">
        <v>819</v>
      </c>
      <c r="X1274" s="5" t="s">
        <v>1389</v>
      </c>
      <c r="Y1274" s="5" t="s">
        <v>5406</v>
      </c>
      <c r="Z1274" s="9">
        <v>46080</v>
      </c>
      <c r="AA1274" s="8">
        <v>24</v>
      </c>
      <c r="AB1274" s="9">
        <f t="shared" si="58"/>
        <v>46810</v>
      </c>
      <c r="AC1274" s="10">
        <v>16</v>
      </c>
      <c r="AD1274" s="7">
        <f t="shared" si="59"/>
        <v>9141</v>
      </c>
      <c r="AE1274" s="7">
        <f>IF(F1274="Bullet",H1274*AD1274,MIN(MAX(I1274,1),Assumptions!$B$6)*AD1274)</f>
        <v>9141</v>
      </c>
      <c r="AF1274" s="8">
        <f>IF(F1274="Bullet",MAX(0,Assumptions!$B$4-AB1274),MAX(0,Assumptions!$B$4-L1274))</f>
        <v>6</v>
      </c>
      <c r="AG1274" s="9">
        <v>46262</v>
      </c>
      <c r="AH1274" s="8">
        <f>IF(AG1274="","",Assumptions!$B$4-AG1274)</f>
        <v>36</v>
      </c>
      <c r="AI1274" s="5" t="s">
        <v>57</v>
      </c>
      <c r="AJ1274" s="8">
        <v>1</v>
      </c>
      <c r="AK1274" s="8">
        <v>0</v>
      </c>
      <c r="AL1274" s="8">
        <v>701</v>
      </c>
      <c r="AM1274" s="8">
        <v>0</v>
      </c>
      <c r="AN1274" s="5" t="s">
        <v>63</v>
      </c>
      <c r="AO1274" s="10">
        <v>70.099999999999994</v>
      </c>
      <c r="AP1274" s="8">
        <v>30</v>
      </c>
      <c r="AQ1274" s="9">
        <v>46274</v>
      </c>
      <c r="AR1274" s="5" t="s">
        <v>51</v>
      </c>
      <c r="AS1274" s="5" t="s">
        <v>91</v>
      </c>
    </row>
    <row r="1275" spans="1:45" x14ac:dyDescent="0.35">
      <c r="A1275" s="5" t="s">
        <v>5407</v>
      </c>
      <c r="B1275" s="5" t="s">
        <v>5408</v>
      </c>
      <c r="C1275" s="6" t="s">
        <v>5409</v>
      </c>
      <c r="D1275" s="7">
        <v>41100</v>
      </c>
      <c r="E1275" s="5" t="s">
        <v>48</v>
      </c>
      <c r="F1275" s="5" t="s">
        <v>68</v>
      </c>
      <c r="G1275" s="8">
        <v>3</v>
      </c>
      <c r="H1275" s="8">
        <f>IF(F1275="Bullet",MIN(G1275,Assumptions!$B$6),"")</f>
        <v>2</v>
      </c>
      <c r="I1275" s="8"/>
      <c r="J1275" s="8" t="str">
        <f>IF(F1275="Monthly interest",MAX(0,Assumptions!$B$5-I1275),"")</f>
        <v/>
      </c>
      <c r="K1275" s="7">
        <f t="shared" si="57"/>
        <v>1851</v>
      </c>
      <c r="L1275" s="9">
        <v>46185</v>
      </c>
      <c r="M1275" s="5" t="s">
        <v>116</v>
      </c>
      <c r="N1275" s="5" t="s">
        <v>117</v>
      </c>
      <c r="O1275" s="5" t="s">
        <v>450</v>
      </c>
      <c r="P1275" s="5" t="s">
        <v>72</v>
      </c>
      <c r="Q1275" s="5" t="s">
        <v>154</v>
      </c>
      <c r="R1275" s="5" t="s">
        <v>155</v>
      </c>
      <c r="S1275" s="5" t="s">
        <v>214</v>
      </c>
      <c r="T1275" s="5" t="s">
        <v>57</v>
      </c>
      <c r="U1275" s="5" t="s">
        <v>104</v>
      </c>
      <c r="V1275" s="5" t="s">
        <v>215</v>
      </c>
      <c r="W1275" s="5" t="s">
        <v>242</v>
      </c>
      <c r="X1275" s="5" t="s">
        <v>1215</v>
      </c>
      <c r="Y1275" s="5" t="s">
        <v>5410</v>
      </c>
      <c r="Z1275" s="9">
        <v>46185</v>
      </c>
      <c r="AA1275" s="8">
        <v>3</v>
      </c>
      <c r="AB1275" s="9">
        <f t="shared" si="58"/>
        <v>46277</v>
      </c>
      <c r="AC1275" s="10">
        <v>18</v>
      </c>
      <c r="AD1275" s="7">
        <f t="shared" si="59"/>
        <v>617</v>
      </c>
      <c r="AE1275" s="7">
        <f>IF(F1275="Bullet",H1275*AD1275,MIN(MAX(I1275,1),Assumptions!$B$6)*AD1275)</f>
        <v>1234</v>
      </c>
      <c r="AF1275" s="8">
        <f>IF(F1275="Bullet",MAX(0,Assumptions!$B$4-AB1275),MAX(0,Assumptions!$B$4-L1275))</f>
        <v>21</v>
      </c>
      <c r="AG1275" s="9"/>
      <c r="AH1275" s="8" t="str">
        <f>IF(AG1275="","",Assumptions!$B$4-AG1275)</f>
        <v/>
      </c>
      <c r="AI1275" s="5" t="s">
        <v>80</v>
      </c>
      <c r="AJ1275" s="8"/>
      <c r="AK1275" s="8">
        <v>2</v>
      </c>
      <c r="AL1275" s="8">
        <v>760</v>
      </c>
      <c r="AM1275" s="8">
        <v>3</v>
      </c>
      <c r="AN1275" s="5" t="s">
        <v>63</v>
      </c>
      <c r="AO1275" s="10">
        <v>69.599999999999994</v>
      </c>
      <c r="AP1275" s="8">
        <v>51</v>
      </c>
      <c r="AQ1275" s="9">
        <v>46286</v>
      </c>
      <c r="AR1275" s="5" t="s">
        <v>70</v>
      </c>
      <c r="AS1275" s="5" t="s">
        <v>81</v>
      </c>
    </row>
    <row r="1276" spans="1:45" x14ac:dyDescent="0.35">
      <c r="A1276" s="5" t="s">
        <v>5411</v>
      </c>
      <c r="B1276" s="5" t="s">
        <v>1440</v>
      </c>
      <c r="C1276" s="6" t="s">
        <v>5412</v>
      </c>
      <c r="D1276" s="7">
        <v>118900</v>
      </c>
      <c r="E1276" s="5" t="s">
        <v>48</v>
      </c>
      <c r="F1276" s="5" t="s">
        <v>49</v>
      </c>
      <c r="G1276" s="8"/>
      <c r="H1276" s="8" t="str">
        <f>IF(F1276="Bullet",MIN(G1276,Assumptions!$B$6),"")</f>
        <v/>
      </c>
      <c r="I1276" s="8">
        <v>2</v>
      </c>
      <c r="J1276" s="8">
        <f>IF(F1276="Monthly interest",MAX(0,Assumptions!$B$5-I1276),"")</f>
        <v>1</v>
      </c>
      <c r="K1276" s="7">
        <f t="shared" si="57"/>
        <v>3170</v>
      </c>
      <c r="L1276" s="9">
        <v>46254</v>
      </c>
      <c r="M1276" s="5" t="s">
        <v>116</v>
      </c>
      <c r="N1276" s="5" t="s">
        <v>117</v>
      </c>
      <c r="O1276" s="5" t="s">
        <v>118</v>
      </c>
      <c r="P1276" s="5" t="s">
        <v>72</v>
      </c>
      <c r="Q1276" s="5" t="s">
        <v>119</v>
      </c>
      <c r="R1276" s="5" t="s">
        <v>120</v>
      </c>
      <c r="S1276" s="5" t="s">
        <v>185</v>
      </c>
      <c r="T1276" s="5" t="s">
        <v>63</v>
      </c>
      <c r="U1276" s="5" t="s">
        <v>104</v>
      </c>
      <c r="V1276" s="5" t="s">
        <v>186</v>
      </c>
      <c r="W1276" s="5" t="s">
        <v>329</v>
      </c>
      <c r="X1276" s="5" t="s">
        <v>1253</v>
      </c>
      <c r="Y1276" s="5" t="s">
        <v>5413</v>
      </c>
      <c r="Z1276" s="9">
        <v>46162</v>
      </c>
      <c r="AA1276" s="8">
        <v>24</v>
      </c>
      <c r="AB1276" s="9">
        <f t="shared" si="58"/>
        <v>46893</v>
      </c>
      <c r="AC1276" s="10">
        <v>16</v>
      </c>
      <c r="AD1276" s="7">
        <f t="shared" si="59"/>
        <v>1585</v>
      </c>
      <c r="AE1276" s="7">
        <f>IF(F1276="Bullet",H1276*AD1276,MIN(MAX(I1276,1),Assumptions!$B$6)*AD1276)</f>
        <v>3170</v>
      </c>
      <c r="AF1276" s="8">
        <f>IF(F1276="Bullet",MAX(0,Assumptions!$B$4-AB1276),MAX(0,Assumptions!$B$4-L1276))</f>
        <v>44</v>
      </c>
      <c r="AG1276" s="9">
        <v>46225</v>
      </c>
      <c r="AH1276" s="8">
        <f>IF(AG1276="","",Assumptions!$B$4-AG1276)</f>
        <v>73</v>
      </c>
      <c r="AI1276" s="5" t="s">
        <v>63</v>
      </c>
      <c r="AJ1276" s="8">
        <v>2</v>
      </c>
      <c r="AK1276" s="8">
        <v>0</v>
      </c>
      <c r="AL1276" s="8">
        <v>681</v>
      </c>
      <c r="AM1276" s="8">
        <v>1</v>
      </c>
      <c r="AN1276" s="5" t="s">
        <v>63</v>
      </c>
      <c r="AO1276" s="10">
        <v>74.099999999999994</v>
      </c>
      <c r="AP1276" s="8">
        <v>49</v>
      </c>
      <c r="AQ1276" s="9">
        <v>46285</v>
      </c>
      <c r="AR1276" s="5" t="s">
        <v>70</v>
      </c>
      <c r="AS1276" s="5" t="s">
        <v>81</v>
      </c>
    </row>
    <row r="1277" spans="1:45" x14ac:dyDescent="0.35">
      <c r="A1277" s="5" t="s">
        <v>5414</v>
      </c>
      <c r="B1277" s="5" t="s">
        <v>4957</v>
      </c>
      <c r="C1277" s="6" t="s">
        <v>5415</v>
      </c>
      <c r="D1277" s="7">
        <v>42600</v>
      </c>
      <c r="E1277" s="5" t="s">
        <v>48</v>
      </c>
      <c r="F1277" s="5" t="s">
        <v>68</v>
      </c>
      <c r="G1277" s="8">
        <v>2</v>
      </c>
      <c r="H1277" s="8">
        <f>IF(F1277="Bullet",MIN(G1277,Assumptions!$B$6),"")</f>
        <v>2</v>
      </c>
      <c r="I1277" s="8"/>
      <c r="J1277" s="8" t="str">
        <f>IF(F1277="Monthly interest",MAX(0,Assumptions!$B$5-I1277),"")</f>
        <v/>
      </c>
      <c r="K1277" s="7">
        <f t="shared" si="57"/>
        <v>1066</v>
      </c>
      <c r="L1277" s="9">
        <v>46226</v>
      </c>
      <c r="M1277" s="5" t="s">
        <v>50</v>
      </c>
      <c r="N1277" s="5" t="s">
        <v>53</v>
      </c>
      <c r="O1277" s="5" t="s">
        <v>152</v>
      </c>
      <c r="P1277" s="5" t="s">
        <v>153</v>
      </c>
      <c r="Q1277" s="5" t="s">
        <v>154</v>
      </c>
      <c r="R1277" s="5" t="s">
        <v>155</v>
      </c>
      <c r="S1277" s="5" t="s">
        <v>85</v>
      </c>
      <c r="T1277" s="5" t="s">
        <v>57</v>
      </c>
      <c r="U1277" s="5" t="s">
        <v>86</v>
      </c>
      <c r="V1277" s="5" t="s">
        <v>87</v>
      </c>
      <c r="W1277" s="5" t="s">
        <v>361</v>
      </c>
      <c r="X1277" s="5" t="s">
        <v>2031</v>
      </c>
      <c r="Y1277" s="5" t="s">
        <v>5416</v>
      </c>
      <c r="Z1277" s="9">
        <v>46226</v>
      </c>
      <c r="AA1277" s="8">
        <v>12</v>
      </c>
      <c r="AB1277" s="9">
        <f t="shared" si="58"/>
        <v>46591</v>
      </c>
      <c r="AC1277" s="10">
        <v>15</v>
      </c>
      <c r="AD1277" s="7">
        <f t="shared" si="59"/>
        <v>533</v>
      </c>
      <c r="AE1277" s="7">
        <f>IF(F1277="Bullet",H1277*AD1277,MIN(MAX(I1277,1),Assumptions!$B$6)*AD1277)</f>
        <v>1066</v>
      </c>
      <c r="AF1277" s="8">
        <f>IF(F1277="Bullet",MAX(0,Assumptions!$B$4-AB1277),MAX(0,Assumptions!$B$4-L1277))</f>
        <v>0</v>
      </c>
      <c r="AG1277" s="9"/>
      <c r="AH1277" s="8" t="str">
        <f>IF(AG1277="","",Assumptions!$B$4-AG1277)</f>
        <v/>
      </c>
      <c r="AI1277" s="5" t="s">
        <v>80</v>
      </c>
      <c r="AJ1277" s="8"/>
      <c r="AK1277" s="8">
        <v>0</v>
      </c>
      <c r="AL1277" s="8">
        <v>700</v>
      </c>
      <c r="AM1277" s="8">
        <v>3</v>
      </c>
      <c r="AN1277" s="5" t="s">
        <v>57</v>
      </c>
      <c r="AO1277" s="10">
        <v>61.5</v>
      </c>
      <c r="AP1277" s="8">
        <v>25</v>
      </c>
      <c r="AQ1277" s="9">
        <v>46287</v>
      </c>
      <c r="AR1277" s="5" t="s">
        <v>53</v>
      </c>
      <c r="AS1277" s="5" t="s">
        <v>274</v>
      </c>
    </row>
    <row r="1278" spans="1:45" x14ac:dyDescent="0.35">
      <c r="A1278" s="5" t="s">
        <v>5417</v>
      </c>
      <c r="B1278" s="5" t="s">
        <v>101</v>
      </c>
      <c r="C1278" s="6" t="s">
        <v>5418</v>
      </c>
      <c r="D1278" s="7">
        <v>172300</v>
      </c>
      <c r="E1278" s="5" t="s">
        <v>48</v>
      </c>
      <c r="F1278" s="5" t="s">
        <v>68</v>
      </c>
      <c r="G1278" s="8">
        <v>1</v>
      </c>
      <c r="H1278" s="8">
        <f>IF(F1278="Bullet",MIN(G1278,Assumptions!$B$6),"")</f>
        <v>1</v>
      </c>
      <c r="I1278" s="8"/>
      <c r="J1278" s="8" t="str">
        <f>IF(F1278="Monthly interest",MAX(0,Assumptions!$B$5-I1278),"")</f>
        <v/>
      </c>
      <c r="K1278" s="7">
        <f t="shared" si="57"/>
        <v>2154</v>
      </c>
      <c r="L1278" s="9">
        <v>46255</v>
      </c>
      <c r="M1278" s="5" t="s">
        <v>69</v>
      </c>
      <c r="N1278" s="5" t="s">
        <v>70</v>
      </c>
      <c r="O1278" s="5" t="s">
        <v>271</v>
      </c>
      <c r="P1278" s="5" t="s">
        <v>72</v>
      </c>
      <c r="Q1278" s="5" t="s">
        <v>73</v>
      </c>
      <c r="R1278" s="5" t="s">
        <v>74</v>
      </c>
      <c r="S1278" s="5" t="s">
        <v>75</v>
      </c>
      <c r="T1278" s="5" t="s">
        <v>63</v>
      </c>
      <c r="U1278" s="5" t="s">
        <v>86</v>
      </c>
      <c r="V1278" s="5" t="s">
        <v>76</v>
      </c>
      <c r="W1278" s="5" t="s">
        <v>444</v>
      </c>
      <c r="X1278" s="5" t="s">
        <v>877</v>
      </c>
      <c r="Y1278" s="5" t="s">
        <v>5419</v>
      </c>
      <c r="Z1278" s="9">
        <v>46255</v>
      </c>
      <c r="AA1278" s="8">
        <v>12</v>
      </c>
      <c r="AB1278" s="9">
        <f t="shared" si="58"/>
        <v>46620</v>
      </c>
      <c r="AC1278" s="10">
        <v>15</v>
      </c>
      <c r="AD1278" s="7">
        <f t="shared" si="59"/>
        <v>2154</v>
      </c>
      <c r="AE1278" s="7">
        <f>IF(F1278="Bullet",H1278*AD1278,MIN(MAX(I1278,1),Assumptions!$B$6)*AD1278)</f>
        <v>2154</v>
      </c>
      <c r="AF1278" s="8">
        <f>IF(F1278="Bullet",MAX(0,Assumptions!$B$4-AB1278),MAX(0,Assumptions!$B$4-L1278))</f>
        <v>0</v>
      </c>
      <c r="AG1278" s="9"/>
      <c r="AH1278" s="8" t="str">
        <f>IF(AG1278="","",Assumptions!$B$4-AG1278)</f>
        <v/>
      </c>
      <c r="AI1278" s="5" t="s">
        <v>80</v>
      </c>
      <c r="AJ1278" s="8"/>
      <c r="AK1278" s="8">
        <v>0</v>
      </c>
      <c r="AL1278" s="8">
        <v>640</v>
      </c>
      <c r="AM1278" s="8">
        <v>1</v>
      </c>
      <c r="AN1278" s="5" t="s">
        <v>57</v>
      </c>
      <c r="AO1278" s="10">
        <v>75.8</v>
      </c>
      <c r="AP1278" s="8">
        <v>38</v>
      </c>
      <c r="AQ1278" s="9">
        <v>46275</v>
      </c>
      <c r="AR1278" s="5" t="s">
        <v>51</v>
      </c>
      <c r="AS1278" s="5" t="s">
        <v>274</v>
      </c>
    </row>
    <row r="1279" spans="1:45" x14ac:dyDescent="0.35">
      <c r="A1279" s="5" t="s">
        <v>5420</v>
      </c>
      <c r="B1279" s="5" t="s">
        <v>5421</v>
      </c>
      <c r="C1279" s="6" t="s">
        <v>5422</v>
      </c>
      <c r="D1279" s="7">
        <v>18700</v>
      </c>
      <c r="E1279" s="5" t="s">
        <v>48</v>
      </c>
      <c r="F1279" s="5" t="s">
        <v>68</v>
      </c>
      <c r="G1279" s="8">
        <v>1</v>
      </c>
      <c r="H1279" s="8">
        <f>IF(F1279="Bullet",MIN(G1279,Assumptions!$B$6),"")</f>
        <v>1</v>
      </c>
      <c r="I1279" s="8"/>
      <c r="J1279" s="8" t="str">
        <f>IF(F1279="Monthly interest",MAX(0,Assumptions!$B$5-I1279),"")</f>
        <v/>
      </c>
      <c r="K1279" s="7">
        <f t="shared" si="57"/>
        <v>218</v>
      </c>
      <c r="L1279" s="9">
        <v>46259</v>
      </c>
      <c r="M1279" s="5" t="s">
        <v>50</v>
      </c>
      <c r="N1279" s="5" t="s">
        <v>51</v>
      </c>
      <c r="O1279" s="5" t="s">
        <v>152</v>
      </c>
      <c r="P1279" s="5" t="s">
        <v>53</v>
      </c>
      <c r="Q1279" s="5" t="s">
        <v>154</v>
      </c>
      <c r="R1279" s="5" t="s">
        <v>155</v>
      </c>
      <c r="S1279" s="5" t="s">
        <v>214</v>
      </c>
      <c r="T1279" s="5" t="s">
        <v>57</v>
      </c>
      <c r="U1279" s="5" t="s">
        <v>58</v>
      </c>
      <c r="V1279" s="5" t="s">
        <v>215</v>
      </c>
      <c r="W1279" s="5" t="s">
        <v>278</v>
      </c>
      <c r="X1279" s="5" t="s">
        <v>3565</v>
      </c>
      <c r="Y1279" s="5" t="s">
        <v>5423</v>
      </c>
      <c r="Z1279" s="9">
        <v>46259</v>
      </c>
      <c r="AA1279" s="8">
        <v>6</v>
      </c>
      <c r="AB1279" s="9">
        <f t="shared" si="58"/>
        <v>46443</v>
      </c>
      <c r="AC1279" s="10">
        <v>14</v>
      </c>
      <c r="AD1279" s="7">
        <f t="shared" si="59"/>
        <v>218</v>
      </c>
      <c r="AE1279" s="7">
        <f>IF(F1279="Bullet",H1279*AD1279,MIN(MAX(I1279,1),Assumptions!$B$6)*AD1279)</f>
        <v>218</v>
      </c>
      <c r="AF1279" s="8">
        <f>IF(F1279="Bullet",MAX(0,Assumptions!$B$4-AB1279),MAX(0,Assumptions!$B$4-L1279))</f>
        <v>0</v>
      </c>
      <c r="AG1279" s="9"/>
      <c r="AH1279" s="8" t="str">
        <f>IF(AG1279="","",Assumptions!$B$4-AG1279)</f>
        <v/>
      </c>
      <c r="AI1279" s="5" t="s">
        <v>80</v>
      </c>
      <c r="AJ1279" s="8"/>
      <c r="AK1279" s="8">
        <v>0</v>
      </c>
      <c r="AL1279" s="8">
        <v>623</v>
      </c>
      <c r="AM1279" s="8">
        <v>0</v>
      </c>
      <c r="AN1279" s="5" t="s">
        <v>57</v>
      </c>
      <c r="AO1279" s="10">
        <v>54.1</v>
      </c>
      <c r="AP1279" s="8">
        <v>28</v>
      </c>
      <c r="AQ1279" s="9"/>
      <c r="AR1279" s="5"/>
      <c r="AS1279" s="5" t="s">
        <v>159</v>
      </c>
    </row>
    <row r="1280" spans="1:45" x14ac:dyDescent="0.35">
      <c r="A1280" s="5" t="s">
        <v>5424</v>
      </c>
      <c r="B1280" s="5" t="s">
        <v>5122</v>
      </c>
      <c r="C1280" s="6" t="s">
        <v>5425</v>
      </c>
      <c r="D1280" s="7">
        <v>386900</v>
      </c>
      <c r="E1280" s="5" t="s">
        <v>48</v>
      </c>
      <c r="F1280" s="5" t="s">
        <v>68</v>
      </c>
      <c r="G1280" s="8">
        <v>4</v>
      </c>
      <c r="H1280" s="8">
        <f>IF(F1280="Bullet",MIN(G1280,Assumptions!$B$6),"")</f>
        <v>2</v>
      </c>
      <c r="I1280" s="8"/>
      <c r="J1280" s="8" t="str">
        <f>IF(F1280="Monthly interest",MAX(0,Assumptions!$B$5-I1280),"")</f>
        <v/>
      </c>
      <c r="K1280" s="7">
        <f t="shared" si="57"/>
        <v>23216</v>
      </c>
      <c r="L1280" s="9">
        <v>46161</v>
      </c>
      <c r="M1280" s="5" t="s">
        <v>116</v>
      </c>
      <c r="N1280" s="5" t="s">
        <v>117</v>
      </c>
      <c r="O1280" s="5" t="s">
        <v>207</v>
      </c>
      <c r="P1280" s="5" t="s">
        <v>72</v>
      </c>
      <c r="Q1280" s="5" t="s">
        <v>73</v>
      </c>
      <c r="R1280" s="5" t="s">
        <v>74</v>
      </c>
      <c r="S1280" s="5" t="s">
        <v>85</v>
      </c>
      <c r="T1280" s="5" t="s">
        <v>57</v>
      </c>
      <c r="U1280" s="5" t="s">
        <v>104</v>
      </c>
      <c r="V1280" s="5" t="s">
        <v>177</v>
      </c>
      <c r="W1280" s="5" t="s">
        <v>208</v>
      </c>
      <c r="X1280" s="5" t="s">
        <v>909</v>
      </c>
      <c r="Y1280" s="5" t="s">
        <v>5426</v>
      </c>
      <c r="Z1280" s="9">
        <v>46161</v>
      </c>
      <c r="AA1280" s="8">
        <v>6</v>
      </c>
      <c r="AB1280" s="9">
        <f t="shared" si="58"/>
        <v>46345</v>
      </c>
      <c r="AC1280" s="10">
        <v>18</v>
      </c>
      <c r="AD1280" s="7">
        <f t="shared" si="59"/>
        <v>5804</v>
      </c>
      <c r="AE1280" s="7">
        <f>IF(F1280="Bullet",H1280*AD1280,MIN(MAX(I1280,1),Assumptions!$B$6)*AD1280)</f>
        <v>11608</v>
      </c>
      <c r="AF1280" s="8">
        <f>IF(F1280="Bullet",MAX(0,Assumptions!$B$4-AB1280),MAX(0,Assumptions!$B$4-L1280))</f>
        <v>0</v>
      </c>
      <c r="AG1280" s="9"/>
      <c r="AH1280" s="8" t="str">
        <f>IF(AG1280="","",Assumptions!$B$4-AG1280)</f>
        <v/>
      </c>
      <c r="AI1280" s="5" t="s">
        <v>80</v>
      </c>
      <c r="AJ1280" s="8"/>
      <c r="AK1280" s="8">
        <v>3</v>
      </c>
      <c r="AL1280" s="8">
        <v>599</v>
      </c>
      <c r="AM1280" s="8">
        <v>0</v>
      </c>
      <c r="AN1280" s="5" t="s">
        <v>63</v>
      </c>
      <c r="AO1280" s="10">
        <v>73.599999999999994</v>
      </c>
      <c r="AP1280" s="8">
        <v>51</v>
      </c>
      <c r="AQ1280" s="9">
        <v>46296</v>
      </c>
      <c r="AR1280" s="5" t="s">
        <v>53</v>
      </c>
      <c r="AS1280" s="5" t="s">
        <v>81</v>
      </c>
    </row>
    <row r="1281" spans="1:45" x14ac:dyDescent="0.35">
      <c r="A1281" s="5" t="s">
        <v>5427</v>
      </c>
      <c r="B1281" s="5" t="s">
        <v>5428</v>
      </c>
      <c r="C1281" s="6" t="s">
        <v>5429</v>
      </c>
      <c r="D1281" s="7">
        <v>106400</v>
      </c>
      <c r="E1281" s="5" t="s">
        <v>48</v>
      </c>
      <c r="F1281" s="5" t="s">
        <v>49</v>
      </c>
      <c r="G1281" s="8"/>
      <c r="H1281" s="8" t="str">
        <f>IF(F1281="Bullet",MIN(G1281,Assumptions!$B$6),"")</f>
        <v/>
      </c>
      <c r="I1281" s="8">
        <v>1</v>
      </c>
      <c r="J1281" s="8">
        <f>IF(F1281="Monthly interest",MAX(0,Assumptions!$B$5-I1281),"")</f>
        <v>2</v>
      </c>
      <c r="K1281" s="7">
        <f t="shared" si="57"/>
        <v>1241</v>
      </c>
      <c r="L1281" s="9">
        <v>46277</v>
      </c>
      <c r="M1281" s="5" t="s">
        <v>69</v>
      </c>
      <c r="N1281" s="5" t="s">
        <v>51</v>
      </c>
      <c r="O1281" s="5" t="s">
        <v>52</v>
      </c>
      <c r="P1281" s="5" t="s">
        <v>53</v>
      </c>
      <c r="Q1281" s="5" t="s">
        <v>54</v>
      </c>
      <c r="R1281" s="5" t="s">
        <v>55</v>
      </c>
      <c r="S1281" s="5" t="s">
        <v>56</v>
      </c>
      <c r="T1281" s="5" t="s">
        <v>57</v>
      </c>
      <c r="U1281" s="5" t="s">
        <v>86</v>
      </c>
      <c r="V1281" s="5" t="s">
        <v>59</v>
      </c>
      <c r="W1281" s="5" t="s">
        <v>126</v>
      </c>
      <c r="X1281" s="5" t="s">
        <v>423</v>
      </c>
      <c r="Y1281" s="5" t="s">
        <v>5430</v>
      </c>
      <c r="Z1281" s="9">
        <v>46034</v>
      </c>
      <c r="AA1281" s="8">
        <v>12</v>
      </c>
      <c r="AB1281" s="9">
        <f t="shared" si="58"/>
        <v>46399</v>
      </c>
      <c r="AC1281" s="10">
        <v>14</v>
      </c>
      <c r="AD1281" s="7">
        <f t="shared" si="59"/>
        <v>1241</v>
      </c>
      <c r="AE1281" s="7">
        <f>IF(F1281="Bullet",H1281*AD1281,MIN(MAX(I1281,1),Assumptions!$B$6)*AD1281)</f>
        <v>1241</v>
      </c>
      <c r="AF1281" s="8">
        <f>IF(F1281="Bullet",MAX(0,Assumptions!$B$4-AB1281),MAX(0,Assumptions!$B$4-L1281))</f>
        <v>21</v>
      </c>
      <c r="AG1281" s="9">
        <v>46250</v>
      </c>
      <c r="AH1281" s="8">
        <f>IF(AG1281="","",Assumptions!$B$4-AG1281)</f>
        <v>48</v>
      </c>
      <c r="AI1281" s="5" t="s">
        <v>63</v>
      </c>
      <c r="AJ1281" s="8">
        <v>3</v>
      </c>
      <c r="AK1281" s="8">
        <v>0</v>
      </c>
      <c r="AL1281" s="8" t="s">
        <v>80</v>
      </c>
      <c r="AM1281" s="8">
        <v>2</v>
      </c>
      <c r="AN1281" s="5" t="s">
        <v>63</v>
      </c>
      <c r="AO1281" s="10">
        <v>70.8</v>
      </c>
      <c r="AP1281" s="8">
        <v>31</v>
      </c>
      <c r="AQ1281" s="9"/>
      <c r="AR1281" s="5"/>
      <c r="AS1281" s="5" t="s">
        <v>159</v>
      </c>
    </row>
    <row r="1282" spans="1:45" x14ac:dyDescent="0.35">
      <c r="A1282" s="5" t="s">
        <v>5431</v>
      </c>
      <c r="B1282" s="5" t="s">
        <v>5432</v>
      </c>
      <c r="C1282" s="6" t="s">
        <v>5433</v>
      </c>
      <c r="D1282" s="7">
        <v>358100</v>
      </c>
      <c r="E1282" s="5" t="s">
        <v>48</v>
      </c>
      <c r="F1282" s="5" t="s">
        <v>49</v>
      </c>
      <c r="G1282" s="8"/>
      <c r="H1282" s="8" t="str">
        <f>IF(F1282="Bullet",MIN(G1282,Assumptions!$B$6),"")</f>
        <v/>
      </c>
      <c r="I1282" s="8">
        <v>1</v>
      </c>
      <c r="J1282" s="8">
        <f>IF(F1282="Monthly interest",MAX(0,Assumptions!$B$5-I1282),"")</f>
        <v>2</v>
      </c>
      <c r="K1282" s="7">
        <f t="shared" ref="K1282:K1345" si="60">IF(F1282="Bullet",G1282*AD1282,MAX(I1282,1)*AD1282)</f>
        <v>5372</v>
      </c>
      <c r="L1282" s="9">
        <v>46283</v>
      </c>
      <c r="M1282" s="5" t="s">
        <v>69</v>
      </c>
      <c r="N1282" s="5" t="s">
        <v>51</v>
      </c>
      <c r="O1282" s="5" t="s">
        <v>52</v>
      </c>
      <c r="P1282" s="5" t="s">
        <v>53</v>
      </c>
      <c r="Q1282" s="5" t="s">
        <v>54</v>
      </c>
      <c r="R1282" s="5" t="s">
        <v>55</v>
      </c>
      <c r="S1282" s="5" t="s">
        <v>214</v>
      </c>
      <c r="T1282" s="5" t="s">
        <v>57</v>
      </c>
      <c r="U1282" s="5" t="s">
        <v>58</v>
      </c>
      <c r="V1282" s="5" t="s">
        <v>215</v>
      </c>
      <c r="W1282" s="5" t="s">
        <v>600</v>
      </c>
      <c r="X1282" s="5" t="s">
        <v>3661</v>
      </c>
      <c r="Y1282" s="5" t="s">
        <v>5434</v>
      </c>
      <c r="Z1282" s="9">
        <v>46221</v>
      </c>
      <c r="AA1282" s="8">
        <v>12</v>
      </c>
      <c r="AB1282" s="9">
        <f t="shared" ref="AB1282:AB1345" si="61">EDATE(Z1282,AA1282)</f>
        <v>46586</v>
      </c>
      <c r="AC1282" s="10">
        <v>18</v>
      </c>
      <c r="AD1282" s="7">
        <f t="shared" ref="AD1282:AD1345" si="62">ROUND(D1282*AC1282/100/12,0)</f>
        <v>5372</v>
      </c>
      <c r="AE1282" s="7">
        <f>IF(F1282="Bullet",H1282*AD1282,MIN(MAX(I1282,1),Assumptions!$B$6)*AD1282)</f>
        <v>5372</v>
      </c>
      <c r="AF1282" s="8">
        <f>IF(F1282="Bullet",MAX(0,Assumptions!$B$4-AB1282),MAX(0,Assumptions!$B$4-L1282))</f>
        <v>15</v>
      </c>
      <c r="AG1282" s="9">
        <v>46255</v>
      </c>
      <c r="AH1282" s="8">
        <f>IF(AG1282="","",Assumptions!$B$4-AG1282)</f>
        <v>43</v>
      </c>
      <c r="AI1282" s="5" t="s">
        <v>57</v>
      </c>
      <c r="AJ1282" s="8">
        <v>1</v>
      </c>
      <c r="AK1282" s="8">
        <v>0</v>
      </c>
      <c r="AL1282" s="8">
        <v>608</v>
      </c>
      <c r="AM1282" s="8">
        <v>2</v>
      </c>
      <c r="AN1282" s="5" t="s">
        <v>63</v>
      </c>
      <c r="AO1282" s="10">
        <v>71</v>
      </c>
      <c r="AP1282" s="8">
        <v>38</v>
      </c>
      <c r="AQ1282" s="9">
        <v>46294</v>
      </c>
      <c r="AR1282" s="5" t="s">
        <v>53</v>
      </c>
      <c r="AS1282" s="5" t="s">
        <v>81</v>
      </c>
    </row>
    <row r="1283" spans="1:45" x14ac:dyDescent="0.35">
      <c r="A1283" s="5" t="s">
        <v>5435</v>
      </c>
      <c r="B1283" s="5" t="s">
        <v>5436</v>
      </c>
      <c r="C1283" s="6" t="s">
        <v>5437</v>
      </c>
      <c r="D1283" s="7">
        <v>34600</v>
      </c>
      <c r="E1283" s="5" t="s">
        <v>48</v>
      </c>
      <c r="F1283" s="5" t="s">
        <v>68</v>
      </c>
      <c r="G1283" s="8">
        <v>3</v>
      </c>
      <c r="H1283" s="8">
        <f>IF(F1283="Bullet",MIN(G1283,Assumptions!$B$6),"")</f>
        <v>2</v>
      </c>
      <c r="I1283" s="8"/>
      <c r="J1283" s="8" t="str">
        <f>IF(F1283="Monthly interest",MAX(0,Assumptions!$B$5-I1283),"")</f>
        <v/>
      </c>
      <c r="K1283" s="7">
        <f t="shared" si="60"/>
        <v>1125</v>
      </c>
      <c r="L1283" s="9">
        <v>46189</v>
      </c>
      <c r="M1283" s="5" t="s">
        <v>50</v>
      </c>
      <c r="N1283" s="5" t="s">
        <v>53</v>
      </c>
      <c r="O1283" s="5" t="s">
        <v>152</v>
      </c>
      <c r="P1283" s="5" t="s">
        <v>153</v>
      </c>
      <c r="Q1283" s="5" t="s">
        <v>154</v>
      </c>
      <c r="R1283" s="5" t="s">
        <v>155</v>
      </c>
      <c r="S1283" s="5" t="s">
        <v>75</v>
      </c>
      <c r="T1283" s="5" t="s">
        <v>57</v>
      </c>
      <c r="U1283" s="5" t="s">
        <v>86</v>
      </c>
      <c r="V1283" s="5" t="s">
        <v>76</v>
      </c>
      <c r="W1283" s="5" t="s">
        <v>547</v>
      </c>
      <c r="X1283" s="5" t="s">
        <v>2125</v>
      </c>
      <c r="Y1283" s="5" t="s">
        <v>5438</v>
      </c>
      <c r="Z1283" s="9">
        <v>46189</v>
      </c>
      <c r="AA1283" s="8">
        <v>6</v>
      </c>
      <c r="AB1283" s="9">
        <f t="shared" si="61"/>
        <v>46372</v>
      </c>
      <c r="AC1283" s="10">
        <v>13</v>
      </c>
      <c r="AD1283" s="7">
        <f t="shared" si="62"/>
        <v>375</v>
      </c>
      <c r="AE1283" s="7">
        <f>IF(F1283="Bullet",H1283*AD1283,MIN(MAX(I1283,1),Assumptions!$B$6)*AD1283)</f>
        <v>750</v>
      </c>
      <c r="AF1283" s="8">
        <f>IF(F1283="Bullet",MAX(0,Assumptions!$B$4-AB1283),MAX(0,Assumptions!$B$4-L1283))</f>
        <v>0</v>
      </c>
      <c r="AG1283" s="9"/>
      <c r="AH1283" s="8" t="str">
        <f>IF(AG1283="","",Assumptions!$B$4-AG1283)</f>
        <v/>
      </c>
      <c r="AI1283" s="5" t="s">
        <v>80</v>
      </c>
      <c r="AJ1283" s="8"/>
      <c r="AK1283" s="8">
        <v>0</v>
      </c>
      <c r="AL1283" s="8">
        <v>740</v>
      </c>
      <c r="AM1283" s="8">
        <v>3</v>
      </c>
      <c r="AN1283" s="5" t="s">
        <v>63</v>
      </c>
      <c r="AO1283" s="10">
        <v>79.099999999999994</v>
      </c>
      <c r="AP1283" s="8">
        <v>24</v>
      </c>
      <c r="AQ1283" s="9">
        <v>46281</v>
      </c>
      <c r="AR1283" s="5" t="s">
        <v>51</v>
      </c>
      <c r="AS1283" s="5" t="s">
        <v>91</v>
      </c>
    </row>
    <row r="1284" spans="1:45" x14ac:dyDescent="0.35">
      <c r="A1284" s="5" t="s">
        <v>5439</v>
      </c>
      <c r="B1284" s="5" t="s">
        <v>912</v>
      </c>
      <c r="C1284" s="6" t="s">
        <v>5440</v>
      </c>
      <c r="D1284" s="7">
        <v>75300</v>
      </c>
      <c r="E1284" s="5" t="s">
        <v>48</v>
      </c>
      <c r="F1284" s="5" t="s">
        <v>49</v>
      </c>
      <c r="G1284" s="8"/>
      <c r="H1284" s="8" t="str">
        <f>IF(F1284="Bullet",MIN(G1284,Assumptions!$B$6),"")</f>
        <v/>
      </c>
      <c r="I1284" s="8">
        <v>1</v>
      </c>
      <c r="J1284" s="8">
        <f>IF(F1284="Monthly interest",MAX(0,Assumptions!$B$5-I1284),"")</f>
        <v>2</v>
      </c>
      <c r="K1284" s="7">
        <f t="shared" si="60"/>
        <v>941</v>
      </c>
      <c r="L1284" s="9">
        <v>46284</v>
      </c>
      <c r="M1284" s="5" t="s">
        <v>50</v>
      </c>
      <c r="N1284" s="5" t="s">
        <v>53</v>
      </c>
      <c r="O1284" s="5" t="s">
        <v>95</v>
      </c>
      <c r="P1284" s="5" t="s">
        <v>70</v>
      </c>
      <c r="Q1284" s="5" t="s">
        <v>54</v>
      </c>
      <c r="R1284" s="5" t="s">
        <v>55</v>
      </c>
      <c r="S1284" s="5" t="s">
        <v>75</v>
      </c>
      <c r="T1284" s="5" t="s">
        <v>63</v>
      </c>
      <c r="U1284" s="5" t="s">
        <v>58</v>
      </c>
      <c r="V1284" s="5" t="s">
        <v>76</v>
      </c>
      <c r="W1284" s="5" t="s">
        <v>77</v>
      </c>
      <c r="X1284" s="5" t="s">
        <v>1879</v>
      </c>
      <c r="Y1284" s="5" t="s">
        <v>5441</v>
      </c>
      <c r="Z1284" s="9">
        <v>46222</v>
      </c>
      <c r="AA1284" s="8">
        <v>24</v>
      </c>
      <c r="AB1284" s="9">
        <f t="shared" si="61"/>
        <v>46953</v>
      </c>
      <c r="AC1284" s="10">
        <v>15</v>
      </c>
      <c r="AD1284" s="7">
        <f t="shared" si="62"/>
        <v>941</v>
      </c>
      <c r="AE1284" s="7">
        <f>IF(F1284="Bullet",H1284*AD1284,MIN(MAX(I1284,1),Assumptions!$B$6)*AD1284)</f>
        <v>941</v>
      </c>
      <c r="AF1284" s="8">
        <f>IF(F1284="Bullet",MAX(0,Assumptions!$B$4-AB1284),MAX(0,Assumptions!$B$4-L1284))</f>
        <v>14</v>
      </c>
      <c r="AG1284" s="9">
        <v>46254</v>
      </c>
      <c r="AH1284" s="8">
        <f>IF(AG1284="","",Assumptions!$B$4-AG1284)</f>
        <v>44</v>
      </c>
      <c r="AI1284" s="5" t="s">
        <v>63</v>
      </c>
      <c r="AJ1284" s="8">
        <v>1</v>
      </c>
      <c r="AK1284" s="8">
        <v>0</v>
      </c>
      <c r="AL1284" s="8">
        <v>689</v>
      </c>
      <c r="AM1284" s="8">
        <v>0</v>
      </c>
      <c r="AN1284" s="5" t="s">
        <v>63</v>
      </c>
      <c r="AO1284" s="10">
        <v>67.900000000000006</v>
      </c>
      <c r="AP1284" s="8">
        <v>29</v>
      </c>
      <c r="AQ1284" s="9">
        <v>46281</v>
      </c>
      <c r="AR1284" s="5" t="s">
        <v>53</v>
      </c>
      <c r="AS1284" s="5" t="s">
        <v>64</v>
      </c>
    </row>
    <row r="1285" spans="1:45" x14ac:dyDescent="0.35">
      <c r="A1285" s="5" t="s">
        <v>5442</v>
      </c>
      <c r="B1285" s="5" t="s">
        <v>4436</v>
      </c>
      <c r="C1285" s="6" t="s">
        <v>5443</v>
      </c>
      <c r="D1285" s="7">
        <v>229400</v>
      </c>
      <c r="E1285" s="5" t="s">
        <v>48</v>
      </c>
      <c r="F1285" s="5" t="s">
        <v>68</v>
      </c>
      <c r="G1285" s="8">
        <v>2</v>
      </c>
      <c r="H1285" s="8">
        <f>IF(F1285="Bullet",MIN(G1285,Assumptions!$B$6),"")</f>
        <v>2</v>
      </c>
      <c r="I1285" s="8"/>
      <c r="J1285" s="8" t="str">
        <f>IF(F1285="Monthly interest",MAX(0,Assumptions!$B$5-I1285),"")</f>
        <v/>
      </c>
      <c r="K1285" s="7">
        <f t="shared" si="60"/>
        <v>5736</v>
      </c>
      <c r="L1285" s="9">
        <v>46227</v>
      </c>
      <c r="M1285" s="5" t="s">
        <v>50</v>
      </c>
      <c r="N1285" s="5" t="s">
        <v>53</v>
      </c>
      <c r="O1285" s="5" t="s">
        <v>95</v>
      </c>
      <c r="P1285" s="5" t="s">
        <v>70</v>
      </c>
      <c r="Q1285" s="5" t="s">
        <v>73</v>
      </c>
      <c r="R1285" s="5" t="s">
        <v>74</v>
      </c>
      <c r="S1285" s="5" t="s">
        <v>185</v>
      </c>
      <c r="T1285" s="5" t="s">
        <v>63</v>
      </c>
      <c r="U1285" s="5" t="s">
        <v>86</v>
      </c>
      <c r="V1285" s="5" t="s">
        <v>186</v>
      </c>
      <c r="W1285" s="5" t="s">
        <v>376</v>
      </c>
      <c r="X1285" s="5" t="s">
        <v>3839</v>
      </c>
      <c r="Y1285" s="5" t="s">
        <v>5444</v>
      </c>
      <c r="Z1285" s="9">
        <v>46227</v>
      </c>
      <c r="AA1285" s="8">
        <v>6</v>
      </c>
      <c r="AB1285" s="9">
        <f t="shared" si="61"/>
        <v>46411</v>
      </c>
      <c r="AC1285" s="10">
        <v>15</v>
      </c>
      <c r="AD1285" s="7">
        <f t="shared" si="62"/>
        <v>2868</v>
      </c>
      <c r="AE1285" s="7">
        <f>IF(F1285="Bullet",H1285*AD1285,MIN(MAX(I1285,1),Assumptions!$B$6)*AD1285)</f>
        <v>5736</v>
      </c>
      <c r="AF1285" s="8">
        <f>IF(F1285="Bullet",MAX(0,Assumptions!$B$4-AB1285),MAX(0,Assumptions!$B$4-L1285))</f>
        <v>0</v>
      </c>
      <c r="AG1285" s="9"/>
      <c r="AH1285" s="8" t="str">
        <f>IF(AG1285="","",Assumptions!$B$4-AG1285)</f>
        <v/>
      </c>
      <c r="AI1285" s="5" t="s">
        <v>80</v>
      </c>
      <c r="AJ1285" s="8"/>
      <c r="AK1285" s="8">
        <v>2</v>
      </c>
      <c r="AL1285" s="8">
        <v>707</v>
      </c>
      <c r="AM1285" s="8">
        <v>0</v>
      </c>
      <c r="AN1285" s="5" t="s">
        <v>63</v>
      </c>
      <c r="AO1285" s="10">
        <v>58.5</v>
      </c>
      <c r="AP1285" s="8">
        <v>23</v>
      </c>
      <c r="AQ1285" s="9">
        <v>46291</v>
      </c>
      <c r="AR1285" s="5" t="s">
        <v>70</v>
      </c>
      <c r="AS1285" s="5" t="s">
        <v>190</v>
      </c>
    </row>
    <row r="1286" spans="1:45" x14ac:dyDescent="0.35">
      <c r="A1286" s="5" t="s">
        <v>5445</v>
      </c>
      <c r="B1286" s="5" t="s">
        <v>5446</v>
      </c>
      <c r="C1286" s="6" t="s">
        <v>5447</v>
      </c>
      <c r="D1286" s="7">
        <v>105600</v>
      </c>
      <c r="E1286" s="5" t="s">
        <v>48</v>
      </c>
      <c r="F1286" s="5" t="s">
        <v>68</v>
      </c>
      <c r="G1286" s="8">
        <v>3</v>
      </c>
      <c r="H1286" s="8">
        <f>IF(F1286="Bullet",MIN(G1286,Assumptions!$B$6),"")</f>
        <v>2</v>
      </c>
      <c r="I1286" s="8"/>
      <c r="J1286" s="8" t="str">
        <f>IF(F1286="Monthly interest",MAX(0,Assumptions!$B$5-I1286),"")</f>
        <v/>
      </c>
      <c r="K1286" s="7">
        <f t="shared" si="60"/>
        <v>4224</v>
      </c>
      <c r="L1286" s="9">
        <v>46194</v>
      </c>
      <c r="M1286" s="5" t="s">
        <v>50</v>
      </c>
      <c r="N1286" s="5" t="s">
        <v>53</v>
      </c>
      <c r="O1286" s="5" t="s">
        <v>71</v>
      </c>
      <c r="P1286" s="5" t="s">
        <v>70</v>
      </c>
      <c r="Q1286" s="5" t="s">
        <v>73</v>
      </c>
      <c r="R1286" s="5" t="s">
        <v>74</v>
      </c>
      <c r="S1286" s="5" t="s">
        <v>214</v>
      </c>
      <c r="T1286" s="5" t="s">
        <v>63</v>
      </c>
      <c r="U1286" s="5" t="s">
        <v>104</v>
      </c>
      <c r="V1286" s="5" t="s">
        <v>215</v>
      </c>
      <c r="W1286" s="5" t="s">
        <v>1057</v>
      </c>
      <c r="X1286" s="5" t="s">
        <v>1292</v>
      </c>
      <c r="Y1286" s="5" t="s">
        <v>5448</v>
      </c>
      <c r="Z1286" s="9">
        <v>46194</v>
      </c>
      <c r="AA1286" s="8">
        <v>12</v>
      </c>
      <c r="AB1286" s="9">
        <f t="shared" si="61"/>
        <v>46559</v>
      </c>
      <c r="AC1286" s="10">
        <v>16</v>
      </c>
      <c r="AD1286" s="7">
        <f t="shared" si="62"/>
        <v>1408</v>
      </c>
      <c r="AE1286" s="7">
        <f>IF(F1286="Bullet",H1286*AD1286,MIN(MAX(I1286,1),Assumptions!$B$6)*AD1286)</f>
        <v>2816</v>
      </c>
      <c r="AF1286" s="8">
        <f>IF(F1286="Bullet",MAX(0,Assumptions!$B$4-AB1286),MAX(0,Assumptions!$B$4-L1286))</f>
        <v>0</v>
      </c>
      <c r="AG1286" s="9"/>
      <c r="AH1286" s="8" t="str">
        <f>IF(AG1286="","",Assumptions!$B$4-AG1286)</f>
        <v/>
      </c>
      <c r="AI1286" s="5" t="s">
        <v>80</v>
      </c>
      <c r="AJ1286" s="8"/>
      <c r="AK1286" s="8">
        <v>0</v>
      </c>
      <c r="AL1286" s="8">
        <v>811</v>
      </c>
      <c r="AM1286" s="8">
        <v>0</v>
      </c>
      <c r="AN1286" s="5" t="s">
        <v>63</v>
      </c>
      <c r="AO1286" s="10">
        <v>65.7</v>
      </c>
      <c r="AP1286" s="8">
        <v>5</v>
      </c>
      <c r="AQ1286" s="9">
        <v>46278</v>
      </c>
      <c r="AR1286" s="5" t="s">
        <v>72</v>
      </c>
      <c r="AS1286" s="5" t="s">
        <v>181</v>
      </c>
    </row>
    <row r="1287" spans="1:45" x14ac:dyDescent="0.35">
      <c r="A1287" s="5" t="s">
        <v>5449</v>
      </c>
      <c r="B1287" s="5" t="s">
        <v>1857</v>
      </c>
      <c r="C1287" s="6" t="s">
        <v>5450</v>
      </c>
      <c r="D1287" s="7">
        <v>135700</v>
      </c>
      <c r="E1287" s="5" t="s">
        <v>48</v>
      </c>
      <c r="F1287" s="5" t="s">
        <v>68</v>
      </c>
      <c r="G1287" s="8">
        <v>4</v>
      </c>
      <c r="H1287" s="8">
        <f>IF(F1287="Bullet",MIN(G1287,Assumptions!$B$6),"")</f>
        <v>2</v>
      </c>
      <c r="I1287" s="8"/>
      <c r="J1287" s="8" t="str">
        <f>IF(F1287="Monthly interest",MAX(0,Assumptions!$B$5-I1287),"")</f>
        <v/>
      </c>
      <c r="K1287" s="7">
        <f t="shared" si="60"/>
        <v>6332</v>
      </c>
      <c r="L1287" s="9">
        <v>46152</v>
      </c>
      <c r="M1287" s="5" t="s">
        <v>69</v>
      </c>
      <c r="N1287" s="5" t="s">
        <v>70</v>
      </c>
      <c r="O1287" s="5" t="s">
        <v>531</v>
      </c>
      <c r="P1287" s="5" t="s">
        <v>72</v>
      </c>
      <c r="Q1287" s="5" t="s">
        <v>73</v>
      </c>
      <c r="R1287" s="5" t="s">
        <v>74</v>
      </c>
      <c r="S1287" s="5" t="s">
        <v>56</v>
      </c>
      <c r="T1287" s="5" t="s">
        <v>57</v>
      </c>
      <c r="U1287" s="5" t="s">
        <v>104</v>
      </c>
      <c r="V1287" s="5" t="s">
        <v>59</v>
      </c>
      <c r="W1287" s="5" t="s">
        <v>467</v>
      </c>
      <c r="X1287" s="5" t="s">
        <v>1111</v>
      </c>
      <c r="Y1287" s="5" t="s">
        <v>5451</v>
      </c>
      <c r="Z1287" s="9">
        <v>46152</v>
      </c>
      <c r="AA1287" s="8">
        <v>12</v>
      </c>
      <c r="AB1287" s="9">
        <f t="shared" si="61"/>
        <v>46517</v>
      </c>
      <c r="AC1287" s="10">
        <v>14</v>
      </c>
      <c r="AD1287" s="7">
        <f t="shared" si="62"/>
        <v>1583</v>
      </c>
      <c r="AE1287" s="7">
        <f>IF(F1287="Bullet",H1287*AD1287,MIN(MAX(I1287,1),Assumptions!$B$6)*AD1287)</f>
        <v>3166</v>
      </c>
      <c r="AF1287" s="8">
        <f>IF(F1287="Bullet",MAX(0,Assumptions!$B$4-AB1287),MAX(0,Assumptions!$B$4-L1287))</f>
        <v>0</v>
      </c>
      <c r="AG1287" s="9"/>
      <c r="AH1287" s="8" t="str">
        <f>IF(AG1287="","",Assumptions!$B$4-AG1287)</f>
        <v/>
      </c>
      <c r="AI1287" s="5" t="s">
        <v>80</v>
      </c>
      <c r="AJ1287" s="8"/>
      <c r="AK1287" s="8">
        <v>0</v>
      </c>
      <c r="AL1287" s="8">
        <v>706</v>
      </c>
      <c r="AM1287" s="8">
        <v>0</v>
      </c>
      <c r="AN1287" s="5" t="s">
        <v>63</v>
      </c>
      <c r="AO1287" s="10">
        <v>76.400000000000006</v>
      </c>
      <c r="AP1287" s="8">
        <v>36</v>
      </c>
      <c r="AQ1287" s="9">
        <v>46283</v>
      </c>
      <c r="AR1287" s="5" t="s">
        <v>53</v>
      </c>
      <c r="AS1287" s="5" t="s">
        <v>81</v>
      </c>
    </row>
    <row r="1288" spans="1:45" x14ac:dyDescent="0.35">
      <c r="A1288" s="5" t="s">
        <v>5452</v>
      </c>
      <c r="B1288" s="5" t="s">
        <v>2995</v>
      </c>
      <c r="C1288" s="6" t="s">
        <v>5453</v>
      </c>
      <c r="D1288" s="7">
        <v>153700</v>
      </c>
      <c r="E1288" s="5" t="s">
        <v>48</v>
      </c>
      <c r="F1288" s="5" t="s">
        <v>68</v>
      </c>
      <c r="G1288" s="8">
        <v>3</v>
      </c>
      <c r="H1288" s="8">
        <f>IF(F1288="Bullet",MIN(G1288,Assumptions!$B$6),"")</f>
        <v>2</v>
      </c>
      <c r="I1288" s="8"/>
      <c r="J1288" s="8" t="str">
        <f>IF(F1288="Monthly interest",MAX(0,Assumptions!$B$5-I1288),"")</f>
        <v/>
      </c>
      <c r="K1288" s="7">
        <f t="shared" si="60"/>
        <v>5379</v>
      </c>
      <c r="L1288" s="9">
        <v>46192</v>
      </c>
      <c r="M1288" s="5" t="s">
        <v>69</v>
      </c>
      <c r="N1288" s="5" t="s">
        <v>53</v>
      </c>
      <c r="O1288" s="5" t="s">
        <v>71</v>
      </c>
      <c r="P1288" s="5" t="s">
        <v>70</v>
      </c>
      <c r="Q1288" s="5" t="s">
        <v>73</v>
      </c>
      <c r="R1288" s="5" t="s">
        <v>74</v>
      </c>
      <c r="S1288" s="5" t="s">
        <v>56</v>
      </c>
      <c r="T1288" s="5" t="s">
        <v>57</v>
      </c>
      <c r="U1288" s="5" t="s">
        <v>104</v>
      </c>
      <c r="V1288" s="5" t="s">
        <v>59</v>
      </c>
      <c r="W1288" s="5" t="s">
        <v>418</v>
      </c>
      <c r="X1288" s="5" t="s">
        <v>743</v>
      </c>
      <c r="Y1288" s="5" t="s">
        <v>5454</v>
      </c>
      <c r="Z1288" s="9">
        <v>46192</v>
      </c>
      <c r="AA1288" s="8">
        <v>6</v>
      </c>
      <c r="AB1288" s="9">
        <f t="shared" si="61"/>
        <v>46375</v>
      </c>
      <c r="AC1288" s="10">
        <v>14</v>
      </c>
      <c r="AD1288" s="7">
        <f t="shared" si="62"/>
        <v>1793</v>
      </c>
      <c r="AE1288" s="7">
        <f>IF(F1288="Bullet",H1288*AD1288,MIN(MAX(I1288,1),Assumptions!$B$6)*AD1288)</f>
        <v>3586</v>
      </c>
      <c r="AF1288" s="8">
        <f>IF(F1288="Bullet",MAX(0,Assumptions!$B$4-AB1288),MAX(0,Assumptions!$B$4-L1288))</f>
        <v>0</v>
      </c>
      <c r="AG1288" s="9"/>
      <c r="AH1288" s="8" t="str">
        <f>IF(AG1288="","",Assumptions!$B$4-AG1288)</f>
        <v/>
      </c>
      <c r="AI1288" s="5" t="s">
        <v>80</v>
      </c>
      <c r="AJ1288" s="8"/>
      <c r="AK1288" s="8">
        <v>1</v>
      </c>
      <c r="AL1288" s="8">
        <v>629</v>
      </c>
      <c r="AM1288" s="8">
        <v>2</v>
      </c>
      <c r="AN1288" s="5" t="s">
        <v>57</v>
      </c>
      <c r="AO1288" s="10">
        <v>66.599999999999994</v>
      </c>
      <c r="AP1288" s="8">
        <v>47</v>
      </c>
      <c r="AQ1288" s="9">
        <v>46276</v>
      </c>
      <c r="AR1288" s="5" t="s">
        <v>72</v>
      </c>
      <c r="AS1288" s="5" t="s">
        <v>64</v>
      </c>
    </row>
    <row r="1289" spans="1:45" x14ac:dyDescent="0.35">
      <c r="A1289" s="5" t="s">
        <v>5455</v>
      </c>
      <c r="B1289" s="5" t="s">
        <v>130</v>
      </c>
      <c r="C1289" s="6" t="s">
        <v>5456</v>
      </c>
      <c r="D1289" s="7">
        <v>500700</v>
      </c>
      <c r="E1289" s="5" t="s">
        <v>48</v>
      </c>
      <c r="F1289" s="5" t="s">
        <v>49</v>
      </c>
      <c r="G1289" s="8"/>
      <c r="H1289" s="8" t="str">
        <f>IF(F1289="Bullet",MIN(G1289,Assumptions!$B$6),"")</f>
        <v/>
      </c>
      <c r="I1289" s="8">
        <v>1</v>
      </c>
      <c r="J1289" s="8">
        <f>IF(F1289="Monthly interest",MAX(0,Assumptions!$B$5-I1289),"")</f>
        <v>2</v>
      </c>
      <c r="K1289" s="7">
        <f t="shared" si="60"/>
        <v>9180</v>
      </c>
      <c r="L1289" s="9">
        <v>46270</v>
      </c>
      <c r="M1289" s="5" t="s">
        <v>50</v>
      </c>
      <c r="N1289" s="5" t="s">
        <v>53</v>
      </c>
      <c r="O1289" s="5" t="s">
        <v>103</v>
      </c>
      <c r="P1289" s="5" t="s">
        <v>51</v>
      </c>
      <c r="Q1289" s="5" t="s">
        <v>54</v>
      </c>
      <c r="R1289" s="5" t="s">
        <v>55</v>
      </c>
      <c r="S1289" s="5" t="s">
        <v>85</v>
      </c>
      <c r="T1289" s="5" t="s">
        <v>57</v>
      </c>
      <c r="U1289" s="5" t="s">
        <v>86</v>
      </c>
      <c r="V1289" s="5" t="s">
        <v>96</v>
      </c>
      <c r="W1289" s="5" t="s">
        <v>97</v>
      </c>
      <c r="X1289" s="5" t="s">
        <v>838</v>
      </c>
      <c r="Y1289" s="5" t="s">
        <v>5457</v>
      </c>
      <c r="Z1289" s="9">
        <v>46208</v>
      </c>
      <c r="AA1289" s="8">
        <v>12</v>
      </c>
      <c r="AB1289" s="9">
        <f t="shared" si="61"/>
        <v>46573</v>
      </c>
      <c r="AC1289" s="10">
        <v>22</v>
      </c>
      <c r="AD1289" s="7">
        <f t="shared" si="62"/>
        <v>9180</v>
      </c>
      <c r="AE1289" s="7">
        <f>IF(F1289="Bullet",H1289*AD1289,MIN(MAX(I1289,1),Assumptions!$B$6)*AD1289)</f>
        <v>9180</v>
      </c>
      <c r="AF1289" s="8">
        <f>IF(F1289="Bullet",MAX(0,Assumptions!$B$4-AB1289),MAX(0,Assumptions!$B$4-L1289))</f>
        <v>28</v>
      </c>
      <c r="AG1289" s="9">
        <v>46240</v>
      </c>
      <c r="AH1289" s="8">
        <f>IF(AG1289="","",Assumptions!$B$4-AG1289)</f>
        <v>58</v>
      </c>
      <c r="AI1289" s="5" t="s">
        <v>63</v>
      </c>
      <c r="AJ1289" s="8">
        <v>1</v>
      </c>
      <c r="AK1289" s="8">
        <v>0</v>
      </c>
      <c r="AL1289" s="8">
        <v>800</v>
      </c>
      <c r="AM1289" s="8">
        <v>1</v>
      </c>
      <c r="AN1289" s="5" t="s">
        <v>63</v>
      </c>
      <c r="AO1289" s="10">
        <v>47.7</v>
      </c>
      <c r="AP1289" s="8">
        <v>13</v>
      </c>
      <c r="AQ1289" s="9">
        <v>46293</v>
      </c>
      <c r="AR1289" s="5" t="s">
        <v>51</v>
      </c>
      <c r="AS1289" s="5" t="s">
        <v>81</v>
      </c>
    </row>
    <row r="1290" spans="1:45" x14ac:dyDescent="0.35">
      <c r="A1290" s="5" t="s">
        <v>5458</v>
      </c>
      <c r="B1290" s="5" t="s">
        <v>5459</v>
      </c>
      <c r="C1290" s="6" t="s">
        <v>5460</v>
      </c>
      <c r="D1290" s="7">
        <v>222000</v>
      </c>
      <c r="E1290" s="5" t="s">
        <v>48</v>
      </c>
      <c r="F1290" s="5" t="s">
        <v>49</v>
      </c>
      <c r="G1290" s="8"/>
      <c r="H1290" s="8" t="str">
        <f>IF(F1290="Bullet",MIN(G1290,Assumptions!$B$6),"")</f>
        <v/>
      </c>
      <c r="I1290" s="8">
        <v>1</v>
      </c>
      <c r="J1290" s="8">
        <f>IF(F1290="Monthly interest",MAX(0,Assumptions!$B$5-I1290),"")</f>
        <v>2</v>
      </c>
      <c r="K1290" s="7">
        <f t="shared" si="60"/>
        <v>2775</v>
      </c>
      <c r="L1290" s="9">
        <v>46290</v>
      </c>
      <c r="M1290" s="5" t="s">
        <v>50</v>
      </c>
      <c r="N1290" s="5" t="s">
        <v>51</v>
      </c>
      <c r="O1290" s="5" t="s">
        <v>52</v>
      </c>
      <c r="P1290" s="5" t="s">
        <v>53</v>
      </c>
      <c r="Q1290" s="5" t="s">
        <v>54</v>
      </c>
      <c r="R1290" s="5" t="s">
        <v>55</v>
      </c>
      <c r="S1290" s="5" t="s">
        <v>85</v>
      </c>
      <c r="T1290" s="5" t="s">
        <v>57</v>
      </c>
      <c r="U1290" s="5" t="s">
        <v>86</v>
      </c>
      <c r="V1290" s="5" t="s">
        <v>177</v>
      </c>
      <c r="W1290" s="5" t="s">
        <v>208</v>
      </c>
      <c r="X1290" s="5" t="s">
        <v>1817</v>
      </c>
      <c r="Y1290" s="5" t="s">
        <v>5461</v>
      </c>
      <c r="Z1290" s="9">
        <v>46198</v>
      </c>
      <c r="AA1290" s="8">
        <v>12</v>
      </c>
      <c r="AB1290" s="9">
        <f t="shared" si="61"/>
        <v>46563</v>
      </c>
      <c r="AC1290" s="10">
        <v>15</v>
      </c>
      <c r="AD1290" s="7">
        <f t="shared" si="62"/>
        <v>2775</v>
      </c>
      <c r="AE1290" s="7">
        <f>IF(F1290="Bullet",H1290*AD1290,MIN(MAX(I1290,1),Assumptions!$B$6)*AD1290)</f>
        <v>2775</v>
      </c>
      <c r="AF1290" s="8">
        <f>IF(F1290="Bullet",MAX(0,Assumptions!$B$4-AB1290),MAX(0,Assumptions!$B$4-L1290))</f>
        <v>8</v>
      </c>
      <c r="AG1290" s="9">
        <v>46260</v>
      </c>
      <c r="AH1290" s="8">
        <f>IF(AG1290="","",Assumptions!$B$4-AG1290)</f>
        <v>38</v>
      </c>
      <c r="AI1290" s="5" t="s">
        <v>57</v>
      </c>
      <c r="AJ1290" s="8">
        <v>2</v>
      </c>
      <c r="AK1290" s="8">
        <v>0</v>
      </c>
      <c r="AL1290" s="8">
        <v>705</v>
      </c>
      <c r="AM1290" s="8">
        <v>0</v>
      </c>
      <c r="AN1290" s="5" t="s">
        <v>63</v>
      </c>
      <c r="AO1290" s="10">
        <v>61.6</v>
      </c>
      <c r="AP1290" s="8">
        <v>26</v>
      </c>
      <c r="AQ1290" s="9"/>
      <c r="AR1290" s="5"/>
      <c r="AS1290" s="5" t="s">
        <v>159</v>
      </c>
    </row>
    <row r="1291" spans="1:45" x14ac:dyDescent="0.35">
      <c r="A1291" s="5" t="s">
        <v>5462</v>
      </c>
      <c r="B1291" s="5" t="s">
        <v>5463</v>
      </c>
      <c r="C1291" s="6" t="s">
        <v>5464</v>
      </c>
      <c r="D1291" s="7">
        <v>155700</v>
      </c>
      <c r="E1291" s="5" t="s">
        <v>48</v>
      </c>
      <c r="F1291" s="5" t="s">
        <v>49</v>
      </c>
      <c r="G1291" s="8"/>
      <c r="H1291" s="8" t="str">
        <f>IF(F1291="Bullet",MIN(G1291,Assumptions!$B$6),"")</f>
        <v/>
      </c>
      <c r="I1291" s="8">
        <v>2</v>
      </c>
      <c r="J1291" s="8">
        <f>IF(F1291="Monthly interest",MAX(0,Assumptions!$B$5-I1291),"")</f>
        <v>1</v>
      </c>
      <c r="K1291" s="7">
        <f t="shared" si="60"/>
        <v>6228</v>
      </c>
      <c r="L1291" s="9">
        <v>46245</v>
      </c>
      <c r="M1291" s="5" t="s">
        <v>69</v>
      </c>
      <c r="N1291" s="5" t="s">
        <v>70</v>
      </c>
      <c r="O1291" s="5" t="s">
        <v>531</v>
      </c>
      <c r="P1291" s="5" t="s">
        <v>72</v>
      </c>
      <c r="Q1291" s="5" t="s">
        <v>73</v>
      </c>
      <c r="R1291" s="5" t="s">
        <v>74</v>
      </c>
      <c r="S1291" s="5" t="s">
        <v>75</v>
      </c>
      <c r="T1291" s="5" t="s">
        <v>57</v>
      </c>
      <c r="U1291" s="5" t="s">
        <v>104</v>
      </c>
      <c r="V1291" s="5" t="s">
        <v>76</v>
      </c>
      <c r="W1291" s="5" t="s">
        <v>140</v>
      </c>
      <c r="X1291" s="5" t="s">
        <v>4369</v>
      </c>
      <c r="Y1291" s="5" t="s">
        <v>5465</v>
      </c>
      <c r="Z1291" s="9">
        <v>45972</v>
      </c>
      <c r="AA1291" s="8">
        <v>12</v>
      </c>
      <c r="AB1291" s="9">
        <f t="shared" si="61"/>
        <v>46337</v>
      </c>
      <c r="AC1291" s="10">
        <v>24</v>
      </c>
      <c r="AD1291" s="7">
        <f t="shared" si="62"/>
        <v>3114</v>
      </c>
      <c r="AE1291" s="7">
        <f>IF(F1291="Bullet",H1291*AD1291,MIN(MAX(I1291,1),Assumptions!$B$6)*AD1291)</f>
        <v>6228</v>
      </c>
      <c r="AF1291" s="8">
        <f>IF(F1291="Bullet",MAX(0,Assumptions!$B$4-AB1291),MAX(0,Assumptions!$B$4-L1291))</f>
        <v>53</v>
      </c>
      <c r="AG1291" s="9">
        <v>46214</v>
      </c>
      <c r="AH1291" s="8">
        <f>IF(AG1291="","",Assumptions!$B$4-AG1291)</f>
        <v>84</v>
      </c>
      <c r="AI1291" s="5" t="s">
        <v>57</v>
      </c>
      <c r="AJ1291" s="8">
        <v>2</v>
      </c>
      <c r="AK1291" s="8">
        <v>0</v>
      </c>
      <c r="AL1291" s="8">
        <v>771</v>
      </c>
      <c r="AM1291" s="8">
        <v>1</v>
      </c>
      <c r="AN1291" s="5" t="s">
        <v>63</v>
      </c>
      <c r="AO1291" s="10">
        <v>62.4</v>
      </c>
      <c r="AP1291" s="8">
        <v>32</v>
      </c>
      <c r="AQ1291" s="9">
        <v>46279</v>
      </c>
      <c r="AR1291" s="5" t="s">
        <v>53</v>
      </c>
      <c r="AS1291" s="5" t="s">
        <v>81</v>
      </c>
    </row>
    <row r="1292" spans="1:45" x14ac:dyDescent="0.35">
      <c r="A1292" s="5" t="s">
        <v>5466</v>
      </c>
      <c r="B1292" s="5" t="s">
        <v>5467</v>
      </c>
      <c r="C1292" s="6" t="s">
        <v>5468</v>
      </c>
      <c r="D1292" s="7">
        <v>219900</v>
      </c>
      <c r="E1292" s="5" t="s">
        <v>48</v>
      </c>
      <c r="F1292" s="5" t="s">
        <v>68</v>
      </c>
      <c r="G1292" s="8">
        <v>5</v>
      </c>
      <c r="H1292" s="8">
        <f>IF(F1292="Bullet",MIN(G1292,Assumptions!$B$6),"")</f>
        <v>2</v>
      </c>
      <c r="I1292" s="8"/>
      <c r="J1292" s="8" t="str">
        <f>IF(F1292="Monthly interest",MAX(0,Assumptions!$B$5-I1292),"")</f>
        <v/>
      </c>
      <c r="K1292" s="7">
        <f t="shared" si="60"/>
        <v>16495</v>
      </c>
      <c r="L1292" s="9">
        <v>46130</v>
      </c>
      <c r="M1292" s="5" t="s">
        <v>116</v>
      </c>
      <c r="N1292" s="5" t="s">
        <v>117</v>
      </c>
      <c r="O1292" s="5" t="s">
        <v>461</v>
      </c>
      <c r="P1292" s="5" t="s">
        <v>72</v>
      </c>
      <c r="Q1292" s="5" t="s">
        <v>169</v>
      </c>
      <c r="R1292" s="5" t="s">
        <v>170</v>
      </c>
      <c r="S1292" s="5" t="s">
        <v>214</v>
      </c>
      <c r="T1292" s="5" t="s">
        <v>57</v>
      </c>
      <c r="U1292" s="5" t="s">
        <v>86</v>
      </c>
      <c r="V1292" s="5" t="s">
        <v>215</v>
      </c>
      <c r="W1292" s="5" t="s">
        <v>242</v>
      </c>
      <c r="X1292" s="5" t="s">
        <v>1627</v>
      </c>
      <c r="Y1292" s="5" t="s">
        <v>5469</v>
      </c>
      <c r="Z1292" s="9">
        <v>46130</v>
      </c>
      <c r="AA1292" s="8">
        <v>6</v>
      </c>
      <c r="AB1292" s="9">
        <f t="shared" si="61"/>
        <v>46313</v>
      </c>
      <c r="AC1292" s="10">
        <v>18</v>
      </c>
      <c r="AD1292" s="7">
        <f t="shared" si="62"/>
        <v>3299</v>
      </c>
      <c r="AE1292" s="7">
        <f>IF(F1292="Bullet",H1292*AD1292,MIN(MAX(I1292,1),Assumptions!$B$6)*AD1292)</f>
        <v>6598</v>
      </c>
      <c r="AF1292" s="8">
        <f>IF(F1292="Bullet",MAX(0,Assumptions!$B$4-AB1292),MAX(0,Assumptions!$B$4-L1292))</f>
        <v>0</v>
      </c>
      <c r="AG1292" s="9"/>
      <c r="AH1292" s="8" t="str">
        <f>IF(AG1292="","",Assumptions!$B$4-AG1292)</f>
        <v/>
      </c>
      <c r="AI1292" s="5" t="s">
        <v>80</v>
      </c>
      <c r="AJ1292" s="8"/>
      <c r="AK1292" s="8">
        <v>1</v>
      </c>
      <c r="AL1292" s="8">
        <v>710</v>
      </c>
      <c r="AM1292" s="8">
        <v>5</v>
      </c>
      <c r="AN1292" s="5" t="s">
        <v>63</v>
      </c>
      <c r="AO1292" s="10">
        <v>83.3</v>
      </c>
      <c r="AP1292" s="8">
        <v>58</v>
      </c>
      <c r="AQ1292" s="9">
        <v>46287</v>
      </c>
      <c r="AR1292" s="5" t="s">
        <v>70</v>
      </c>
      <c r="AS1292" s="5" t="s">
        <v>91</v>
      </c>
    </row>
    <row r="1293" spans="1:45" x14ac:dyDescent="0.35">
      <c r="A1293" s="5" t="s">
        <v>5470</v>
      </c>
      <c r="B1293" s="5" t="s">
        <v>5471</v>
      </c>
      <c r="C1293" s="6" t="s">
        <v>5472</v>
      </c>
      <c r="D1293" s="7">
        <v>675700</v>
      </c>
      <c r="E1293" s="5" t="s">
        <v>48</v>
      </c>
      <c r="F1293" s="5" t="s">
        <v>49</v>
      </c>
      <c r="G1293" s="8"/>
      <c r="H1293" s="8" t="str">
        <f>IF(F1293="Bullet",MIN(G1293,Assumptions!$B$6),"")</f>
        <v/>
      </c>
      <c r="I1293" s="8">
        <v>1</v>
      </c>
      <c r="J1293" s="8">
        <f>IF(F1293="Monthly interest",MAX(0,Assumptions!$B$5-I1293),"")</f>
        <v>2</v>
      </c>
      <c r="K1293" s="7">
        <f t="shared" si="60"/>
        <v>12388</v>
      </c>
      <c r="L1293" s="9">
        <v>46271</v>
      </c>
      <c r="M1293" s="5" t="s">
        <v>50</v>
      </c>
      <c r="N1293" s="5" t="s">
        <v>51</v>
      </c>
      <c r="O1293" s="5" t="s">
        <v>52</v>
      </c>
      <c r="P1293" s="5" t="s">
        <v>53</v>
      </c>
      <c r="Q1293" s="5" t="s">
        <v>54</v>
      </c>
      <c r="R1293" s="5" t="s">
        <v>55</v>
      </c>
      <c r="S1293" s="5" t="s">
        <v>56</v>
      </c>
      <c r="T1293" s="5" t="s">
        <v>57</v>
      </c>
      <c r="U1293" s="5" t="s">
        <v>86</v>
      </c>
      <c r="V1293" s="5" t="s">
        <v>59</v>
      </c>
      <c r="W1293" s="5" t="s">
        <v>323</v>
      </c>
      <c r="X1293" s="5" t="s">
        <v>1485</v>
      </c>
      <c r="Y1293" s="5" t="s">
        <v>5473</v>
      </c>
      <c r="Z1293" s="9">
        <v>46118</v>
      </c>
      <c r="AA1293" s="8">
        <v>24</v>
      </c>
      <c r="AB1293" s="9">
        <f t="shared" si="61"/>
        <v>46849</v>
      </c>
      <c r="AC1293" s="10">
        <v>22</v>
      </c>
      <c r="AD1293" s="7">
        <f t="shared" si="62"/>
        <v>12388</v>
      </c>
      <c r="AE1293" s="7">
        <f>IF(F1293="Bullet",H1293*AD1293,MIN(MAX(I1293,1),Assumptions!$B$6)*AD1293)</f>
        <v>12388</v>
      </c>
      <c r="AF1293" s="8">
        <f>IF(F1293="Bullet",MAX(0,Assumptions!$B$4-AB1293),MAX(0,Assumptions!$B$4-L1293))</f>
        <v>27</v>
      </c>
      <c r="AG1293" s="9">
        <v>46245</v>
      </c>
      <c r="AH1293" s="8">
        <f>IF(AG1293="","",Assumptions!$B$4-AG1293)</f>
        <v>53</v>
      </c>
      <c r="AI1293" s="5" t="s">
        <v>63</v>
      </c>
      <c r="AJ1293" s="8">
        <v>1</v>
      </c>
      <c r="AK1293" s="8">
        <v>0</v>
      </c>
      <c r="AL1293" s="8">
        <v>769</v>
      </c>
      <c r="AM1293" s="8">
        <v>1</v>
      </c>
      <c r="AN1293" s="5" t="s">
        <v>63</v>
      </c>
      <c r="AO1293" s="10">
        <v>68.8</v>
      </c>
      <c r="AP1293" s="8">
        <v>14</v>
      </c>
      <c r="AQ1293" s="9"/>
      <c r="AR1293" s="5"/>
      <c r="AS1293" s="5" t="s">
        <v>159</v>
      </c>
    </row>
    <row r="1294" spans="1:45" x14ac:dyDescent="0.35">
      <c r="A1294" s="5" t="s">
        <v>5474</v>
      </c>
      <c r="B1294" s="5" t="s">
        <v>5075</v>
      </c>
      <c r="C1294" s="6" t="s">
        <v>5475</v>
      </c>
      <c r="D1294" s="7">
        <v>425500</v>
      </c>
      <c r="E1294" s="5" t="s">
        <v>48</v>
      </c>
      <c r="F1294" s="5" t="s">
        <v>68</v>
      </c>
      <c r="G1294" s="8">
        <v>4</v>
      </c>
      <c r="H1294" s="8">
        <f>IF(F1294="Bullet",MIN(G1294,Assumptions!$B$6),"")</f>
        <v>2</v>
      </c>
      <c r="I1294" s="8"/>
      <c r="J1294" s="8" t="str">
        <f>IF(F1294="Monthly interest",MAX(0,Assumptions!$B$5-I1294),"")</f>
        <v/>
      </c>
      <c r="K1294" s="7">
        <f t="shared" si="60"/>
        <v>18440</v>
      </c>
      <c r="L1294" s="9">
        <v>46156</v>
      </c>
      <c r="M1294" s="5" t="s">
        <v>69</v>
      </c>
      <c r="N1294" s="5" t="s">
        <v>70</v>
      </c>
      <c r="O1294" s="5" t="s">
        <v>71</v>
      </c>
      <c r="P1294" s="5" t="s">
        <v>72</v>
      </c>
      <c r="Q1294" s="5" t="s">
        <v>73</v>
      </c>
      <c r="R1294" s="5" t="s">
        <v>74</v>
      </c>
      <c r="S1294" s="5" t="s">
        <v>185</v>
      </c>
      <c r="T1294" s="5" t="s">
        <v>57</v>
      </c>
      <c r="U1294" s="5" t="s">
        <v>104</v>
      </c>
      <c r="V1294" s="5" t="s">
        <v>186</v>
      </c>
      <c r="W1294" s="5" t="s">
        <v>376</v>
      </c>
      <c r="X1294" s="5" t="s">
        <v>1978</v>
      </c>
      <c r="Y1294" s="5" t="s">
        <v>5476</v>
      </c>
      <c r="Z1294" s="9">
        <v>46156</v>
      </c>
      <c r="AA1294" s="8">
        <v>12</v>
      </c>
      <c r="AB1294" s="9">
        <f t="shared" si="61"/>
        <v>46521</v>
      </c>
      <c r="AC1294" s="10">
        <v>13</v>
      </c>
      <c r="AD1294" s="7">
        <f t="shared" si="62"/>
        <v>4610</v>
      </c>
      <c r="AE1294" s="7">
        <f>IF(F1294="Bullet",H1294*AD1294,MIN(MAX(I1294,1),Assumptions!$B$6)*AD1294)</f>
        <v>9220</v>
      </c>
      <c r="AF1294" s="8">
        <f>IF(F1294="Bullet",MAX(0,Assumptions!$B$4-AB1294),MAX(0,Assumptions!$B$4-L1294))</f>
        <v>0</v>
      </c>
      <c r="AG1294" s="9"/>
      <c r="AH1294" s="8" t="str">
        <f>IF(AG1294="","",Assumptions!$B$4-AG1294)</f>
        <v/>
      </c>
      <c r="AI1294" s="5" t="s">
        <v>80</v>
      </c>
      <c r="AJ1294" s="8"/>
      <c r="AK1294" s="8">
        <v>0</v>
      </c>
      <c r="AL1294" s="8">
        <v>686</v>
      </c>
      <c r="AM1294" s="8">
        <v>2</v>
      </c>
      <c r="AN1294" s="5" t="s">
        <v>63</v>
      </c>
      <c r="AO1294" s="10">
        <v>76</v>
      </c>
      <c r="AP1294" s="8">
        <v>37</v>
      </c>
      <c r="AQ1294" s="9">
        <v>46295</v>
      </c>
      <c r="AR1294" s="5" t="s">
        <v>70</v>
      </c>
      <c r="AS1294" s="5" t="s">
        <v>91</v>
      </c>
    </row>
    <row r="1295" spans="1:45" x14ac:dyDescent="0.35">
      <c r="A1295" s="5" t="s">
        <v>5477</v>
      </c>
      <c r="B1295" s="5" t="s">
        <v>5478</v>
      </c>
      <c r="C1295" s="6" t="s">
        <v>5479</v>
      </c>
      <c r="D1295" s="7">
        <v>145600</v>
      </c>
      <c r="E1295" s="5" t="s">
        <v>48</v>
      </c>
      <c r="F1295" s="5" t="s">
        <v>68</v>
      </c>
      <c r="G1295" s="8">
        <v>3</v>
      </c>
      <c r="H1295" s="8">
        <f>IF(F1295="Bullet",MIN(G1295,Assumptions!$B$6),"")</f>
        <v>2</v>
      </c>
      <c r="I1295" s="8"/>
      <c r="J1295" s="8" t="str">
        <f>IF(F1295="Monthly interest",MAX(0,Assumptions!$B$5-I1295),"")</f>
        <v/>
      </c>
      <c r="K1295" s="7">
        <f t="shared" si="60"/>
        <v>4368</v>
      </c>
      <c r="L1295" s="9">
        <v>46205</v>
      </c>
      <c r="M1295" s="5" t="s">
        <v>50</v>
      </c>
      <c r="N1295" s="5" t="s">
        <v>70</v>
      </c>
      <c r="O1295" s="5" t="s">
        <v>271</v>
      </c>
      <c r="P1295" s="5" t="s">
        <v>72</v>
      </c>
      <c r="Q1295" s="5" t="s">
        <v>73</v>
      </c>
      <c r="R1295" s="5" t="s">
        <v>74</v>
      </c>
      <c r="S1295" s="5" t="s">
        <v>214</v>
      </c>
      <c r="T1295" s="5" t="s">
        <v>57</v>
      </c>
      <c r="U1295" s="5" t="s">
        <v>58</v>
      </c>
      <c r="V1295" s="5" t="s">
        <v>215</v>
      </c>
      <c r="W1295" s="5" t="s">
        <v>284</v>
      </c>
      <c r="X1295" s="5" t="s">
        <v>1731</v>
      </c>
      <c r="Y1295" s="5" t="s">
        <v>5480</v>
      </c>
      <c r="Z1295" s="9">
        <v>46205</v>
      </c>
      <c r="AA1295" s="8">
        <v>6</v>
      </c>
      <c r="AB1295" s="9">
        <f t="shared" si="61"/>
        <v>46389</v>
      </c>
      <c r="AC1295" s="10">
        <v>12</v>
      </c>
      <c r="AD1295" s="7">
        <f t="shared" si="62"/>
        <v>1456</v>
      </c>
      <c r="AE1295" s="7">
        <f>IF(F1295="Bullet",H1295*AD1295,MIN(MAX(I1295,1),Assumptions!$B$6)*AD1295)</f>
        <v>2912</v>
      </c>
      <c r="AF1295" s="8">
        <f>IF(F1295="Bullet",MAX(0,Assumptions!$B$4-AB1295),MAX(0,Assumptions!$B$4-L1295))</f>
        <v>0</v>
      </c>
      <c r="AG1295" s="9"/>
      <c r="AH1295" s="8" t="str">
        <f>IF(AG1295="","",Assumptions!$B$4-AG1295)</f>
        <v/>
      </c>
      <c r="AI1295" s="5" t="s">
        <v>80</v>
      </c>
      <c r="AJ1295" s="8"/>
      <c r="AK1295" s="8">
        <v>1</v>
      </c>
      <c r="AL1295" s="8">
        <v>749</v>
      </c>
      <c r="AM1295" s="8">
        <v>1</v>
      </c>
      <c r="AN1295" s="5" t="s">
        <v>63</v>
      </c>
      <c r="AO1295" s="10">
        <v>79.5</v>
      </c>
      <c r="AP1295" s="8">
        <v>18</v>
      </c>
      <c r="AQ1295" s="9">
        <v>46273</v>
      </c>
      <c r="AR1295" s="5" t="s">
        <v>70</v>
      </c>
      <c r="AS1295" s="5" t="s">
        <v>274</v>
      </c>
    </row>
    <row r="1296" spans="1:45" x14ac:dyDescent="0.35">
      <c r="A1296" s="5" t="s">
        <v>5481</v>
      </c>
      <c r="B1296" s="5" t="s">
        <v>5482</v>
      </c>
      <c r="C1296" s="6" t="s">
        <v>5483</v>
      </c>
      <c r="D1296" s="7">
        <v>48900</v>
      </c>
      <c r="E1296" s="5" t="s">
        <v>48</v>
      </c>
      <c r="F1296" s="5" t="s">
        <v>68</v>
      </c>
      <c r="G1296" s="8">
        <v>4</v>
      </c>
      <c r="H1296" s="8">
        <f>IF(F1296="Bullet",MIN(G1296,Assumptions!$B$6),"")</f>
        <v>2</v>
      </c>
      <c r="I1296" s="8"/>
      <c r="J1296" s="8" t="str">
        <f>IF(F1296="Monthly interest",MAX(0,Assumptions!$B$5-I1296),"")</f>
        <v/>
      </c>
      <c r="K1296" s="7">
        <f t="shared" si="60"/>
        <v>2608</v>
      </c>
      <c r="L1296" s="9">
        <v>46171</v>
      </c>
      <c r="M1296" s="5" t="s">
        <v>50</v>
      </c>
      <c r="N1296" s="5" t="s">
        <v>53</v>
      </c>
      <c r="O1296" s="5" t="s">
        <v>152</v>
      </c>
      <c r="P1296" s="5" t="s">
        <v>153</v>
      </c>
      <c r="Q1296" s="5" t="s">
        <v>154</v>
      </c>
      <c r="R1296" s="5" t="s">
        <v>155</v>
      </c>
      <c r="S1296" s="5" t="s">
        <v>56</v>
      </c>
      <c r="T1296" s="5" t="s">
        <v>57</v>
      </c>
      <c r="U1296" s="5" t="s">
        <v>104</v>
      </c>
      <c r="V1296" s="5" t="s">
        <v>59</v>
      </c>
      <c r="W1296" s="5" t="s">
        <v>126</v>
      </c>
      <c r="X1296" s="5" t="s">
        <v>423</v>
      </c>
      <c r="Y1296" s="5" t="s">
        <v>5484</v>
      </c>
      <c r="Z1296" s="9">
        <v>46171</v>
      </c>
      <c r="AA1296" s="8">
        <v>6</v>
      </c>
      <c r="AB1296" s="9">
        <f t="shared" si="61"/>
        <v>46355</v>
      </c>
      <c r="AC1296" s="10">
        <v>16</v>
      </c>
      <c r="AD1296" s="7">
        <f t="shared" si="62"/>
        <v>652</v>
      </c>
      <c r="AE1296" s="7">
        <f>IF(F1296="Bullet",H1296*AD1296,MIN(MAX(I1296,1),Assumptions!$B$6)*AD1296)</f>
        <v>1304</v>
      </c>
      <c r="AF1296" s="8">
        <f>IF(F1296="Bullet",MAX(0,Assumptions!$B$4-AB1296),MAX(0,Assumptions!$B$4-L1296))</f>
        <v>0</v>
      </c>
      <c r="AG1296" s="9"/>
      <c r="AH1296" s="8" t="str">
        <f>IF(AG1296="","",Assumptions!$B$4-AG1296)</f>
        <v/>
      </c>
      <c r="AI1296" s="5" t="s">
        <v>80</v>
      </c>
      <c r="AJ1296" s="8"/>
      <c r="AK1296" s="8">
        <v>0</v>
      </c>
      <c r="AL1296" s="8">
        <v>710</v>
      </c>
      <c r="AM1296" s="8">
        <v>0</v>
      </c>
      <c r="AN1296" s="5" t="s">
        <v>63</v>
      </c>
      <c r="AO1296" s="10">
        <v>72.099999999999994</v>
      </c>
      <c r="AP1296" s="8">
        <v>28</v>
      </c>
      <c r="AQ1296" s="9">
        <v>46277</v>
      </c>
      <c r="AR1296" s="5" t="s">
        <v>70</v>
      </c>
      <c r="AS1296" s="5" t="s">
        <v>190</v>
      </c>
    </row>
    <row r="1297" spans="1:45" x14ac:dyDescent="0.35">
      <c r="A1297" s="5" t="s">
        <v>5485</v>
      </c>
      <c r="B1297" s="5" t="s">
        <v>5486</v>
      </c>
      <c r="C1297" s="6" t="s">
        <v>5487</v>
      </c>
      <c r="D1297" s="7">
        <v>104600</v>
      </c>
      <c r="E1297" s="5" t="s">
        <v>48</v>
      </c>
      <c r="F1297" s="5" t="s">
        <v>49</v>
      </c>
      <c r="G1297" s="8"/>
      <c r="H1297" s="8" t="str">
        <f>IF(F1297="Bullet",MIN(G1297,Assumptions!$B$6),"")</f>
        <v/>
      </c>
      <c r="I1297" s="8">
        <v>2</v>
      </c>
      <c r="J1297" s="8">
        <f>IF(F1297="Monthly interest",MAX(0,Assumptions!$B$5-I1297),"")</f>
        <v>1</v>
      </c>
      <c r="K1297" s="7">
        <f t="shared" si="60"/>
        <v>3836</v>
      </c>
      <c r="L1297" s="9">
        <v>46241</v>
      </c>
      <c r="M1297" s="5" t="s">
        <v>116</v>
      </c>
      <c r="N1297" s="5" t="s">
        <v>117</v>
      </c>
      <c r="O1297" s="5" t="s">
        <v>118</v>
      </c>
      <c r="P1297" s="5" t="s">
        <v>72</v>
      </c>
      <c r="Q1297" s="5" t="s">
        <v>119</v>
      </c>
      <c r="R1297" s="5" t="s">
        <v>120</v>
      </c>
      <c r="S1297" s="5" t="s">
        <v>85</v>
      </c>
      <c r="T1297" s="5" t="s">
        <v>57</v>
      </c>
      <c r="U1297" s="5" t="s">
        <v>58</v>
      </c>
      <c r="V1297" s="5" t="s">
        <v>96</v>
      </c>
      <c r="W1297" s="5" t="s">
        <v>819</v>
      </c>
      <c r="X1297" s="5" t="s">
        <v>3780</v>
      </c>
      <c r="Y1297" s="5" t="s">
        <v>5488</v>
      </c>
      <c r="Z1297" s="9">
        <v>46119</v>
      </c>
      <c r="AA1297" s="8">
        <v>24</v>
      </c>
      <c r="AB1297" s="9">
        <f t="shared" si="61"/>
        <v>46850</v>
      </c>
      <c r="AC1297" s="10">
        <v>22</v>
      </c>
      <c r="AD1297" s="7">
        <f t="shared" si="62"/>
        <v>1918</v>
      </c>
      <c r="AE1297" s="7">
        <f>IF(F1297="Bullet",H1297*AD1297,MIN(MAX(I1297,1),Assumptions!$B$6)*AD1297)</f>
        <v>3836</v>
      </c>
      <c r="AF1297" s="8">
        <f>IF(F1297="Bullet",MAX(0,Assumptions!$B$4-AB1297),MAX(0,Assumptions!$B$4-L1297))</f>
        <v>57</v>
      </c>
      <c r="AG1297" s="9">
        <v>46212</v>
      </c>
      <c r="AH1297" s="8">
        <f>IF(AG1297="","",Assumptions!$B$4-AG1297)</f>
        <v>86</v>
      </c>
      <c r="AI1297" s="5" t="s">
        <v>57</v>
      </c>
      <c r="AJ1297" s="8">
        <v>2</v>
      </c>
      <c r="AK1297" s="8">
        <v>0</v>
      </c>
      <c r="AL1297" s="8">
        <v>791</v>
      </c>
      <c r="AM1297" s="8">
        <v>1</v>
      </c>
      <c r="AN1297" s="5" t="s">
        <v>63</v>
      </c>
      <c r="AO1297" s="10">
        <v>84.5</v>
      </c>
      <c r="AP1297" s="8">
        <v>50</v>
      </c>
      <c r="AQ1297" s="9"/>
      <c r="AR1297" s="5"/>
      <c r="AS1297" s="5" t="s">
        <v>159</v>
      </c>
    </row>
    <row r="1298" spans="1:45" x14ac:dyDescent="0.35">
      <c r="A1298" s="5" t="s">
        <v>5489</v>
      </c>
      <c r="B1298" s="5" t="s">
        <v>5490</v>
      </c>
      <c r="C1298" s="6" t="s">
        <v>5491</v>
      </c>
      <c r="D1298" s="7">
        <v>91400</v>
      </c>
      <c r="E1298" s="5" t="s">
        <v>48</v>
      </c>
      <c r="F1298" s="5" t="s">
        <v>68</v>
      </c>
      <c r="G1298" s="8">
        <v>3</v>
      </c>
      <c r="H1298" s="8">
        <f>IF(F1298="Bullet",MIN(G1298,Assumptions!$B$6),"")</f>
        <v>2</v>
      </c>
      <c r="I1298" s="8"/>
      <c r="J1298" s="8" t="str">
        <f>IF(F1298="Monthly interest",MAX(0,Assumptions!$B$5-I1298),"")</f>
        <v/>
      </c>
      <c r="K1298" s="7">
        <f t="shared" si="60"/>
        <v>3429</v>
      </c>
      <c r="L1298" s="9">
        <v>46186</v>
      </c>
      <c r="M1298" s="5" t="s">
        <v>116</v>
      </c>
      <c r="N1298" s="5" t="s">
        <v>117</v>
      </c>
      <c r="O1298" s="5" t="s">
        <v>207</v>
      </c>
      <c r="P1298" s="5" t="s">
        <v>72</v>
      </c>
      <c r="Q1298" s="5" t="s">
        <v>73</v>
      </c>
      <c r="R1298" s="5" t="s">
        <v>74</v>
      </c>
      <c r="S1298" s="5" t="s">
        <v>56</v>
      </c>
      <c r="T1298" s="5" t="s">
        <v>63</v>
      </c>
      <c r="U1298" s="5" t="s">
        <v>86</v>
      </c>
      <c r="V1298" s="5" t="s">
        <v>59</v>
      </c>
      <c r="W1298" s="5" t="s">
        <v>156</v>
      </c>
      <c r="X1298" s="5" t="s">
        <v>670</v>
      </c>
      <c r="Y1298" s="5" t="s">
        <v>5492</v>
      </c>
      <c r="Z1298" s="9">
        <v>46186</v>
      </c>
      <c r="AA1298" s="8">
        <v>3</v>
      </c>
      <c r="AB1298" s="9">
        <f t="shared" si="61"/>
        <v>46278</v>
      </c>
      <c r="AC1298" s="10">
        <v>15</v>
      </c>
      <c r="AD1298" s="7">
        <f t="shared" si="62"/>
        <v>1143</v>
      </c>
      <c r="AE1298" s="7">
        <f>IF(F1298="Bullet",H1298*AD1298,MIN(MAX(I1298,1),Assumptions!$B$6)*AD1298)</f>
        <v>2286</v>
      </c>
      <c r="AF1298" s="8">
        <f>IF(F1298="Bullet",MAX(0,Assumptions!$B$4-AB1298),MAX(0,Assumptions!$B$4-L1298))</f>
        <v>20</v>
      </c>
      <c r="AG1298" s="9"/>
      <c r="AH1298" s="8" t="str">
        <f>IF(AG1298="","",Assumptions!$B$4-AG1298)</f>
        <v/>
      </c>
      <c r="AI1298" s="5" t="s">
        <v>80</v>
      </c>
      <c r="AJ1298" s="8"/>
      <c r="AK1298" s="8">
        <v>1</v>
      </c>
      <c r="AL1298" s="8">
        <v>636</v>
      </c>
      <c r="AM1298" s="8">
        <v>1</v>
      </c>
      <c r="AN1298" s="5" t="s">
        <v>57</v>
      </c>
      <c r="AO1298" s="10">
        <v>70.099999999999994</v>
      </c>
      <c r="AP1298" s="8">
        <v>59</v>
      </c>
      <c r="AQ1298" s="9">
        <v>46278</v>
      </c>
      <c r="AR1298" s="5" t="s">
        <v>53</v>
      </c>
      <c r="AS1298" s="5" t="s">
        <v>81</v>
      </c>
    </row>
    <row r="1299" spans="1:45" x14ac:dyDescent="0.35">
      <c r="A1299" s="5" t="s">
        <v>5493</v>
      </c>
      <c r="B1299" s="5" t="s">
        <v>2548</v>
      </c>
      <c r="C1299" s="6" t="s">
        <v>5494</v>
      </c>
      <c r="D1299" s="7">
        <v>27400</v>
      </c>
      <c r="E1299" s="5" t="s">
        <v>48</v>
      </c>
      <c r="F1299" s="5" t="s">
        <v>68</v>
      </c>
      <c r="G1299" s="8">
        <v>2</v>
      </c>
      <c r="H1299" s="8">
        <f>IF(F1299="Bullet",MIN(G1299,Assumptions!$B$6),"")</f>
        <v>2</v>
      </c>
      <c r="I1299" s="8"/>
      <c r="J1299" s="8" t="str">
        <f>IF(F1299="Monthly interest",MAX(0,Assumptions!$B$5-I1299),"")</f>
        <v/>
      </c>
      <c r="K1299" s="7">
        <f t="shared" si="60"/>
        <v>730</v>
      </c>
      <c r="L1299" s="9">
        <v>46232</v>
      </c>
      <c r="M1299" s="5" t="s">
        <v>50</v>
      </c>
      <c r="N1299" s="5" t="s">
        <v>53</v>
      </c>
      <c r="O1299" s="5" t="s">
        <v>152</v>
      </c>
      <c r="P1299" s="5" t="s">
        <v>153</v>
      </c>
      <c r="Q1299" s="5" t="s">
        <v>154</v>
      </c>
      <c r="R1299" s="5" t="s">
        <v>155</v>
      </c>
      <c r="S1299" s="5" t="s">
        <v>56</v>
      </c>
      <c r="T1299" s="5" t="s">
        <v>57</v>
      </c>
      <c r="U1299" s="5" t="s">
        <v>86</v>
      </c>
      <c r="V1299" s="5" t="s">
        <v>59</v>
      </c>
      <c r="W1299" s="5" t="s">
        <v>156</v>
      </c>
      <c r="X1299" s="5" t="s">
        <v>5250</v>
      </c>
      <c r="Y1299" s="5" t="s">
        <v>5495</v>
      </c>
      <c r="Z1299" s="9">
        <v>46232</v>
      </c>
      <c r="AA1299" s="8">
        <v>6</v>
      </c>
      <c r="AB1299" s="9">
        <f t="shared" si="61"/>
        <v>46416</v>
      </c>
      <c r="AC1299" s="10">
        <v>16</v>
      </c>
      <c r="AD1299" s="7">
        <f t="shared" si="62"/>
        <v>365</v>
      </c>
      <c r="AE1299" s="7">
        <f>IF(F1299="Bullet",H1299*AD1299,MIN(MAX(I1299,1),Assumptions!$B$6)*AD1299)</f>
        <v>730</v>
      </c>
      <c r="AF1299" s="8">
        <f>IF(F1299="Bullet",MAX(0,Assumptions!$B$4-AB1299),MAX(0,Assumptions!$B$4-L1299))</f>
        <v>0</v>
      </c>
      <c r="AG1299" s="9"/>
      <c r="AH1299" s="8" t="str">
        <f>IF(AG1299="","",Assumptions!$B$4-AG1299)</f>
        <v/>
      </c>
      <c r="AI1299" s="5" t="s">
        <v>80</v>
      </c>
      <c r="AJ1299" s="8"/>
      <c r="AK1299" s="8">
        <v>1</v>
      </c>
      <c r="AL1299" s="8">
        <v>755</v>
      </c>
      <c r="AM1299" s="8">
        <v>0</v>
      </c>
      <c r="AN1299" s="5" t="s">
        <v>63</v>
      </c>
      <c r="AO1299" s="10">
        <v>66.900000000000006</v>
      </c>
      <c r="AP1299" s="8">
        <v>7</v>
      </c>
      <c r="AQ1299" s="9">
        <v>46283</v>
      </c>
      <c r="AR1299" s="5" t="s">
        <v>51</v>
      </c>
      <c r="AS1299" s="5" t="s">
        <v>81</v>
      </c>
    </row>
    <row r="1300" spans="1:45" x14ac:dyDescent="0.35">
      <c r="A1300" s="5" t="s">
        <v>5496</v>
      </c>
      <c r="B1300" s="5" t="s">
        <v>5497</v>
      </c>
      <c r="C1300" s="6" t="s">
        <v>5498</v>
      </c>
      <c r="D1300" s="7">
        <v>441300</v>
      </c>
      <c r="E1300" s="5" t="s">
        <v>48</v>
      </c>
      <c r="F1300" s="5" t="s">
        <v>68</v>
      </c>
      <c r="G1300" s="8">
        <v>2</v>
      </c>
      <c r="H1300" s="8">
        <f>IF(F1300="Bullet",MIN(G1300,Assumptions!$B$6),"")</f>
        <v>2</v>
      </c>
      <c r="I1300" s="8"/>
      <c r="J1300" s="8" t="str">
        <f>IF(F1300="Monthly interest",MAX(0,Assumptions!$B$5-I1300),"")</f>
        <v/>
      </c>
      <c r="K1300" s="7">
        <f t="shared" si="60"/>
        <v>13240</v>
      </c>
      <c r="L1300" s="9">
        <v>46219</v>
      </c>
      <c r="M1300" s="5" t="s">
        <v>50</v>
      </c>
      <c r="N1300" s="5" t="s">
        <v>51</v>
      </c>
      <c r="O1300" s="5" t="s">
        <v>71</v>
      </c>
      <c r="P1300" s="5" t="s">
        <v>53</v>
      </c>
      <c r="Q1300" s="5" t="s">
        <v>73</v>
      </c>
      <c r="R1300" s="5" t="s">
        <v>74</v>
      </c>
      <c r="S1300" s="5" t="s">
        <v>56</v>
      </c>
      <c r="T1300" s="5" t="s">
        <v>57</v>
      </c>
      <c r="U1300" s="5" t="s">
        <v>104</v>
      </c>
      <c r="V1300" s="5" t="s">
        <v>59</v>
      </c>
      <c r="W1300" s="5" t="s">
        <v>156</v>
      </c>
      <c r="X1300" s="5" t="s">
        <v>5250</v>
      </c>
      <c r="Y1300" s="5" t="s">
        <v>5499</v>
      </c>
      <c r="Z1300" s="9">
        <v>46219</v>
      </c>
      <c r="AA1300" s="8">
        <v>12</v>
      </c>
      <c r="AB1300" s="9">
        <f t="shared" si="61"/>
        <v>46584</v>
      </c>
      <c r="AC1300" s="10">
        <v>18</v>
      </c>
      <c r="AD1300" s="7">
        <f t="shared" si="62"/>
        <v>6620</v>
      </c>
      <c r="AE1300" s="7">
        <f>IF(F1300="Bullet",H1300*AD1300,MIN(MAX(I1300,1),Assumptions!$B$6)*AD1300)</f>
        <v>13240</v>
      </c>
      <c r="AF1300" s="8">
        <f>IF(F1300="Bullet",MAX(0,Assumptions!$B$4-AB1300),MAX(0,Assumptions!$B$4-L1300))</f>
        <v>0</v>
      </c>
      <c r="AG1300" s="9"/>
      <c r="AH1300" s="8" t="str">
        <f>IF(AG1300="","",Assumptions!$B$4-AG1300)</f>
        <v/>
      </c>
      <c r="AI1300" s="5" t="s">
        <v>80</v>
      </c>
      <c r="AJ1300" s="8"/>
      <c r="AK1300" s="8">
        <v>0</v>
      </c>
      <c r="AL1300" s="8">
        <v>697</v>
      </c>
      <c r="AM1300" s="8">
        <v>1</v>
      </c>
      <c r="AN1300" s="5" t="s">
        <v>57</v>
      </c>
      <c r="AO1300" s="10">
        <v>60.9</v>
      </c>
      <c r="AP1300" s="8">
        <v>25</v>
      </c>
      <c r="AQ1300" s="9"/>
      <c r="AR1300" s="5"/>
      <c r="AS1300" s="5" t="s">
        <v>159</v>
      </c>
    </row>
    <row r="1301" spans="1:45" x14ac:dyDescent="0.35">
      <c r="A1301" s="5" t="s">
        <v>5500</v>
      </c>
      <c r="B1301" s="5" t="s">
        <v>2513</v>
      </c>
      <c r="C1301" s="6" t="s">
        <v>5501</v>
      </c>
      <c r="D1301" s="7">
        <v>241100</v>
      </c>
      <c r="E1301" s="5" t="s">
        <v>48</v>
      </c>
      <c r="F1301" s="5" t="s">
        <v>49</v>
      </c>
      <c r="G1301" s="8"/>
      <c r="H1301" s="8" t="str">
        <f>IF(F1301="Bullet",MIN(G1301,Assumptions!$B$6),"")</f>
        <v/>
      </c>
      <c r="I1301" s="8">
        <v>2</v>
      </c>
      <c r="J1301" s="8">
        <f>IF(F1301="Monthly interest",MAX(0,Assumptions!$B$5-I1301),"")</f>
        <v>1</v>
      </c>
      <c r="K1301" s="7">
        <f t="shared" si="60"/>
        <v>6430</v>
      </c>
      <c r="L1301" s="9">
        <v>46268</v>
      </c>
      <c r="M1301" s="5" t="s">
        <v>69</v>
      </c>
      <c r="N1301" s="5" t="s">
        <v>70</v>
      </c>
      <c r="O1301" s="5" t="s">
        <v>71</v>
      </c>
      <c r="P1301" s="5" t="s">
        <v>72</v>
      </c>
      <c r="Q1301" s="5" t="s">
        <v>73</v>
      </c>
      <c r="R1301" s="5" t="s">
        <v>74</v>
      </c>
      <c r="S1301" s="5" t="s">
        <v>56</v>
      </c>
      <c r="T1301" s="5" t="s">
        <v>57</v>
      </c>
      <c r="U1301" s="5" t="s">
        <v>86</v>
      </c>
      <c r="V1301" s="5" t="s">
        <v>59</v>
      </c>
      <c r="W1301" s="5" t="s">
        <v>467</v>
      </c>
      <c r="X1301" s="5" t="s">
        <v>4144</v>
      </c>
      <c r="Y1301" s="5" t="s">
        <v>5502</v>
      </c>
      <c r="Z1301" s="9">
        <v>46025</v>
      </c>
      <c r="AA1301" s="8">
        <v>18</v>
      </c>
      <c r="AB1301" s="9">
        <f t="shared" si="61"/>
        <v>46571</v>
      </c>
      <c r="AC1301" s="10">
        <v>16</v>
      </c>
      <c r="AD1301" s="7">
        <f t="shared" si="62"/>
        <v>3215</v>
      </c>
      <c r="AE1301" s="7">
        <f>IF(F1301="Bullet",H1301*AD1301,MIN(MAX(I1301,1),Assumptions!$B$6)*AD1301)</f>
        <v>6430</v>
      </c>
      <c r="AF1301" s="8">
        <f>IF(F1301="Bullet",MAX(0,Assumptions!$B$4-AB1301),MAX(0,Assumptions!$B$4-L1301))</f>
        <v>30</v>
      </c>
      <c r="AG1301" s="9">
        <v>46239</v>
      </c>
      <c r="AH1301" s="8">
        <f>IF(AG1301="","",Assumptions!$B$4-AG1301)</f>
        <v>59</v>
      </c>
      <c r="AI1301" s="5" t="s">
        <v>63</v>
      </c>
      <c r="AJ1301" s="8">
        <v>2</v>
      </c>
      <c r="AK1301" s="8">
        <v>0</v>
      </c>
      <c r="AL1301" s="8">
        <v>717</v>
      </c>
      <c r="AM1301" s="8">
        <v>0</v>
      </c>
      <c r="AN1301" s="5" t="s">
        <v>63</v>
      </c>
      <c r="AO1301" s="10">
        <v>79.7</v>
      </c>
      <c r="AP1301" s="8">
        <v>39</v>
      </c>
      <c r="AQ1301" s="9">
        <v>46284</v>
      </c>
      <c r="AR1301" s="5" t="s">
        <v>70</v>
      </c>
      <c r="AS1301" s="5" t="s">
        <v>81</v>
      </c>
    </row>
    <row r="1302" spans="1:45" x14ac:dyDescent="0.35">
      <c r="A1302" s="5" t="s">
        <v>5503</v>
      </c>
      <c r="B1302" s="5" t="s">
        <v>5504</v>
      </c>
      <c r="C1302" s="6" t="s">
        <v>5505</v>
      </c>
      <c r="D1302" s="7">
        <v>67300</v>
      </c>
      <c r="E1302" s="5" t="s">
        <v>48</v>
      </c>
      <c r="F1302" s="5" t="s">
        <v>49</v>
      </c>
      <c r="G1302" s="8"/>
      <c r="H1302" s="8" t="str">
        <f>IF(F1302="Bullet",MIN(G1302,Assumptions!$B$6),"")</f>
        <v/>
      </c>
      <c r="I1302" s="8">
        <v>2</v>
      </c>
      <c r="J1302" s="8">
        <f>IF(F1302="Monthly interest",MAX(0,Assumptions!$B$5-I1302),"")</f>
        <v>1</v>
      </c>
      <c r="K1302" s="7">
        <f t="shared" si="60"/>
        <v>2244</v>
      </c>
      <c r="L1302" s="9">
        <v>46266</v>
      </c>
      <c r="M1302" s="5" t="s">
        <v>116</v>
      </c>
      <c r="N1302" s="5" t="s">
        <v>117</v>
      </c>
      <c r="O1302" s="5" t="s">
        <v>118</v>
      </c>
      <c r="P1302" s="5" t="s">
        <v>72</v>
      </c>
      <c r="Q1302" s="5" t="s">
        <v>119</v>
      </c>
      <c r="R1302" s="5" t="s">
        <v>120</v>
      </c>
      <c r="S1302" s="5" t="s">
        <v>253</v>
      </c>
      <c r="T1302" s="5" t="s">
        <v>57</v>
      </c>
      <c r="U1302" s="5" t="s">
        <v>58</v>
      </c>
      <c r="V1302" s="5" t="s">
        <v>96</v>
      </c>
      <c r="W1302" s="5" t="s">
        <v>171</v>
      </c>
      <c r="X1302" s="5" t="s">
        <v>1760</v>
      </c>
      <c r="Y1302" s="5" t="s">
        <v>5506</v>
      </c>
      <c r="Z1302" s="9">
        <v>45992</v>
      </c>
      <c r="AA1302" s="8">
        <v>18</v>
      </c>
      <c r="AB1302" s="9">
        <f t="shared" si="61"/>
        <v>46539</v>
      </c>
      <c r="AC1302" s="10">
        <v>20</v>
      </c>
      <c r="AD1302" s="7">
        <f t="shared" si="62"/>
        <v>1122</v>
      </c>
      <c r="AE1302" s="7">
        <f>IF(F1302="Bullet",H1302*AD1302,MIN(MAX(I1302,1),Assumptions!$B$6)*AD1302)</f>
        <v>2244</v>
      </c>
      <c r="AF1302" s="8">
        <f>IF(F1302="Bullet",MAX(0,Assumptions!$B$4-AB1302),MAX(0,Assumptions!$B$4-L1302))</f>
        <v>32</v>
      </c>
      <c r="AG1302" s="9">
        <v>46239</v>
      </c>
      <c r="AH1302" s="8">
        <f>IF(AG1302="","",Assumptions!$B$4-AG1302)</f>
        <v>59</v>
      </c>
      <c r="AI1302" s="5" t="s">
        <v>63</v>
      </c>
      <c r="AJ1302" s="8">
        <v>2</v>
      </c>
      <c r="AK1302" s="8">
        <v>1</v>
      </c>
      <c r="AL1302" s="8">
        <v>666</v>
      </c>
      <c r="AM1302" s="8">
        <v>0</v>
      </c>
      <c r="AN1302" s="5" t="s">
        <v>63</v>
      </c>
      <c r="AO1302" s="10">
        <v>61.5</v>
      </c>
      <c r="AP1302" s="8">
        <v>49</v>
      </c>
      <c r="AQ1302" s="9">
        <v>46282</v>
      </c>
      <c r="AR1302" s="5" t="s">
        <v>72</v>
      </c>
      <c r="AS1302" s="5" t="s">
        <v>64</v>
      </c>
    </row>
    <row r="1303" spans="1:45" x14ac:dyDescent="0.35">
      <c r="A1303" s="5" t="s">
        <v>5507</v>
      </c>
      <c r="B1303" s="5" t="s">
        <v>1921</v>
      </c>
      <c r="C1303" s="6" t="s">
        <v>5508</v>
      </c>
      <c r="D1303" s="7">
        <v>44700</v>
      </c>
      <c r="E1303" s="5" t="s">
        <v>48</v>
      </c>
      <c r="F1303" s="5" t="s">
        <v>68</v>
      </c>
      <c r="G1303" s="8">
        <v>3</v>
      </c>
      <c r="H1303" s="8">
        <f>IF(F1303="Bullet",MIN(G1303,Assumptions!$B$6),"")</f>
        <v>2</v>
      </c>
      <c r="I1303" s="8"/>
      <c r="J1303" s="8" t="str">
        <f>IF(F1303="Monthly interest",MAX(0,Assumptions!$B$5-I1303),"")</f>
        <v/>
      </c>
      <c r="K1303" s="7">
        <f t="shared" si="60"/>
        <v>1341</v>
      </c>
      <c r="L1303" s="9">
        <v>46184</v>
      </c>
      <c r="M1303" s="5" t="s">
        <v>69</v>
      </c>
      <c r="N1303" s="5" t="s">
        <v>53</v>
      </c>
      <c r="O1303" s="5" t="s">
        <v>152</v>
      </c>
      <c r="P1303" s="5" t="s">
        <v>153</v>
      </c>
      <c r="Q1303" s="5" t="s">
        <v>154</v>
      </c>
      <c r="R1303" s="5" t="s">
        <v>155</v>
      </c>
      <c r="S1303" s="5" t="s">
        <v>56</v>
      </c>
      <c r="T1303" s="5" t="s">
        <v>57</v>
      </c>
      <c r="U1303" s="5" t="s">
        <v>58</v>
      </c>
      <c r="V1303" s="5" t="s">
        <v>59</v>
      </c>
      <c r="W1303" s="5" t="s">
        <v>467</v>
      </c>
      <c r="X1303" s="5" t="s">
        <v>3431</v>
      </c>
      <c r="Y1303" s="5" t="s">
        <v>5509</v>
      </c>
      <c r="Z1303" s="9">
        <v>46184</v>
      </c>
      <c r="AA1303" s="8">
        <v>12</v>
      </c>
      <c r="AB1303" s="9">
        <f t="shared" si="61"/>
        <v>46549</v>
      </c>
      <c r="AC1303" s="10">
        <v>12</v>
      </c>
      <c r="AD1303" s="7">
        <f t="shared" si="62"/>
        <v>447</v>
      </c>
      <c r="AE1303" s="7">
        <f>IF(F1303="Bullet",H1303*AD1303,MIN(MAX(I1303,1),Assumptions!$B$6)*AD1303)</f>
        <v>894</v>
      </c>
      <c r="AF1303" s="8">
        <f>IF(F1303="Bullet",MAX(0,Assumptions!$B$4-AB1303),MAX(0,Assumptions!$B$4-L1303))</f>
        <v>0</v>
      </c>
      <c r="AG1303" s="9"/>
      <c r="AH1303" s="8" t="str">
        <f>IF(AG1303="","",Assumptions!$B$4-AG1303)</f>
        <v/>
      </c>
      <c r="AI1303" s="5" t="s">
        <v>80</v>
      </c>
      <c r="AJ1303" s="8"/>
      <c r="AK1303" s="8">
        <v>1</v>
      </c>
      <c r="AL1303" s="8" t="s">
        <v>80</v>
      </c>
      <c r="AM1303" s="8">
        <v>0</v>
      </c>
      <c r="AN1303" s="5" t="s">
        <v>57</v>
      </c>
      <c r="AO1303" s="10">
        <v>67.2</v>
      </c>
      <c r="AP1303" s="8">
        <v>33</v>
      </c>
      <c r="AQ1303" s="9">
        <v>46282</v>
      </c>
      <c r="AR1303" s="5" t="s">
        <v>72</v>
      </c>
      <c r="AS1303" s="5" t="s">
        <v>190</v>
      </c>
    </row>
    <row r="1304" spans="1:45" x14ac:dyDescent="0.35">
      <c r="A1304" s="5" t="s">
        <v>5510</v>
      </c>
      <c r="B1304" s="5" t="s">
        <v>5511</v>
      </c>
      <c r="C1304" s="6" t="s">
        <v>5512</v>
      </c>
      <c r="D1304" s="7">
        <v>23500</v>
      </c>
      <c r="E1304" s="5" t="s">
        <v>48</v>
      </c>
      <c r="F1304" s="5" t="s">
        <v>49</v>
      </c>
      <c r="G1304" s="8"/>
      <c r="H1304" s="8" t="str">
        <f>IF(F1304="Bullet",MIN(G1304,Assumptions!$B$6),"")</f>
        <v/>
      </c>
      <c r="I1304" s="8">
        <v>1</v>
      </c>
      <c r="J1304" s="8">
        <f>IF(F1304="Monthly interest",MAX(0,Assumptions!$B$5-I1304),"")</f>
        <v>2</v>
      </c>
      <c r="K1304" s="7">
        <f t="shared" si="60"/>
        <v>431</v>
      </c>
      <c r="L1304" s="9">
        <v>46275</v>
      </c>
      <c r="M1304" s="5" t="s">
        <v>50</v>
      </c>
      <c r="N1304" s="5" t="s">
        <v>51</v>
      </c>
      <c r="O1304" s="5" t="s">
        <v>152</v>
      </c>
      <c r="P1304" s="5" t="s">
        <v>53</v>
      </c>
      <c r="Q1304" s="5" t="s">
        <v>154</v>
      </c>
      <c r="R1304" s="5" t="s">
        <v>155</v>
      </c>
      <c r="S1304" s="5" t="s">
        <v>185</v>
      </c>
      <c r="T1304" s="5" t="s">
        <v>57</v>
      </c>
      <c r="U1304" s="5" t="s">
        <v>86</v>
      </c>
      <c r="V1304" s="5" t="s">
        <v>200</v>
      </c>
      <c r="W1304" s="5" t="s">
        <v>1332</v>
      </c>
      <c r="X1304" s="5" t="s">
        <v>1822</v>
      </c>
      <c r="Y1304" s="5" t="s">
        <v>5513</v>
      </c>
      <c r="Z1304" s="9">
        <v>46063</v>
      </c>
      <c r="AA1304" s="8">
        <v>12</v>
      </c>
      <c r="AB1304" s="9">
        <f t="shared" si="61"/>
        <v>46428</v>
      </c>
      <c r="AC1304" s="10">
        <v>22</v>
      </c>
      <c r="AD1304" s="7">
        <f t="shared" si="62"/>
        <v>431</v>
      </c>
      <c r="AE1304" s="7">
        <f>IF(F1304="Bullet",H1304*AD1304,MIN(MAX(I1304,1),Assumptions!$B$6)*AD1304)</f>
        <v>431</v>
      </c>
      <c r="AF1304" s="8">
        <f>IF(F1304="Bullet",MAX(0,Assumptions!$B$4-AB1304),MAX(0,Assumptions!$B$4-L1304))</f>
        <v>23</v>
      </c>
      <c r="AG1304" s="9">
        <v>46248</v>
      </c>
      <c r="AH1304" s="8">
        <f>IF(AG1304="","",Assumptions!$B$4-AG1304)</f>
        <v>50</v>
      </c>
      <c r="AI1304" s="5" t="s">
        <v>63</v>
      </c>
      <c r="AJ1304" s="8">
        <v>1</v>
      </c>
      <c r="AK1304" s="8">
        <v>0</v>
      </c>
      <c r="AL1304" s="8">
        <v>736</v>
      </c>
      <c r="AM1304" s="8">
        <v>1</v>
      </c>
      <c r="AN1304" s="5" t="s">
        <v>63</v>
      </c>
      <c r="AO1304" s="10">
        <v>63.8</v>
      </c>
      <c r="AP1304" s="8">
        <v>17</v>
      </c>
      <c r="AQ1304" s="9">
        <v>46277</v>
      </c>
      <c r="AR1304" s="5" t="s">
        <v>70</v>
      </c>
      <c r="AS1304" s="5" t="s">
        <v>181</v>
      </c>
    </row>
    <row r="1305" spans="1:45" x14ac:dyDescent="0.35">
      <c r="A1305" s="5" t="s">
        <v>5514</v>
      </c>
      <c r="B1305" s="5" t="s">
        <v>5515</v>
      </c>
      <c r="C1305" s="6" t="s">
        <v>5516</v>
      </c>
      <c r="D1305" s="7">
        <v>203100</v>
      </c>
      <c r="E1305" s="5" t="s">
        <v>48</v>
      </c>
      <c r="F1305" s="5" t="s">
        <v>68</v>
      </c>
      <c r="G1305" s="8">
        <v>1</v>
      </c>
      <c r="H1305" s="8">
        <f>IF(F1305="Bullet",MIN(G1305,Assumptions!$B$6),"")</f>
        <v>1</v>
      </c>
      <c r="I1305" s="8"/>
      <c r="J1305" s="8" t="str">
        <f>IF(F1305="Monthly interest",MAX(0,Assumptions!$B$5-I1305),"")</f>
        <v/>
      </c>
      <c r="K1305" s="7">
        <f t="shared" si="60"/>
        <v>3047</v>
      </c>
      <c r="L1305" s="9">
        <v>46258</v>
      </c>
      <c r="M1305" s="5" t="s">
        <v>50</v>
      </c>
      <c r="N1305" s="5" t="s">
        <v>53</v>
      </c>
      <c r="O1305" s="5" t="s">
        <v>95</v>
      </c>
      <c r="P1305" s="5" t="s">
        <v>70</v>
      </c>
      <c r="Q1305" s="5" t="s">
        <v>73</v>
      </c>
      <c r="R1305" s="5" t="s">
        <v>74</v>
      </c>
      <c r="S1305" s="5" t="s">
        <v>185</v>
      </c>
      <c r="T1305" s="5" t="s">
        <v>63</v>
      </c>
      <c r="U1305" s="5" t="s">
        <v>86</v>
      </c>
      <c r="V1305" s="5" t="s">
        <v>186</v>
      </c>
      <c r="W1305" s="5" t="s">
        <v>376</v>
      </c>
      <c r="X1305" s="5" t="s">
        <v>1010</v>
      </c>
      <c r="Y1305" s="5" t="s">
        <v>5517</v>
      </c>
      <c r="Z1305" s="9">
        <v>46258</v>
      </c>
      <c r="AA1305" s="8">
        <v>12</v>
      </c>
      <c r="AB1305" s="9">
        <f t="shared" si="61"/>
        <v>46623</v>
      </c>
      <c r="AC1305" s="10">
        <v>18</v>
      </c>
      <c r="AD1305" s="7">
        <f t="shared" si="62"/>
        <v>3047</v>
      </c>
      <c r="AE1305" s="7">
        <f>IF(F1305="Bullet",H1305*AD1305,MIN(MAX(I1305,1),Assumptions!$B$6)*AD1305)</f>
        <v>3047</v>
      </c>
      <c r="AF1305" s="8">
        <f>IF(F1305="Bullet",MAX(0,Assumptions!$B$4-AB1305),MAX(0,Assumptions!$B$4-L1305))</f>
        <v>0</v>
      </c>
      <c r="AG1305" s="9"/>
      <c r="AH1305" s="8" t="str">
        <f>IF(AG1305="","",Assumptions!$B$4-AG1305)</f>
        <v/>
      </c>
      <c r="AI1305" s="5" t="s">
        <v>80</v>
      </c>
      <c r="AJ1305" s="8"/>
      <c r="AK1305" s="8">
        <v>0</v>
      </c>
      <c r="AL1305" s="8" t="s">
        <v>80</v>
      </c>
      <c r="AM1305" s="8">
        <v>0</v>
      </c>
      <c r="AN1305" s="5" t="s">
        <v>63</v>
      </c>
      <c r="AO1305" s="10">
        <v>70.8</v>
      </c>
      <c r="AP1305" s="8">
        <v>9</v>
      </c>
      <c r="AQ1305" s="9">
        <v>46273</v>
      </c>
      <c r="AR1305" s="5" t="s">
        <v>70</v>
      </c>
      <c r="AS1305" s="5" t="s">
        <v>190</v>
      </c>
    </row>
    <row r="1306" spans="1:45" x14ac:dyDescent="0.35">
      <c r="A1306" s="5" t="s">
        <v>5518</v>
      </c>
      <c r="B1306" s="5" t="s">
        <v>5519</v>
      </c>
      <c r="C1306" s="6" t="s">
        <v>5520</v>
      </c>
      <c r="D1306" s="7">
        <v>182600</v>
      </c>
      <c r="E1306" s="5" t="s">
        <v>48</v>
      </c>
      <c r="F1306" s="5" t="s">
        <v>68</v>
      </c>
      <c r="G1306" s="8">
        <v>1</v>
      </c>
      <c r="H1306" s="8">
        <f>IF(F1306="Bullet",MIN(G1306,Assumptions!$B$6),"")</f>
        <v>1</v>
      </c>
      <c r="I1306" s="8"/>
      <c r="J1306" s="8" t="str">
        <f>IF(F1306="Monthly interest",MAX(0,Assumptions!$B$5-I1306),"")</f>
        <v/>
      </c>
      <c r="K1306" s="7">
        <f t="shared" si="60"/>
        <v>1978</v>
      </c>
      <c r="L1306" s="9">
        <v>46258</v>
      </c>
      <c r="M1306" s="5" t="s">
        <v>50</v>
      </c>
      <c r="N1306" s="5" t="s">
        <v>51</v>
      </c>
      <c r="O1306" s="5" t="s">
        <v>71</v>
      </c>
      <c r="P1306" s="5" t="s">
        <v>53</v>
      </c>
      <c r="Q1306" s="5" t="s">
        <v>73</v>
      </c>
      <c r="R1306" s="5" t="s">
        <v>74</v>
      </c>
      <c r="S1306" s="5" t="s">
        <v>185</v>
      </c>
      <c r="T1306" s="5" t="s">
        <v>57</v>
      </c>
      <c r="U1306" s="5" t="s">
        <v>104</v>
      </c>
      <c r="V1306" s="5" t="s">
        <v>186</v>
      </c>
      <c r="W1306" s="5" t="s">
        <v>376</v>
      </c>
      <c r="X1306" s="5" t="s">
        <v>2724</v>
      </c>
      <c r="Y1306" s="5" t="s">
        <v>5521</v>
      </c>
      <c r="Z1306" s="9">
        <v>46258</v>
      </c>
      <c r="AA1306" s="8">
        <v>12</v>
      </c>
      <c r="AB1306" s="9">
        <f t="shared" si="61"/>
        <v>46623</v>
      </c>
      <c r="AC1306" s="10">
        <v>13</v>
      </c>
      <c r="AD1306" s="7">
        <f t="shared" si="62"/>
        <v>1978</v>
      </c>
      <c r="AE1306" s="7">
        <f>IF(F1306="Bullet",H1306*AD1306,MIN(MAX(I1306,1),Assumptions!$B$6)*AD1306)</f>
        <v>1978</v>
      </c>
      <c r="AF1306" s="8">
        <f>IF(F1306="Bullet",MAX(0,Assumptions!$B$4-AB1306),MAX(0,Assumptions!$B$4-L1306))</f>
        <v>0</v>
      </c>
      <c r="AG1306" s="9"/>
      <c r="AH1306" s="8" t="str">
        <f>IF(AG1306="","",Assumptions!$B$4-AG1306)</f>
        <v/>
      </c>
      <c r="AI1306" s="5" t="s">
        <v>80</v>
      </c>
      <c r="AJ1306" s="8"/>
      <c r="AK1306" s="8">
        <v>0</v>
      </c>
      <c r="AL1306" s="8">
        <v>776</v>
      </c>
      <c r="AM1306" s="8">
        <v>4</v>
      </c>
      <c r="AN1306" s="5" t="s">
        <v>57</v>
      </c>
      <c r="AO1306" s="10">
        <v>62.7</v>
      </c>
      <c r="AP1306" s="8">
        <v>19</v>
      </c>
      <c r="AQ1306" s="9">
        <v>46291</v>
      </c>
      <c r="AR1306" s="5" t="s">
        <v>51</v>
      </c>
      <c r="AS1306" s="5" t="s">
        <v>64</v>
      </c>
    </row>
    <row r="1307" spans="1:45" x14ac:dyDescent="0.35">
      <c r="A1307" s="5" t="s">
        <v>5522</v>
      </c>
      <c r="B1307" s="5" t="s">
        <v>3959</v>
      </c>
      <c r="C1307" s="6" t="s">
        <v>5523</v>
      </c>
      <c r="D1307" s="7">
        <v>244600</v>
      </c>
      <c r="E1307" s="5" t="s">
        <v>48</v>
      </c>
      <c r="F1307" s="5" t="s">
        <v>49</v>
      </c>
      <c r="G1307" s="8"/>
      <c r="H1307" s="8" t="str">
        <f>IF(F1307="Bullet",MIN(G1307,Assumptions!$B$6),"")</f>
        <v/>
      </c>
      <c r="I1307" s="8">
        <v>2</v>
      </c>
      <c r="J1307" s="8">
        <f>IF(F1307="Monthly interest",MAX(0,Assumptions!$B$5-I1307),"")</f>
        <v>1</v>
      </c>
      <c r="K1307" s="7">
        <f t="shared" si="60"/>
        <v>9784</v>
      </c>
      <c r="L1307" s="9">
        <v>46247</v>
      </c>
      <c r="M1307" s="5" t="s">
        <v>116</v>
      </c>
      <c r="N1307" s="5" t="s">
        <v>117</v>
      </c>
      <c r="O1307" s="5" t="s">
        <v>118</v>
      </c>
      <c r="P1307" s="5" t="s">
        <v>72</v>
      </c>
      <c r="Q1307" s="5" t="s">
        <v>119</v>
      </c>
      <c r="R1307" s="5" t="s">
        <v>120</v>
      </c>
      <c r="S1307" s="5" t="s">
        <v>75</v>
      </c>
      <c r="T1307" s="5" t="s">
        <v>57</v>
      </c>
      <c r="U1307" s="5" t="s">
        <v>58</v>
      </c>
      <c r="V1307" s="5" t="s">
        <v>76</v>
      </c>
      <c r="W1307" s="5" t="s">
        <v>382</v>
      </c>
      <c r="X1307" s="5" t="s">
        <v>2454</v>
      </c>
      <c r="Y1307" s="5" t="s">
        <v>5524</v>
      </c>
      <c r="Z1307" s="9">
        <v>46035</v>
      </c>
      <c r="AA1307" s="8">
        <v>24</v>
      </c>
      <c r="AB1307" s="9">
        <f t="shared" si="61"/>
        <v>46765</v>
      </c>
      <c r="AC1307" s="10">
        <v>24</v>
      </c>
      <c r="AD1307" s="7">
        <f t="shared" si="62"/>
        <v>4892</v>
      </c>
      <c r="AE1307" s="7">
        <f>IF(F1307="Bullet",H1307*AD1307,MIN(MAX(I1307,1),Assumptions!$B$6)*AD1307)</f>
        <v>9784</v>
      </c>
      <c r="AF1307" s="8">
        <f>IF(F1307="Bullet",MAX(0,Assumptions!$B$4-AB1307),MAX(0,Assumptions!$B$4-L1307))</f>
        <v>51</v>
      </c>
      <c r="AG1307" s="9">
        <v>46218</v>
      </c>
      <c r="AH1307" s="8">
        <f>IF(AG1307="","",Assumptions!$B$4-AG1307)</f>
        <v>80</v>
      </c>
      <c r="AI1307" s="5" t="s">
        <v>63</v>
      </c>
      <c r="AJ1307" s="8">
        <v>3</v>
      </c>
      <c r="AK1307" s="8">
        <v>2</v>
      </c>
      <c r="AL1307" s="8">
        <v>669</v>
      </c>
      <c r="AM1307" s="8">
        <v>2</v>
      </c>
      <c r="AN1307" s="5" t="s">
        <v>63</v>
      </c>
      <c r="AO1307" s="10">
        <v>67.400000000000006</v>
      </c>
      <c r="AP1307" s="8">
        <v>61</v>
      </c>
      <c r="AQ1307" s="9">
        <v>46288</v>
      </c>
      <c r="AR1307" s="5" t="s">
        <v>72</v>
      </c>
      <c r="AS1307" s="5" t="s">
        <v>81</v>
      </c>
    </row>
    <row r="1308" spans="1:45" x14ac:dyDescent="0.35">
      <c r="A1308" s="5" t="s">
        <v>5525</v>
      </c>
      <c r="B1308" s="5" t="s">
        <v>4799</v>
      </c>
      <c r="C1308" s="6" t="s">
        <v>5526</v>
      </c>
      <c r="D1308" s="7">
        <v>67900</v>
      </c>
      <c r="E1308" s="5" t="s">
        <v>48</v>
      </c>
      <c r="F1308" s="5" t="s">
        <v>49</v>
      </c>
      <c r="G1308" s="8"/>
      <c r="H1308" s="8" t="str">
        <f>IF(F1308="Bullet",MIN(G1308,Assumptions!$B$6),"")</f>
        <v/>
      </c>
      <c r="I1308" s="8">
        <v>1</v>
      </c>
      <c r="J1308" s="8">
        <f>IF(F1308="Monthly interest",MAX(0,Assumptions!$B$5-I1308),"")</f>
        <v>2</v>
      </c>
      <c r="K1308" s="7">
        <f t="shared" si="60"/>
        <v>1019</v>
      </c>
      <c r="L1308" s="9">
        <v>46275</v>
      </c>
      <c r="M1308" s="5" t="s">
        <v>50</v>
      </c>
      <c r="N1308" s="5" t="s">
        <v>51</v>
      </c>
      <c r="O1308" s="5" t="s">
        <v>52</v>
      </c>
      <c r="P1308" s="5" t="s">
        <v>53</v>
      </c>
      <c r="Q1308" s="5" t="s">
        <v>54</v>
      </c>
      <c r="R1308" s="5" t="s">
        <v>55</v>
      </c>
      <c r="S1308" s="5" t="s">
        <v>75</v>
      </c>
      <c r="T1308" s="5" t="s">
        <v>57</v>
      </c>
      <c r="U1308" s="5" t="s">
        <v>86</v>
      </c>
      <c r="V1308" s="5" t="s">
        <v>76</v>
      </c>
      <c r="W1308" s="5" t="s">
        <v>444</v>
      </c>
      <c r="X1308" s="5" t="s">
        <v>445</v>
      </c>
      <c r="Y1308" s="5" t="s">
        <v>5527</v>
      </c>
      <c r="Z1308" s="9">
        <v>46063</v>
      </c>
      <c r="AA1308" s="8">
        <v>24</v>
      </c>
      <c r="AB1308" s="9">
        <f t="shared" si="61"/>
        <v>46793</v>
      </c>
      <c r="AC1308" s="10">
        <v>18</v>
      </c>
      <c r="AD1308" s="7">
        <f t="shared" si="62"/>
        <v>1019</v>
      </c>
      <c r="AE1308" s="7">
        <f>IF(F1308="Bullet",H1308*AD1308,MIN(MAX(I1308,1),Assumptions!$B$6)*AD1308)</f>
        <v>1019</v>
      </c>
      <c r="AF1308" s="8">
        <f>IF(F1308="Bullet",MAX(0,Assumptions!$B$4-AB1308),MAX(0,Assumptions!$B$4-L1308))</f>
        <v>23</v>
      </c>
      <c r="AG1308" s="9">
        <v>46244</v>
      </c>
      <c r="AH1308" s="8">
        <f>IF(AG1308="","",Assumptions!$B$4-AG1308)</f>
        <v>54</v>
      </c>
      <c r="AI1308" s="5" t="s">
        <v>63</v>
      </c>
      <c r="AJ1308" s="8">
        <v>2</v>
      </c>
      <c r="AK1308" s="8">
        <v>0</v>
      </c>
      <c r="AL1308" s="8">
        <v>738</v>
      </c>
      <c r="AM1308" s="8">
        <v>1</v>
      </c>
      <c r="AN1308" s="5" t="s">
        <v>63</v>
      </c>
      <c r="AO1308" s="10">
        <v>64.599999999999994</v>
      </c>
      <c r="AP1308" s="8">
        <v>24</v>
      </c>
      <c r="AQ1308" s="9">
        <v>46292</v>
      </c>
      <c r="AR1308" s="5" t="s">
        <v>51</v>
      </c>
      <c r="AS1308" s="5" t="s">
        <v>64</v>
      </c>
    </row>
    <row r="1309" spans="1:45" x14ac:dyDescent="0.35">
      <c r="A1309" s="5" t="s">
        <v>5528</v>
      </c>
      <c r="B1309" s="5" t="s">
        <v>2050</v>
      </c>
      <c r="C1309" s="6" t="s">
        <v>5529</v>
      </c>
      <c r="D1309" s="7">
        <v>20300</v>
      </c>
      <c r="E1309" s="5" t="s">
        <v>48</v>
      </c>
      <c r="F1309" s="5" t="s">
        <v>68</v>
      </c>
      <c r="G1309" s="8">
        <v>5</v>
      </c>
      <c r="H1309" s="8">
        <f>IF(F1309="Bullet",MIN(G1309,Assumptions!$B$6),"")</f>
        <v>2</v>
      </c>
      <c r="I1309" s="8"/>
      <c r="J1309" s="8" t="str">
        <f>IF(F1309="Monthly interest",MAX(0,Assumptions!$B$5-I1309),"")</f>
        <v/>
      </c>
      <c r="K1309" s="7">
        <f t="shared" si="60"/>
        <v>1355</v>
      </c>
      <c r="L1309" s="9">
        <v>46138</v>
      </c>
      <c r="M1309" s="5" t="s">
        <v>116</v>
      </c>
      <c r="N1309" s="5" t="s">
        <v>117</v>
      </c>
      <c r="O1309" s="5" t="s">
        <v>461</v>
      </c>
      <c r="P1309" s="5" t="s">
        <v>72</v>
      </c>
      <c r="Q1309" s="5" t="s">
        <v>169</v>
      </c>
      <c r="R1309" s="5" t="s">
        <v>170</v>
      </c>
      <c r="S1309" s="5" t="s">
        <v>56</v>
      </c>
      <c r="T1309" s="5" t="s">
        <v>57</v>
      </c>
      <c r="U1309" s="5" t="s">
        <v>86</v>
      </c>
      <c r="V1309" s="5" t="s">
        <v>59</v>
      </c>
      <c r="W1309" s="5" t="s">
        <v>126</v>
      </c>
      <c r="X1309" s="5" t="s">
        <v>4836</v>
      </c>
      <c r="Y1309" s="5" t="s">
        <v>5530</v>
      </c>
      <c r="Z1309" s="9">
        <v>46138</v>
      </c>
      <c r="AA1309" s="8">
        <v>6</v>
      </c>
      <c r="AB1309" s="9">
        <f t="shared" si="61"/>
        <v>46321</v>
      </c>
      <c r="AC1309" s="10">
        <v>16</v>
      </c>
      <c r="AD1309" s="7">
        <f t="shared" si="62"/>
        <v>271</v>
      </c>
      <c r="AE1309" s="7">
        <f>IF(F1309="Bullet",H1309*AD1309,MIN(MAX(I1309,1),Assumptions!$B$6)*AD1309)</f>
        <v>542</v>
      </c>
      <c r="AF1309" s="8">
        <f>IF(F1309="Bullet",MAX(0,Assumptions!$B$4-AB1309),MAX(0,Assumptions!$B$4-L1309))</f>
        <v>0</v>
      </c>
      <c r="AG1309" s="9"/>
      <c r="AH1309" s="8" t="str">
        <f>IF(AG1309="","",Assumptions!$B$4-AG1309)</f>
        <v/>
      </c>
      <c r="AI1309" s="5" t="s">
        <v>80</v>
      </c>
      <c r="AJ1309" s="8"/>
      <c r="AK1309" s="8">
        <v>2</v>
      </c>
      <c r="AL1309" s="8">
        <v>626</v>
      </c>
      <c r="AM1309" s="8">
        <v>0</v>
      </c>
      <c r="AN1309" s="5" t="s">
        <v>63</v>
      </c>
      <c r="AO1309" s="10">
        <v>62.2</v>
      </c>
      <c r="AP1309" s="8">
        <v>57</v>
      </c>
      <c r="AQ1309" s="9">
        <v>46287</v>
      </c>
      <c r="AR1309" s="5" t="s">
        <v>51</v>
      </c>
      <c r="AS1309" s="5" t="s">
        <v>64</v>
      </c>
    </row>
    <row r="1310" spans="1:45" x14ac:dyDescent="0.35">
      <c r="A1310" s="5" t="s">
        <v>5531</v>
      </c>
      <c r="B1310" s="5" t="s">
        <v>2870</v>
      </c>
      <c r="C1310" s="6" t="s">
        <v>5532</v>
      </c>
      <c r="D1310" s="7">
        <v>16100</v>
      </c>
      <c r="E1310" s="5" t="s">
        <v>48</v>
      </c>
      <c r="F1310" s="5" t="s">
        <v>49</v>
      </c>
      <c r="G1310" s="8"/>
      <c r="H1310" s="8" t="str">
        <f>IF(F1310="Bullet",MIN(G1310,Assumptions!$B$6),"")</f>
        <v/>
      </c>
      <c r="I1310" s="8">
        <v>2</v>
      </c>
      <c r="J1310" s="8">
        <f>IF(F1310="Monthly interest",MAX(0,Assumptions!$B$5-I1310),"")</f>
        <v>1</v>
      </c>
      <c r="K1310" s="7">
        <f t="shared" si="60"/>
        <v>376</v>
      </c>
      <c r="L1310" s="9">
        <v>46252</v>
      </c>
      <c r="M1310" s="5" t="s">
        <v>116</v>
      </c>
      <c r="N1310" s="5" t="s">
        <v>117</v>
      </c>
      <c r="O1310" s="5" t="s">
        <v>450</v>
      </c>
      <c r="P1310" s="5" t="s">
        <v>72</v>
      </c>
      <c r="Q1310" s="5" t="s">
        <v>154</v>
      </c>
      <c r="R1310" s="5" t="s">
        <v>155</v>
      </c>
      <c r="S1310" s="5" t="s">
        <v>56</v>
      </c>
      <c r="T1310" s="5" t="s">
        <v>57</v>
      </c>
      <c r="U1310" s="5" t="s">
        <v>58</v>
      </c>
      <c r="V1310" s="5" t="s">
        <v>59</v>
      </c>
      <c r="W1310" s="5" t="s">
        <v>60</v>
      </c>
      <c r="X1310" s="5" t="s">
        <v>1660</v>
      </c>
      <c r="Y1310" s="5" t="s">
        <v>5533</v>
      </c>
      <c r="Z1310" s="9">
        <v>45979</v>
      </c>
      <c r="AA1310" s="8">
        <v>24</v>
      </c>
      <c r="AB1310" s="9">
        <f t="shared" si="61"/>
        <v>46709</v>
      </c>
      <c r="AC1310" s="10">
        <v>14</v>
      </c>
      <c r="AD1310" s="7">
        <f t="shared" si="62"/>
        <v>188</v>
      </c>
      <c r="AE1310" s="7">
        <f>IF(F1310="Bullet",H1310*AD1310,MIN(MAX(I1310,1),Assumptions!$B$6)*AD1310)</f>
        <v>376</v>
      </c>
      <c r="AF1310" s="8">
        <f>IF(F1310="Bullet",MAX(0,Assumptions!$B$4-AB1310),MAX(0,Assumptions!$B$4-L1310))</f>
        <v>46</v>
      </c>
      <c r="AG1310" s="9">
        <v>46225</v>
      </c>
      <c r="AH1310" s="8">
        <f>IF(AG1310="","",Assumptions!$B$4-AG1310)</f>
        <v>73</v>
      </c>
      <c r="AI1310" s="5" t="s">
        <v>63</v>
      </c>
      <c r="AJ1310" s="8">
        <v>2</v>
      </c>
      <c r="AK1310" s="8">
        <v>0</v>
      </c>
      <c r="AL1310" s="8">
        <v>642</v>
      </c>
      <c r="AM1310" s="8">
        <v>0</v>
      </c>
      <c r="AN1310" s="5" t="s">
        <v>63</v>
      </c>
      <c r="AO1310" s="10">
        <v>68.7</v>
      </c>
      <c r="AP1310" s="8">
        <v>48</v>
      </c>
      <c r="AQ1310" s="9">
        <v>46290</v>
      </c>
      <c r="AR1310" s="5" t="s">
        <v>70</v>
      </c>
      <c r="AS1310" s="5" t="s">
        <v>91</v>
      </c>
    </row>
    <row r="1311" spans="1:45" x14ac:dyDescent="0.35">
      <c r="A1311" s="5" t="s">
        <v>5534</v>
      </c>
      <c r="B1311" s="5" t="s">
        <v>5535</v>
      </c>
      <c r="C1311" s="6" t="s">
        <v>5536</v>
      </c>
      <c r="D1311" s="7">
        <v>60100</v>
      </c>
      <c r="E1311" s="5" t="s">
        <v>48</v>
      </c>
      <c r="F1311" s="5" t="s">
        <v>49</v>
      </c>
      <c r="G1311" s="8"/>
      <c r="H1311" s="8" t="str">
        <f>IF(F1311="Bullet",MIN(G1311,Assumptions!$B$6),"")</f>
        <v/>
      </c>
      <c r="I1311" s="8">
        <v>1</v>
      </c>
      <c r="J1311" s="8">
        <f>IF(F1311="Monthly interest",MAX(0,Assumptions!$B$5-I1311),"")</f>
        <v>2</v>
      </c>
      <c r="K1311" s="7">
        <f t="shared" si="60"/>
        <v>1202</v>
      </c>
      <c r="L1311" s="9">
        <v>46280</v>
      </c>
      <c r="M1311" s="5" t="s">
        <v>50</v>
      </c>
      <c r="N1311" s="5" t="s">
        <v>53</v>
      </c>
      <c r="O1311" s="5" t="s">
        <v>103</v>
      </c>
      <c r="P1311" s="5" t="s">
        <v>51</v>
      </c>
      <c r="Q1311" s="5" t="s">
        <v>54</v>
      </c>
      <c r="R1311" s="5" t="s">
        <v>55</v>
      </c>
      <c r="S1311" s="5" t="s">
        <v>56</v>
      </c>
      <c r="T1311" s="5" t="s">
        <v>57</v>
      </c>
      <c r="U1311" s="5" t="s">
        <v>104</v>
      </c>
      <c r="V1311" s="5" t="s">
        <v>59</v>
      </c>
      <c r="W1311" s="5" t="s">
        <v>323</v>
      </c>
      <c r="X1311" s="5" t="s">
        <v>611</v>
      </c>
      <c r="Y1311" s="5" t="s">
        <v>5537</v>
      </c>
      <c r="Z1311" s="9">
        <v>46157</v>
      </c>
      <c r="AA1311" s="8">
        <v>12</v>
      </c>
      <c r="AB1311" s="9">
        <f t="shared" si="61"/>
        <v>46522</v>
      </c>
      <c r="AC1311" s="10">
        <v>24</v>
      </c>
      <c r="AD1311" s="7">
        <f t="shared" si="62"/>
        <v>1202</v>
      </c>
      <c r="AE1311" s="7">
        <f>IF(F1311="Bullet",H1311*AD1311,MIN(MAX(I1311,1),Assumptions!$B$6)*AD1311)</f>
        <v>1202</v>
      </c>
      <c r="AF1311" s="8">
        <f>IF(F1311="Bullet",MAX(0,Assumptions!$B$4-AB1311),MAX(0,Assumptions!$B$4-L1311))</f>
        <v>18</v>
      </c>
      <c r="AG1311" s="9">
        <v>46254</v>
      </c>
      <c r="AH1311" s="8">
        <f>IF(AG1311="","",Assumptions!$B$4-AG1311)</f>
        <v>44</v>
      </c>
      <c r="AI1311" s="5" t="s">
        <v>63</v>
      </c>
      <c r="AJ1311" s="8">
        <v>1</v>
      </c>
      <c r="AK1311" s="8">
        <v>0</v>
      </c>
      <c r="AL1311" s="8">
        <v>805</v>
      </c>
      <c r="AM1311" s="8">
        <v>1</v>
      </c>
      <c r="AN1311" s="5" t="s">
        <v>63</v>
      </c>
      <c r="AO1311" s="10">
        <v>80.599999999999994</v>
      </c>
      <c r="AP1311" s="8">
        <v>13</v>
      </c>
      <c r="AQ1311" s="9">
        <v>46290</v>
      </c>
      <c r="AR1311" s="5" t="s">
        <v>51</v>
      </c>
      <c r="AS1311" s="5" t="s">
        <v>81</v>
      </c>
    </row>
    <row r="1312" spans="1:45" x14ac:dyDescent="0.35">
      <c r="A1312" s="5" t="s">
        <v>5538</v>
      </c>
      <c r="B1312" s="5" t="s">
        <v>5539</v>
      </c>
      <c r="C1312" s="6" t="s">
        <v>5540</v>
      </c>
      <c r="D1312" s="7">
        <v>191300</v>
      </c>
      <c r="E1312" s="5" t="s">
        <v>48</v>
      </c>
      <c r="F1312" s="5" t="s">
        <v>68</v>
      </c>
      <c r="G1312" s="8">
        <v>4</v>
      </c>
      <c r="H1312" s="8">
        <f>IF(F1312="Bullet",MIN(G1312,Assumptions!$B$6),"")</f>
        <v>2</v>
      </c>
      <c r="I1312" s="8"/>
      <c r="J1312" s="8" t="str">
        <f>IF(F1312="Monthly interest",MAX(0,Assumptions!$B$5-I1312),"")</f>
        <v/>
      </c>
      <c r="K1312" s="7">
        <f t="shared" si="60"/>
        <v>8288</v>
      </c>
      <c r="L1312" s="9">
        <v>46161</v>
      </c>
      <c r="M1312" s="5" t="s">
        <v>69</v>
      </c>
      <c r="N1312" s="5" t="s">
        <v>70</v>
      </c>
      <c r="O1312" s="5" t="s">
        <v>271</v>
      </c>
      <c r="P1312" s="5" t="s">
        <v>72</v>
      </c>
      <c r="Q1312" s="5" t="s">
        <v>73</v>
      </c>
      <c r="R1312" s="5" t="s">
        <v>74</v>
      </c>
      <c r="S1312" s="5" t="s">
        <v>75</v>
      </c>
      <c r="T1312" s="5" t="s">
        <v>63</v>
      </c>
      <c r="U1312" s="5" t="s">
        <v>86</v>
      </c>
      <c r="V1312" s="5" t="s">
        <v>76</v>
      </c>
      <c r="W1312" s="5" t="s">
        <v>77</v>
      </c>
      <c r="X1312" s="5" t="s">
        <v>4083</v>
      </c>
      <c r="Y1312" s="5" t="s">
        <v>5541</v>
      </c>
      <c r="Z1312" s="9">
        <v>46161</v>
      </c>
      <c r="AA1312" s="8">
        <v>6</v>
      </c>
      <c r="AB1312" s="9">
        <f t="shared" si="61"/>
        <v>46345</v>
      </c>
      <c r="AC1312" s="10">
        <v>13</v>
      </c>
      <c r="AD1312" s="7">
        <f t="shared" si="62"/>
        <v>2072</v>
      </c>
      <c r="AE1312" s="7">
        <f>IF(F1312="Bullet",H1312*AD1312,MIN(MAX(I1312,1),Assumptions!$B$6)*AD1312)</f>
        <v>4144</v>
      </c>
      <c r="AF1312" s="8">
        <f>IF(F1312="Bullet",MAX(0,Assumptions!$B$4-AB1312),MAX(0,Assumptions!$B$4-L1312))</f>
        <v>0</v>
      </c>
      <c r="AG1312" s="9"/>
      <c r="AH1312" s="8" t="str">
        <f>IF(AG1312="","",Assumptions!$B$4-AG1312)</f>
        <v/>
      </c>
      <c r="AI1312" s="5" t="s">
        <v>80</v>
      </c>
      <c r="AJ1312" s="8"/>
      <c r="AK1312" s="8">
        <v>1</v>
      </c>
      <c r="AL1312" s="8">
        <v>686</v>
      </c>
      <c r="AM1312" s="8">
        <v>1</v>
      </c>
      <c r="AN1312" s="5" t="s">
        <v>63</v>
      </c>
      <c r="AO1312" s="10">
        <v>74.400000000000006</v>
      </c>
      <c r="AP1312" s="8">
        <v>39</v>
      </c>
      <c r="AQ1312" s="9">
        <v>46279</v>
      </c>
      <c r="AR1312" s="5" t="s">
        <v>53</v>
      </c>
      <c r="AS1312" s="5" t="s">
        <v>274</v>
      </c>
    </row>
    <row r="1313" spans="1:45" x14ac:dyDescent="0.35">
      <c r="A1313" s="5" t="s">
        <v>5542</v>
      </c>
      <c r="B1313" s="5" t="s">
        <v>1278</v>
      </c>
      <c r="C1313" s="6" t="s">
        <v>5543</v>
      </c>
      <c r="D1313" s="7">
        <v>59400</v>
      </c>
      <c r="E1313" s="5" t="s">
        <v>48</v>
      </c>
      <c r="F1313" s="5" t="s">
        <v>49</v>
      </c>
      <c r="G1313" s="8"/>
      <c r="H1313" s="8" t="str">
        <f>IF(F1313="Bullet",MIN(G1313,Assumptions!$B$6),"")</f>
        <v/>
      </c>
      <c r="I1313" s="8">
        <v>1</v>
      </c>
      <c r="J1313" s="8">
        <f>IF(F1313="Monthly interest",MAX(0,Assumptions!$B$5-I1313),"")</f>
        <v>2</v>
      </c>
      <c r="K1313" s="7">
        <f t="shared" si="60"/>
        <v>792</v>
      </c>
      <c r="L1313" s="9">
        <v>46297</v>
      </c>
      <c r="M1313" s="5" t="s">
        <v>50</v>
      </c>
      <c r="N1313" s="5" t="s">
        <v>53</v>
      </c>
      <c r="O1313" s="5" t="s">
        <v>95</v>
      </c>
      <c r="P1313" s="5" t="s">
        <v>70</v>
      </c>
      <c r="Q1313" s="5" t="s">
        <v>54</v>
      </c>
      <c r="R1313" s="5" t="s">
        <v>55</v>
      </c>
      <c r="S1313" s="5" t="s">
        <v>75</v>
      </c>
      <c r="T1313" s="5" t="s">
        <v>63</v>
      </c>
      <c r="U1313" s="5" t="s">
        <v>86</v>
      </c>
      <c r="V1313" s="5" t="s">
        <v>76</v>
      </c>
      <c r="W1313" s="5" t="s">
        <v>306</v>
      </c>
      <c r="X1313" s="5" t="s">
        <v>307</v>
      </c>
      <c r="Y1313" s="5" t="s">
        <v>5544</v>
      </c>
      <c r="Z1313" s="9">
        <v>46175</v>
      </c>
      <c r="AA1313" s="8">
        <v>18</v>
      </c>
      <c r="AB1313" s="9">
        <f t="shared" si="61"/>
        <v>46723</v>
      </c>
      <c r="AC1313" s="10">
        <v>16</v>
      </c>
      <c r="AD1313" s="7">
        <f t="shared" si="62"/>
        <v>792</v>
      </c>
      <c r="AE1313" s="7">
        <f>IF(F1313="Bullet",H1313*AD1313,MIN(MAX(I1313,1),Assumptions!$B$6)*AD1313)</f>
        <v>792</v>
      </c>
      <c r="AF1313" s="8">
        <f>IF(F1313="Bullet",MAX(0,Assumptions!$B$4-AB1313),MAX(0,Assumptions!$B$4-L1313))</f>
        <v>1</v>
      </c>
      <c r="AG1313" s="9">
        <v>46267</v>
      </c>
      <c r="AH1313" s="8">
        <f>IF(AG1313="","",Assumptions!$B$4-AG1313)</f>
        <v>31</v>
      </c>
      <c r="AI1313" s="5" t="s">
        <v>63</v>
      </c>
      <c r="AJ1313" s="8">
        <v>2</v>
      </c>
      <c r="AK1313" s="8">
        <v>0</v>
      </c>
      <c r="AL1313" s="8">
        <v>778</v>
      </c>
      <c r="AM1313" s="8">
        <v>1</v>
      </c>
      <c r="AN1313" s="5" t="s">
        <v>63</v>
      </c>
      <c r="AO1313" s="10">
        <v>56.5</v>
      </c>
      <c r="AP1313" s="8">
        <v>14</v>
      </c>
      <c r="AQ1313" s="9">
        <v>46275</v>
      </c>
      <c r="AR1313" s="5" t="s">
        <v>51</v>
      </c>
      <c r="AS1313" s="5" t="s">
        <v>274</v>
      </c>
    </row>
    <row r="1314" spans="1:45" x14ac:dyDescent="0.35">
      <c r="A1314" s="5" t="s">
        <v>5545</v>
      </c>
      <c r="B1314" s="5" t="s">
        <v>5546</v>
      </c>
      <c r="C1314" s="6" t="s">
        <v>5547</v>
      </c>
      <c r="D1314" s="7">
        <v>62100</v>
      </c>
      <c r="E1314" s="5" t="s">
        <v>48</v>
      </c>
      <c r="F1314" s="5" t="s">
        <v>49</v>
      </c>
      <c r="G1314" s="8"/>
      <c r="H1314" s="8" t="str">
        <f>IF(F1314="Bullet",MIN(G1314,Assumptions!$B$6),"")</f>
        <v/>
      </c>
      <c r="I1314" s="8">
        <v>2</v>
      </c>
      <c r="J1314" s="8">
        <f>IF(F1314="Monthly interest",MAX(0,Assumptions!$B$5-I1314),"")</f>
        <v>1</v>
      </c>
      <c r="K1314" s="7">
        <f t="shared" si="60"/>
        <v>2278</v>
      </c>
      <c r="L1314" s="9">
        <v>46256</v>
      </c>
      <c r="M1314" s="5" t="s">
        <v>116</v>
      </c>
      <c r="N1314" s="5" t="s">
        <v>117</v>
      </c>
      <c r="O1314" s="5" t="s">
        <v>118</v>
      </c>
      <c r="P1314" s="5" t="s">
        <v>72</v>
      </c>
      <c r="Q1314" s="5" t="s">
        <v>119</v>
      </c>
      <c r="R1314" s="5" t="s">
        <v>120</v>
      </c>
      <c r="S1314" s="5" t="s">
        <v>214</v>
      </c>
      <c r="T1314" s="5" t="s">
        <v>57</v>
      </c>
      <c r="U1314" s="5" t="s">
        <v>58</v>
      </c>
      <c r="V1314" s="5" t="s">
        <v>215</v>
      </c>
      <c r="W1314" s="5" t="s">
        <v>242</v>
      </c>
      <c r="X1314" s="5" t="s">
        <v>4638</v>
      </c>
      <c r="Y1314" s="5" t="s">
        <v>5548</v>
      </c>
      <c r="Z1314" s="9">
        <v>46013</v>
      </c>
      <c r="AA1314" s="8">
        <v>12</v>
      </c>
      <c r="AB1314" s="9">
        <f t="shared" si="61"/>
        <v>46378</v>
      </c>
      <c r="AC1314" s="10">
        <v>22</v>
      </c>
      <c r="AD1314" s="7">
        <f t="shared" si="62"/>
        <v>1139</v>
      </c>
      <c r="AE1314" s="7">
        <f>IF(F1314="Bullet",H1314*AD1314,MIN(MAX(I1314,1),Assumptions!$B$6)*AD1314)</f>
        <v>2278</v>
      </c>
      <c r="AF1314" s="8">
        <f>IF(F1314="Bullet",MAX(0,Assumptions!$B$4-AB1314),MAX(0,Assumptions!$B$4-L1314))</f>
        <v>42</v>
      </c>
      <c r="AG1314" s="9">
        <v>46228</v>
      </c>
      <c r="AH1314" s="8">
        <f>IF(AG1314="","",Assumptions!$B$4-AG1314)</f>
        <v>70</v>
      </c>
      <c r="AI1314" s="5" t="s">
        <v>63</v>
      </c>
      <c r="AJ1314" s="8">
        <v>2</v>
      </c>
      <c r="AK1314" s="8">
        <v>3</v>
      </c>
      <c r="AL1314" s="8" t="s">
        <v>80</v>
      </c>
      <c r="AM1314" s="8">
        <v>0</v>
      </c>
      <c r="AN1314" s="5" t="s">
        <v>57</v>
      </c>
      <c r="AO1314" s="10">
        <v>68.2</v>
      </c>
      <c r="AP1314" s="8">
        <v>65</v>
      </c>
      <c r="AQ1314" s="9">
        <v>46291</v>
      </c>
      <c r="AR1314" s="5" t="s">
        <v>53</v>
      </c>
      <c r="AS1314" s="5" t="s">
        <v>274</v>
      </c>
    </row>
    <row r="1315" spans="1:45" x14ac:dyDescent="0.35">
      <c r="A1315" s="5" t="s">
        <v>5549</v>
      </c>
      <c r="B1315" s="5" t="s">
        <v>5550</v>
      </c>
      <c r="C1315" s="6" t="s">
        <v>5551</v>
      </c>
      <c r="D1315" s="7">
        <v>79900</v>
      </c>
      <c r="E1315" s="5" t="s">
        <v>48</v>
      </c>
      <c r="F1315" s="5" t="s">
        <v>49</v>
      </c>
      <c r="G1315" s="8"/>
      <c r="H1315" s="8" t="str">
        <f>IF(F1315="Bullet",MIN(G1315,Assumptions!$B$6),"")</f>
        <v/>
      </c>
      <c r="I1315" s="8">
        <v>1</v>
      </c>
      <c r="J1315" s="8">
        <f>IF(F1315="Monthly interest",MAX(0,Assumptions!$B$5-I1315),"")</f>
        <v>2</v>
      </c>
      <c r="K1315" s="7">
        <f t="shared" si="60"/>
        <v>999</v>
      </c>
      <c r="L1315" s="9">
        <v>46277</v>
      </c>
      <c r="M1315" s="5" t="s">
        <v>69</v>
      </c>
      <c r="N1315" s="5" t="s">
        <v>51</v>
      </c>
      <c r="O1315" s="5" t="s">
        <v>52</v>
      </c>
      <c r="P1315" s="5" t="s">
        <v>53</v>
      </c>
      <c r="Q1315" s="5" t="s">
        <v>54</v>
      </c>
      <c r="R1315" s="5" t="s">
        <v>55</v>
      </c>
      <c r="S1315" s="5" t="s">
        <v>56</v>
      </c>
      <c r="T1315" s="5" t="s">
        <v>57</v>
      </c>
      <c r="U1315" s="5" t="s">
        <v>104</v>
      </c>
      <c r="V1315" s="5" t="s">
        <v>59</v>
      </c>
      <c r="W1315" s="5" t="s">
        <v>323</v>
      </c>
      <c r="X1315" s="5" t="s">
        <v>3834</v>
      </c>
      <c r="Y1315" s="5" t="s">
        <v>5552</v>
      </c>
      <c r="Z1315" s="9">
        <v>46185</v>
      </c>
      <c r="AA1315" s="8">
        <v>12</v>
      </c>
      <c r="AB1315" s="9">
        <f t="shared" si="61"/>
        <v>46550</v>
      </c>
      <c r="AC1315" s="10">
        <v>15</v>
      </c>
      <c r="AD1315" s="7">
        <f t="shared" si="62"/>
        <v>999</v>
      </c>
      <c r="AE1315" s="7">
        <f>IF(F1315="Bullet",H1315*AD1315,MIN(MAX(I1315,1),Assumptions!$B$6)*AD1315)</f>
        <v>999</v>
      </c>
      <c r="AF1315" s="8">
        <f>IF(F1315="Bullet",MAX(0,Assumptions!$B$4-AB1315),MAX(0,Assumptions!$B$4-L1315))</f>
        <v>21</v>
      </c>
      <c r="AG1315" s="9">
        <v>46250</v>
      </c>
      <c r="AH1315" s="8">
        <f>IF(AG1315="","",Assumptions!$B$4-AG1315)</f>
        <v>48</v>
      </c>
      <c r="AI1315" s="5" t="s">
        <v>57</v>
      </c>
      <c r="AJ1315" s="8">
        <v>1</v>
      </c>
      <c r="AK1315" s="8">
        <v>1</v>
      </c>
      <c r="AL1315" s="8">
        <v>672</v>
      </c>
      <c r="AM1315" s="8">
        <v>1</v>
      </c>
      <c r="AN1315" s="5" t="s">
        <v>63</v>
      </c>
      <c r="AO1315" s="10">
        <v>83</v>
      </c>
      <c r="AP1315" s="8">
        <v>43</v>
      </c>
      <c r="AQ1315" s="9">
        <v>46287</v>
      </c>
      <c r="AR1315" s="5" t="s">
        <v>51</v>
      </c>
      <c r="AS1315" s="5" t="s">
        <v>181</v>
      </c>
    </row>
    <row r="1316" spans="1:45" x14ac:dyDescent="0.35">
      <c r="A1316" s="5" t="s">
        <v>5553</v>
      </c>
      <c r="B1316" s="5" t="s">
        <v>5554</v>
      </c>
      <c r="C1316" s="6" t="s">
        <v>5555</v>
      </c>
      <c r="D1316" s="7">
        <v>289700</v>
      </c>
      <c r="E1316" s="5" t="s">
        <v>48</v>
      </c>
      <c r="F1316" s="5" t="s">
        <v>68</v>
      </c>
      <c r="G1316" s="8">
        <v>4</v>
      </c>
      <c r="H1316" s="8">
        <f>IF(F1316="Bullet",MIN(G1316,Assumptions!$B$6),"")</f>
        <v>2</v>
      </c>
      <c r="I1316" s="8"/>
      <c r="J1316" s="8" t="str">
        <f>IF(F1316="Monthly interest",MAX(0,Assumptions!$B$5-I1316),"")</f>
        <v/>
      </c>
      <c r="K1316" s="7">
        <f t="shared" si="60"/>
        <v>14484</v>
      </c>
      <c r="L1316" s="9">
        <v>46161</v>
      </c>
      <c r="M1316" s="5" t="s">
        <v>50</v>
      </c>
      <c r="N1316" s="5" t="s">
        <v>70</v>
      </c>
      <c r="O1316" s="5" t="s">
        <v>531</v>
      </c>
      <c r="P1316" s="5" t="s">
        <v>72</v>
      </c>
      <c r="Q1316" s="5" t="s">
        <v>73</v>
      </c>
      <c r="R1316" s="5" t="s">
        <v>74</v>
      </c>
      <c r="S1316" s="5" t="s">
        <v>253</v>
      </c>
      <c r="T1316" s="5" t="s">
        <v>57</v>
      </c>
      <c r="U1316" s="5" t="s">
        <v>86</v>
      </c>
      <c r="V1316" s="5" t="s">
        <v>186</v>
      </c>
      <c r="W1316" s="5" t="s">
        <v>187</v>
      </c>
      <c r="X1316" s="5" t="s">
        <v>1161</v>
      </c>
      <c r="Y1316" s="5" t="s">
        <v>5556</v>
      </c>
      <c r="Z1316" s="9">
        <v>46161</v>
      </c>
      <c r="AA1316" s="8">
        <v>6</v>
      </c>
      <c r="AB1316" s="9">
        <f t="shared" si="61"/>
        <v>46345</v>
      </c>
      <c r="AC1316" s="10">
        <v>15</v>
      </c>
      <c r="AD1316" s="7">
        <f t="shared" si="62"/>
        <v>3621</v>
      </c>
      <c r="AE1316" s="7">
        <f>IF(F1316="Bullet",H1316*AD1316,MIN(MAX(I1316,1),Assumptions!$B$6)*AD1316)</f>
        <v>7242</v>
      </c>
      <c r="AF1316" s="8">
        <f>IF(F1316="Bullet",MAX(0,Assumptions!$B$4-AB1316),MAX(0,Assumptions!$B$4-L1316))</f>
        <v>0</v>
      </c>
      <c r="AG1316" s="9"/>
      <c r="AH1316" s="8" t="str">
        <f>IF(AG1316="","",Assumptions!$B$4-AG1316)</f>
        <v/>
      </c>
      <c r="AI1316" s="5" t="s">
        <v>80</v>
      </c>
      <c r="AJ1316" s="8"/>
      <c r="AK1316" s="8">
        <v>0</v>
      </c>
      <c r="AL1316" s="8">
        <v>746</v>
      </c>
      <c r="AM1316" s="8">
        <v>0</v>
      </c>
      <c r="AN1316" s="5" t="s">
        <v>63</v>
      </c>
      <c r="AO1316" s="10">
        <v>66.400000000000006</v>
      </c>
      <c r="AP1316" s="8">
        <v>17</v>
      </c>
      <c r="AQ1316" s="9">
        <v>46287</v>
      </c>
      <c r="AR1316" s="5" t="s">
        <v>53</v>
      </c>
      <c r="AS1316" s="5" t="s">
        <v>81</v>
      </c>
    </row>
    <row r="1317" spans="1:45" x14ac:dyDescent="0.35">
      <c r="A1317" s="5" t="s">
        <v>5557</v>
      </c>
      <c r="B1317" s="5" t="s">
        <v>990</v>
      </c>
      <c r="C1317" s="6" t="s">
        <v>5558</v>
      </c>
      <c r="D1317" s="7">
        <v>80700</v>
      </c>
      <c r="E1317" s="5" t="s">
        <v>48</v>
      </c>
      <c r="F1317" s="5" t="s">
        <v>49</v>
      </c>
      <c r="G1317" s="8"/>
      <c r="H1317" s="8" t="str">
        <f>IF(F1317="Bullet",MIN(G1317,Assumptions!$B$6),"")</f>
        <v/>
      </c>
      <c r="I1317" s="8">
        <v>1</v>
      </c>
      <c r="J1317" s="8">
        <f>IF(F1317="Monthly interest",MAX(0,Assumptions!$B$5-I1317),"")</f>
        <v>2</v>
      </c>
      <c r="K1317" s="7">
        <f t="shared" si="60"/>
        <v>1345</v>
      </c>
      <c r="L1317" s="9">
        <v>46298</v>
      </c>
      <c r="M1317" s="5" t="s">
        <v>50</v>
      </c>
      <c r="N1317" s="5" t="s">
        <v>53</v>
      </c>
      <c r="O1317" s="5" t="s">
        <v>132</v>
      </c>
      <c r="P1317" s="5" t="s">
        <v>51</v>
      </c>
      <c r="Q1317" s="5" t="s">
        <v>54</v>
      </c>
      <c r="R1317" s="5" t="s">
        <v>55</v>
      </c>
      <c r="S1317" s="5" t="s">
        <v>85</v>
      </c>
      <c r="T1317" s="5" t="s">
        <v>57</v>
      </c>
      <c r="U1317" s="5" t="s">
        <v>104</v>
      </c>
      <c r="V1317" s="5" t="s">
        <v>96</v>
      </c>
      <c r="W1317" s="5" t="s">
        <v>819</v>
      </c>
      <c r="X1317" s="5" t="s">
        <v>3780</v>
      </c>
      <c r="Y1317" s="5" t="s">
        <v>5559</v>
      </c>
      <c r="Z1317" s="9">
        <v>46025</v>
      </c>
      <c r="AA1317" s="8">
        <v>12</v>
      </c>
      <c r="AB1317" s="9">
        <f t="shared" si="61"/>
        <v>46390</v>
      </c>
      <c r="AC1317" s="10">
        <v>20</v>
      </c>
      <c r="AD1317" s="7">
        <f t="shared" si="62"/>
        <v>1345</v>
      </c>
      <c r="AE1317" s="7">
        <f>IF(F1317="Bullet",H1317*AD1317,MIN(MAX(I1317,1),Assumptions!$B$6)*AD1317)</f>
        <v>1345</v>
      </c>
      <c r="AF1317" s="8">
        <f>IF(F1317="Bullet",MAX(0,Assumptions!$B$4-AB1317),MAX(0,Assumptions!$B$4-L1317))</f>
        <v>0</v>
      </c>
      <c r="AG1317" s="9">
        <v>46271</v>
      </c>
      <c r="AH1317" s="8">
        <f>IF(AG1317="","",Assumptions!$B$4-AG1317)</f>
        <v>27</v>
      </c>
      <c r="AI1317" s="5" t="s">
        <v>63</v>
      </c>
      <c r="AJ1317" s="8">
        <v>2</v>
      </c>
      <c r="AK1317" s="8">
        <v>0</v>
      </c>
      <c r="AL1317" s="8">
        <v>744</v>
      </c>
      <c r="AM1317" s="8">
        <v>0</v>
      </c>
      <c r="AN1317" s="5" t="s">
        <v>63</v>
      </c>
      <c r="AO1317" s="10">
        <v>64.3</v>
      </c>
      <c r="AP1317" s="8">
        <v>18</v>
      </c>
      <c r="AQ1317" s="9">
        <v>46281</v>
      </c>
      <c r="AR1317" s="5" t="s">
        <v>51</v>
      </c>
      <c r="AS1317" s="5" t="s">
        <v>91</v>
      </c>
    </row>
    <row r="1318" spans="1:45" x14ac:dyDescent="0.35">
      <c r="A1318" s="5" t="s">
        <v>5560</v>
      </c>
      <c r="B1318" s="5" t="s">
        <v>5561</v>
      </c>
      <c r="C1318" s="6" t="s">
        <v>5562</v>
      </c>
      <c r="D1318" s="7">
        <v>409800</v>
      </c>
      <c r="E1318" s="5" t="s">
        <v>48</v>
      </c>
      <c r="F1318" s="5" t="s">
        <v>68</v>
      </c>
      <c r="G1318" s="8">
        <v>3</v>
      </c>
      <c r="H1318" s="8">
        <f>IF(F1318="Bullet",MIN(G1318,Assumptions!$B$6),"")</f>
        <v>2</v>
      </c>
      <c r="I1318" s="8"/>
      <c r="J1318" s="8" t="str">
        <f>IF(F1318="Monthly interest",MAX(0,Assumptions!$B$5-I1318),"")</f>
        <v/>
      </c>
      <c r="K1318" s="7">
        <f t="shared" si="60"/>
        <v>13320</v>
      </c>
      <c r="L1318" s="9">
        <v>46200</v>
      </c>
      <c r="M1318" s="5" t="s">
        <v>69</v>
      </c>
      <c r="N1318" s="5" t="s">
        <v>70</v>
      </c>
      <c r="O1318" s="5" t="s">
        <v>71</v>
      </c>
      <c r="P1318" s="5" t="s">
        <v>72</v>
      </c>
      <c r="Q1318" s="5" t="s">
        <v>73</v>
      </c>
      <c r="R1318" s="5" t="s">
        <v>74</v>
      </c>
      <c r="S1318" s="5" t="s">
        <v>75</v>
      </c>
      <c r="T1318" s="5" t="s">
        <v>57</v>
      </c>
      <c r="U1318" s="5" t="s">
        <v>58</v>
      </c>
      <c r="V1318" s="5" t="s">
        <v>76</v>
      </c>
      <c r="W1318" s="5" t="s">
        <v>444</v>
      </c>
      <c r="X1318" s="5" t="s">
        <v>4220</v>
      </c>
      <c r="Y1318" s="5" t="s">
        <v>5563</v>
      </c>
      <c r="Z1318" s="9">
        <v>46200</v>
      </c>
      <c r="AA1318" s="8">
        <v>12</v>
      </c>
      <c r="AB1318" s="9">
        <f t="shared" si="61"/>
        <v>46565</v>
      </c>
      <c r="AC1318" s="10">
        <v>13</v>
      </c>
      <c r="AD1318" s="7">
        <f t="shared" si="62"/>
        <v>4440</v>
      </c>
      <c r="AE1318" s="7">
        <f>IF(F1318="Bullet",H1318*AD1318,MIN(MAX(I1318,1),Assumptions!$B$6)*AD1318)</f>
        <v>8880</v>
      </c>
      <c r="AF1318" s="8">
        <f>IF(F1318="Bullet",MAX(0,Assumptions!$B$4-AB1318),MAX(0,Assumptions!$B$4-L1318))</f>
        <v>0</v>
      </c>
      <c r="AG1318" s="9"/>
      <c r="AH1318" s="8" t="str">
        <f>IF(AG1318="","",Assumptions!$B$4-AG1318)</f>
        <v/>
      </c>
      <c r="AI1318" s="5" t="s">
        <v>80</v>
      </c>
      <c r="AJ1318" s="8"/>
      <c r="AK1318" s="8">
        <v>0</v>
      </c>
      <c r="AL1318" s="8">
        <v>650</v>
      </c>
      <c r="AM1318" s="8">
        <v>2</v>
      </c>
      <c r="AN1318" s="5" t="s">
        <v>63</v>
      </c>
      <c r="AO1318" s="10">
        <v>88</v>
      </c>
      <c r="AP1318" s="8">
        <v>45</v>
      </c>
      <c r="AQ1318" s="9">
        <v>46280</v>
      </c>
      <c r="AR1318" s="5" t="s">
        <v>53</v>
      </c>
      <c r="AS1318" s="5" t="s">
        <v>190</v>
      </c>
    </row>
    <row r="1319" spans="1:45" x14ac:dyDescent="0.35">
      <c r="A1319" s="5" t="s">
        <v>5564</v>
      </c>
      <c r="B1319" s="5" t="s">
        <v>3095</v>
      </c>
      <c r="C1319" s="6" t="s">
        <v>5565</v>
      </c>
      <c r="D1319" s="7">
        <v>819700</v>
      </c>
      <c r="E1319" s="5" t="s">
        <v>48</v>
      </c>
      <c r="F1319" s="5" t="s">
        <v>68</v>
      </c>
      <c r="G1319" s="8">
        <v>3</v>
      </c>
      <c r="H1319" s="8">
        <f>IF(F1319="Bullet",MIN(G1319,Assumptions!$B$6),"")</f>
        <v>2</v>
      </c>
      <c r="I1319" s="8"/>
      <c r="J1319" s="8" t="str">
        <f>IF(F1319="Monthly interest",MAX(0,Assumptions!$B$5-I1319),"")</f>
        <v/>
      </c>
      <c r="K1319" s="7">
        <f t="shared" si="60"/>
        <v>26640</v>
      </c>
      <c r="L1319" s="9">
        <v>46191</v>
      </c>
      <c r="M1319" s="5" t="s">
        <v>116</v>
      </c>
      <c r="N1319" s="5" t="s">
        <v>117</v>
      </c>
      <c r="O1319" s="5" t="s">
        <v>207</v>
      </c>
      <c r="P1319" s="5" t="s">
        <v>72</v>
      </c>
      <c r="Q1319" s="5" t="s">
        <v>73</v>
      </c>
      <c r="R1319" s="5" t="s">
        <v>74</v>
      </c>
      <c r="S1319" s="5" t="s">
        <v>85</v>
      </c>
      <c r="T1319" s="5" t="s">
        <v>57</v>
      </c>
      <c r="U1319" s="5" t="s">
        <v>104</v>
      </c>
      <c r="V1319" s="5" t="s">
        <v>177</v>
      </c>
      <c r="W1319" s="5" t="s">
        <v>345</v>
      </c>
      <c r="X1319" s="5" t="s">
        <v>388</v>
      </c>
      <c r="Y1319" s="5" t="s">
        <v>5566</v>
      </c>
      <c r="Z1319" s="9">
        <v>46191</v>
      </c>
      <c r="AA1319" s="8">
        <v>3</v>
      </c>
      <c r="AB1319" s="9">
        <f t="shared" si="61"/>
        <v>46283</v>
      </c>
      <c r="AC1319" s="10">
        <v>13</v>
      </c>
      <c r="AD1319" s="7">
        <f t="shared" si="62"/>
        <v>8880</v>
      </c>
      <c r="AE1319" s="7">
        <f>IF(F1319="Bullet",H1319*AD1319,MIN(MAX(I1319,1),Assumptions!$B$6)*AD1319)</f>
        <v>17760</v>
      </c>
      <c r="AF1319" s="8">
        <f>IF(F1319="Bullet",MAX(0,Assumptions!$B$4-AB1319),MAX(0,Assumptions!$B$4-L1319))</f>
        <v>15</v>
      </c>
      <c r="AG1319" s="9"/>
      <c r="AH1319" s="8" t="str">
        <f>IF(AG1319="","",Assumptions!$B$4-AG1319)</f>
        <v/>
      </c>
      <c r="AI1319" s="5" t="s">
        <v>80</v>
      </c>
      <c r="AJ1319" s="8"/>
      <c r="AK1319" s="8">
        <v>2</v>
      </c>
      <c r="AL1319" s="8">
        <v>612</v>
      </c>
      <c r="AM1319" s="8">
        <v>2</v>
      </c>
      <c r="AN1319" s="5" t="s">
        <v>63</v>
      </c>
      <c r="AO1319" s="10">
        <v>72.900000000000006</v>
      </c>
      <c r="AP1319" s="8">
        <v>62</v>
      </c>
      <c r="AQ1319" s="9">
        <v>46291</v>
      </c>
      <c r="AR1319" s="5" t="s">
        <v>53</v>
      </c>
      <c r="AS1319" s="5" t="s">
        <v>81</v>
      </c>
    </row>
    <row r="1320" spans="1:45" x14ac:dyDescent="0.35">
      <c r="A1320" s="5" t="s">
        <v>5567</v>
      </c>
      <c r="B1320" s="5" t="s">
        <v>5568</v>
      </c>
      <c r="C1320" s="6" t="s">
        <v>5569</v>
      </c>
      <c r="D1320" s="7">
        <v>186100</v>
      </c>
      <c r="E1320" s="5" t="s">
        <v>48</v>
      </c>
      <c r="F1320" s="5" t="s">
        <v>68</v>
      </c>
      <c r="G1320" s="8">
        <v>3</v>
      </c>
      <c r="H1320" s="8">
        <f>IF(F1320="Bullet",MIN(G1320,Assumptions!$B$6),"")</f>
        <v>2</v>
      </c>
      <c r="I1320" s="8"/>
      <c r="J1320" s="8" t="str">
        <f>IF(F1320="Monthly interest",MAX(0,Assumptions!$B$5-I1320),"")</f>
        <v/>
      </c>
      <c r="K1320" s="7">
        <f t="shared" si="60"/>
        <v>7443</v>
      </c>
      <c r="L1320" s="9">
        <v>46206</v>
      </c>
      <c r="M1320" s="5" t="s">
        <v>50</v>
      </c>
      <c r="N1320" s="5" t="s">
        <v>53</v>
      </c>
      <c r="O1320" s="5" t="s">
        <v>71</v>
      </c>
      <c r="P1320" s="5" t="s">
        <v>51</v>
      </c>
      <c r="Q1320" s="5" t="s">
        <v>73</v>
      </c>
      <c r="R1320" s="5" t="s">
        <v>74</v>
      </c>
      <c r="S1320" s="5" t="s">
        <v>185</v>
      </c>
      <c r="T1320" s="5" t="s">
        <v>57</v>
      </c>
      <c r="U1320" s="5" t="s">
        <v>86</v>
      </c>
      <c r="V1320" s="5" t="s">
        <v>186</v>
      </c>
      <c r="W1320" s="5" t="s">
        <v>376</v>
      </c>
      <c r="X1320" s="5" t="s">
        <v>1010</v>
      </c>
      <c r="Y1320" s="5" t="s">
        <v>5570</v>
      </c>
      <c r="Z1320" s="9">
        <v>46206</v>
      </c>
      <c r="AA1320" s="8">
        <v>6</v>
      </c>
      <c r="AB1320" s="9">
        <f t="shared" si="61"/>
        <v>46390</v>
      </c>
      <c r="AC1320" s="10">
        <v>16</v>
      </c>
      <c r="AD1320" s="7">
        <f t="shared" si="62"/>
        <v>2481</v>
      </c>
      <c r="AE1320" s="7">
        <f>IF(F1320="Bullet",H1320*AD1320,MIN(MAX(I1320,1),Assumptions!$B$6)*AD1320)</f>
        <v>4962</v>
      </c>
      <c r="AF1320" s="8">
        <f>IF(F1320="Bullet",MAX(0,Assumptions!$B$4-AB1320),MAX(0,Assumptions!$B$4-L1320))</f>
        <v>0</v>
      </c>
      <c r="AG1320" s="9"/>
      <c r="AH1320" s="8" t="str">
        <f>IF(AG1320="","",Assumptions!$B$4-AG1320)</f>
        <v/>
      </c>
      <c r="AI1320" s="5" t="s">
        <v>80</v>
      </c>
      <c r="AJ1320" s="8"/>
      <c r="AK1320" s="8">
        <v>3</v>
      </c>
      <c r="AL1320" s="8">
        <v>857</v>
      </c>
      <c r="AM1320" s="8">
        <v>1</v>
      </c>
      <c r="AN1320" s="5" t="s">
        <v>63</v>
      </c>
      <c r="AO1320" s="10">
        <v>70.5</v>
      </c>
      <c r="AP1320" s="8">
        <v>19</v>
      </c>
      <c r="AQ1320" s="9">
        <v>46273</v>
      </c>
      <c r="AR1320" s="5" t="s">
        <v>70</v>
      </c>
      <c r="AS1320" s="5" t="s">
        <v>64</v>
      </c>
    </row>
    <row r="1321" spans="1:45" x14ac:dyDescent="0.35">
      <c r="A1321" s="5" t="s">
        <v>5571</v>
      </c>
      <c r="B1321" s="5" t="s">
        <v>634</v>
      </c>
      <c r="C1321" s="6" t="s">
        <v>5572</v>
      </c>
      <c r="D1321" s="7">
        <v>95400</v>
      </c>
      <c r="E1321" s="5" t="s">
        <v>48</v>
      </c>
      <c r="F1321" s="5" t="s">
        <v>68</v>
      </c>
      <c r="G1321" s="8">
        <v>2</v>
      </c>
      <c r="H1321" s="8">
        <f>IF(F1321="Bullet",MIN(G1321,Assumptions!$B$6),"")</f>
        <v>2</v>
      </c>
      <c r="I1321" s="8"/>
      <c r="J1321" s="8" t="str">
        <f>IF(F1321="Monthly interest",MAX(0,Assumptions!$B$5-I1321),"")</f>
        <v/>
      </c>
      <c r="K1321" s="7">
        <f t="shared" si="60"/>
        <v>2226</v>
      </c>
      <c r="L1321" s="9">
        <v>46232</v>
      </c>
      <c r="M1321" s="5" t="s">
        <v>50</v>
      </c>
      <c r="N1321" s="5" t="s">
        <v>51</v>
      </c>
      <c r="O1321" s="5" t="s">
        <v>71</v>
      </c>
      <c r="P1321" s="5" t="s">
        <v>53</v>
      </c>
      <c r="Q1321" s="5" t="s">
        <v>73</v>
      </c>
      <c r="R1321" s="5" t="s">
        <v>74</v>
      </c>
      <c r="S1321" s="5" t="s">
        <v>85</v>
      </c>
      <c r="T1321" s="5" t="s">
        <v>57</v>
      </c>
      <c r="U1321" s="5" t="s">
        <v>86</v>
      </c>
      <c r="V1321" s="5" t="s">
        <v>553</v>
      </c>
      <c r="W1321" s="5" t="s">
        <v>1029</v>
      </c>
      <c r="X1321" s="5" t="s">
        <v>2599</v>
      </c>
      <c r="Y1321" s="5" t="s">
        <v>5573</v>
      </c>
      <c r="Z1321" s="9">
        <v>46232</v>
      </c>
      <c r="AA1321" s="8">
        <v>6</v>
      </c>
      <c r="AB1321" s="9">
        <f t="shared" si="61"/>
        <v>46416</v>
      </c>
      <c r="AC1321" s="10">
        <v>14</v>
      </c>
      <c r="AD1321" s="7">
        <f t="shared" si="62"/>
        <v>1113</v>
      </c>
      <c r="AE1321" s="7">
        <f>IF(F1321="Bullet",H1321*AD1321,MIN(MAX(I1321,1),Assumptions!$B$6)*AD1321)</f>
        <v>2226</v>
      </c>
      <c r="AF1321" s="8">
        <f>IF(F1321="Bullet",MAX(0,Assumptions!$B$4-AB1321),MAX(0,Assumptions!$B$4-L1321))</f>
        <v>0</v>
      </c>
      <c r="AG1321" s="9"/>
      <c r="AH1321" s="8" t="str">
        <f>IF(AG1321="","",Assumptions!$B$4-AG1321)</f>
        <v/>
      </c>
      <c r="AI1321" s="5" t="s">
        <v>80</v>
      </c>
      <c r="AJ1321" s="8"/>
      <c r="AK1321" s="8">
        <v>1</v>
      </c>
      <c r="AL1321" s="8">
        <v>714</v>
      </c>
      <c r="AM1321" s="8">
        <v>2</v>
      </c>
      <c r="AN1321" s="5" t="s">
        <v>63</v>
      </c>
      <c r="AO1321" s="10">
        <v>68</v>
      </c>
      <c r="AP1321" s="8">
        <v>27</v>
      </c>
      <c r="AQ1321" s="9">
        <v>46292</v>
      </c>
      <c r="AR1321" s="5" t="s">
        <v>72</v>
      </c>
      <c r="AS1321" s="5" t="s">
        <v>81</v>
      </c>
    </row>
    <row r="1322" spans="1:45" x14ac:dyDescent="0.35">
      <c r="A1322" s="5" t="s">
        <v>5574</v>
      </c>
      <c r="B1322" s="5" t="s">
        <v>1526</v>
      </c>
      <c r="C1322" s="6" t="s">
        <v>5575</v>
      </c>
      <c r="D1322" s="7">
        <v>183000</v>
      </c>
      <c r="E1322" s="5" t="s">
        <v>48</v>
      </c>
      <c r="F1322" s="5" t="s">
        <v>49</v>
      </c>
      <c r="G1322" s="8"/>
      <c r="H1322" s="8" t="str">
        <f>IF(F1322="Bullet",MIN(G1322,Assumptions!$B$6),"")</f>
        <v/>
      </c>
      <c r="I1322" s="8">
        <v>2</v>
      </c>
      <c r="J1322" s="8">
        <f>IF(F1322="Monthly interest",MAX(0,Assumptions!$B$5-I1322),"")</f>
        <v>1</v>
      </c>
      <c r="K1322" s="7">
        <f t="shared" si="60"/>
        <v>6710</v>
      </c>
      <c r="L1322" s="9">
        <v>46255</v>
      </c>
      <c r="M1322" s="5" t="s">
        <v>116</v>
      </c>
      <c r="N1322" s="5" t="s">
        <v>117</v>
      </c>
      <c r="O1322" s="5" t="s">
        <v>118</v>
      </c>
      <c r="P1322" s="5" t="s">
        <v>72</v>
      </c>
      <c r="Q1322" s="5" t="s">
        <v>119</v>
      </c>
      <c r="R1322" s="5" t="s">
        <v>120</v>
      </c>
      <c r="S1322" s="5" t="s">
        <v>85</v>
      </c>
      <c r="T1322" s="5" t="s">
        <v>57</v>
      </c>
      <c r="U1322" s="5" t="s">
        <v>86</v>
      </c>
      <c r="V1322" s="5" t="s">
        <v>553</v>
      </c>
      <c r="W1322" s="5" t="s">
        <v>1029</v>
      </c>
      <c r="X1322" s="5" t="s">
        <v>5576</v>
      </c>
      <c r="Y1322" s="5" t="s">
        <v>5577</v>
      </c>
      <c r="Z1322" s="9">
        <v>45982</v>
      </c>
      <c r="AA1322" s="8">
        <v>24</v>
      </c>
      <c r="AB1322" s="9">
        <f t="shared" si="61"/>
        <v>46712</v>
      </c>
      <c r="AC1322" s="10">
        <v>22</v>
      </c>
      <c r="AD1322" s="7">
        <f t="shared" si="62"/>
        <v>3355</v>
      </c>
      <c r="AE1322" s="7">
        <f>IF(F1322="Bullet",H1322*AD1322,MIN(MAX(I1322,1),Assumptions!$B$6)*AD1322)</f>
        <v>6710</v>
      </c>
      <c r="AF1322" s="8">
        <f>IF(F1322="Bullet",MAX(0,Assumptions!$B$4-AB1322),MAX(0,Assumptions!$B$4-L1322))</f>
        <v>43</v>
      </c>
      <c r="AG1322" s="9">
        <v>46229</v>
      </c>
      <c r="AH1322" s="8">
        <f>IF(AG1322="","",Assumptions!$B$4-AG1322)</f>
        <v>69</v>
      </c>
      <c r="AI1322" s="5" t="s">
        <v>63</v>
      </c>
      <c r="AJ1322" s="8">
        <v>2</v>
      </c>
      <c r="AK1322" s="8">
        <v>0</v>
      </c>
      <c r="AL1322" s="8">
        <v>627</v>
      </c>
      <c r="AM1322" s="8">
        <v>2</v>
      </c>
      <c r="AN1322" s="5" t="s">
        <v>57</v>
      </c>
      <c r="AO1322" s="10">
        <v>74.5</v>
      </c>
      <c r="AP1322" s="8">
        <v>66</v>
      </c>
      <c r="AQ1322" s="9">
        <v>46274</v>
      </c>
      <c r="AR1322" s="5" t="s">
        <v>72</v>
      </c>
      <c r="AS1322" s="5" t="s">
        <v>81</v>
      </c>
    </row>
    <row r="1323" spans="1:45" x14ac:dyDescent="0.35">
      <c r="A1323" s="5" t="s">
        <v>5578</v>
      </c>
      <c r="B1323" s="5" t="s">
        <v>3258</v>
      </c>
      <c r="C1323" s="6" t="s">
        <v>5579</v>
      </c>
      <c r="D1323" s="7">
        <v>42800</v>
      </c>
      <c r="E1323" s="5" t="s">
        <v>48</v>
      </c>
      <c r="F1323" s="5" t="s">
        <v>49</v>
      </c>
      <c r="G1323" s="8"/>
      <c r="H1323" s="8" t="str">
        <f>IF(F1323="Bullet",MIN(G1323,Assumptions!$B$6),"")</f>
        <v/>
      </c>
      <c r="I1323" s="8">
        <v>2</v>
      </c>
      <c r="J1323" s="8">
        <f>IF(F1323="Monthly interest",MAX(0,Assumptions!$B$5-I1323),"")</f>
        <v>1</v>
      </c>
      <c r="K1323" s="7">
        <f t="shared" si="60"/>
        <v>1070</v>
      </c>
      <c r="L1323" s="9">
        <v>46267</v>
      </c>
      <c r="M1323" s="5" t="s">
        <v>69</v>
      </c>
      <c r="N1323" s="5" t="s">
        <v>53</v>
      </c>
      <c r="O1323" s="5" t="s">
        <v>152</v>
      </c>
      <c r="P1323" s="5" t="s">
        <v>153</v>
      </c>
      <c r="Q1323" s="5" t="s">
        <v>154</v>
      </c>
      <c r="R1323" s="5" t="s">
        <v>155</v>
      </c>
      <c r="S1323" s="5" t="s">
        <v>75</v>
      </c>
      <c r="T1323" s="5" t="s">
        <v>57</v>
      </c>
      <c r="U1323" s="5" t="s">
        <v>86</v>
      </c>
      <c r="V1323" s="5" t="s">
        <v>76</v>
      </c>
      <c r="W1323" s="5" t="s">
        <v>146</v>
      </c>
      <c r="X1323" s="5" t="s">
        <v>2121</v>
      </c>
      <c r="Y1323" s="5" t="s">
        <v>5580</v>
      </c>
      <c r="Z1323" s="9">
        <v>46024</v>
      </c>
      <c r="AA1323" s="8">
        <v>12</v>
      </c>
      <c r="AB1323" s="9">
        <f t="shared" si="61"/>
        <v>46389</v>
      </c>
      <c r="AC1323" s="10">
        <v>15</v>
      </c>
      <c r="AD1323" s="7">
        <f t="shared" si="62"/>
        <v>535</v>
      </c>
      <c r="AE1323" s="7">
        <f>IF(F1323="Bullet",H1323*AD1323,MIN(MAX(I1323,1),Assumptions!$B$6)*AD1323)</f>
        <v>1070</v>
      </c>
      <c r="AF1323" s="8">
        <f>IF(F1323="Bullet",MAX(0,Assumptions!$B$4-AB1323),MAX(0,Assumptions!$B$4-L1323))</f>
        <v>31</v>
      </c>
      <c r="AG1323" s="9">
        <v>46237</v>
      </c>
      <c r="AH1323" s="8">
        <f>IF(AG1323="","",Assumptions!$B$4-AG1323)</f>
        <v>61</v>
      </c>
      <c r="AI1323" s="5" t="s">
        <v>63</v>
      </c>
      <c r="AJ1323" s="8">
        <v>2</v>
      </c>
      <c r="AK1323" s="8">
        <v>1</v>
      </c>
      <c r="AL1323" s="8" t="s">
        <v>80</v>
      </c>
      <c r="AM1323" s="8">
        <v>4</v>
      </c>
      <c r="AN1323" s="5" t="s">
        <v>63</v>
      </c>
      <c r="AO1323" s="10">
        <v>56.4</v>
      </c>
      <c r="AP1323" s="8">
        <v>47</v>
      </c>
      <c r="AQ1323" s="9">
        <v>46293</v>
      </c>
      <c r="AR1323" s="5" t="s">
        <v>70</v>
      </c>
      <c r="AS1323" s="5" t="s">
        <v>91</v>
      </c>
    </row>
    <row r="1324" spans="1:45" x14ac:dyDescent="0.35">
      <c r="A1324" s="5" t="s">
        <v>5581</v>
      </c>
      <c r="B1324" s="5" t="s">
        <v>4269</v>
      </c>
      <c r="C1324" s="6" t="s">
        <v>5582</v>
      </c>
      <c r="D1324" s="7">
        <v>190900</v>
      </c>
      <c r="E1324" s="5" t="s">
        <v>48</v>
      </c>
      <c r="F1324" s="5" t="s">
        <v>49</v>
      </c>
      <c r="G1324" s="8"/>
      <c r="H1324" s="8" t="str">
        <f>IF(F1324="Bullet",MIN(G1324,Assumptions!$B$6),"")</f>
        <v/>
      </c>
      <c r="I1324" s="8">
        <v>2</v>
      </c>
      <c r="J1324" s="8">
        <f>IF(F1324="Monthly interest",MAX(0,Assumptions!$B$5-I1324),"")</f>
        <v>1</v>
      </c>
      <c r="K1324" s="7">
        <f t="shared" si="60"/>
        <v>6364</v>
      </c>
      <c r="L1324" s="9">
        <v>46250</v>
      </c>
      <c r="M1324" s="5" t="s">
        <v>116</v>
      </c>
      <c r="N1324" s="5" t="s">
        <v>117</v>
      </c>
      <c r="O1324" s="5" t="s">
        <v>118</v>
      </c>
      <c r="P1324" s="5" t="s">
        <v>72</v>
      </c>
      <c r="Q1324" s="5" t="s">
        <v>119</v>
      </c>
      <c r="R1324" s="5" t="s">
        <v>120</v>
      </c>
      <c r="S1324" s="5" t="s">
        <v>85</v>
      </c>
      <c r="T1324" s="5" t="s">
        <v>57</v>
      </c>
      <c r="U1324" s="5" t="s">
        <v>58</v>
      </c>
      <c r="V1324" s="5" t="s">
        <v>553</v>
      </c>
      <c r="W1324" s="5" t="s">
        <v>1029</v>
      </c>
      <c r="X1324" s="5" t="s">
        <v>5583</v>
      </c>
      <c r="Y1324" s="5" t="s">
        <v>5584</v>
      </c>
      <c r="Z1324" s="9">
        <v>46038</v>
      </c>
      <c r="AA1324" s="8">
        <v>18</v>
      </c>
      <c r="AB1324" s="9">
        <f t="shared" si="61"/>
        <v>46584</v>
      </c>
      <c r="AC1324" s="10">
        <v>20</v>
      </c>
      <c r="AD1324" s="7">
        <f t="shared" si="62"/>
        <v>3182</v>
      </c>
      <c r="AE1324" s="7">
        <f>IF(F1324="Bullet",H1324*AD1324,MIN(MAX(I1324,1),Assumptions!$B$6)*AD1324)</f>
        <v>6364</v>
      </c>
      <c r="AF1324" s="8">
        <f>IF(F1324="Bullet",MAX(0,Assumptions!$B$4-AB1324),MAX(0,Assumptions!$B$4-L1324))</f>
        <v>48</v>
      </c>
      <c r="AG1324" s="9">
        <v>46220</v>
      </c>
      <c r="AH1324" s="8">
        <f>IF(AG1324="","",Assumptions!$B$4-AG1324)</f>
        <v>78</v>
      </c>
      <c r="AI1324" s="5" t="s">
        <v>57</v>
      </c>
      <c r="AJ1324" s="8">
        <v>2</v>
      </c>
      <c r="AK1324" s="8">
        <v>0</v>
      </c>
      <c r="AL1324" s="8">
        <v>577</v>
      </c>
      <c r="AM1324" s="8">
        <v>0</v>
      </c>
      <c r="AN1324" s="5" t="s">
        <v>63</v>
      </c>
      <c r="AO1324" s="10">
        <v>76.8</v>
      </c>
      <c r="AP1324" s="8">
        <v>63</v>
      </c>
      <c r="AQ1324" s="9">
        <v>46288</v>
      </c>
      <c r="AR1324" s="5" t="s">
        <v>70</v>
      </c>
      <c r="AS1324" s="5" t="s">
        <v>91</v>
      </c>
    </row>
    <row r="1325" spans="1:45" x14ac:dyDescent="0.35">
      <c r="A1325" s="5" t="s">
        <v>5585</v>
      </c>
      <c r="B1325" s="5" t="s">
        <v>5586</v>
      </c>
      <c r="C1325" s="6" t="s">
        <v>5587</v>
      </c>
      <c r="D1325" s="7">
        <v>27500</v>
      </c>
      <c r="E1325" s="5" t="s">
        <v>48</v>
      </c>
      <c r="F1325" s="5" t="s">
        <v>68</v>
      </c>
      <c r="G1325" s="8">
        <v>4</v>
      </c>
      <c r="H1325" s="8">
        <f>IF(F1325="Bullet",MIN(G1325,Assumptions!$B$6),"")</f>
        <v>2</v>
      </c>
      <c r="I1325" s="8"/>
      <c r="J1325" s="8" t="str">
        <f>IF(F1325="Monthly interest",MAX(0,Assumptions!$B$5-I1325),"")</f>
        <v/>
      </c>
      <c r="K1325" s="7">
        <f t="shared" si="60"/>
        <v>1652</v>
      </c>
      <c r="L1325" s="9">
        <v>46164</v>
      </c>
      <c r="M1325" s="5" t="s">
        <v>69</v>
      </c>
      <c r="N1325" s="5" t="s">
        <v>53</v>
      </c>
      <c r="O1325" s="5" t="s">
        <v>152</v>
      </c>
      <c r="P1325" s="5" t="s">
        <v>153</v>
      </c>
      <c r="Q1325" s="5" t="s">
        <v>154</v>
      </c>
      <c r="R1325" s="5" t="s">
        <v>155</v>
      </c>
      <c r="S1325" s="5" t="s">
        <v>214</v>
      </c>
      <c r="T1325" s="5" t="s">
        <v>57</v>
      </c>
      <c r="U1325" s="5" t="s">
        <v>104</v>
      </c>
      <c r="V1325" s="5" t="s">
        <v>215</v>
      </c>
      <c r="W1325" s="5" t="s">
        <v>1057</v>
      </c>
      <c r="X1325" s="5" t="s">
        <v>4964</v>
      </c>
      <c r="Y1325" s="5" t="s">
        <v>5588</v>
      </c>
      <c r="Z1325" s="9">
        <v>46164</v>
      </c>
      <c r="AA1325" s="8">
        <v>12</v>
      </c>
      <c r="AB1325" s="9">
        <f t="shared" si="61"/>
        <v>46529</v>
      </c>
      <c r="AC1325" s="10">
        <v>18</v>
      </c>
      <c r="AD1325" s="7">
        <f t="shared" si="62"/>
        <v>413</v>
      </c>
      <c r="AE1325" s="7">
        <f>IF(F1325="Bullet",H1325*AD1325,MIN(MAX(I1325,1),Assumptions!$B$6)*AD1325)</f>
        <v>826</v>
      </c>
      <c r="AF1325" s="8">
        <f>IF(F1325="Bullet",MAX(0,Assumptions!$B$4-AB1325),MAX(0,Assumptions!$B$4-L1325))</f>
        <v>0</v>
      </c>
      <c r="AG1325" s="9"/>
      <c r="AH1325" s="8" t="str">
        <f>IF(AG1325="","",Assumptions!$B$4-AG1325)</f>
        <v/>
      </c>
      <c r="AI1325" s="5" t="s">
        <v>80</v>
      </c>
      <c r="AJ1325" s="8"/>
      <c r="AK1325" s="8">
        <v>1</v>
      </c>
      <c r="AL1325" s="8">
        <v>625</v>
      </c>
      <c r="AM1325" s="8">
        <v>0</v>
      </c>
      <c r="AN1325" s="5" t="s">
        <v>63</v>
      </c>
      <c r="AO1325" s="10">
        <v>59.4</v>
      </c>
      <c r="AP1325" s="8">
        <v>39</v>
      </c>
      <c r="AQ1325" s="9">
        <v>46290</v>
      </c>
      <c r="AR1325" s="5" t="s">
        <v>51</v>
      </c>
      <c r="AS1325" s="5" t="s">
        <v>64</v>
      </c>
    </row>
    <row r="1326" spans="1:45" x14ac:dyDescent="0.35">
      <c r="A1326" s="5" t="s">
        <v>5589</v>
      </c>
      <c r="B1326" s="5" t="s">
        <v>1572</v>
      </c>
      <c r="C1326" s="6" t="s">
        <v>5590</v>
      </c>
      <c r="D1326" s="7">
        <v>30000</v>
      </c>
      <c r="E1326" s="5" t="s">
        <v>48</v>
      </c>
      <c r="F1326" s="5" t="s">
        <v>49</v>
      </c>
      <c r="G1326" s="8"/>
      <c r="H1326" s="8" t="str">
        <f>IF(F1326="Bullet",MIN(G1326,Assumptions!$B$6),"")</f>
        <v/>
      </c>
      <c r="I1326" s="8">
        <v>1</v>
      </c>
      <c r="J1326" s="8">
        <f>IF(F1326="Monthly interest",MAX(0,Assumptions!$B$5-I1326),"")</f>
        <v>2</v>
      </c>
      <c r="K1326" s="7">
        <f t="shared" si="60"/>
        <v>350</v>
      </c>
      <c r="L1326" s="9">
        <v>46296</v>
      </c>
      <c r="M1326" s="5" t="s">
        <v>50</v>
      </c>
      <c r="N1326" s="5" t="s">
        <v>53</v>
      </c>
      <c r="O1326" s="5" t="s">
        <v>95</v>
      </c>
      <c r="P1326" s="5" t="s">
        <v>153</v>
      </c>
      <c r="Q1326" s="5" t="s">
        <v>154</v>
      </c>
      <c r="R1326" s="5" t="s">
        <v>155</v>
      </c>
      <c r="S1326" s="5" t="s">
        <v>214</v>
      </c>
      <c r="T1326" s="5" t="s">
        <v>63</v>
      </c>
      <c r="U1326" s="5" t="s">
        <v>86</v>
      </c>
      <c r="V1326" s="5" t="s">
        <v>215</v>
      </c>
      <c r="W1326" s="5" t="s">
        <v>232</v>
      </c>
      <c r="X1326" s="5" t="s">
        <v>3503</v>
      </c>
      <c r="Y1326" s="5" t="s">
        <v>5591</v>
      </c>
      <c r="Z1326" s="9">
        <v>46054</v>
      </c>
      <c r="AA1326" s="8">
        <v>12</v>
      </c>
      <c r="AB1326" s="9">
        <f t="shared" si="61"/>
        <v>46419</v>
      </c>
      <c r="AC1326" s="10">
        <v>14</v>
      </c>
      <c r="AD1326" s="7">
        <f t="shared" si="62"/>
        <v>350</v>
      </c>
      <c r="AE1326" s="7">
        <f>IF(F1326="Bullet",H1326*AD1326,MIN(MAX(I1326,1),Assumptions!$B$6)*AD1326)</f>
        <v>350</v>
      </c>
      <c r="AF1326" s="8">
        <f>IF(F1326="Bullet",MAX(0,Assumptions!$B$4-AB1326),MAX(0,Assumptions!$B$4-L1326))</f>
        <v>2</v>
      </c>
      <c r="AG1326" s="9">
        <v>46268</v>
      </c>
      <c r="AH1326" s="8">
        <f>IF(AG1326="","",Assumptions!$B$4-AG1326)</f>
        <v>30</v>
      </c>
      <c r="AI1326" s="5" t="s">
        <v>63</v>
      </c>
      <c r="AJ1326" s="8">
        <v>1</v>
      </c>
      <c r="AK1326" s="8">
        <v>1</v>
      </c>
      <c r="AL1326" s="8">
        <v>701</v>
      </c>
      <c r="AM1326" s="8">
        <v>1</v>
      </c>
      <c r="AN1326" s="5" t="s">
        <v>63</v>
      </c>
      <c r="AO1326" s="10">
        <v>49.6</v>
      </c>
      <c r="AP1326" s="8">
        <v>25</v>
      </c>
      <c r="AQ1326" s="9">
        <v>46274</v>
      </c>
      <c r="AR1326" s="5" t="s">
        <v>51</v>
      </c>
      <c r="AS1326" s="5" t="s">
        <v>190</v>
      </c>
    </row>
    <row r="1327" spans="1:45" x14ac:dyDescent="0.35">
      <c r="A1327" s="5" t="s">
        <v>5592</v>
      </c>
      <c r="B1327" s="5" t="s">
        <v>5593</v>
      </c>
      <c r="C1327" s="6" t="s">
        <v>5594</v>
      </c>
      <c r="D1327" s="7">
        <v>105700</v>
      </c>
      <c r="E1327" s="5" t="s">
        <v>48</v>
      </c>
      <c r="F1327" s="5" t="s">
        <v>68</v>
      </c>
      <c r="G1327" s="8">
        <v>5</v>
      </c>
      <c r="H1327" s="8">
        <f>IF(F1327="Bullet",MIN(G1327,Assumptions!$B$6),"")</f>
        <v>2</v>
      </c>
      <c r="I1327" s="8"/>
      <c r="J1327" s="8" t="str">
        <f>IF(F1327="Monthly interest",MAX(0,Assumptions!$B$5-I1327),"")</f>
        <v/>
      </c>
      <c r="K1327" s="7">
        <f t="shared" si="60"/>
        <v>6605</v>
      </c>
      <c r="L1327" s="9">
        <v>46122</v>
      </c>
      <c r="M1327" s="5" t="s">
        <v>116</v>
      </c>
      <c r="N1327" s="5" t="s">
        <v>117</v>
      </c>
      <c r="O1327" s="5" t="s">
        <v>461</v>
      </c>
      <c r="P1327" s="5" t="s">
        <v>72</v>
      </c>
      <c r="Q1327" s="5" t="s">
        <v>169</v>
      </c>
      <c r="R1327" s="5" t="s">
        <v>170</v>
      </c>
      <c r="S1327" s="5" t="s">
        <v>253</v>
      </c>
      <c r="T1327" s="5" t="s">
        <v>57</v>
      </c>
      <c r="U1327" s="5" t="s">
        <v>86</v>
      </c>
      <c r="V1327" s="5" t="s">
        <v>59</v>
      </c>
      <c r="W1327" s="5" t="s">
        <v>300</v>
      </c>
      <c r="X1327" s="5" t="s">
        <v>970</v>
      </c>
      <c r="Y1327" s="5" t="s">
        <v>5595</v>
      </c>
      <c r="Z1327" s="9">
        <v>46122</v>
      </c>
      <c r="AA1327" s="8">
        <v>3</v>
      </c>
      <c r="AB1327" s="9">
        <f t="shared" si="61"/>
        <v>46213</v>
      </c>
      <c r="AC1327" s="10">
        <v>15</v>
      </c>
      <c r="AD1327" s="7">
        <f t="shared" si="62"/>
        <v>1321</v>
      </c>
      <c r="AE1327" s="7">
        <f>IF(F1327="Bullet",H1327*AD1327,MIN(MAX(I1327,1),Assumptions!$B$6)*AD1327)</f>
        <v>2642</v>
      </c>
      <c r="AF1327" s="8">
        <f>IF(F1327="Bullet",MAX(0,Assumptions!$B$4-AB1327),MAX(0,Assumptions!$B$4-L1327))</f>
        <v>85</v>
      </c>
      <c r="AG1327" s="9"/>
      <c r="AH1327" s="8" t="str">
        <f>IF(AG1327="","",Assumptions!$B$4-AG1327)</f>
        <v/>
      </c>
      <c r="AI1327" s="5" t="s">
        <v>80</v>
      </c>
      <c r="AJ1327" s="8"/>
      <c r="AK1327" s="8">
        <v>3</v>
      </c>
      <c r="AL1327" s="8" t="s">
        <v>80</v>
      </c>
      <c r="AM1327" s="8">
        <v>2</v>
      </c>
      <c r="AN1327" s="5" t="s">
        <v>63</v>
      </c>
      <c r="AO1327" s="10">
        <v>66.099999999999994</v>
      </c>
      <c r="AP1327" s="8">
        <v>66</v>
      </c>
      <c r="AQ1327" s="9"/>
      <c r="AR1327" s="5"/>
      <c r="AS1327" s="5" t="s">
        <v>159</v>
      </c>
    </row>
    <row r="1328" spans="1:45" x14ac:dyDescent="0.35">
      <c r="A1328" s="5" t="s">
        <v>5596</v>
      </c>
      <c r="B1328" s="5" t="s">
        <v>5597</v>
      </c>
      <c r="C1328" s="6" t="s">
        <v>5598</v>
      </c>
      <c r="D1328" s="7">
        <v>191900</v>
      </c>
      <c r="E1328" s="5" t="s">
        <v>48</v>
      </c>
      <c r="F1328" s="5" t="s">
        <v>68</v>
      </c>
      <c r="G1328" s="8">
        <v>5</v>
      </c>
      <c r="H1328" s="8">
        <f>IF(F1328="Bullet",MIN(G1328,Assumptions!$B$6),"")</f>
        <v>2</v>
      </c>
      <c r="I1328" s="8"/>
      <c r="J1328" s="8" t="str">
        <f>IF(F1328="Monthly interest",MAX(0,Assumptions!$B$5-I1328),"")</f>
        <v/>
      </c>
      <c r="K1328" s="7">
        <f t="shared" si="60"/>
        <v>14395</v>
      </c>
      <c r="L1328" s="9">
        <v>46131</v>
      </c>
      <c r="M1328" s="5" t="s">
        <v>116</v>
      </c>
      <c r="N1328" s="5" t="s">
        <v>117</v>
      </c>
      <c r="O1328" s="5" t="s">
        <v>461</v>
      </c>
      <c r="P1328" s="5" t="s">
        <v>72</v>
      </c>
      <c r="Q1328" s="5" t="s">
        <v>169</v>
      </c>
      <c r="R1328" s="5" t="s">
        <v>170</v>
      </c>
      <c r="S1328" s="5" t="s">
        <v>75</v>
      </c>
      <c r="T1328" s="5" t="s">
        <v>57</v>
      </c>
      <c r="U1328" s="5" t="s">
        <v>104</v>
      </c>
      <c r="V1328" s="5" t="s">
        <v>76</v>
      </c>
      <c r="W1328" s="5" t="s">
        <v>382</v>
      </c>
      <c r="X1328" s="5" t="s">
        <v>641</v>
      </c>
      <c r="Y1328" s="5" t="s">
        <v>5599</v>
      </c>
      <c r="Z1328" s="9">
        <v>46131</v>
      </c>
      <c r="AA1328" s="8">
        <v>3</v>
      </c>
      <c r="AB1328" s="9">
        <f t="shared" si="61"/>
        <v>46222</v>
      </c>
      <c r="AC1328" s="10">
        <v>18</v>
      </c>
      <c r="AD1328" s="7">
        <f t="shared" si="62"/>
        <v>2879</v>
      </c>
      <c r="AE1328" s="7">
        <f>IF(F1328="Bullet",H1328*AD1328,MIN(MAX(I1328,1),Assumptions!$B$6)*AD1328)</f>
        <v>5758</v>
      </c>
      <c r="AF1328" s="8">
        <f>IF(F1328="Bullet",MAX(0,Assumptions!$B$4-AB1328),MAX(0,Assumptions!$B$4-L1328))</f>
        <v>76</v>
      </c>
      <c r="AG1328" s="9"/>
      <c r="AH1328" s="8" t="str">
        <f>IF(AG1328="","",Assumptions!$B$4-AG1328)</f>
        <v/>
      </c>
      <c r="AI1328" s="5" t="s">
        <v>80</v>
      </c>
      <c r="AJ1328" s="8"/>
      <c r="AK1328" s="8">
        <v>1</v>
      </c>
      <c r="AL1328" s="8">
        <v>633</v>
      </c>
      <c r="AM1328" s="8">
        <v>0</v>
      </c>
      <c r="AN1328" s="5" t="s">
        <v>57</v>
      </c>
      <c r="AO1328" s="10">
        <v>65.2</v>
      </c>
      <c r="AP1328" s="8">
        <v>62</v>
      </c>
      <c r="AQ1328" s="9">
        <v>46278</v>
      </c>
      <c r="AR1328" s="5" t="s">
        <v>72</v>
      </c>
      <c r="AS1328" s="5" t="s">
        <v>91</v>
      </c>
    </row>
    <row r="1329" spans="1:45" x14ac:dyDescent="0.35">
      <c r="A1329" s="5" t="s">
        <v>5600</v>
      </c>
      <c r="B1329" s="5" t="s">
        <v>5601</v>
      </c>
      <c r="C1329" s="6" t="s">
        <v>5602</v>
      </c>
      <c r="D1329" s="7">
        <v>184600</v>
      </c>
      <c r="E1329" s="5" t="s">
        <v>48</v>
      </c>
      <c r="F1329" s="5" t="s">
        <v>49</v>
      </c>
      <c r="G1329" s="8"/>
      <c r="H1329" s="8" t="str">
        <f>IF(F1329="Bullet",MIN(G1329,Assumptions!$B$6),"")</f>
        <v/>
      </c>
      <c r="I1329" s="8">
        <v>1</v>
      </c>
      <c r="J1329" s="8">
        <f>IF(F1329="Monthly interest",MAX(0,Assumptions!$B$5-I1329),"")</f>
        <v>2</v>
      </c>
      <c r="K1329" s="7">
        <f t="shared" si="60"/>
        <v>2461</v>
      </c>
      <c r="L1329" s="9">
        <v>46286</v>
      </c>
      <c r="M1329" s="5" t="s">
        <v>69</v>
      </c>
      <c r="N1329" s="5" t="s">
        <v>51</v>
      </c>
      <c r="O1329" s="5" t="s">
        <v>52</v>
      </c>
      <c r="P1329" s="5" t="s">
        <v>53</v>
      </c>
      <c r="Q1329" s="5" t="s">
        <v>54</v>
      </c>
      <c r="R1329" s="5" t="s">
        <v>55</v>
      </c>
      <c r="S1329" s="5" t="s">
        <v>253</v>
      </c>
      <c r="T1329" s="5" t="s">
        <v>57</v>
      </c>
      <c r="U1329" s="5" t="s">
        <v>86</v>
      </c>
      <c r="V1329" s="5" t="s">
        <v>59</v>
      </c>
      <c r="W1329" s="5" t="s">
        <v>418</v>
      </c>
      <c r="X1329" s="5" t="s">
        <v>2052</v>
      </c>
      <c r="Y1329" s="5" t="s">
        <v>5603</v>
      </c>
      <c r="Z1329" s="9">
        <v>46074</v>
      </c>
      <c r="AA1329" s="8">
        <v>12</v>
      </c>
      <c r="AB1329" s="9">
        <f t="shared" si="61"/>
        <v>46439</v>
      </c>
      <c r="AC1329" s="10">
        <v>16</v>
      </c>
      <c r="AD1329" s="7">
        <f t="shared" si="62"/>
        <v>2461</v>
      </c>
      <c r="AE1329" s="7">
        <f>IF(F1329="Bullet",H1329*AD1329,MIN(MAX(I1329,1),Assumptions!$B$6)*AD1329)</f>
        <v>2461</v>
      </c>
      <c r="AF1329" s="8">
        <f>IF(F1329="Bullet",MAX(0,Assumptions!$B$4-AB1329),MAX(0,Assumptions!$B$4-L1329))</f>
        <v>12</v>
      </c>
      <c r="AG1329" s="9">
        <v>46259</v>
      </c>
      <c r="AH1329" s="8">
        <f>IF(AG1329="","",Assumptions!$B$4-AG1329)</f>
        <v>39</v>
      </c>
      <c r="AI1329" s="5" t="s">
        <v>63</v>
      </c>
      <c r="AJ1329" s="8">
        <v>1</v>
      </c>
      <c r="AK1329" s="8">
        <v>0</v>
      </c>
      <c r="AL1329" s="8">
        <v>597</v>
      </c>
      <c r="AM1329" s="8">
        <v>0</v>
      </c>
      <c r="AN1329" s="5" t="s">
        <v>57</v>
      </c>
      <c r="AO1329" s="10">
        <v>73.3</v>
      </c>
      <c r="AP1329" s="8">
        <v>44</v>
      </c>
      <c r="AQ1329" s="9">
        <v>46297</v>
      </c>
      <c r="AR1329" s="5" t="s">
        <v>53</v>
      </c>
      <c r="AS1329" s="5" t="s">
        <v>81</v>
      </c>
    </row>
    <row r="1330" spans="1:45" x14ac:dyDescent="0.35">
      <c r="A1330" s="5" t="s">
        <v>5604</v>
      </c>
      <c r="B1330" s="5" t="s">
        <v>4819</v>
      </c>
      <c r="C1330" s="6" t="s">
        <v>5605</v>
      </c>
      <c r="D1330" s="7">
        <v>132200</v>
      </c>
      <c r="E1330" s="5" t="s">
        <v>48</v>
      </c>
      <c r="F1330" s="5" t="s">
        <v>49</v>
      </c>
      <c r="G1330" s="8"/>
      <c r="H1330" s="8" t="str">
        <f>IF(F1330="Bullet",MIN(G1330,Assumptions!$B$6),"")</f>
        <v/>
      </c>
      <c r="I1330" s="8">
        <v>2</v>
      </c>
      <c r="J1330" s="8">
        <f>IF(F1330="Monthly interest",MAX(0,Assumptions!$B$5-I1330),"")</f>
        <v>1</v>
      </c>
      <c r="K1330" s="7">
        <f t="shared" si="60"/>
        <v>4848</v>
      </c>
      <c r="L1330" s="9">
        <v>46238</v>
      </c>
      <c r="M1330" s="5" t="s">
        <v>69</v>
      </c>
      <c r="N1330" s="5" t="s">
        <v>70</v>
      </c>
      <c r="O1330" s="5" t="s">
        <v>271</v>
      </c>
      <c r="P1330" s="5" t="s">
        <v>72</v>
      </c>
      <c r="Q1330" s="5" t="s">
        <v>73</v>
      </c>
      <c r="R1330" s="5" t="s">
        <v>74</v>
      </c>
      <c r="S1330" s="5" t="s">
        <v>214</v>
      </c>
      <c r="T1330" s="5" t="s">
        <v>57</v>
      </c>
      <c r="U1330" s="5" t="s">
        <v>58</v>
      </c>
      <c r="V1330" s="5" t="s">
        <v>215</v>
      </c>
      <c r="W1330" s="5" t="s">
        <v>600</v>
      </c>
      <c r="X1330" s="5" t="s">
        <v>2156</v>
      </c>
      <c r="Y1330" s="5" t="s">
        <v>5606</v>
      </c>
      <c r="Z1330" s="9">
        <v>46085</v>
      </c>
      <c r="AA1330" s="8">
        <v>24</v>
      </c>
      <c r="AB1330" s="9">
        <f t="shared" si="61"/>
        <v>46816</v>
      </c>
      <c r="AC1330" s="10">
        <v>22</v>
      </c>
      <c r="AD1330" s="7">
        <f t="shared" si="62"/>
        <v>2424</v>
      </c>
      <c r="AE1330" s="7">
        <f>IF(F1330="Bullet",H1330*AD1330,MIN(MAX(I1330,1),Assumptions!$B$6)*AD1330)</f>
        <v>4848</v>
      </c>
      <c r="AF1330" s="8">
        <f>IF(F1330="Bullet",MAX(0,Assumptions!$B$4-AB1330),MAX(0,Assumptions!$B$4-L1330))</f>
        <v>60</v>
      </c>
      <c r="AG1330" s="9">
        <v>46211</v>
      </c>
      <c r="AH1330" s="8">
        <f>IF(AG1330="","",Assumptions!$B$4-AG1330)</f>
        <v>87</v>
      </c>
      <c r="AI1330" s="5" t="s">
        <v>57</v>
      </c>
      <c r="AJ1330" s="8">
        <v>2</v>
      </c>
      <c r="AK1330" s="8">
        <v>0</v>
      </c>
      <c r="AL1330" s="8">
        <v>675</v>
      </c>
      <c r="AM1330" s="8">
        <v>1</v>
      </c>
      <c r="AN1330" s="5" t="s">
        <v>63</v>
      </c>
      <c r="AO1330" s="10">
        <v>68.8</v>
      </c>
      <c r="AP1330" s="8">
        <v>41</v>
      </c>
      <c r="AQ1330" s="9">
        <v>46295</v>
      </c>
      <c r="AR1330" s="5" t="s">
        <v>70</v>
      </c>
      <c r="AS1330" s="5" t="s">
        <v>274</v>
      </c>
    </row>
    <row r="1331" spans="1:45" x14ac:dyDescent="0.35">
      <c r="A1331" s="5" t="s">
        <v>5607</v>
      </c>
      <c r="B1331" s="5" t="s">
        <v>776</v>
      </c>
      <c r="C1331" s="6" t="s">
        <v>5608</v>
      </c>
      <c r="D1331" s="7">
        <v>79600</v>
      </c>
      <c r="E1331" s="5" t="s">
        <v>48</v>
      </c>
      <c r="F1331" s="5" t="s">
        <v>68</v>
      </c>
      <c r="G1331" s="8">
        <v>3</v>
      </c>
      <c r="H1331" s="8">
        <f>IF(F1331="Bullet",MIN(G1331,Assumptions!$B$6),"")</f>
        <v>2</v>
      </c>
      <c r="I1331" s="8"/>
      <c r="J1331" s="8" t="str">
        <f>IF(F1331="Monthly interest",MAX(0,Assumptions!$B$5-I1331),"")</f>
        <v/>
      </c>
      <c r="K1331" s="7">
        <f t="shared" si="60"/>
        <v>2985</v>
      </c>
      <c r="L1331" s="9">
        <v>46202</v>
      </c>
      <c r="M1331" s="5" t="s">
        <v>69</v>
      </c>
      <c r="N1331" s="5" t="s">
        <v>53</v>
      </c>
      <c r="O1331" s="5" t="s">
        <v>71</v>
      </c>
      <c r="P1331" s="5" t="s">
        <v>70</v>
      </c>
      <c r="Q1331" s="5" t="s">
        <v>73</v>
      </c>
      <c r="R1331" s="5" t="s">
        <v>74</v>
      </c>
      <c r="S1331" s="5" t="s">
        <v>56</v>
      </c>
      <c r="T1331" s="5" t="s">
        <v>57</v>
      </c>
      <c r="U1331" s="5" t="s">
        <v>104</v>
      </c>
      <c r="V1331" s="5" t="s">
        <v>59</v>
      </c>
      <c r="W1331" s="5" t="s">
        <v>194</v>
      </c>
      <c r="X1331" s="5" t="s">
        <v>956</v>
      </c>
      <c r="Y1331" s="5" t="s">
        <v>5609</v>
      </c>
      <c r="Z1331" s="9">
        <v>46202</v>
      </c>
      <c r="AA1331" s="8">
        <v>6</v>
      </c>
      <c r="AB1331" s="9">
        <f t="shared" si="61"/>
        <v>46385</v>
      </c>
      <c r="AC1331" s="10">
        <v>15</v>
      </c>
      <c r="AD1331" s="7">
        <f t="shared" si="62"/>
        <v>995</v>
      </c>
      <c r="AE1331" s="7">
        <f>IF(F1331="Bullet",H1331*AD1331,MIN(MAX(I1331,1),Assumptions!$B$6)*AD1331)</f>
        <v>1990</v>
      </c>
      <c r="AF1331" s="8">
        <f>IF(F1331="Bullet",MAX(0,Assumptions!$B$4-AB1331),MAX(0,Assumptions!$B$4-L1331))</f>
        <v>0</v>
      </c>
      <c r="AG1331" s="9"/>
      <c r="AH1331" s="8" t="str">
        <f>IF(AG1331="","",Assumptions!$B$4-AG1331)</f>
        <v/>
      </c>
      <c r="AI1331" s="5" t="s">
        <v>80</v>
      </c>
      <c r="AJ1331" s="8"/>
      <c r="AK1331" s="8">
        <v>0</v>
      </c>
      <c r="AL1331" s="8">
        <v>605</v>
      </c>
      <c r="AM1331" s="8">
        <v>0</v>
      </c>
      <c r="AN1331" s="5" t="s">
        <v>63</v>
      </c>
      <c r="AO1331" s="10">
        <v>63.3</v>
      </c>
      <c r="AP1331" s="8">
        <v>31</v>
      </c>
      <c r="AQ1331" s="9">
        <v>46281</v>
      </c>
      <c r="AR1331" s="5" t="s">
        <v>70</v>
      </c>
      <c r="AS1331" s="5" t="s">
        <v>81</v>
      </c>
    </row>
    <row r="1332" spans="1:45" x14ac:dyDescent="0.35">
      <c r="A1332" s="5" t="s">
        <v>5610</v>
      </c>
      <c r="B1332" s="5" t="s">
        <v>5611</v>
      </c>
      <c r="C1332" s="6" t="s">
        <v>5612</v>
      </c>
      <c r="D1332" s="7">
        <v>378200</v>
      </c>
      <c r="E1332" s="5" t="s">
        <v>48</v>
      </c>
      <c r="F1332" s="5" t="s">
        <v>68</v>
      </c>
      <c r="G1332" s="8">
        <v>1</v>
      </c>
      <c r="H1332" s="8">
        <f>IF(F1332="Bullet",MIN(G1332,Assumptions!$B$6),"")</f>
        <v>1</v>
      </c>
      <c r="I1332" s="8"/>
      <c r="J1332" s="8" t="str">
        <f>IF(F1332="Monthly interest",MAX(0,Assumptions!$B$5-I1332),"")</f>
        <v/>
      </c>
      <c r="K1332" s="7">
        <f t="shared" si="60"/>
        <v>4097</v>
      </c>
      <c r="L1332" s="9">
        <v>46266</v>
      </c>
      <c r="M1332" s="5" t="s">
        <v>69</v>
      </c>
      <c r="N1332" s="5" t="s">
        <v>53</v>
      </c>
      <c r="O1332" s="5" t="s">
        <v>71</v>
      </c>
      <c r="P1332" s="5" t="s">
        <v>70</v>
      </c>
      <c r="Q1332" s="5" t="s">
        <v>73</v>
      </c>
      <c r="R1332" s="5" t="s">
        <v>74</v>
      </c>
      <c r="S1332" s="5" t="s">
        <v>214</v>
      </c>
      <c r="T1332" s="5" t="s">
        <v>57</v>
      </c>
      <c r="U1332" s="5" t="s">
        <v>58</v>
      </c>
      <c r="V1332" s="5" t="s">
        <v>215</v>
      </c>
      <c r="W1332" s="5" t="s">
        <v>242</v>
      </c>
      <c r="X1332" s="5" t="s">
        <v>1957</v>
      </c>
      <c r="Y1332" s="5" t="s">
        <v>5613</v>
      </c>
      <c r="Z1332" s="9">
        <v>46266</v>
      </c>
      <c r="AA1332" s="8">
        <v>12</v>
      </c>
      <c r="AB1332" s="9">
        <f t="shared" si="61"/>
        <v>46631</v>
      </c>
      <c r="AC1332" s="10">
        <v>13</v>
      </c>
      <c r="AD1332" s="7">
        <f t="shared" si="62"/>
        <v>4097</v>
      </c>
      <c r="AE1332" s="7">
        <f>IF(F1332="Bullet",H1332*AD1332,MIN(MAX(I1332,1),Assumptions!$B$6)*AD1332)</f>
        <v>4097</v>
      </c>
      <c r="AF1332" s="8">
        <f>IF(F1332="Bullet",MAX(0,Assumptions!$B$4-AB1332),MAX(0,Assumptions!$B$4-L1332))</f>
        <v>0</v>
      </c>
      <c r="AG1332" s="9"/>
      <c r="AH1332" s="8" t="str">
        <f>IF(AG1332="","",Assumptions!$B$4-AG1332)</f>
        <v/>
      </c>
      <c r="AI1332" s="5" t="s">
        <v>80</v>
      </c>
      <c r="AJ1332" s="8"/>
      <c r="AK1332" s="8">
        <v>0</v>
      </c>
      <c r="AL1332" s="8">
        <v>622</v>
      </c>
      <c r="AM1332" s="8">
        <v>1</v>
      </c>
      <c r="AN1332" s="5" t="s">
        <v>63</v>
      </c>
      <c r="AO1332" s="10">
        <v>81.099999999999994</v>
      </c>
      <c r="AP1332" s="8">
        <v>31</v>
      </c>
      <c r="AQ1332" s="9">
        <v>46292</v>
      </c>
      <c r="AR1332" s="5" t="s">
        <v>70</v>
      </c>
      <c r="AS1332" s="5" t="s">
        <v>81</v>
      </c>
    </row>
    <row r="1333" spans="1:45" x14ac:dyDescent="0.35">
      <c r="A1333" s="5" t="s">
        <v>5614</v>
      </c>
      <c r="B1333" s="5" t="s">
        <v>3947</v>
      </c>
      <c r="C1333" s="6" t="s">
        <v>5615</v>
      </c>
      <c r="D1333" s="7">
        <v>148000</v>
      </c>
      <c r="E1333" s="5" t="s">
        <v>48</v>
      </c>
      <c r="F1333" s="5" t="s">
        <v>68</v>
      </c>
      <c r="G1333" s="8">
        <v>5</v>
      </c>
      <c r="H1333" s="8">
        <f>IF(F1333="Bullet",MIN(G1333,Assumptions!$B$6),"")</f>
        <v>2</v>
      </c>
      <c r="I1333" s="8"/>
      <c r="J1333" s="8" t="str">
        <f>IF(F1333="Monthly interest",MAX(0,Assumptions!$B$5-I1333),"")</f>
        <v/>
      </c>
      <c r="K1333" s="7">
        <f t="shared" si="60"/>
        <v>9250</v>
      </c>
      <c r="L1333" s="9">
        <v>46131</v>
      </c>
      <c r="M1333" s="5" t="s">
        <v>116</v>
      </c>
      <c r="N1333" s="5" t="s">
        <v>117</v>
      </c>
      <c r="O1333" s="5" t="s">
        <v>461</v>
      </c>
      <c r="P1333" s="5" t="s">
        <v>72</v>
      </c>
      <c r="Q1333" s="5" t="s">
        <v>169</v>
      </c>
      <c r="R1333" s="5" t="s">
        <v>170</v>
      </c>
      <c r="S1333" s="5" t="s">
        <v>56</v>
      </c>
      <c r="T1333" s="5" t="s">
        <v>57</v>
      </c>
      <c r="U1333" s="5" t="s">
        <v>104</v>
      </c>
      <c r="V1333" s="5" t="s">
        <v>59</v>
      </c>
      <c r="W1333" s="5" t="s">
        <v>194</v>
      </c>
      <c r="X1333" s="5" t="s">
        <v>2879</v>
      </c>
      <c r="Y1333" s="5" t="s">
        <v>5616</v>
      </c>
      <c r="Z1333" s="9">
        <v>46131</v>
      </c>
      <c r="AA1333" s="8">
        <v>12</v>
      </c>
      <c r="AB1333" s="9">
        <f t="shared" si="61"/>
        <v>46496</v>
      </c>
      <c r="AC1333" s="10">
        <v>15</v>
      </c>
      <c r="AD1333" s="7">
        <f t="shared" si="62"/>
        <v>1850</v>
      </c>
      <c r="AE1333" s="7">
        <f>IF(F1333="Bullet",H1333*AD1333,MIN(MAX(I1333,1),Assumptions!$B$6)*AD1333)</f>
        <v>3700</v>
      </c>
      <c r="AF1333" s="8">
        <f>IF(F1333="Bullet",MAX(0,Assumptions!$B$4-AB1333),MAX(0,Assumptions!$B$4-L1333))</f>
        <v>0</v>
      </c>
      <c r="AG1333" s="9"/>
      <c r="AH1333" s="8" t="str">
        <f>IF(AG1333="","",Assumptions!$B$4-AG1333)</f>
        <v/>
      </c>
      <c r="AI1333" s="5" t="s">
        <v>80</v>
      </c>
      <c r="AJ1333" s="8"/>
      <c r="AK1333" s="8">
        <v>3</v>
      </c>
      <c r="AL1333" s="8">
        <v>656</v>
      </c>
      <c r="AM1333" s="8">
        <v>5</v>
      </c>
      <c r="AN1333" s="5" t="s">
        <v>63</v>
      </c>
      <c r="AO1333" s="10">
        <v>64</v>
      </c>
      <c r="AP1333" s="8">
        <v>65</v>
      </c>
      <c r="AQ1333" s="9">
        <v>46282</v>
      </c>
      <c r="AR1333" s="5" t="s">
        <v>51</v>
      </c>
      <c r="AS1333" s="5" t="s">
        <v>181</v>
      </c>
    </row>
    <row r="1334" spans="1:45" x14ac:dyDescent="0.35">
      <c r="A1334" s="5" t="s">
        <v>5617</v>
      </c>
      <c r="B1334" s="5" t="s">
        <v>5618</v>
      </c>
      <c r="C1334" s="6" t="s">
        <v>5619</v>
      </c>
      <c r="D1334" s="7">
        <v>74300</v>
      </c>
      <c r="E1334" s="5" t="s">
        <v>48</v>
      </c>
      <c r="F1334" s="5" t="s">
        <v>68</v>
      </c>
      <c r="G1334" s="8">
        <v>5</v>
      </c>
      <c r="H1334" s="8">
        <f>IF(F1334="Bullet",MIN(G1334,Assumptions!$B$6),"")</f>
        <v>2</v>
      </c>
      <c r="I1334" s="8"/>
      <c r="J1334" s="8" t="str">
        <f>IF(F1334="Monthly interest",MAX(0,Assumptions!$B$5-I1334),"")</f>
        <v/>
      </c>
      <c r="K1334" s="7">
        <f t="shared" si="60"/>
        <v>5575</v>
      </c>
      <c r="L1334" s="9">
        <v>46140</v>
      </c>
      <c r="M1334" s="5" t="s">
        <v>69</v>
      </c>
      <c r="N1334" s="5" t="s">
        <v>70</v>
      </c>
      <c r="O1334" s="5" t="s">
        <v>271</v>
      </c>
      <c r="P1334" s="5" t="s">
        <v>72</v>
      </c>
      <c r="Q1334" s="5" t="s">
        <v>169</v>
      </c>
      <c r="R1334" s="5" t="s">
        <v>170</v>
      </c>
      <c r="S1334" s="5" t="s">
        <v>85</v>
      </c>
      <c r="T1334" s="5" t="s">
        <v>57</v>
      </c>
      <c r="U1334" s="5" t="s">
        <v>58</v>
      </c>
      <c r="V1334" s="5" t="s">
        <v>553</v>
      </c>
      <c r="W1334" s="5" t="s">
        <v>554</v>
      </c>
      <c r="X1334" s="5" t="s">
        <v>1510</v>
      </c>
      <c r="Y1334" s="5" t="s">
        <v>5620</v>
      </c>
      <c r="Z1334" s="9">
        <v>46140</v>
      </c>
      <c r="AA1334" s="8">
        <v>12</v>
      </c>
      <c r="AB1334" s="9">
        <f t="shared" si="61"/>
        <v>46505</v>
      </c>
      <c r="AC1334" s="10">
        <v>18</v>
      </c>
      <c r="AD1334" s="7">
        <f t="shared" si="62"/>
        <v>1115</v>
      </c>
      <c r="AE1334" s="7">
        <f>IF(F1334="Bullet",H1334*AD1334,MIN(MAX(I1334,1),Assumptions!$B$6)*AD1334)</f>
        <v>2230</v>
      </c>
      <c r="AF1334" s="8">
        <f>IF(F1334="Bullet",MAX(0,Assumptions!$B$4-AB1334),MAX(0,Assumptions!$B$4-L1334))</f>
        <v>0</v>
      </c>
      <c r="AG1334" s="9"/>
      <c r="AH1334" s="8" t="str">
        <f>IF(AG1334="","",Assumptions!$B$4-AG1334)</f>
        <v/>
      </c>
      <c r="AI1334" s="5" t="s">
        <v>80</v>
      </c>
      <c r="AJ1334" s="8"/>
      <c r="AK1334" s="8">
        <v>1</v>
      </c>
      <c r="AL1334" s="8">
        <v>645</v>
      </c>
      <c r="AM1334" s="8">
        <v>1</v>
      </c>
      <c r="AN1334" s="5" t="s">
        <v>63</v>
      </c>
      <c r="AO1334" s="10">
        <v>73.8</v>
      </c>
      <c r="AP1334" s="8">
        <v>41</v>
      </c>
      <c r="AQ1334" s="9">
        <v>46284</v>
      </c>
      <c r="AR1334" s="5" t="s">
        <v>53</v>
      </c>
      <c r="AS1334" s="5" t="s">
        <v>274</v>
      </c>
    </row>
    <row r="1335" spans="1:45" x14ac:dyDescent="0.35">
      <c r="A1335" s="5" t="s">
        <v>5621</v>
      </c>
      <c r="B1335" s="5" t="s">
        <v>1942</v>
      </c>
      <c r="C1335" s="6" t="s">
        <v>5622</v>
      </c>
      <c r="D1335" s="7">
        <v>125500</v>
      </c>
      <c r="E1335" s="5" t="s">
        <v>48</v>
      </c>
      <c r="F1335" s="5" t="s">
        <v>49</v>
      </c>
      <c r="G1335" s="8"/>
      <c r="H1335" s="8" t="str">
        <f>IF(F1335="Bullet",MIN(G1335,Assumptions!$B$6),"")</f>
        <v/>
      </c>
      <c r="I1335" s="8">
        <v>1</v>
      </c>
      <c r="J1335" s="8">
        <f>IF(F1335="Monthly interest",MAX(0,Assumptions!$B$5-I1335),"")</f>
        <v>2</v>
      </c>
      <c r="K1335" s="7">
        <f t="shared" si="60"/>
        <v>2510</v>
      </c>
      <c r="L1335" s="9">
        <v>46269</v>
      </c>
      <c r="M1335" s="5" t="s">
        <v>69</v>
      </c>
      <c r="N1335" s="5" t="s">
        <v>51</v>
      </c>
      <c r="O1335" s="5" t="s">
        <v>52</v>
      </c>
      <c r="P1335" s="5" t="s">
        <v>53</v>
      </c>
      <c r="Q1335" s="5" t="s">
        <v>54</v>
      </c>
      <c r="R1335" s="5" t="s">
        <v>55</v>
      </c>
      <c r="S1335" s="5" t="s">
        <v>85</v>
      </c>
      <c r="T1335" s="5" t="s">
        <v>57</v>
      </c>
      <c r="U1335" s="5" t="s">
        <v>104</v>
      </c>
      <c r="V1335" s="5" t="s">
        <v>133</v>
      </c>
      <c r="W1335" s="5" t="s">
        <v>594</v>
      </c>
      <c r="X1335" s="5" t="s">
        <v>4684</v>
      </c>
      <c r="Y1335" s="5" t="s">
        <v>5623</v>
      </c>
      <c r="Z1335" s="9">
        <v>46085</v>
      </c>
      <c r="AA1335" s="8">
        <v>18</v>
      </c>
      <c r="AB1335" s="9">
        <f t="shared" si="61"/>
        <v>46634</v>
      </c>
      <c r="AC1335" s="10">
        <v>24</v>
      </c>
      <c r="AD1335" s="7">
        <f t="shared" si="62"/>
        <v>2510</v>
      </c>
      <c r="AE1335" s="7">
        <f>IF(F1335="Bullet",H1335*AD1335,MIN(MAX(I1335,1),Assumptions!$B$6)*AD1335)</f>
        <v>2510</v>
      </c>
      <c r="AF1335" s="8">
        <f>IF(F1335="Bullet",MAX(0,Assumptions!$B$4-AB1335),MAX(0,Assumptions!$B$4-L1335))</f>
        <v>29</v>
      </c>
      <c r="AG1335" s="9">
        <v>46242</v>
      </c>
      <c r="AH1335" s="8">
        <f>IF(AG1335="","",Assumptions!$B$4-AG1335)</f>
        <v>56</v>
      </c>
      <c r="AI1335" s="5" t="s">
        <v>57</v>
      </c>
      <c r="AJ1335" s="8">
        <v>2</v>
      </c>
      <c r="AK1335" s="8">
        <v>0</v>
      </c>
      <c r="AL1335" s="8">
        <v>755</v>
      </c>
      <c r="AM1335" s="8">
        <v>3</v>
      </c>
      <c r="AN1335" s="5" t="s">
        <v>57</v>
      </c>
      <c r="AO1335" s="10">
        <v>71.900000000000006</v>
      </c>
      <c r="AP1335" s="8">
        <v>34</v>
      </c>
      <c r="AQ1335" s="9">
        <v>46285</v>
      </c>
      <c r="AR1335" s="5" t="s">
        <v>53</v>
      </c>
      <c r="AS1335" s="5" t="s">
        <v>64</v>
      </c>
    </row>
    <row r="1336" spans="1:45" x14ac:dyDescent="0.35">
      <c r="A1336" s="5" t="s">
        <v>5624</v>
      </c>
      <c r="B1336" s="5" t="s">
        <v>3914</v>
      </c>
      <c r="C1336" s="6" t="s">
        <v>5625</v>
      </c>
      <c r="D1336" s="7">
        <v>119900</v>
      </c>
      <c r="E1336" s="5" t="s">
        <v>48</v>
      </c>
      <c r="F1336" s="5" t="s">
        <v>68</v>
      </c>
      <c r="G1336" s="8">
        <v>6</v>
      </c>
      <c r="H1336" s="8">
        <f>IF(F1336="Bullet",MIN(G1336,Assumptions!$B$6),"")</f>
        <v>2</v>
      </c>
      <c r="I1336" s="8"/>
      <c r="J1336" s="8" t="str">
        <f>IF(F1336="Monthly interest",MAX(0,Assumptions!$B$5-I1336),"")</f>
        <v/>
      </c>
      <c r="K1336" s="7">
        <f t="shared" si="60"/>
        <v>10794</v>
      </c>
      <c r="L1336" s="9">
        <v>46091</v>
      </c>
      <c r="M1336" s="5" t="s">
        <v>116</v>
      </c>
      <c r="N1336" s="5" t="s">
        <v>117</v>
      </c>
      <c r="O1336" s="5" t="s">
        <v>461</v>
      </c>
      <c r="P1336" s="5" t="s">
        <v>72</v>
      </c>
      <c r="Q1336" s="5" t="s">
        <v>169</v>
      </c>
      <c r="R1336" s="5" t="s">
        <v>170</v>
      </c>
      <c r="S1336" s="5" t="s">
        <v>253</v>
      </c>
      <c r="T1336" s="5" t="s">
        <v>63</v>
      </c>
      <c r="U1336" s="5" t="s">
        <v>86</v>
      </c>
      <c r="V1336" s="5" t="s">
        <v>177</v>
      </c>
      <c r="W1336" s="5" t="s">
        <v>178</v>
      </c>
      <c r="X1336" s="5" t="s">
        <v>5156</v>
      </c>
      <c r="Y1336" s="5" t="s">
        <v>5626</v>
      </c>
      <c r="Z1336" s="9">
        <v>46091</v>
      </c>
      <c r="AA1336" s="8">
        <v>6</v>
      </c>
      <c r="AB1336" s="9">
        <f t="shared" si="61"/>
        <v>46275</v>
      </c>
      <c r="AC1336" s="10">
        <v>18</v>
      </c>
      <c r="AD1336" s="7">
        <f t="shared" si="62"/>
        <v>1799</v>
      </c>
      <c r="AE1336" s="7">
        <f>IF(F1336="Bullet",H1336*AD1336,MIN(MAX(I1336,1),Assumptions!$B$6)*AD1336)</f>
        <v>3598</v>
      </c>
      <c r="AF1336" s="8">
        <f>IF(F1336="Bullet",MAX(0,Assumptions!$B$4-AB1336),MAX(0,Assumptions!$B$4-L1336))</f>
        <v>23</v>
      </c>
      <c r="AG1336" s="9"/>
      <c r="AH1336" s="8" t="str">
        <f>IF(AG1336="","",Assumptions!$B$4-AG1336)</f>
        <v/>
      </c>
      <c r="AI1336" s="5" t="s">
        <v>80</v>
      </c>
      <c r="AJ1336" s="8"/>
      <c r="AK1336" s="8">
        <v>4</v>
      </c>
      <c r="AL1336" s="8">
        <v>623</v>
      </c>
      <c r="AM1336" s="8">
        <v>1</v>
      </c>
      <c r="AN1336" s="5" t="s">
        <v>57</v>
      </c>
      <c r="AO1336" s="10">
        <v>79.5</v>
      </c>
      <c r="AP1336" s="8">
        <v>100</v>
      </c>
      <c r="AQ1336" s="9">
        <v>46274</v>
      </c>
      <c r="AR1336" s="5" t="s">
        <v>53</v>
      </c>
      <c r="AS1336" s="5" t="s">
        <v>91</v>
      </c>
    </row>
    <row r="1337" spans="1:45" x14ac:dyDescent="0.35">
      <c r="A1337" s="5" t="s">
        <v>5627</v>
      </c>
      <c r="B1337" s="5" t="s">
        <v>5628</v>
      </c>
      <c r="C1337" s="6" t="s">
        <v>5629</v>
      </c>
      <c r="D1337" s="7">
        <v>200100</v>
      </c>
      <c r="E1337" s="5" t="s">
        <v>48</v>
      </c>
      <c r="F1337" s="5" t="s">
        <v>68</v>
      </c>
      <c r="G1337" s="8">
        <v>2</v>
      </c>
      <c r="H1337" s="8">
        <f>IF(F1337="Bullet",MIN(G1337,Assumptions!$B$6),"")</f>
        <v>2</v>
      </c>
      <c r="I1337" s="8"/>
      <c r="J1337" s="8" t="str">
        <f>IF(F1337="Monthly interest",MAX(0,Assumptions!$B$5-I1337),"")</f>
        <v/>
      </c>
      <c r="K1337" s="7">
        <f t="shared" si="60"/>
        <v>5002</v>
      </c>
      <c r="L1337" s="9">
        <v>46219</v>
      </c>
      <c r="M1337" s="5" t="s">
        <v>50</v>
      </c>
      <c r="N1337" s="5" t="s">
        <v>51</v>
      </c>
      <c r="O1337" s="5" t="s">
        <v>71</v>
      </c>
      <c r="P1337" s="5" t="s">
        <v>53</v>
      </c>
      <c r="Q1337" s="5" t="s">
        <v>73</v>
      </c>
      <c r="R1337" s="5" t="s">
        <v>74</v>
      </c>
      <c r="S1337" s="5" t="s">
        <v>75</v>
      </c>
      <c r="T1337" s="5" t="s">
        <v>57</v>
      </c>
      <c r="U1337" s="5" t="s">
        <v>58</v>
      </c>
      <c r="V1337" s="5" t="s">
        <v>76</v>
      </c>
      <c r="W1337" s="5" t="s">
        <v>444</v>
      </c>
      <c r="X1337" s="5" t="s">
        <v>661</v>
      </c>
      <c r="Y1337" s="5" t="s">
        <v>5630</v>
      </c>
      <c r="Z1337" s="9">
        <v>46219</v>
      </c>
      <c r="AA1337" s="8">
        <v>3</v>
      </c>
      <c r="AB1337" s="9">
        <f t="shared" si="61"/>
        <v>46311</v>
      </c>
      <c r="AC1337" s="10">
        <v>15</v>
      </c>
      <c r="AD1337" s="7">
        <f t="shared" si="62"/>
        <v>2501</v>
      </c>
      <c r="AE1337" s="7">
        <f>IF(F1337="Bullet",H1337*AD1337,MIN(MAX(I1337,1),Assumptions!$B$6)*AD1337)</f>
        <v>5002</v>
      </c>
      <c r="AF1337" s="8">
        <f>IF(F1337="Bullet",MAX(0,Assumptions!$B$4-AB1337),MAX(0,Assumptions!$B$4-L1337))</f>
        <v>0</v>
      </c>
      <c r="AG1337" s="9"/>
      <c r="AH1337" s="8" t="str">
        <f>IF(AG1337="","",Assumptions!$B$4-AG1337)</f>
        <v/>
      </c>
      <c r="AI1337" s="5" t="s">
        <v>80</v>
      </c>
      <c r="AJ1337" s="8"/>
      <c r="AK1337" s="8">
        <v>0</v>
      </c>
      <c r="AL1337" s="8">
        <v>701</v>
      </c>
      <c r="AM1337" s="8">
        <v>2</v>
      </c>
      <c r="AN1337" s="5" t="s">
        <v>63</v>
      </c>
      <c r="AO1337" s="10">
        <v>74</v>
      </c>
      <c r="AP1337" s="8">
        <v>17</v>
      </c>
      <c r="AQ1337" s="9">
        <v>46277</v>
      </c>
      <c r="AR1337" s="5" t="s">
        <v>53</v>
      </c>
      <c r="AS1337" s="5" t="s">
        <v>81</v>
      </c>
    </row>
    <row r="1338" spans="1:45" x14ac:dyDescent="0.35">
      <c r="A1338" s="5" t="s">
        <v>5631</v>
      </c>
      <c r="B1338" s="5" t="s">
        <v>5236</v>
      </c>
      <c r="C1338" s="6" t="s">
        <v>5632</v>
      </c>
      <c r="D1338" s="7">
        <v>245800</v>
      </c>
      <c r="E1338" s="5" t="s">
        <v>48</v>
      </c>
      <c r="F1338" s="5" t="s">
        <v>49</v>
      </c>
      <c r="G1338" s="8"/>
      <c r="H1338" s="8" t="str">
        <f>IF(F1338="Bullet",MIN(G1338,Assumptions!$B$6),"")</f>
        <v/>
      </c>
      <c r="I1338" s="8">
        <v>1</v>
      </c>
      <c r="J1338" s="8">
        <f>IF(F1338="Monthly interest",MAX(0,Assumptions!$B$5-I1338),"")</f>
        <v>2</v>
      </c>
      <c r="K1338" s="7">
        <f t="shared" si="60"/>
        <v>3073</v>
      </c>
      <c r="L1338" s="9">
        <v>46282</v>
      </c>
      <c r="M1338" s="5" t="s">
        <v>69</v>
      </c>
      <c r="N1338" s="5" t="s">
        <v>53</v>
      </c>
      <c r="O1338" s="5" t="s">
        <v>103</v>
      </c>
      <c r="P1338" s="5" t="s">
        <v>70</v>
      </c>
      <c r="Q1338" s="5" t="s">
        <v>54</v>
      </c>
      <c r="R1338" s="5" t="s">
        <v>55</v>
      </c>
      <c r="S1338" s="5" t="s">
        <v>85</v>
      </c>
      <c r="T1338" s="5" t="s">
        <v>63</v>
      </c>
      <c r="U1338" s="5" t="s">
        <v>104</v>
      </c>
      <c r="V1338" s="5" t="s">
        <v>96</v>
      </c>
      <c r="W1338" s="5" t="s">
        <v>171</v>
      </c>
      <c r="X1338" s="5" t="s">
        <v>1760</v>
      </c>
      <c r="Y1338" s="5" t="s">
        <v>5633</v>
      </c>
      <c r="Z1338" s="9">
        <v>46070</v>
      </c>
      <c r="AA1338" s="8">
        <v>12</v>
      </c>
      <c r="AB1338" s="9">
        <f t="shared" si="61"/>
        <v>46435</v>
      </c>
      <c r="AC1338" s="10">
        <v>15</v>
      </c>
      <c r="AD1338" s="7">
        <f t="shared" si="62"/>
        <v>3073</v>
      </c>
      <c r="AE1338" s="7">
        <f>IF(F1338="Bullet",H1338*AD1338,MIN(MAX(I1338,1),Assumptions!$B$6)*AD1338)</f>
        <v>3073</v>
      </c>
      <c r="AF1338" s="8">
        <f>IF(F1338="Bullet",MAX(0,Assumptions!$B$4-AB1338),MAX(0,Assumptions!$B$4-L1338))</f>
        <v>16</v>
      </c>
      <c r="AG1338" s="9">
        <v>46256</v>
      </c>
      <c r="AH1338" s="8">
        <f>IF(AG1338="","",Assumptions!$B$4-AG1338)</f>
        <v>42</v>
      </c>
      <c r="AI1338" s="5" t="s">
        <v>63</v>
      </c>
      <c r="AJ1338" s="8">
        <v>3</v>
      </c>
      <c r="AK1338" s="8">
        <v>1</v>
      </c>
      <c r="AL1338" s="8">
        <v>625</v>
      </c>
      <c r="AM1338" s="8">
        <v>3</v>
      </c>
      <c r="AN1338" s="5" t="s">
        <v>63</v>
      </c>
      <c r="AO1338" s="10">
        <v>69.099999999999994</v>
      </c>
      <c r="AP1338" s="8">
        <v>41</v>
      </c>
      <c r="AQ1338" s="9">
        <v>46294</v>
      </c>
      <c r="AR1338" s="5" t="s">
        <v>51</v>
      </c>
      <c r="AS1338" s="5" t="s">
        <v>81</v>
      </c>
    </row>
    <row r="1339" spans="1:45" x14ac:dyDescent="0.35">
      <c r="A1339" s="5" t="s">
        <v>5634</v>
      </c>
      <c r="B1339" s="5" t="s">
        <v>5635</v>
      </c>
      <c r="C1339" s="6" t="s">
        <v>5636</v>
      </c>
      <c r="D1339" s="7">
        <v>210500</v>
      </c>
      <c r="E1339" s="5" t="s">
        <v>48</v>
      </c>
      <c r="F1339" s="5" t="s">
        <v>68</v>
      </c>
      <c r="G1339" s="8">
        <v>5</v>
      </c>
      <c r="H1339" s="8">
        <f>IF(F1339="Bullet",MIN(G1339,Assumptions!$B$6),"")</f>
        <v>2</v>
      </c>
      <c r="I1339" s="8"/>
      <c r="J1339" s="8" t="str">
        <f>IF(F1339="Monthly interest",MAX(0,Assumptions!$B$5-I1339),"")</f>
        <v/>
      </c>
      <c r="K1339" s="7">
        <f t="shared" si="60"/>
        <v>15790</v>
      </c>
      <c r="L1339" s="9">
        <v>46126</v>
      </c>
      <c r="M1339" s="5" t="s">
        <v>116</v>
      </c>
      <c r="N1339" s="5" t="s">
        <v>117</v>
      </c>
      <c r="O1339" s="5" t="s">
        <v>461</v>
      </c>
      <c r="P1339" s="5" t="s">
        <v>72</v>
      </c>
      <c r="Q1339" s="5" t="s">
        <v>169</v>
      </c>
      <c r="R1339" s="5" t="s">
        <v>170</v>
      </c>
      <c r="S1339" s="5" t="s">
        <v>75</v>
      </c>
      <c r="T1339" s="5" t="s">
        <v>57</v>
      </c>
      <c r="U1339" s="5" t="s">
        <v>86</v>
      </c>
      <c r="V1339" s="5" t="s">
        <v>76</v>
      </c>
      <c r="W1339" s="5" t="s">
        <v>382</v>
      </c>
      <c r="X1339" s="5" t="s">
        <v>383</v>
      </c>
      <c r="Y1339" s="5" t="s">
        <v>5637</v>
      </c>
      <c r="Z1339" s="9">
        <v>46126</v>
      </c>
      <c r="AA1339" s="8">
        <v>3</v>
      </c>
      <c r="AB1339" s="9">
        <f t="shared" si="61"/>
        <v>46217</v>
      </c>
      <c r="AC1339" s="10">
        <v>18</v>
      </c>
      <c r="AD1339" s="7">
        <f t="shared" si="62"/>
        <v>3158</v>
      </c>
      <c r="AE1339" s="7">
        <f>IF(F1339="Bullet",H1339*AD1339,MIN(MAX(I1339,1),Assumptions!$B$6)*AD1339)</f>
        <v>6316</v>
      </c>
      <c r="AF1339" s="8">
        <f>IF(F1339="Bullet",MAX(0,Assumptions!$B$4-AB1339),MAX(0,Assumptions!$B$4-L1339))</f>
        <v>81</v>
      </c>
      <c r="AG1339" s="9"/>
      <c r="AH1339" s="8" t="str">
        <f>IF(AG1339="","",Assumptions!$B$4-AG1339)</f>
        <v/>
      </c>
      <c r="AI1339" s="5" t="s">
        <v>80</v>
      </c>
      <c r="AJ1339" s="8"/>
      <c r="AK1339" s="8">
        <v>0</v>
      </c>
      <c r="AL1339" s="8">
        <v>639</v>
      </c>
      <c r="AM1339" s="8">
        <v>1</v>
      </c>
      <c r="AN1339" s="5" t="s">
        <v>63</v>
      </c>
      <c r="AO1339" s="10">
        <v>74.400000000000006</v>
      </c>
      <c r="AP1339" s="8">
        <v>51</v>
      </c>
      <c r="AQ1339" s="9">
        <v>46292</v>
      </c>
      <c r="AR1339" s="5" t="s">
        <v>53</v>
      </c>
      <c r="AS1339" s="5" t="s">
        <v>64</v>
      </c>
    </row>
    <row r="1340" spans="1:45" x14ac:dyDescent="0.35">
      <c r="A1340" s="5" t="s">
        <v>5638</v>
      </c>
      <c r="B1340" s="5" t="s">
        <v>5639</v>
      </c>
      <c r="C1340" s="6" t="s">
        <v>5640</v>
      </c>
      <c r="D1340" s="7">
        <v>23000</v>
      </c>
      <c r="E1340" s="5" t="s">
        <v>48</v>
      </c>
      <c r="F1340" s="5" t="s">
        <v>68</v>
      </c>
      <c r="G1340" s="8">
        <v>3</v>
      </c>
      <c r="H1340" s="8">
        <f>IF(F1340="Bullet",MIN(G1340,Assumptions!$B$6),"")</f>
        <v>2</v>
      </c>
      <c r="I1340" s="8"/>
      <c r="J1340" s="8" t="str">
        <f>IF(F1340="Monthly interest",MAX(0,Assumptions!$B$5-I1340),"")</f>
        <v/>
      </c>
      <c r="K1340" s="7">
        <f t="shared" si="60"/>
        <v>1035</v>
      </c>
      <c r="L1340" s="9">
        <v>46204</v>
      </c>
      <c r="M1340" s="5" t="s">
        <v>50</v>
      </c>
      <c r="N1340" s="5" t="s">
        <v>53</v>
      </c>
      <c r="O1340" s="5" t="s">
        <v>152</v>
      </c>
      <c r="P1340" s="5" t="s">
        <v>153</v>
      </c>
      <c r="Q1340" s="5" t="s">
        <v>154</v>
      </c>
      <c r="R1340" s="5" t="s">
        <v>155</v>
      </c>
      <c r="S1340" s="5" t="s">
        <v>253</v>
      </c>
      <c r="T1340" s="5" t="s">
        <v>57</v>
      </c>
      <c r="U1340" s="5" t="s">
        <v>86</v>
      </c>
      <c r="V1340" s="5" t="s">
        <v>76</v>
      </c>
      <c r="W1340" s="5" t="s">
        <v>306</v>
      </c>
      <c r="X1340" s="5" t="s">
        <v>1094</v>
      </c>
      <c r="Y1340" s="5" t="s">
        <v>5641</v>
      </c>
      <c r="Z1340" s="9">
        <v>46204</v>
      </c>
      <c r="AA1340" s="8">
        <v>6</v>
      </c>
      <c r="AB1340" s="9">
        <f t="shared" si="61"/>
        <v>46388</v>
      </c>
      <c r="AC1340" s="10">
        <v>18</v>
      </c>
      <c r="AD1340" s="7">
        <f t="shared" si="62"/>
        <v>345</v>
      </c>
      <c r="AE1340" s="7">
        <f>IF(F1340="Bullet",H1340*AD1340,MIN(MAX(I1340,1),Assumptions!$B$6)*AD1340)</f>
        <v>690</v>
      </c>
      <c r="AF1340" s="8">
        <f>IF(F1340="Bullet",MAX(0,Assumptions!$B$4-AB1340),MAX(0,Assumptions!$B$4-L1340))</f>
        <v>0</v>
      </c>
      <c r="AG1340" s="9"/>
      <c r="AH1340" s="8" t="str">
        <f>IF(AG1340="","",Assumptions!$B$4-AG1340)</f>
        <v/>
      </c>
      <c r="AI1340" s="5" t="s">
        <v>80</v>
      </c>
      <c r="AJ1340" s="8"/>
      <c r="AK1340" s="8">
        <v>3</v>
      </c>
      <c r="AL1340" s="8">
        <v>736</v>
      </c>
      <c r="AM1340" s="8">
        <v>0</v>
      </c>
      <c r="AN1340" s="5" t="s">
        <v>63</v>
      </c>
      <c r="AO1340" s="10">
        <v>62.9</v>
      </c>
      <c r="AP1340" s="8">
        <v>25</v>
      </c>
      <c r="AQ1340" s="9">
        <v>46289</v>
      </c>
      <c r="AR1340" s="5" t="s">
        <v>53</v>
      </c>
      <c r="AS1340" s="5" t="s">
        <v>64</v>
      </c>
    </row>
    <row r="1341" spans="1:45" x14ac:dyDescent="0.35">
      <c r="A1341" s="5" t="s">
        <v>5642</v>
      </c>
      <c r="B1341" s="5" t="s">
        <v>3959</v>
      </c>
      <c r="C1341" s="6" t="s">
        <v>5643</v>
      </c>
      <c r="D1341" s="7">
        <v>47400</v>
      </c>
      <c r="E1341" s="5" t="s">
        <v>48</v>
      </c>
      <c r="F1341" s="5" t="s">
        <v>68</v>
      </c>
      <c r="G1341" s="8">
        <v>4</v>
      </c>
      <c r="H1341" s="8">
        <f>IF(F1341="Bullet",MIN(G1341,Assumptions!$B$6),"")</f>
        <v>2</v>
      </c>
      <c r="I1341" s="8"/>
      <c r="J1341" s="8" t="str">
        <f>IF(F1341="Monthly interest",MAX(0,Assumptions!$B$5-I1341),"")</f>
        <v/>
      </c>
      <c r="K1341" s="7">
        <f t="shared" si="60"/>
        <v>2844</v>
      </c>
      <c r="L1341" s="9">
        <v>46152</v>
      </c>
      <c r="M1341" s="5" t="s">
        <v>69</v>
      </c>
      <c r="N1341" s="5" t="s">
        <v>53</v>
      </c>
      <c r="O1341" s="5" t="s">
        <v>152</v>
      </c>
      <c r="P1341" s="5" t="s">
        <v>153</v>
      </c>
      <c r="Q1341" s="5" t="s">
        <v>154</v>
      </c>
      <c r="R1341" s="5" t="s">
        <v>155</v>
      </c>
      <c r="S1341" s="5" t="s">
        <v>75</v>
      </c>
      <c r="T1341" s="5" t="s">
        <v>57</v>
      </c>
      <c r="U1341" s="5" t="s">
        <v>58</v>
      </c>
      <c r="V1341" s="5" t="s">
        <v>76</v>
      </c>
      <c r="W1341" s="5" t="s">
        <v>547</v>
      </c>
      <c r="X1341" s="5" t="s">
        <v>4863</v>
      </c>
      <c r="Y1341" s="5" t="s">
        <v>5644</v>
      </c>
      <c r="Z1341" s="9">
        <v>46152</v>
      </c>
      <c r="AA1341" s="8">
        <v>12</v>
      </c>
      <c r="AB1341" s="9">
        <f t="shared" si="61"/>
        <v>46517</v>
      </c>
      <c r="AC1341" s="10">
        <v>18</v>
      </c>
      <c r="AD1341" s="7">
        <f t="shared" si="62"/>
        <v>711</v>
      </c>
      <c r="AE1341" s="7">
        <f>IF(F1341="Bullet",H1341*AD1341,MIN(MAX(I1341,1),Assumptions!$B$6)*AD1341)</f>
        <v>1422</v>
      </c>
      <c r="AF1341" s="8">
        <f>IF(F1341="Bullet",MAX(0,Assumptions!$B$4-AB1341),MAX(0,Assumptions!$B$4-L1341))</f>
        <v>0</v>
      </c>
      <c r="AG1341" s="9"/>
      <c r="AH1341" s="8" t="str">
        <f>IF(AG1341="","",Assumptions!$B$4-AG1341)</f>
        <v/>
      </c>
      <c r="AI1341" s="5" t="s">
        <v>80</v>
      </c>
      <c r="AJ1341" s="8"/>
      <c r="AK1341" s="8">
        <v>0</v>
      </c>
      <c r="AL1341" s="8">
        <v>646</v>
      </c>
      <c r="AM1341" s="8">
        <v>0</v>
      </c>
      <c r="AN1341" s="5" t="s">
        <v>63</v>
      </c>
      <c r="AO1341" s="10">
        <v>55.4</v>
      </c>
      <c r="AP1341" s="8">
        <v>34</v>
      </c>
      <c r="AQ1341" s="9">
        <v>46279</v>
      </c>
      <c r="AR1341" s="5" t="s">
        <v>53</v>
      </c>
      <c r="AS1341" s="5" t="s">
        <v>64</v>
      </c>
    </row>
    <row r="1342" spans="1:45" x14ac:dyDescent="0.35">
      <c r="A1342" s="5" t="s">
        <v>5645</v>
      </c>
      <c r="B1342" s="5" t="s">
        <v>3510</v>
      </c>
      <c r="C1342" s="6" t="s">
        <v>5646</v>
      </c>
      <c r="D1342" s="7">
        <v>294600</v>
      </c>
      <c r="E1342" s="5" t="s">
        <v>48</v>
      </c>
      <c r="F1342" s="5" t="s">
        <v>68</v>
      </c>
      <c r="G1342" s="8">
        <v>2</v>
      </c>
      <c r="H1342" s="8">
        <f>IF(F1342="Bullet",MIN(G1342,Assumptions!$B$6),"")</f>
        <v>2</v>
      </c>
      <c r="I1342" s="8"/>
      <c r="J1342" s="8" t="str">
        <f>IF(F1342="Monthly interest",MAX(0,Assumptions!$B$5-I1342),"")</f>
        <v/>
      </c>
      <c r="K1342" s="7">
        <f t="shared" si="60"/>
        <v>6874</v>
      </c>
      <c r="L1342" s="9">
        <v>46215</v>
      </c>
      <c r="M1342" s="5" t="s">
        <v>116</v>
      </c>
      <c r="N1342" s="5" t="s">
        <v>117</v>
      </c>
      <c r="O1342" s="5" t="s">
        <v>207</v>
      </c>
      <c r="P1342" s="5" t="s">
        <v>72</v>
      </c>
      <c r="Q1342" s="5" t="s">
        <v>73</v>
      </c>
      <c r="R1342" s="5" t="s">
        <v>74</v>
      </c>
      <c r="S1342" s="5" t="s">
        <v>185</v>
      </c>
      <c r="T1342" s="5" t="s">
        <v>57</v>
      </c>
      <c r="U1342" s="5" t="s">
        <v>58</v>
      </c>
      <c r="V1342" s="5" t="s">
        <v>200</v>
      </c>
      <c r="W1342" s="5" t="s">
        <v>500</v>
      </c>
      <c r="X1342" s="5" t="s">
        <v>1769</v>
      </c>
      <c r="Y1342" s="5" t="s">
        <v>5647</v>
      </c>
      <c r="Z1342" s="9">
        <v>46215</v>
      </c>
      <c r="AA1342" s="8">
        <v>3</v>
      </c>
      <c r="AB1342" s="9">
        <f t="shared" si="61"/>
        <v>46307</v>
      </c>
      <c r="AC1342" s="10">
        <v>14</v>
      </c>
      <c r="AD1342" s="7">
        <f t="shared" si="62"/>
        <v>3437</v>
      </c>
      <c r="AE1342" s="7">
        <f>IF(F1342="Bullet",H1342*AD1342,MIN(MAX(I1342,1),Assumptions!$B$6)*AD1342)</f>
        <v>6874</v>
      </c>
      <c r="AF1342" s="8">
        <f>IF(F1342="Bullet",MAX(0,Assumptions!$B$4-AB1342),MAX(0,Assumptions!$B$4-L1342))</f>
        <v>0</v>
      </c>
      <c r="AG1342" s="9"/>
      <c r="AH1342" s="8" t="str">
        <f>IF(AG1342="","",Assumptions!$B$4-AG1342)</f>
        <v/>
      </c>
      <c r="AI1342" s="5" t="s">
        <v>80</v>
      </c>
      <c r="AJ1342" s="8"/>
      <c r="AK1342" s="8">
        <v>3</v>
      </c>
      <c r="AL1342" s="8">
        <v>652</v>
      </c>
      <c r="AM1342" s="8">
        <v>0</v>
      </c>
      <c r="AN1342" s="5" t="s">
        <v>57</v>
      </c>
      <c r="AO1342" s="10">
        <v>64.8</v>
      </c>
      <c r="AP1342" s="8">
        <v>56</v>
      </c>
      <c r="AQ1342" s="9">
        <v>46278</v>
      </c>
      <c r="AR1342" s="5" t="s">
        <v>70</v>
      </c>
      <c r="AS1342" s="5" t="s">
        <v>64</v>
      </c>
    </row>
    <row r="1343" spans="1:45" x14ac:dyDescent="0.35">
      <c r="A1343" s="5" t="s">
        <v>5648</v>
      </c>
      <c r="B1343" s="5" t="s">
        <v>5649</v>
      </c>
      <c r="C1343" s="6" t="s">
        <v>5650</v>
      </c>
      <c r="D1343" s="7">
        <v>136500</v>
      </c>
      <c r="E1343" s="5" t="s">
        <v>48</v>
      </c>
      <c r="F1343" s="5" t="s">
        <v>68</v>
      </c>
      <c r="G1343" s="8">
        <v>2</v>
      </c>
      <c r="H1343" s="8">
        <f>IF(F1343="Bullet",MIN(G1343,Assumptions!$B$6),"")</f>
        <v>2</v>
      </c>
      <c r="I1343" s="8"/>
      <c r="J1343" s="8" t="str">
        <f>IF(F1343="Monthly interest",MAX(0,Assumptions!$B$5-I1343),"")</f>
        <v/>
      </c>
      <c r="K1343" s="7">
        <f t="shared" si="60"/>
        <v>3640</v>
      </c>
      <c r="L1343" s="9">
        <v>46234</v>
      </c>
      <c r="M1343" s="5" t="s">
        <v>50</v>
      </c>
      <c r="N1343" s="5" t="s">
        <v>53</v>
      </c>
      <c r="O1343" s="5" t="s">
        <v>132</v>
      </c>
      <c r="P1343" s="5" t="s">
        <v>70</v>
      </c>
      <c r="Q1343" s="5" t="s">
        <v>73</v>
      </c>
      <c r="R1343" s="5" t="s">
        <v>74</v>
      </c>
      <c r="S1343" s="5" t="s">
        <v>56</v>
      </c>
      <c r="T1343" s="5" t="s">
        <v>63</v>
      </c>
      <c r="U1343" s="5" t="s">
        <v>104</v>
      </c>
      <c r="V1343" s="5" t="s">
        <v>59</v>
      </c>
      <c r="W1343" s="5" t="s">
        <v>126</v>
      </c>
      <c r="X1343" s="5" t="s">
        <v>4836</v>
      </c>
      <c r="Y1343" s="5" t="s">
        <v>5651</v>
      </c>
      <c r="Z1343" s="9">
        <v>46234</v>
      </c>
      <c r="AA1343" s="8">
        <v>6</v>
      </c>
      <c r="AB1343" s="9">
        <f t="shared" si="61"/>
        <v>46418</v>
      </c>
      <c r="AC1343" s="10">
        <v>16</v>
      </c>
      <c r="AD1343" s="7">
        <f t="shared" si="62"/>
        <v>1820</v>
      </c>
      <c r="AE1343" s="7">
        <f>IF(F1343="Bullet",H1343*AD1343,MIN(MAX(I1343,1),Assumptions!$B$6)*AD1343)</f>
        <v>3640</v>
      </c>
      <c r="AF1343" s="8">
        <f>IF(F1343="Bullet",MAX(0,Assumptions!$B$4-AB1343),MAX(0,Assumptions!$B$4-L1343))</f>
        <v>0</v>
      </c>
      <c r="AG1343" s="9"/>
      <c r="AH1343" s="8" t="str">
        <f>IF(AG1343="","",Assumptions!$B$4-AG1343)</f>
        <v/>
      </c>
      <c r="AI1343" s="5" t="s">
        <v>80</v>
      </c>
      <c r="AJ1343" s="8"/>
      <c r="AK1343" s="8">
        <v>1</v>
      </c>
      <c r="AL1343" s="8">
        <v>685</v>
      </c>
      <c r="AM1343" s="8">
        <v>1</v>
      </c>
      <c r="AN1343" s="5" t="s">
        <v>63</v>
      </c>
      <c r="AO1343" s="10">
        <v>66.2</v>
      </c>
      <c r="AP1343" s="8">
        <v>21</v>
      </c>
      <c r="AQ1343" s="9">
        <v>46279</v>
      </c>
      <c r="AR1343" s="5" t="s">
        <v>51</v>
      </c>
      <c r="AS1343" s="5" t="s">
        <v>91</v>
      </c>
    </row>
    <row r="1344" spans="1:45" x14ac:dyDescent="0.35">
      <c r="A1344" s="5" t="s">
        <v>5652</v>
      </c>
      <c r="B1344" s="5" t="s">
        <v>5653</v>
      </c>
      <c r="C1344" s="6" t="s">
        <v>5654</v>
      </c>
      <c r="D1344" s="7">
        <v>70400</v>
      </c>
      <c r="E1344" s="5" t="s">
        <v>48</v>
      </c>
      <c r="F1344" s="5" t="s">
        <v>49</v>
      </c>
      <c r="G1344" s="8"/>
      <c r="H1344" s="8" t="str">
        <f>IF(F1344="Bullet",MIN(G1344,Assumptions!$B$6),"")</f>
        <v/>
      </c>
      <c r="I1344" s="8">
        <v>2</v>
      </c>
      <c r="J1344" s="8">
        <f>IF(F1344="Monthly interest",MAX(0,Assumptions!$B$5-I1344),"")</f>
        <v>1</v>
      </c>
      <c r="K1344" s="7">
        <f t="shared" si="60"/>
        <v>2112</v>
      </c>
      <c r="L1344" s="9">
        <v>46245</v>
      </c>
      <c r="M1344" s="5" t="s">
        <v>69</v>
      </c>
      <c r="N1344" s="5" t="s">
        <v>53</v>
      </c>
      <c r="O1344" s="5" t="s">
        <v>71</v>
      </c>
      <c r="P1344" s="5" t="s">
        <v>70</v>
      </c>
      <c r="Q1344" s="5" t="s">
        <v>73</v>
      </c>
      <c r="R1344" s="5" t="s">
        <v>74</v>
      </c>
      <c r="S1344" s="5" t="s">
        <v>75</v>
      </c>
      <c r="T1344" s="5" t="s">
        <v>57</v>
      </c>
      <c r="U1344" s="5" t="s">
        <v>104</v>
      </c>
      <c r="V1344" s="5" t="s">
        <v>76</v>
      </c>
      <c r="W1344" s="5" t="s">
        <v>382</v>
      </c>
      <c r="X1344" s="5" t="s">
        <v>2454</v>
      </c>
      <c r="Y1344" s="5" t="s">
        <v>5655</v>
      </c>
      <c r="Z1344" s="9">
        <v>46092</v>
      </c>
      <c r="AA1344" s="8">
        <v>24</v>
      </c>
      <c r="AB1344" s="9">
        <f t="shared" si="61"/>
        <v>46823</v>
      </c>
      <c r="AC1344" s="10">
        <v>18</v>
      </c>
      <c r="AD1344" s="7">
        <f t="shared" si="62"/>
        <v>1056</v>
      </c>
      <c r="AE1344" s="7">
        <f>IF(F1344="Bullet",H1344*AD1344,MIN(MAX(I1344,1),Assumptions!$B$6)*AD1344)</f>
        <v>2112</v>
      </c>
      <c r="AF1344" s="8">
        <f>IF(F1344="Bullet",MAX(0,Assumptions!$B$4-AB1344),MAX(0,Assumptions!$B$4-L1344))</f>
        <v>53</v>
      </c>
      <c r="AG1344" s="9">
        <v>46216</v>
      </c>
      <c r="AH1344" s="8">
        <f>IF(AG1344="","",Assumptions!$B$4-AG1344)</f>
        <v>82</v>
      </c>
      <c r="AI1344" s="5" t="s">
        <v>57</v>
      </c>
      <c r="AJ1344" s="8">
        <v>2</v>
      </c>
      <c r="AK1344" s="8">
        <v>1</v>
      </c>
      <c r="AL1344" s="8">
        <v>766</v>
      </c>
      <c r="AM1344" s="8">
        <v>1</v>
      </c>
      <c r="AN1344" s="5" t="s">
        <v>63</v>
      </c>
      <c r="AO1344" s="10">
        <v>59.4</v>
      </c>
      <c r="AP1344" s="8">
        <v>37</v>
      </c>
      <c r="AQ1344" s="9">
        <v>46293</v>
      </c>
      <c r="AR1344" s="5" t="s">
        <v>70</v>
      </c>
      <c r="AS1344" s="5" t="s">
        <v>81</v>
      </c>
    </row>
    <row r="1345" spans="1:45" x14ac:dyDescent="0.35">
      <c r="A1345" s="5" t="s">
        <v>5656</v>
      </c>
      <c r="B1345" s="5" t="s">
        <v>5657</v>
      </c>
      <c r="C1345" s="6" t="s">
        <v>5658</v>
      </c>
      <c r="D1345" s="7">
        <v>67600</v>
      </c>
      <c r="E1345" s="5" t="s">
        <v>48</v>
      </c>
      <c r="F1345" s="5" t="s">
        <v>49</v>
      </c>
      <c r="G1345" s="8"/>
      <c r="H1345" s="8" t="str">
        <f>IF(F1345="Bullet",MIN(G1345,Assumptions!$B$6),"")</f>
        <v/>
      </c>
      <c r="I1345" s="8">
        <v>2</v>
      </c>
      <c r="J1345" s="8">
        <f>IF(F1345="Monthly interest",MAX(0,Assumptions!$B$5-I1345),"")</f>
        <v>1</v>
      </c>
      <c r="K1345" s="7">
        <f t="shared" si="60"/>
        <v>2254</v>
      </c>
      <c r="L1345" s="9">
        <v>46242</v>
      </c>
      <c r="M1345" s="5" t="s">
        <v>69</v>
      </c>
      <c r="N1345" s="5" t="s">
        <v>53</v>
      </c>
      <c r="O1345" s="5" t="s">
        <v>71</v>
      </c>
      <c r="P1345" s="5" t="s">
        <v>70</v>
      </c>
      <c r="Q1345" s="5" t="s">
        <v>73</v>
      </c>
      <c r="R1345" s="5" t="s">
        <v>74</v>
      </c>
      <c r="S1345" s="5" t="s">
        <v>56</v>
      </c>
      <c r="T1345" s="5" t="s">
        <v>63</v>
      </c>
      <c r="U1345" s="5" t="s">
        <v>86</v>
      </c>
      <c r="V1345" s="5" t="s">
        <v>59</v>
      </c>
      <c r="W1345" s="5" t="s">
        <v>156</v>
      </c>
      <c r="X1345" s="5" t="s">
        <v>2809</v>
      </c>
      <c r="Y1345" s="5" t="s">
        <v>5659</v>
      </c>
      <c r="Z1345" s="9">
        <v>45969</v>
      </c>
      <c r="AA1345" s="8">
        <v>12</v>
      </c>
      <c r="AB1345" s="9">
        <f t="shared" si="61"/>
        <v>46334</v>
      </c>
      <c r="AC1345" s="10">
        <v>20</v>
      </c>
      <c r="AD1345" s="7">
        <f t="shared" si="62"/>
        <v>1127</v>
      </c>
      <c r="AE1345" s="7">
        <f>IF(F1345="Bullet",H1345*AD1345,MIN(MAX(I1345,1),Assumptions!$B$6)*AD1345)</f>
        <v>2254</v>
      </c>
      <c r="AF1345" s="8">
        <f>IF(F1345="Bullet",MAX(0,Assumptions!$B$4-AB1345),MAX(0,Assumptions!$B$4-L1345))</f>
        <v>56</v>
      </c>
      <c r="AG1345" s="9">
        <v>46212</v>
      </c>
      <c r="AH1345" s="8">
        <f>IF(AG1345="","",Assumptions!$B$4-AG1345)</f>
        <v>86</v>
      </c>
      <c r="AI1345" s="5" t="s">
        <v>57</v>
      </c>
      <c r="AJ1345" s="8">
        <v>3</v>
      </c>
      <c r="AK1345" s="8">
        <v>0</v>
      </c>
      <c r="AL1345" s="8">
        <v>733</v>
      </c>
      <c r="AM1345" s="8">
        <v>0</v>
      </c>
      <c r="AN1345" s="5" t="s">
        <v>63</v>
      </c>
      <c r="AO1345" s="10">
        <v>58.5</v>
      </c>
      <c r="AP1345" s="8">
        <v>41</v>
      </c>
      <c r="AQ1345" s="9">
        <v>46281</v>
      </c>
      <c r="AR1345" s="5" t="s">
        <v>70</v>
      </c>
      <c r="AS1345" s="5" t="s">
        <v>81</v>
      </c>
    </row>
    <row r="1346" spans="1:45" x14ac:dyDescent="0.35">
      <c r="A1346" s="5" t="s">
        <v>5660</v>
      </c>
      <c r="B1346" s="5" t="s">
        <v>5661</v>
      </c>
      <c r="C1346" s="6" t="s">
        <v>5662</v>
      </c>
      <c r="D1346" s="7">
        <v>26700</v>
      </c>
      <c r="E1346" s="5" t="s">
        <v>48</v>
      </c>
      <c r="F1346" s="5" t="s">
        <v>49</v>
      </c>
      <c r="G1346" s="8"/>
      <c r="H1346" s="8" t="str">
        <f>IF(F1346="Bullet",MIN(G1346,Assumptions!$B$6),"")</f>
        <v/>
      </c>
      <c r="I1346" s="8">
        <v>2</v>
      </c>
      <c r="J1346" s="8">
        <f>IF(F1346="Monthly interest",MAX(0,Assumptions!$B$5-I1346),"")</f>
        <v>1</v>
      </c>
      <c r="K1346" s="7">
        <f t="shared" ref="K1346:K1409" si="63">IF(F1346="Bullet",G1346*AD1346,MAX(I1346,1)*AD1346)</f>
        <v>890</v>
      </c>
      <c r="L1346" s="9">
        <v>46247</v>
      </c>
      <c r="M1346" s="5" t="s">
        <v>116</v>
      </c>
      <c r="N1346" s="5" t="s">
        <v>117</v>
      </c>
      <c r="O1346" s="5" t="s">
        <v>450</v>
      </c>
      <c r="P1346" s="5" t="s">
        <v>72</v>
      </c>
      <c r="Q1346" s="5" t="s">
        <v>154</v>
      </c>
      <c r="R1346" s="5" t="s">
        <v>155</v>
      </c>
      <c r="S1346" s="5" t="s">
        <v>214</v>
      </c>
      <c r="T1346" s="5" t="s">
        <v>63</v>
      </c>
      <c r="U1346" s="5" t="s">
        <v>86</v>
      </c>
      <c r="V1346" s="5" t="s">
        <v>215</v>
      </c>
      <c r="W1346" s="5" t="s">
        <v>1057</v>
      </c>
      <c r="X1346" s="5" t="s">
        <v>3126</v>
      </c>
      <c r="Y1346" s="5" t="s">
        <v>5663</v>
      </c>
      <c r="Z1346" s="9">
        <v>46066</v>
      </c>
      <c r="AA1346" s="8">
        <v>24</v>
      </c>
      <c r="AB1346" s="9">
        <f t="shared" ref="AB1346:AB1409" si="64">EDATE(Z1346,AA1346)</f>
        <v>46796</v>
      </c>
      <c r="AC1346" s="10">
        <v>20</v>
      </c>
      <c r="AD1346" s="7">
        <f t="shared" ref="AD1346:AD1409" si="65">ROUND(D1346*AC1346/100/12,0)</f>
        <v>445</v>
      </c>
      <c r="AE1346" s="7">
        <f>IF(F1346="Bullet",H1346*AD1346,MIN(MAX(I1346,1),Assumptions!$B$6)*AD1346)</f>
        <v>890</v>
      </c>
      <c r="AF1346" s="8">
        <f>IF(F1346="Bullet",MAX(0,Assumptions!$B$4-AB1346),MAX(0,Assumptions!$B$4-L1346))</f>
        <v>51</v>
      </c>
      <c r="AG1346" s="9">
        <v>46218</v>
      </c>
      <c r="AH1346" s="8">
        <f>IF(AG1346="","",Assumptions!$B$4-AG1346)</f>
        <v>80</v>
      </c>
      <c r="AI1346" s="5" t="s">
        <v>63</v>
      </c>
      <c r="AJ1346" s="8">
        <v>2</v>
      </c>
      <c r="AK1346" s="8">
        <v>1</v>
      </c>
      <c r="AL1346" s="8" t="s">
        <v>80</v>
      </c>
      <c r="AM1346" s="8">
        <v>2</v>
      </c>
      <c r="AN1346" s="5" t="s">
        <v>63</v>
      </c>
      <c r="AO1346" s="10">
        <v>55.3</v>
      </c>
      <c r="AP1346" s="8">
        <v>50</v>
      </c>
      <c r="AQ1346" s="9">
        <v>46287</v>
      </c>
      <c r="AR1346" s="5" t="s">
        <v>53</v>
      </c>
      <c r="AS1346" s="5" t="s">
        <v>81</v>
      </c>
    </row>
    <row r="1347" spans="1:45" x14ac:dyDescent="0.35">
      <c r="A1347" s="5" t="s">
        <v>5664</v>
      </c>
      <c r="B1347" s="5" t="s">
        <v>5665</v>
      </c>
      <c r="C1347" s="6" t="s">
        <v>5666</v>
      </c>
      <c r="D1347" s="7">
        <v>380000</v>
      </c>
      <c r="E1347" s="5" t="s">
        <v>48</v>
      </c>
      <c r="F1347" s="5" t="s">
        <v>49</v>
      </c>
      <c r="G1347" s="8"/>
      <c r="H1347" s="8" t="str">
        <f>IF(F1347="Bullet",MIN(G1347,Assumptions!$B$6),"")</f>
        <v/>
      </c>
      <c r="I1347" s="8">
        <v>2</v>
      </c>
      <c r="J1347" s="8">
        <f>IF(F1347="Monthly interest",MAX(0,Assumptions!$B$5-I1347),"")</f>
        <v>1</v>
      </c>
      <c r="K1347" s="7">
        <f t="shared" si="63"/>
        <v>8866</v>
      </c>
      <c r="L1347" s="9">
        <v>46254</v>
      </c>
      <c r="M1347" s="5" t="s">
        <v>116</v>
      </c>
      <c r="N1347" s="5" t="s">
        <v>117</v>
      </c>
      <c r="O1347" s="5" t="s">
        <v>118</v>
      </c>
      <c r="P1347" s="5" t="s">
        <v>72</v>
      </c>
      <c r="Q1347" s="5" t="s">
        <v>119</v>
      </c>
      <c r="R1347" s="5" t="s">
        <v>120</v>
      </c>
      <c r="S1347" s="5" t="s">
        <v>75</v>
      </c>
      <c r="T1347" s="5" t="s">
        <v>63</v>
      </c>
      <c r="U1347" s="5" t="s">
        <v>86</v>
      </c>
      <c r="V1347" s="5" t="s">
        <v>76</v>
      </c>
      <c r="W1347" s="5" t="s">
        <v>444</v>
      </c>
      <c r="X1347" s="5" t="s">
        <v>877</v>
      </c>
      <c r="Y1347" s="5" t="s">
        <v>5667</v>
      </c>
      <c r="Z1347" s="9">
        <v>45981</v>
      </c>
      <c r="AA1347" s="8">
        <v>12</v>
      </c>
      <c r="AB1347" s="9">
        <f t="shared" si="64"/>
        <v>46346</v>
      </c>
      <c r="AC1347" s="10">
        <v>14</v>
      </c>
      <c r="AD1347" s="7">
        <f t="shared" si="65"/>
        <v>4433</v>
      </c>
      <c r="AE1347" s="7">
        <f>IF(F1347="Bullet",H1347*AD1347,MIN(MAX(I1347,1),Assumptions!$B$6)*AD1347)</f>
        <v>8866</v>
      </c>
      <c r="AF1347" s="8">
        <f>IF(F1347="Bullet",MAX(0,Assumptions!$B$4-AB1347),MAX(0,Assumptions!$B$4-L1347))</f>
        <v>44</v>
      </c>
      <c r="AG1347" s="9">
        <v>46226</v>
      </c>
      <c r="AH1347" s="8">
        <f>IF(AG1347="","",Assumptions!$B$4-AG1347)</f>
        <v>72</v>
      </c>
      <c r="AI1347" s="5" t="s">
        <v>63</v>
      </c>
      <c r="AJ1347" s="8">
        <v>3</v>
      </c>
      <c r="AK1347" s="8">
        <v>0</v>
      </c>
      <c r="AL1347" s="8">
        <v>716</v>
      </c>
      <c r="AM1347" s="8">
        <v>2</v>
      </c>
      <c r="AN1347" s="5" t="s">
        <v>57</v>
      </c>
      <c r="AO1347" s="10">
        <v>63.3</v>
      </c>
      <c r="AP1347" s="8">
        <v>54</v>
      </c>
      <c r="AQ1347" s="9"/>
      <c r="AR1347" s="5"/>
      <c r="AS1347" s="5" t="s">
        <v>159</v>
      </c>
    </row>
    <row r="1348" spans="1:45" x14ac:dyDescent="0.35">
      <c r="A1348" s="5" t="s">
        <v>5668</v>
      </c>
      <c r="B1348" s="5" t="s">
        <v>4873</v>
      </c>
      <c r="C1348" s="6" t="s">
        <v>5669</v>
      </c>
      <c r="D1348" s="7">
        <v>270400</v>
      </c>
      <c r="E1348" s="5" t="s">
        <v>48</v>
      </c>
      <c r="F1348" s="5" t="s">
        <v>68</v>
      </c>
      <c r="G1348" s="8">
        <v>3</v>
      </c>
      <c r="H1348" s="8">
        <f>IF(F1348="Bullet",MIN(G1348,Assumptions!$B$6),"")</f>
        <v>2</v>
      </c>
      <c r="I1348" s="8"/>
      <c r="J1348" s="8" t="str">
        <f>IF(F1348="Monthly interest",MAX(0,Assumptions!$B$5-I1348),"")</f>
        <v/>
      </c>
      <c r="K1348" s="7">
        <f t="shared" si="63"/>
        <v>10140</v>
      </c>
      <c r="L1348" s="9">
        <v>46199</v>
      </c>
      <c r="M1348" s="5" t="s">
        <v>50</v>
      </c>
      <c r="N1348" s="5" t="s">
        <v>53</v>
      </c>
      <c r="O1348" s="5" t="s">
        <v>71</v>
      </c>
      <c r="P1348" s="5" t="s">
        <v>51</v>
      </c>
      <c r="Q1348" s="5" t="s">
        <v>73</v>
      </c>
      <c r="R1348" s="5" t="s">
        <v>74</v>
      </c>
      <c r="S1348" s="5" t="s">
        <v>253</v>
      </c>
      <c r="T1348" s="5" t="s">
        <v>57</v>
      </c>
      <c r="U1348" s="5" t="s">
        <v>104</v>
      </c>
      <c r="V1348" s="5" t="s">
        <v>59</v>
      </c>
      <c r="W1348" s="5" t="s">
        <v>156</v>
      </c>
      <c r="X1348" s="5" t="s">
        <v>2761</v>
      </c>
      <c r="Y1348" s="5" t="s">
        <v>5670</v>
      </c>
      <c r="Z1348" s="9">
        <v>46199</v>
      </c>
      <c r="AA1348" s="8">
        <v>6</v>
      </c>
      <c r="AB1348" s="9">
        <f t="shared" si="64"/>
        <v>46382</v>
      </c>
      <c r="AC1348" s="10">
        <v>15</v>
      </c>
      <c r="AD1348" s="7">
        <f t="shared" si="65"/>
        <v>3380</v>
      </c>
      <c r="AE1348" s="7">
        <f>IF(F1348="Bullet",H1348*AD1348,MIN(MAX(I1348,1),Assumptions!$B$6)*AD1348)</f>
        <v>6760</v>
      </c>
      <c r="AF1348" s="8">
        <f>IF(F1348="Bullet",MAX(0,Assumptions!$B$4-AB1348),MAX(0,Assumptions!$B$4-L1348))</f>
        <v>0</v>
      </c>
      <c r="AG1348" s="9"/>
      <c r="AH1348" s="8" t="str">
        <f>IF(AG1348="","",Assumptions!$B$4-AG1348)</f>
        <v/>
      </c>
      <c r="AI1348" s="5" t="s">
        <v>80</v>
      </c>
      <c r="AJ1348" s="8"/>
      <c r="AK1348" s="8">
        <v>0</v>
      </c>
      <c r="AL1348" s="8">
        <v>656</v>
      </c>
      <c r="AM1348" s="8">
        <v>3</v>
      </c>
      <c r="AN1348" s="5" t="s">
        <v>63</v>
      </c>
      <c r="AO1348" s="10">
        <v>76.099999999999994</v>
      </c>
      <c r="AP1348" s="8">
        <v>27</v>
      </c>
      <c r="AQ1348" s="9">
        <v>46289</v>
      </c>
      <c r="AR1348" s="5" t="s">
        <v>70</v>
      </c>
      <c r="AS1348" s="5" t="s">
        <v>64</v>
      </c>
    </row>
    <row r="1349" spans="1:45" x14ac:dyDescent="0.35">
      <c r="A1349" s="5" t="s">
        <v>5671</v>
      </c>
      <c r="B1349" s="5" t="s">
        <v>5672</v>
      </c>
      <c r="C1349" s="6" t="s">
        <v>5673</v>
      </c>
      <c r="D1349" s="7">
        <v>44400</v>
      </c>
      <c r="E1349" s="5" t="s">
        <v>48</v>
      </c>
      <c r="F1349" s="5" t="s">
        <v>49</v>
      </c>
      <c r="G1349" s="8"/>
      <c r="H1349" s="8" t="str">
        <f>IF(F1349="Bullet",MIN(G1349,Assumptions!$B$6),"")</f>
        <v/>
      </c>
      <c r="I1349" s="8">
        <v>2</v>
      </c>
      <c r="J1349" s="8">
        <f>IF(F1349="Monthly interest",MAX(0,Assumptions!$B$5-I1349),"")</f>
        <v>1</v>
      </c>
      <c r="K1349" s="7">
        <f t="shared" si="63"/>
        <v>1480</v>
      </c>
      <c r="L1349" s="9">
        <v>46241</v>
      </c>
      <c r="M1349" s="5" t="s">
        <v>116</v>
      </c>
      <c r="N1349" s="5" t="s">
        <v>117</v>
      </c>
      <c r="O1349" s="5" t="s">
        <v>450</v>
      </c>
      <c r="P1349" s="5" t="s">
        <v>72</v>
      </c>
      <c r="Q1349" s="5" t="s">
        <v>154</v>
      </c>
      <c r="R1349" s="5" t="s">
        <v>155</v>
      </c>
      <c r="S1349" s="5" t="s">
        <v>75</v>
      </c>
      <c r="T1349" s="5" t="s">
        <v>57</v>
      </c>
      <c r="U1349" s="5" t="s">
        <v>58</v>
      </c>
      <c r="V1349" s="5" t="s">
        <v>76</v>
      </c>
      <c r="W1349" s="5" t="s">
        <v>146</v>
      </c>
      <c r="X1349" s="5" t="s">
        <v>3784</v>
      </c>
      <c r="Y1349" s="5" t="s">
        <v>5674</v>
      </c>
      <c r="Z1349" s="9">
        <v>46180</v>
      </c>
      <c r="AA1349" s="8">
        <v>18</v>
      </c>
      <c r="AB1349" s="9">
        <f t="shared" si="64"/>
        <v>46728</v>
      </c>
      <c r="AC1349" s="10">
        <v>20</v>
      </c>
      <c r="AD1349" s="7">
        <f t="shared" si="65"/>
        <v>740</v>
      </c>
      <c r="AE1349" s="7">
        <f>IF(F1349="Bullet",H1349*AD1349,MIN(MAX(I1349,1),Assumptions!$B$6)*AD1349)</f>
        <v>1480</v>
      </c>
      <c r="AF1349" s="8">
        <f>IF(F1349="Bullet",MAX(0,Assumptions!$B$4-AB1349),MAX(0,Assumptions!$B$4-L1349))</f>
        <v>57</v>
      </c>
      <c r="AG1349" s="9">
        <v>46211</v>
      </c>
      <c r="AH1349" s="8">
        <f>IF(AG1349="","",Assumptions!$B$4-AG1349)</f>
        <v>87</v>
      </c>
      <c r="AI1349" s="5" t="s">
        <v>63</v>
      </c>
      <c r="AJ1349" s="8">
        <v>2</v>
      </c>
      <c r="AK1349" s="8">
        <v>2</v>
      </c>
      <c r="AL1349" s="8" t="s">
        <v>80</v>
      </c>
      <c r="AM1349" s="8">
        <v>1</v>
      </c>
      <c r="AN1349" s="5" t="s">
        <v>57</v>
      </c>
      <c r="AO1349" s="10">
        <v>62.8</v>
      </c>
      <c r="AP1349" s="8">
        <v>65</v>
      </c>
      <c r="AQ1349" s="9">
        <v>46286</v>
      </c>
      <c r="AR1349" s="5" t="s">
        <v>70</v>
      </c>
      <c r="AS1349" s="5" t="s">
        <v>81</v>
      </c>
    </row>
    <row r="1350" spans="1:45" x14ac:dyDescent="0.35">
      <c r="A1350" s="5" t="s">
        <v>5675</v>
      </c>
      <c r="B1350" s="5" t="s">
        <v>5676</v>
      </c>
      <c r="C1350" s="6" t="s">
        <v>5677</v>
      </c>
      <c r="D1350" s="7">
        <v>31300</v>
      </c>
      <c r="E1350" s="5" t="s">
        <v>48</v>
      </c>
      <c r="F1350" s="5" t="s">
        <v>68</v>
      </c>
      <c r="G1350" s="8">
        <v>3</v>
      </c>
      <c r="H1350" s="8">
        <f>IF(F1350="Bullet",MIN(G1350,Assumptions!$B$6),"")</f>
        <v>2</v>
      </c>
      <c r="I1350" s="8"/>
      <c r="J1350" s="8" t="str">
        <f>IF(F1350="Monthly interest",MAX(0,Assumptions!$B$5-I1350),"")</f>
        <v/>
      </c>
      <c r="K1350" s="7">
        <f t="shared" si="63"/>
        <v>1095</v>
      </c>
      <c r="L1350" s="9">
        <v>46192</v>
      </c>
      <c r="M1350" s="5" t="s">
        <v>50</v>
      </c>
      <c r="N1350" s="5" t="s">
        <v>53</v>
      </c>
      <c r="O1350" s="5" t="s">
        <v>152</v>
      </c>
      <c r="P1350" s="5" t="s">
        <v>153</v>
      </c>
      <c r="Q1350" s="5" t="s">
        <v>154</v>
      </c>
      <c r="R1350" s="5" t="s">
        <v>155</v>
      </c>
      <c r="S1350" s="5" t="s">
        <v>56</v>
      </c>
      <c r="T1350" s="5" t="s">
        <v>57</v>
      </c>
      <c r="U1350" s="5" t="s">
        <v>86</v>
      </c>
      <c r="V1350" s="5" t="s">
        <v>59</v>
      </c>
      <c r="W1350" s="5" t="s">
        <v>156</v>
      </c>
      <c r="X1350" s="5" t="s">
        <v>1500</v>
      </c>
      <c r="Y1350" s="5" t="s">
        <v>5678</v>
      </c>
      <c r="Z1350" s="9">
        <v>46192</v>
      </c>
      <c r="AA1350" s="8">
        <v>6</v>
      </c>
      <c r="AB1350" s="9">
        <f t="shared" si="64"/>
        <v>46375</v>
      </c>
      <c r="AC1350" s="10">
        <v>14</v>
      </c>
      <c r="AD1350" s="7">
        <f t="shared" si="65"/>
        <v>365</v>
      </c>
      <c r="AE1350" s="7">
        <f>IF(F1350="Bullet",H1350*AD1350,MIN(MAX(I1350,1),Assumptions!$B$6)*AD1350)</f>
        <v>730</v>
      </c>
      <c r="AF1350" s="8">
        <f>IF(F1350="Bullet",MAX(0,Assumptions!$B$4-AB1350),MAX(0,Assumptions!$B$4-L1350))</f>
        <v>0</v>
      </c>
      <c r="AG1350" s="9"/>
      <c r="AH1350" s="8" t="str">
        <f>IF(AG1350="","",Assumptions!$B$4-AG1350)</f>
        <v/>
      </c>
      <c r="AI1350" s="5" t="s">
        <v>80</v>
      </c>
      <c r="AJ1350" s="8"/>
      <c r="AK1350" s="8">
        <v>2</v>
      </c>
      <c r="AL1350" s="8">
        <v>679</v>
      </c>
      <c r="AM1350" s="8">
        <v>1</v>
      </c>
      <c r="AN1350" s="5" t="s">
        <v>63</v>
      </c>
      <c r="AO1350" s="10">
        <v>73.7</v>
      </c>
      <c r="AP1350" s="8">
        <v>26</v>
      </c>
      <c r="AQ1350" s="9">
        <v>46292</v>
      </c>
      <c r="AR1350" s="5" t="s">
        <v>53</v>
      </c>
      <c r="AS1350" s="5" t="s">
        <v>81</v>
      </c>
    </row>
    <row r="1351" spans="1:45" x14ac:dyDescent="0.35">
      <c r="A1351" s="5" t="s">
        <v>5679</v>
      </c>
      <c r="B1351" s="5" t="s">
        <v>5680</v>
      </c>
      <c r="C1351" s="6" t="s">
        <v>5681</v>
      </c>
      <c r="D1351" s="7">
        <v>53800</v>
      </c>
      <c r="E1351" s="5" t="s">
        <v>48</v>
      </c>
      <c r="F1351" s="5" t="s">
        <v>49</v>
      </c>
      <c r="G1351" s="8"/>
      <c r="H1351" s="8" t="str">
        <f>IF(F1351="Bullet",MIN(G1351,Assumptions!$B$6),"")</f>
        <v/>
      </c>
      <c r="I1351" s="8">
        <v>1</v>
      </c>
      <c r="J1351" s="8">
        <f>IF(F1351="Monthly interest",MAX(0,Assumptions!$B$5-I1351),"")</f>
        <v>2</v>
      </c>
      <c r="K1351" s="7">
        <f t="shared" si="63"/>
        <v>717</v>
      </c>
      <c r="L1351" s="9">
        <v>46279</v>
      </c>
      <c r="M1351" s="5" t="s">
        <v>69</v>
      </c>
      <c r="N1351" s="5" t="s">
        <v>53</v>
      </c>
      <c r="O1351" s="5" t="s">
        <v>95</v>
      </c>
      <c r="P1351" s="5" t="s">
        <v>70</v>
      </c>
      <c r="Q1351" s="5" t="s">
        <v>54</v>
      </c>
      <c r="R1351" s="5" t="s">
        <v>55</v>
      </c>
      <c r="S1351" s="5" t="s">
        <v>75</v>
      </c>
      <c r="T1351" s="5" t="s">
        <v>63</v>
      </c>
      <c r="U1351" s="5" t="s">
        <v>86</v>
      </c>
      <c r="V1351" s="5" t="s">
        <v>76</v>
      </c>
      <c r="W1351" s="5" t="s">
        <v>306</v>
      </c>
      <c r="X1351" s="5" t="s">
        <v>3961</v>
      </c>
      <c r="Y1351" s="5" t="s">
        <v>5682</v>
      </c>
      <c r="Z1351" s="9">
        <v>46095</v>
      </c>
      <c r="AA1351" s="8">
        <v>12</v>
      </c>
      <c r="AB1351" s="9">
        <f t="shared" si="64"/>
        <v>46460</v>
      </c>
      <c r="AC1351" s="10">
        <v>16</v>
      </c>
      <c r="AD1351" s="7">
        <f t="shared" si="65"/>
        <v>717</v>
      </c>
      <c r="AE1351" s="7">
        <f>IF(F1351="Bullet",H1351*AD1351,MIN(MAX(I1351,1),Assumptions!$B$6)*AD1351)</f>
        <v>717</v>
      </c>
      <c r="AF1351" s="8">
        <f>IF(F1351="Bullet",MAX(0,Assumptions!$B$4-AB1351),MAX(0,Assumptions!$B$4-L1351))</f>
        <v>19</v>
      </c>
      <c r="AG1351" s="9">
        <v>46249</v>
      </c>
      <c r="AH1351" s="8">
        <f>IF(AG1351="","",Assumptions!$B$4-AG1351)</f>
        <v>49</v>
      </c>
      <c r="AI1351" s="5" t="s">
        <v>57</v>
      </c>
      <c r="AJ1351" s="8">
        <v>2</v>
      </c>
      <c r="AK1351" s="8">
        <v>1</v>
      </c>
      <c r="AL1351" s="8">
        <v>749</v>
      </c>
      <c r="AM1351" s="8">
        <v>0</v>
      </c>
      <c r="AN1351" s="5" t="s">
        <v>63</v>
      </c>
      <c r="AO1351" s="10">
        <v>86.1</v>
      </c>
      <c r="AP1351" s="8">
        <v>44</v>
      </c>
      <c r="AQ1351" s="9">
        <v>46287</v>
      </c>
      <c r="AR1351" s="5" t="s">
        <v>51</v>
      </c>
      <c r="AS1351" s="5" t="s">
        <v>64</v>
      </c>
    </row>
    <row r="1352" spans="1:45" x14ac:dyDescent="0.35">
      <c r="A1352" s="5" t="s">
        <v>5683</v>
      </c>
      <c r="B1352" s="5" t="s">
        <v>5684</v>
      </c>
      <c r="C1352" s="6" t="s">
        <v>5685</v>
      </c>
      <c r="D1352" s="7">
        <v>100200</v>
      </c>
      <c r="E1352" s="5" t="s">
        <v>48</v>
      </c>
      <c r="F1352" s="5" t="s">
        <v>49</v>
      </c>
      <c r="G1352" s="8"/>
      <c r="H1352" s="8" t="str">
        <f>IF(F1352="Bullet",MIN(G1352,Assumptions!$B$6),"")</f>
        <v/>
      </c>
      <c r="I1352" s="8">
        <v>2</v>
      </c>
      <c r="J1352" s="8">
        <f>IF(F1352="Monthly interest",MAX(0,Assumptions!$B$5-I1352),"")</f>
        <v>1</v>
      </c>
      <c r="K1352" s="7">
        <f t="shared" si="63"/>
        <v>2672</v>
      </c>
      <c r="L1352" s="9">
        <v>46252</v>
      </c>
      <c r="M1352" s="5" t="s">
        <v>69</v>
      </c>
      <c r="N1352" s="5" t="s">
        <v>53</v>
      </c>
      <c r="O1352" s="5" t="s">
        <v>71</v>
      </c>
      <c r="P1352" s="5" t="s">
        <v>70</v>
      </c>
      <c r="Q1352" s="5" t="s">
        <v>73</v>
      </c>
      <c r="R1352" s="5" t="s">
        <v>74</v>
      </c>
      <c r="S1352" s="5" t="s">
        <v>75</v>
      </c>
      <c r="T1352" s="5" t="s">
        <v>57</v>
      </c>
      <c r="U1352" s="5" t="s">
        <v>86</v>
      </c>
      <c r="V1352" s="5" t="s">
        <v>76</v>
      </c>
      <c r="W1352" s="5" t="s">
        <v>140</v>
      </c>
      <c r="X1352" s="5" t="s">
        <v>237</v>
      </c>
      <c r="Y1352" s="5" t="s">
        <v>5686</v>
      </c>
      <c r="Z1352" s="9">
        <v>46009</v>
      </c>
      <c r="AA1352" s="8">
        <v>18</v>
      </c>
      <c r="AB1352" s="9">
        <f t="shared" si="64"/>
        <v>46556</v>
      </c>
      <c r="AC1352" s="10">
        <v>16</v>
      </c>
      <c r="AD1352" s="7">
        <f t="shared" si="65"/>
        <v>1336</v>
      </c>
      <c r="AE1352" s="7">
        <f>IF(F1352="Bullet",H1352*AD1352,MIN(MAX(I1352,1),Assumptions!$B$6)*AD1352)</f>
        <v>2672</v>
      </c>
      <c r="AF1352" s="8">
        <f>IF(F1352="Bullet",MAX(0,Assumptions!$B$4-AB1352),MAX(0,Assumptions!$B$4-L1352))</f>
        <v>46</v>
      </c>
      <c r="AG1352" s="9">
        <v>46221</v>
      </c>
      <c r="AH1352" s="8">
        <f>IF(AG1352="","",Assumptions!$B$4-AG1352)</f>
        <v>77</v>
      </c>
      <c r="AI1352" s="5" t="s">
        <v>63</v>
      </c>
      <c r="AJ1352" s="8">
        <v>2</v>
      </c>
      <c r="AK1352" s="8">
        <v>0</v>
      </c>
      <c r="AL1352" s="8">
        <v>780</v>
      </c>
      <c r="AM1352" s="8">
        <v>0</v>
      </c>
      <c r="AN1352" s="5" t="s">
        <v>63</v>
      </c>
      <c r="AO1352" s="10">
        <v>56.4</v>
      </c>
      <c r="AP1352" s="8">
        <v>32</v>
      </c>
      <c r="AQ1352" s="9">
        <v>46277</v>
      </c>
      <c r="AR1352" s="5" t="s">
        <v>70</v>
      </c>
      <c r="AS1352" s="5" t="s">
        <v>64</v>
      </c>
    </row>
    <row r="1353" spans="1:45" x14ac:dyDescent="0.35">
      <c r="A1353" s="5" t="s">
        <v>5687</v>
      </c>
      <c r="B1353" s="5" t="s">
        <v>5688</v>
      </c>
      <c r="C1353" s="6" t="s">
        <v>5689</v>
      </c>
      <c r="D1353" s="7">
        <v>234600</v>
      </c>
      <c r="E1353" s="5" t="s">
        <v>48</v>
      </c>
      <c r="F1353" s="5" t="s">
        <v>49</v>
      </c>
      <c r="G1353" s="8"/>
      <c r="H1353" s="8" t="str">
        <f>IF(F1353="Bullet",MIN(G1353,Assumptions!$B$6),"")</f>
        <v/>
      </c>
      <c r="I1353" s="8">
        <v>2</v>
      </c>
      <c r="J1353" s="8">
        <f>IF(F1353="Monthly interest",MAX(0,Assumptions!$B$5-I1353),"")</f>
        <v>1</v>
      </c>
      <c r="K1353" s="7">
        <f t="shared" si="63"/>
        <v>5474</v>
      </c>
      <c r="L1353" s="9">
        <v>46260</v>
      </c>
      <c r="M1353" s="5" t="s">
        <v>69</v>
      </c>
      <c r="N1353" s="5" t="s">
        <v>70</v>
      </c>
      <c r="O1353" s="5" t="s">
        <v>71</v>
      </c>
      <c r="P1353" s="5" t="s">
        <v>72</v>
      </c>
      <c r="Q1353" s="5" t="s">
        <v>73</v>
      </c>
      <c r="R1353" s="5" t="s">
        <v>74</v>
      </c>
      <c r="S1353" s="5" t="s">
        <v>214</v>
      </c>
      <c r="T1353" s="5" t="s">
        <v>57</v>
      </c>
      <c r="U1353" s="5" t="s">
        <v>86</v>
      </c>
      <c r="V1353" s="5" t="s">
        <v>215</v>
      </c>
      <c r="W1353" s="5" t="s">
        <v>242</v>
      </c>
      <c r="X1353" s="5" t="s">
        <v>2699</v>
      </c>
      <c r="Y1353" s="5" t="s">
        <v>5690</v>
      </c>
      <c r="Z1353" s="9">
        <v>46017</v>
      </c>
      <c r="AA1353" s="8">
        <v>12</v>
      </c>
      <c r="AB1353" s="9">
        <f t="shared" si="64"/>
        <v>46382</v>
      </c>
      <c r="AC1353" s="10">
        <v>14</v>
      </c>
      <c r="AD1353" s="7">
        <f t="shared" si="65"/>
        <v>2737</v>
      </c>
      <c r="AE1353" s="7">
        <f>IF(F1353="Bullet",H1353*AD1353,MIN(MAX(I1353,1),Assumptions!$B$6)*AD1353)</f>
        <v>5474</v>
      </c>
      <c r="AF1353" s="8">
        <f>IF(F1353="Bullet",MAX(0,Assumptions!$B$4-AB1353),MAX(0,Assumptions!$B$4-L1353))</f>
        <v>38</v>
      </c>
      <c r="AG1353" s="9">
        <v>46232</v>
      </c>
      <c r="AH1353" s="8">
        <f>IF(AG1353="","",Assumptions!$B$4-AG1353)</f>
        <v>66</v>
      </c>
      <c r="AI1353" s="5" t="s">
        <v>63</v>
      </c>
      <c r="AJ1353" s="8">
        <v>2</v>
      </c>
      <c r="AK1353" s="8">
        <v>2</v>
      </c>
      <c r="AL1353" s="8">
        <v>756</v>
      </c>
      <c r="AM1353" s="8">
        <v>0</v>
      </c>
      <c r="AN1353" s="5" t="s">
        <v>63</v>
      </c>
      <c r="AO1353" s="10">
        <v>49.2</v>
      </c>
      <c r="AP1353" s="8">
        <v>42</v>
      </c>
      <c r="AQ1353" s="9">
        <v>46296</v>
      </c>
      <c r="AR1353" s="5" t="s">
        <v>51</v>
      </c>
      <c r="AS1353" s="5" t="s">
        <v>64</v>
      </c>
    </row>
    <row r="1354" spans="1:45" x14ac:dyDescent="0.35">
      <c r="A1354" s="5" t="s">
        <v>5691</v>
      </c>
      <c r="B1354" s="5" t="s">
        <v>1837</v>
      </c>
      <c r="C1354" s="6" t="s">
        <v>5692</v>
      </c>
      <c r="D1354" s="7">
        <v>281300</v>
      </c>
      <c r="E1354" s="5" t="s">
        <v>48</v>
      </c>
      <c r="F1354" s="5" t="s">
        <v>49</v>
      </c>
      <c r="G1354" s="8"/>
      <c r="H1354" s="8" t="str">
        <f>IF(F1354="Bullet",MIN(G1354,Assumptions!$B$6),"")</f>
        <v/>
      </c>
      <c r="I1354" s="8">
        <v>2</v>
      </c>
      <c r="J1354" s="8">
        <f>IF(F1354="Monthly interest",MAX(0,Assumptions!$B$5-I1354),"")</f>
        <v>1</v>
      </c>
      <c r="K1354" s="7">
        <f t="shared" si="63"/>
        <v>11252</v>
      </c>
      <c r="L1354" s="9">
        <v>46243</v>
      </c>
      <c r="M1354" s="5" t="s">
        <v>69</v>
      </c>
      <c r="N1354" s="5" t="s">
        <v>70</v>
      </c>
      <c r="O1354" s="5" t="s">
        <v>71</v>
      </c>
      <c r="P1354" s="5" t="s">
        <v>72</v>
      </c>
      <c r="Q1354" s="5" t="s">
        <v>73</v>
      </c>
      <c r="R1354" s="5" t="s">
        <v>74</v>
      </c>
      <c r="S1354" s="5" t="s">
        <v>75</v>
      </c>
      <c r="T1354" s="5" t="s">
        <v>57</v>
      </c>
      <c r="U1354" s="5" t="s">
        <v>58</v>
      </c>
      <c r="V1354" s="5" t="s">
        <v>76</v>
      </c>
      <c r="W1354" s="5" t="s">
        <v>140</v>
      </c>
      <c r="X1354" s="5" t="s">
        <v>5693</v>
      </c>
      <c r="Y1354" s="5" t="s">
        <v>5694</v>
      </c>
      <c r="Z1354" s="9">
        <v>46062</v>
      </c>
      <c r="AA1354" s="8">
        <v>12</v>
      </c>
      <c r="AB1354" s="9">
        <f t="shared" si="64"/>
        <v>46427</v>
      </c>
      <c r="AC1354" s="10">
        <v>24</v>
      </c>
      <c r="AD1354" s="7">
        <f t="shared" si="65"/>
        <v>5626</v>
      </c>
      <c r="AE1354" s="7">
        <f>IF(F1354="Bullet",H1354*AD1354,MIN(MAX(I1354,1),Assumptions!$B$6)*AD1354)</f>
        <v>11252</v>
      </c>
      <c r="AF1354" s="8">
        <f>IF(F1354="Bullet",MAX(0,Assumptions!$B$4-AB1354),MAX(0,Assumptions!$B$4-L1354))</f>
        <v>55</v>
      </c>
      <c r="AG1354" s="9">
        <v>46212</v>
      </c>
      <c r="AH1354" s="8">
        <f>IF(AG1354="","",Assumptions!$B$4-AG1354)</f>
        <v>86</v>
      </c>
      <c r="AI1354" s="5" t="s">
        <v>63</v>
      </c>
      <c r="AJ1354" s="8">
        <v>2</v>
      </c>
      <c r="AK1354" s="8">
        <v>0</v>
      </c>
      <c r="AL1354" s="8">
        <v>794</v>
      </c>
      <c r="AM1354" s="8">
        <v>1</v>
      </c>
      <c r="AN1354" s="5" t="s">
        <v>63</v>
      </c>
      <c r="AO1354" s="10">
        <v>76.400000000000006</v>
      </c>
      <c r="AP1354" s="8">
        <v>38</v>
      </c>
      <c r="AQ1354" s="9">
        <v>46279</v>
      </c>
      <c r="AR1354" s="5" t="s">
        <v>72</v>
      </c>
      <c r="AS1354" s="5" t="s">
        <v>64</v>
      </c>
    </row>
    <row r="1355" spans="1:45" x14ac:dyDescent="0.35">
      <c r="A1355" s="5" t="s">
        <v>5695</v>
      </c>
      <c r="B1355" s="5" t="s">
        <v>5696</v>
      </c>
      <c r="C1355" s="6" t="s">
        <v>5697</v>
      </c>
      <c r="D1355" s="7">
        <v>19700</v>
      </c>
      <c r="E1355" s="5" t="s">
        <v>48</v>
      </c>
      <c r="F1355" s="5" t="s">
        <v>68</v>
      </c>
      <c r="G1355" s="8">
        <v>6</v>
      </c>
      <c r="H1355" s="8">
        <f>IF(F1355="Bullet",MIN(G1355,Assumptions!$B$6),"")</f>
        <v>2</v>
      </c>
      <c r="I1355" s="8"/>
      <c r="J1355" s="8" t="str">
        <f>IF(F1355="Monthly interest",MAX(0,Assumptions!$B$5-I1355),"")</f>
        <v/>
      </c>
      <c r="K1355" s="7">
        <f t="shared" si="63"/>
        <v>1476</v>
      </c>
      <c r="L1355" s="9">
        <v>46113</v>
      </c>
      <c r="M1355" s="5" t="s">
        <v>69</v>
      </c>
      <c r="N1355" s="5" t="s">
        <v>53</v>
      </c>
      <c r="O1355" s="5" t="s">
        <v>168</v>
      </c>
      <c r="P1355" s="5" t="s">
        <v>70</v>
      </c>
      <c r="Q1355" s="5" t="s">
        <v>169</v>
      </c>
      <c r="R1355" s="5" t="s">
        <v>170</v>
      </c>
      <c r="S1355" s="5" t="s">
        <v>85</v>
      </c>
      <c r="T1355" s="5" t="s">
        <v>57</v>
      </c>
      <c r="U1355" s="5" t="s">
        <v>58</v>
      </c>
      <c r="V1355" s="5" t="s">
        <v>133</v>
      </c>
      <c r="W1355" s="5" t="s">
        <v>317</v>
      </c>
      <c r="X1355" s="5" t="s">
        <v>2944</v>
      </c>
      <c r="Y1355" s="5" t="s">
        <v>5698</v>
      </c>
      <c r="Z1355" s="9">
        <v>46113</v>
      </c>
      <c r="AA1355" s="8">
        <v>6</v>
      </c>
      <c r="AB1355" s="9">
        <f t="shared" si="64"/>
        <v>46296</v>
      </c>
      <c r="AC1355" s="10">
        <v>15</v>
      </c>
      <c r="AD1355" s="7">
        <f t="shared" si="65"/>
        <v>246</v>
      </c>
      <c r="AE1355" s="7">
        <f>IF(F1355="Bullet",H1355*AD1355,MIN(MAX(I1355,1),Assumptions!$B$6)*AD1355)</f>
        <v>492</v>
      </c>
      <c r="AF1355" s="8">
        <f>IF(F1355="Bullet",MAX(0,Assumptions!$B$4-AB1355),MAX(0,Assumptions!$B$4-L1355))</f>
        <v>2</v>
      </c>
      <c r="AG1355" s="9"/>
      <c r="AH1355" s="8" t="str">
        <f>IF(AG1355="","",Assumptions!$B$4-AG1355)</f>
        <v/>
      </c>
      <c r="AI1355" s="5" t="s">
        <v>80</v>
      </c>
      <c r="AJ1355" s="8"/>
      <c r="AK1355" s="8">
        <v>0</v>
      </c>
      <c r="AL1355" s="8">
        <v>870</v>
      </c>
      <c r="AM1355" s="8">
        <v>2</v>
      </c>
      <c r="AN1355" s="5" t="s">
        <v>63</v>
      </c>
      <c r="AO1355" s="10">
        <v>76.400000000000006</v>
      </c>
      <c r="AP1355" s="8">
        <v>43</v>
      </c>
      <c r="AQ1355" s="9">
        <v>46273</v>
      </c>
      <c r="AR1355" s="5" t="s">
        <v>70</v>
      </c>
      <c r="AS1355" s="5" t="s">
        <v>190</v>
      </c>
    </row>
    <row r="1356" spans="1:45" x14ac:dyDescent="0.35">
      <c r="A1356" s="5" t="s">
        <v>5699</v>
      </c>
      <c r="B1356" s="5" t="s">
        <v>889</v>
      </c>
      <c r="C1356" s="6" t="s">
        <v>5700</v>
      </c>
      <c r="D1356" s="7">
        <v>73000</v>
      </c>
      <c r="E1356" s="5" t="s">
        <v>48</v>
      </c>
      <c r="F1356" s="5" t="s">
        <v>68</v>
      </c>
      <c r="G1356" s="8">
        <v>4</v>
      </c>
      <c r="H1356" s="8">
        <f>IF(F1356="Bullet",MIN(G1356,Assumptions!$B$6),"")</f>
        <v>2</v>
      </c>
      <c r="I1356" s="8"/>
      <c r="J1356" s="8" t="str">
        <f>IF(F1356="Monthly interest",MAX(0,Assumptions!$B$5-I1356),"")</f>
        <v/>
      </c>
      <c r="K1356" s="7">
        <f t="shared" si="63"/>
        <v>2920</v>
      </c>
      <c r="L1356" s="9">
        <v>46152</v>
      </c>
      <c r="M1356" s="5" t="s">
        <v>69</v>
      </c>
      <c r="N1356" s="5" t="s">
        <v>70</v>
      </c>
      <c r="O1356" s="5" t="s">
        <v>531</v>
      </c>
      <c r="P1356" s="5" t="s">
        <v>72</v>
      </c>
      <c r="Q1356" s="5" t="s">
        <v>73</v>
      </c>
      <c r="R1356" s="5" t="s">
        <v>74</v>
      </c>
      <c r="S1356" s="5" t="s">
        <v>85</v>
      </c>
      <c r="T1356" s="5" t="s">
        <v>63</v>
      </c>
      <c r="U1356" s="5" t="s">
        <v>86</v>
      </c>
      <c r="V1356" s="5" t="s">
        <v>133</v>
      </c>
      <c r="W1356" s="5" t="s">
        <v>317</v>
      </c>
      <c r="X1356" s="5" t="s">
        <v>4262</v>
      </c>
      <c r="Y1356" s="5" t="s">
        <v>5701</v>
      </c>
      <c r="Z1356" s="9">
        <v>46152</v>
      </c>
      <c r="AA1356" s="8">
        <v>6</v>
      </c>
      <c r="AB1356" s="9">
        <f t="shared" si="64"/>
        <v>46336</v>
      </c>
      <c r="AC1356" s="10">
        <v>12</v>
      </c>
      <c r="AD1356" s="7">
        <f t="shared" si="65"/>
        <v>730</v>
      </c>
      <c r="AE1356" s="7">
        <f>IF(F1356="Bullet",H1356*AD1356,MIN(MAX(I1356,1),Assumptions!$B$6)*AD1356)</f>
        <v>1460</v>
      </c>
      <c r="AF1356" s="8">
        <f>IF(F1356="Bullet",MAX(0,Assumptions!$B$4-AB1356),MAX(0,Assumptions!$B$4-L1356))</f>
        <v>0</v>
      </c>
      <c r="AG1356" s="9"/>
      <c r="AH1356" s="8" t="str">
        <f>IF(AG1356="","",Assumptions!$B$4-AG1356)</f>
        <v/>
      </c>
      <c r="AI1356" s="5" t="s">
        <v>80</v>
      </c>
      <c r="AJ1356" s="8"/>
      <c r="AK1356" s="8">
        <v>1</v>
      </c>
      <c r="AL1356" s="8" t="s">
        <v>80</v>
      </c>
      <c r="AM1356" s="8">
        <v>3</v>
      </c>
      <c r="AN1356" s="5" t="s">
        <v>63</v>
      </c>
      <c r="AO1356" s="10">
        <v>73.3</v>
      </c>
      <c r="AP1356" s="8">
        <v>38</v>
      </c>
      <c r="AQ1356" s="9">
        <v>46279</v>
      </c>
      <c r="AR1356" s="5" t="s">
        <v>53</v>
      </c>
      <c r="AS1356" s="5" t="s">
        <v>81</v>
      </c>
    </row>
    <row r="1357" spans="1:45" x14ac:dyDescent="0.35">
      <c r="A1357" s="5" t="s">
        <v>5702</v>
      </c>
      <c r="B1357" s="5" t="s">
        <v>5703</v>
      </c>
      <c r="C1357" s="6" t="s">
        <v>5704</v>
      </c>
      <c r="D1357" s="7">
        <v>496400</v>
      </c>
      <c r="E1357" s="5" t="s">
        <v>48</v>
      </c>
      <c r="F1357" s="5" t="s">
        <v>49</v>
      </c>
      <c r="G1357" s="8"/>
      <c r="H1357" s="8" t="str">
        <f>IF(F1357="Bullet",MIN(G1357,Assumptions!$B$6),"")</f>
        <v/>
      </c>
      <c r="I1357" s="8">
        <v>1</v>
      </c>
      <c r="J1357" s="8">
        <f>IF(F1357="Monthly interest",MAX(0,Assumptions!$B$5-I1357),"")</f>
        <v>2</v>
      </c>
      <c r="K1357" s="7">
        <f t="shared" si="63"/>
        <v>6619</v>
      </c>
      <c r="L1357" s="9">
        <v>46291</v>
      </c>
      <c r="M1357" s="5" t="s">
        <v>50</v>
      </c>
      <c r="N1357" s="5" t="s">
        <v>53</v>
      </c>
      <c r="O1357" s="5" t="s">
        <v>103</v>
      </c>
      <c r="P1357" s="5" t="s">
        <v>51</v>
      </c>
      <c r="Q1357" s="5" t="s">
        <v>54</v>
      </c>
      <c r="R1357" s="5" t="s">
        <v>55</v>
      </c>
      <c r="S1357" s="5" t="s">
        <v>75</v>
      </c>
      <c r="T1357" s="5" t="s">
        <v>57</v>
      </c>
      <c r="U1357" s="5" t="s">
        <v>86</v>
      </c>
      <c r="V1357" s="5" t="s">
        <v>76</v>
      </c>
      <c r="W1357" s="5" t="s">
        <v>444</v>
      </c>
      <c r="X1357" s="5" t="s">
        <v>1752</v>
      </c>
      <c r="Y1357" s="5" t="s">
        <v>5705</v>
      </c>
      <c r="Z1357" s="9">
        <v>46138</v>
      </c>
      <c r="AA1357" s="8">
        <v>12</v>
      </c>
      <c r="AB1357" s="9">
        <f t="shared" si="64"/>
        <v>46503</v>
      </c>
      <c r="AC1357" s="10">
        <v>16</v>
      </c>
      <c r="AD1357" s="7">
        <f t="shared" si="65"/>
        <v>6619</v>
      </c>
      <c r="AE1357" s="7">
        <f>IF(F1357="Bullet",H1357*AD1357,MIN(MAX(I1357,1),Assumptions!$B$6)*AD1357)</f>
        <v>6619</v>
      </c>
      <c r="AF1357" s="8">
        <f>IF(F1357="Bullet",MAX(0,Assumptions!$B$4-AB1357),MAX(0,Assumptions!$B$4-L1357))</f>
        <v>7</v>
      </c>
      <c r="AG1357" s="9">
        <v>46260</v>
      </c>
      <c r="AH1357" s="8">
        <f>IF(AG1357="","",Assumptions!$B$4-AG1357)</f>
        <v>38</v>
      </c>
      <c r="AI1357" s="5" t="s">
        <v>63</v>
      </c>
      <c r="AJ1357" s="8">
        <v>1</v>
      </c>
      <c r="AK1357" s="8">
        <v>0</v>
      </c>
      <c r="AL1357" s="8">
        <v>746</v>
      </c>
      <c r="AM1357" s="8">
        <v>0</v>
      </c>
      <c r="AN1357" s="5" t="s">
        <v>63</v>
      </c>
      <c r="AO1357" s="10">
        <v>75.8</v>
      </c>
      <c r="AP1357" s="8">
        <v>15</v>
      </c>
      <c r="AQ1357" s="9">
        <v>46283</v>
      </c>
      <c r="AR1357" s="5" t="s">
        <v>51</v>
      </c>
      <c r="AS1357" s="5" t="s">
        <v>81</v>
      </c>
    </row>
    <row r="1358" spans="1:45" x14ac:dyDescent="0.35">
      <c r="A1358" s="5" t="s">
        <v>5706</v>
      </c>
      <c r="B1358" s="5" t="s">
        <v>5707</v>
      </c>
      <c r="C1358" s="6" t="s">
        <v>5708</v>
      </c>
      <c r="D1358" s="7">
        <v>15000</v>
      </c>
      <c r="E1358" s="5" t="s">
        <v>48</v>
      </c>
      <c r="F1358" s="5" t="s">
        <v>49</v>
      </c>
      <c r="G1358" s="8"/>
      <c r="H1358" s="8" t="str">
        <f>IF(F1358="Bullet",MIN(G1358,Assumptions!$B$6),"")</f>
        <v/>
      </c>
      <c r="I1358" s="8">
        <v>2</v>
      </c>
      <c r="J1358" s="8">
        <f>IF(F1358="Monthly interest",MAX(0,Assumptions!$B$5-I1358),"")</f>
        <v>1</v>
      </c>
      <c r="K1358" s="7">
        <f t="shared" si="63"/>
        <v>450</v>
      </c>
      <c r="L1358" s="9">
        <v>46262</v>
      </c>
      <c r="M1358" s="5" t="s">
        <v>116</v>
      </c>
      <c r="N1358" s="5" t="s">
        <v>117</v>
      </c>
      <c r="O1358" s="5" t="s">
        <v>450</v>
      </c>
      <c r="P1358" s="5" t="s">
        <v>72</v>
      </c>
      <c r="Q1358" s="5" t="s">
        <v>154</v>
      </c>
      <c r="R1358" s="5" t="s">
        <v>155</v>
      </c>
      <c r="S1358" s="5" t="s">
        <v>214</v>
      </c>
      <c r="T1358" s="5" t="s">
        <v>63</v>
      </c>
      <c r="U1358" s="5" t="s">
        <v>86</v>
      </c>
      <c r="V1358" s="5" t="s">
        <v>215</v>
      </c>
      <c r="W1358" s="5" t="s">
        <v>242</v>
      </c>
      <c r="X1358" s="5" t="s">
        <v>243</v>
      </c>
      <c r="Y1358" s="5" t="s">
        <v>5709</v>
      </c>
      <c r="Z1358" s="9">
        <v>46170</v>
      </c>
      <c r="AA1358" s="8">
        <v>12</v>
      </c>
      <c r="AB1358" s="9">
        <f t="shared" si="64"/>
        <v>46535</v>
      </c>
      <c r="AC1358" s="10">
        <v>18</v>
      </c>
      <c r="AD1358" s="7">
        <f t="shared" si="65"/>
        <v>225</v>
      </c>
      <c r="AE1358" s="7">
        <f>IF(F1358="Bullet",H1358*AD1358,MIN(MAX(I1358,1),Assumptions!$B$6)*AD1358)</f>
        <v>450</v>
      </c>
      <c r="AF1358" s="8">
        <f>IF(F1358="Bullet",MAX(0,Assumptions!$B$4-AB1358),MAX(0,Assumptions!$B$4-L1358))</f>
        <v>36</v>
      </c>
      <c r="AG1358" s="9">
        <v>46233</v>
      </c>
      <c r="AH1358" s="8">
        <f>IF(AG1358="","",Assumptions!$B$4-AG1358)</f>
        <v>65</v>
      </c>
      <c r="AI1358" s="5" t="s">
        <v>57</v>
      </c>
      <c r="AJ1358" s="8">
        <v>2</v>
      </c>
      <c r="AK1358" s="8">
        <v>1</v>
      </c>
      <c r="AL1358" s="8">
        <v>598</v>
      </c>
      <c r="AM1358" s="8">
        <v>1</v>
      </c>
      <c r="AN1358" s="5" t="s">
        <v>57</v>
      </c>
      <c r="AO1358" s="10">
        <v>88</v>
      </c>
      <c r="AP1358" s="8">
        <v>85</v>
      </c>
      <c r="AQ1358" s="9">
        <v>46289</v>
      </c>
      <c r="AR1358" s="5" t="s">
        <v>70</v>
      </c>
      <c r="AS1358" s="5" t="s">
        <v>190</v>
      </c>
    </row>
    <row r="1359" spans="1:45" x14ac:dyDescent="0.35">
      <c r="A1359" s="5" t="s">
        <v>5710</v>
      </c>
      <c r="B1359" s="5" t="s">
        <v>3711</v>
      </c>
      <c r="C1359" s="6" t="s">
        <v>5711</v>
      </c>
      <c r="D1359" s="7">
        <v>149900</v>
      </c>
      <c r="E1359" s="5" t="s">
        <v>48</v>
      </c>
      <c r="F1359" s="5" t="s">
        <v>68</v>
      </c>
      <c r="G1359" s="8">
        <v>5</v>
      </c>
      <c r="H1359" s="8">
        <f>IF(F1359="Bullet",MIN(G1359,Assumptions!$B$6),"")</f>
        <v>2</v>
      </c>
      <c r="I1359" s="8"/>
      <c r="J1359" s="8" t="str">
        <f>IF(F1359="Monthly interest",MAX(0,Assumptions!$B$5-I1359),"")</f>
        <v/>
      </c>
      <c r="K1359" s="7">
        <f t="shared" si="63"/>
        <v>11245</v>
      </c>
      <c r="L1359" s="9">
        <v>46124</v>
      </c>
      <c r="M1359" s="5" t="s">
        <v>69</v>
      </c>
      <c r="N1359" s="5" t="s">
        <v>53</v>
      </c>
      <c r="O1359" s="5" t="s">
        <v>168</v>
      </c>
      <c r="P1359" s="5" t="s">
        <v>70</v>
      </c>
      <c r="Q1359" s="5" t="s">
        <v>169</v>
      </c>
      <c r="R1359" s="5" t="s">
        <v>170</v>
      </c>
      <c r="S1359" s="5" t="s">
        <v>214</v>
      </c>
      <c r="T1359" s="5" t="s">
        <v>57</v>
      </c>
      <c r="U1359" s="5" t="s">
        <v>86</v>
      </c>
      <c r="V1359" s="5" t="s">
        <v>215</v>
      </c>
      <c r="W1359" s="5" t="s">
        <v>216</v>
      </c>
      <c r="X1359" s="5" t="s">
        <v>862</v>
      </c>
      <c r="Y1359" s="5" t="s">
        <v>5712</v>
      </c>
      <c r="Z1359" s="9">
        <v>46124</v>
      </c>
      <c r="AA1359" s="8">
        <v>12</v>
      </c>
      <c r="AB1359" s="9">
        <f t="shared" si="64"/>
        <v>46489</v>
      </c>
      <c r="AC1359" s="10">
        <v>18</v>
      </c>
      <c r="AD1359" s="7">
        <f t="shared" si="65"/>
        <v>2249</v>
      </c>
      <c r="AE1359" s="7">
        <f>IF(F1359="Bullet",H1359*AD1359,MIN(MAX(I1359,1),Assumptions!$B$6)*AD1359)</f>
        <v>4498</v>
      </c>
      <c r="AF1359" s="8">
        <f>IF(F1359="Bullet",MAX(0,Assumptions!$B$4-AB1359),MAX(0,Assumptions!$B$4-L1359))</f>
        <v>0</v>
      </c>
      <c r="AG1359" s="9"/>
      <c r="AH1359" s="8" t="str">
        <f>IF(AG1359="","",Assumptions!$B$4-AG1359)</f>
        <v/>
      </c>
      <c r="AI1359" s="5" t="s">
        <v>80</v>
      </c>
      <c r="AJ1359" s="8"/>
      <c r="AK1359" s="8">
        <v>1</v>
      </c>
      <c r="AL1359" s="8">
        <v>644</v>
      </c>
      <c r="AM1359" s="8">
        <v>1</v>
      </c>
      <c r="AN1359" s="5" t="s">
        <v>63</v>
      </c>
      <c r="AO1359" s="10">
        <v>68.5</v>
      </c>
      <c r="AP1359" s="8">
        <v>46</v>
      </c>
      <c r="AQ1359" s="9">
        <v>46285</v>
      </c>
      <c r="AR1359" s="5" t="s">
        <v>70</v>
      </c>
      <c r="AS1359" s="5" t="s">
        <v>91</v>
      </c>
    </row>
    <row r="1360" spans="1:45" x14ac:dyDescent="0.35">
      <c r="A1360" s="5" t="s">
        <v>5713</v>
      </c>
      <c r="B1360" s="5" t="s">
        <v>2616</v>
      </c>
      <c r="C1360" s="6" t="s">
        <v>5714</v>
      </c>
      <c r="D1360" s="7">
        <v>15000</v>
      </c>
      <c r="E1360" s="5" t="s">
        <v>48</v>
      </c>
      <c r="F1360" s="5" t="s">
        <v>68</v>
      </c>
      <c r="G1360" s="8">
        <v>1</v>
      </c>
      <c r="H1360" s="8">
        <f>IF(F1360="Bullet",MIN(G1360,Assumptions!$B$6),"")</f>
        <v>1</v>
      </c>
      <c r="I1360" s="8"/>
      <c r="J1360" s="8" t="str">
        <f>IF(F1360="Monthly interest",MAX(0,Assumptions!$B$5-I1360),"")</f>
        <v/>
      </c>
      <c r="K1360" s="7">
        <f t="shared" si="63"/>
        <v>188</v>
      </c>
      <c r="L1360" s="9">
        <v>46265</v>
      </c>
      <c r="M1360" s="5" t="s">
        <v>50</v>
      </c>
      <c r="N1360" s="5" t="s">
        <v>53</v>
      </c>
      <c r="O1360" s="5" t="s">
        <v>103</v>
      </c>
      <c r="P1360" s="5" t="s">
        <v>153</v>
      </c>
      <c r="Q1360" s="5" t="s">
        <v>154</v>
      </c>
      <c r="R1360" s="5" t="s">
        <v>155</v>
      </c>
      <c r="S1360" s="5" t="s">
        <v>85</v>
      </c>
      <c r="T1360" s="5" t="s">
        <v>63</v>
      </c>
      <c r="U1360" s="5" t="s">
        <v>86</v>
      </c>
      <c r="V1360" s="5" t="s">
        <v>177</v>
      </c>
      <c r="W1360" s="5" t="s">
        <v>178</v>
      </c>
      <c r="X1360" s="5" t="s">
        <v>5156</v>
      </c>
      <c r="Y1360" s="5" t="s">
        <v>5715</v>
      </c>
      <c r="Z1360" s="9">
        <v>46265</v>
      </c>
      <c r="AA1360" s="8">
        <v>12</v>
      </c>
      <c r="AB1360" s="9">
        <f t="shared" si="64"/>
        <v>46630</v>
      </c>
      <c r="AC1360" s="10">
        <v>15</v>
      </c>
      <c r="AD1360" s="7">
        <f t="shared" si="65"/>
        <v>188</v>
      </c>
      <c r="AE1360" s="7">
        <f>IF(F1360="Bullet",H1360*AD1360,MIN(MAX(I1360,1),Assumptions!$B$6)*AD1360)</f>
        <v>188</v>
      </c>
      <c r="AF1360" s="8">
        <f>IF(F1360="Bullet",MAX(0,Assumptions!$B$4-AB1360),MAX(0,Assumptions!$B$4-L1360))</f>
        <v>0</v>
      </c>
      <c r="AG1360" s="9"/>
      <c r="AH1360" s="8" t="str">
        <f>IF(AG1360="","",Assumptions!$B$4-AG1360)</f>
        <v/>
      </c>
      <c r="AI1360" s="5" t="s">
        <v>80</v>
      </c>
      <c r="AJ1360" s="8"/>
      <c r="AK1360" s="8">
        <v>0</v>
      </c>
      <c r="AL1360" s="8">
        <v>690</v>
      </c>
      <c r="AM1360" s="8">
        <v>0</v>
      </c>
      <c r="AN1360" s="5" t="s">
        <v>57</v>
      </c>
      <c r="AO1360" s="10">
        <v>75.3</v>
      </c>
      <c r="AP1360" s="8">
        <v>25</v>
      </c>
      <c r="AQ1360" s="9">
        <v>46292</v>
      </c>
      <c r="AR1360" s="5" t="s">
        <v>51</v>
      </c>
      <c r="AS1360" s="5" t="s">
        <v>81</v>
      </c>
    </row>
    <row r="1361" spans="1:45" x14ac:dyDescent="0.35">
      <c r="A1361" s="5" t="s">
        <v>5716</v>
      </c>
      <c r="B1361" s="5" t="s">
        <v>5717</v>
      </c>
      <c r="C1361" s="6" t="s">
        <v>5718</v>
      </c>
      <c r="D1361" s="7">
        <v>74900</v>
      </c>
      <c r="E1361" s="5" t="s">
        <v>48</v>
      </c>
      <c r="F1361" s="5" t="s">
        <v>49</v>
      </c>
      <c r="G1361" s="8"/>
      <c r="H1361" s="8" t="str">
        <f>IF(F1361="Bullet",MIN(G1361,Assumptions!$B$6),"")</f>
        <v/>
      </c>
      <c r="I1361" s="8">
        <v>2</v>
      </c>
      <c r="J1361" s="8">
        <f>IF(F1361="Monthly interest",MAX(0,Assumptions!$B$5-I1361),"")</f>
        <v>1</v>
      </c>
      <c r="K1361" s="7">
        <f t="shared" si="63"/>
        <v>2496</v>
      </c>
      <c r="L1361" s="9">
        <v>46243</v>
      </c>
      <c r="M1361" s="5" t="s">
        <v>69</v>
      </c>
      <c r="N1361" s="5" t="s">
        <v>53</v>
      </c>
      <c r="O1361" s="5" t="s">
        <v>71</v>
      </c>
      <c r="P1361" s="5" t="s">
        <v>70</v>
      </c>
      <c r="Q1361" s="5" t="s">
        <v>73</v>
      </c>
      <c r="R1361" s="5" t="s">
        <v>74</v>
      </c>
      <c r="S1361" s="5" t="s">
        <v>185</v>
      </c>
      <c r="T1361" s="5" t="s">
        <v>57</v>
      </c>
      <c r="U1361" s="5" t="s">
        <v>104</v>
      </c>
      <c r="V1361" s="5" t="s">
        <v>200</v>
      </c>
      <c r="W1361" s="5" t="s">
        <v>433</v>
      </c>
      <c r="X1361" s="5" t="s">
        <v>3246</v>
      </c>
      <c r="Y1361" s="5" t="s">
        <v>5719</v>
      </c>
      <c r="Z1361" s="9">
        <v>46031</v>
      </c>
      <c r="AA1361" s="8">
        <v>12</v>
      </c>
      <c r="AB1361" s="9">
        <f t="shared" si="64"/>
        <v>46396</v>
      </c>
      <c r="AC1361" s="10">
        <v>20</v>
      </c>
      <c r="AD1361" s="7">
        <f t="shared" si="65"/>
        <v>1248</v>
      </c>
      <c r="AE1361" s="7">
        <f>IF(F1361="Bullet",H1361*AD1361,MIN(MAX(I1361,1),Assumptions!$B$6)*AD1361)</f>
        <v>2496</v>
      </c>
      <c r="AF1361" s="8">
        <f>IF(F1361="Bullet",MAX(0,Assumptions!$B$4-AB1361),MAX(0,Assumptions!$B$4-L1361))</f>
        <v>55</v>
      </c>
      <c r="AG1361" s="9">
        <v>46215</v>
      </c>
      <c r="AH1361" s="8">
        <f>IF(AG1361="","",Assumptions!$B$4-AG1361)</f>
        <v>83</v>
      </c>
      <c r="AI1361" s="5" t="s">
        <v>63</v>
      </c>
      <c r="AJ1361" s="8">
        <v>2</v>
      </c>
      <c r="AK1361" s="8">
        <v>0</v>
      </c>
      <c r="AL1361" s="8">
        <v>759</v>
      </c>
      <c r="AM1361" s="8">
        <v>2</v>
      </c>
      <c r="AN1361" s="5" t="s">
        <v>63</v>
      </c>
      <c r="AO1361" s="10">
        <v>73.400000000000006</v>
      </c>
      <c r="AP1361" s="8">
        <v>31</v>
      </c>
      <c r="AQ1361" s="9"/>
      <c r="AR1361" s="5"/>
      <c r="AS1361" s="5" t="s">
        <v>159</v>
      </c>
    </row>
    <row r="1362" spans="1:45" x14ac:dyDescent="0.35">
      <c r="A1362" s="5" t="s">
        <v>5720</v>
      </c>
      <c r="B1362" s="5" t="s">
        <v>5721</v>
      </c>
      <c r="C1362" s="6" t="s">
        <v>5722</v>
      </c>
      <c r="D1362" s="7">
        <v>203700</v>
      </c>
      <c r="E1362" s="5" t="s">
        <v>48</v>
      </c>
      <c r="F1362" s="5" t="s">
        <v>49</v>
      </c>
      <c r="G1362" s="8"/>
      <c r="H1362" s="8" t="str">
        <f>IF(F1362="Bullet",MIN(G1362,Assumptions!$B$6),"")</f>
        <v/>
      </c>
      <c r="I1362" s="8">
        <v>2</v>
      </c>
      <c r="J1362" s="8">
        <f>IF(F1362="Monthly interest",MAX(0,Assumptions!$B$5-I1362),"")</f>
        <v>1</v>
      </c>
      <c r="K1362" s="7">
        <f t="shared" si="63"/>
        <v>5432</v>
      </c>
      <c r="L1362" s="9">
        <v>46261</v>
      </c>
      <c r="M1362" s="5" t="s">
        <v>50</v>
      </c>
      <c r="N1362" s="5" t="s">
        <v>51</v>
      </c>
      <c r="O1362" s="5" t="s">
        <v>71</v>
      </c>
      <c r="P1362" s="5" t="s">
        <v>53</v>
      </c>
      <c r="Q1362" s="5" t="s">
        <v>73</v>
      </c>
      <c r="R1362" s="5" t="s">
        <v>74</v>
      </c>
      <c r="S1362" s="5" t="s">
        <v>214</v>
      </c>
      <c r="T1362" s="5" t="s">
        <v>57</v>
      </c>
      <c r="U1362" s="5" t="s">
        <v>86</v>
      </c>
      <c r="V1362" s="5" t="s">
        <v>215</v>
      </c>
      <c r="W1362" s="5" t="s">
        <v>1057</v>
      </c>
      <c r="X1362" s="5" t="s">
        <v>2427</v>
      </c>
      <c r="Y1362" s="5" t="s">
        <v>5723</v>
      </c>
      <c r="Z1362" s="9">
        <v>45988</v>
      </c>
      <c r="AA1362" s="8">
        <v>12</v>
      </c>
      <c r="AB1362" s="9">
        <f t="shared" si="64"/>
        <v>46353</v>
      </c>
      <c r="AC1362" s="10">
        <v>16</v>
      </c>
      <c r="AD1362" s="7">
        <f t="shared" si="65"/>
        <v>2716</v>
      </c>
      <c r="AE1362" s="7">
        <f>IF(F1362="Bullet",H1362*AD1362,MIN(MAX(I1362,1),Assumptions!$B$6)*AD1362)</f>
        <v>5432</v>
      </c>
      <c r="AF1362" s="8">
        <f>IF(F1362="Bullet",MAX(0,Assumptions!$B$4-AB1362),MAX(0,Assumptions!$B$4-L1362))</f>
        <v>37</v>
      </c>
      <c r="AG1362" s="9">
        <v>46230</v>
      </c>
      <c r="AH1362" s="8">
        <f>IF(AG1362="","",Assumptions!$B$4-AG1362)</f>
        <v>68</v>
      </c>
      <c r="AI1362" s="5" t="s">
        <v>63</v>
      </c>
      <c r="AJ1362" s="8">
        <v>3</v>
      </c>
      <c r="AK1362" s="8">
        <v>0</v>
      </c>
      <c r="AL1362" s="8">
        <v>841</v>
      </c>
      <c r="AM1362" s="8">
        <v>0</v>
      </c>
      <c r="AN1362" s="5" t="s">
        <v>63</v>
      </c>
      <c r="AO1362" s="10">
        <v>73.900000000000006</v>
      </c>
      <c r="AP1362" s="8">
        <v>27</v>
      </c>
      <c r="AQ1362" s="9"/>
      <c r="AR1362" s="5"/>
      <c r="AS1362" s="5" t="s">
        <v>159</v>
      </c>
    </row>
    <row r="1363" spans="1:45" x14ac:dyDescent="0.35">
      <c r="A1363" s="5" t="s">
        <v>5724</v>
      </c>
      <c r="B1363" s="5" t="s">
        <v>5725</v>
      </c>
      <c r="C1363" s="6" t="s">
        <v>5726</v>
      </c>
      <c r="D1363" s="7">
        <v>72400</v>
      </c>
      <c r="E1363" s="5" t="s">
        <v>48</v>
      </c>
      <c r="F1363" s="5" t="s">
        <v>49</v>
      </c>
      <c r="G1363" s="8"/>
      <c r="H1363" s="8" t="str">
        <f>IF(F1363="Bullet",MIN(G1363,Assumptions!$B$6),"")</f>
        <v/>
      </c>
      <c r="I1363" s="8">
        <v>1</v>
      </c>
      <c r="J1363" s="8">
        <f>IF(F1363="Monthly interest",MAX(0,Assumptions!$B$5-I1363),"")</f>
        <v>2</v>
      </c>
      <c r="K1363" s="7">
        <f t="shared" si="63"/>
        <v>965</v>
      </c>
      <c r="L1363" s="9">
        <v>46270</v>
      </c>
      <c r="M1363" s="5" t="s">
        <v>50</v>
      </c>
      <c r="N1363" s="5" t="s">
        <v>53</v>
      </c>
      <c r="O1363" s="5" t="s">
        <v>103</v>
      </c>
      <c r="P1363" s="5" t="s">
        <v>51</v>
      </c>
      <c r="Q1363" s="5" t="s">
        <v>54</v>
      </c>
      <c r="R1363" s="5" t="s">
        <v>55</v>
      </c>
      <c r="S1363" s="5" t="s">
        <v>56</v>
      </c>
      <c r="T1363" s="5" t="s">
        <v>57</v>
      </c>
      <c r="U1363" s="5" t="s">
        <v>58</v>
      </c>
      <c r="V1363" s="5" t="s">
        <v>59</v>
      </c>
      <c r="W1363" s="5" t="s">
        <v>60</v>
      </c>
      <c r="X1363" s="5" t="s">
        <v>61</v>
      </c>
      <c r="Y1363" s="5" t="s">
        <v>5727</v>
      </c>
      <c r="Z1363" s="9">
        <v>46027</v>
      </c>
      <c r="AA1363" s="8">
        <v>12</v>
      </c>
      <c r="AB1363" s="9">
        <f t="shared" si="64"/>
        <v>46392</v>
      </c>
      <c r="AC1363" s="10">
        <v>16</v>
      </c>
      <c r="AD1363" s="7">
        <f t="shared" si="65"/>
        <v>965</v>
      </c>
      <c r="AE1363" s="7">
        <f>IF(F1363="Bullet",H1363*AD1363,MIN(MAX(I1363,1),Assumptions!$B$6)*AD1363)</f>
        <v>965</v>
      </c>
      <c r="AF1363" s="8">
        <f>IF(F1363="Bullet",MAX(0,Assumptions!$B$4-AB1363),MAX(0,Assumptions!$B$4-L1363))</f>
        <v>28</v>
      </c>
      <c r="AG1363" s="9">
        <v>46244</v>
      </c>
      <c r="AH1363" s="8">
        <f>IF(AG1363="","",Assumptions!$B$4-AG1363)</f>
        <v>54</v>
      </c>
      <c r="AI1363" s="5" t="s">
        <v>63</v>
      </c>
      <c r="AJ1363" s="8">
        <v>2</v>
      </c>
      <c r="AK1363" s="8">
        <v>0</v>
      </c>
      <c r="AL1363" s="8">
        <v>746</v>
      </c>
      <c r="AM1363" s="8">
        <v>3</v>
      </c>
      <c r="AN1363" s="5" t="s">
        <v>63</v>
      </c>
      <c r="AO1363" s="10">
        <v>69.5</v>
      </c>
      <c r="AP1363" s="8">
        <v>26</v>
      </c>
      <c r="AQ1363" s="9">
        <v>46292</v>
      </c>
      <c r="AR1363" s="5" t="s">
        <v>51</v>
      </c>
      <c r="AS1363" s="5" t="s">
        <v>81</v>
      </c>
    </row>
    <row r="1364" spans="1:45" x14ac:dyDescent="0.35">
      <c r="A1364" s="5" t="s">
        <v>5728</v>
      </c>
      <c r="B1364" s="5" t="s">
        <v>5729</v>
      </c>
      <c r="C1364" s="6" t="s">
        <v>5730</v>
      </c>
      <c r="D1364" s="7">
        <v>603700</v>
      </c>
      <c r="E1364" s="5" t="s">
        <v>48</v>
      </c>
      <c r="F1364" s="5" t="s">
        <v>49</v>
      </c>
      <c r="G1364" s="8"/>
      <c r="H1364" s="8" t="str">
        <f>IF(F1364="Bullet",MIN(G1364,Assumptions!$B$6),"")</f>
        <v/>
      </c>
      <c r="I1364" s="8">
        <v>2</v>
      </c>
      <c r="J1364" s="8">
        <f>IF(F1364="Monthly interest",MAX(0,Assumptions!$B$5-I1364),"")</f>
        <v>1</v>
      </c>
      <c r="K1364" s="7">
        <f t="shared" si="63"/>
        <v>14086</v>
      </c>
      <c r="L1364" s="9">
        <v>46246</v>
      </c>
      <c r="M1364" s="5" t="s">
        <v>69</v>
      </c>
      <c r="N1364" s="5" t="s">
        <v>70</v>
      </c>
      <c r="O1364" s="5" t="s">
        <v>71</v>
      </c>
      <c r="P1364" s="5" t="s">
        <v>72</v>
      </c>
      <c r="Q1364" s="5" t="s">
        <v>73</v>
      </c>
      <c r="R1364" s="5" t="s">
        <v>74</v>
      </c>
      <c r="S1364" s="5" t="s">
        <v>85</v>
      </c>
      <c r="T1364" s="5" t="s">
        <v>57</v>
      </c>
      <c r="U1364" s="5" t="s">
        <v>86</v>
      </c>
      <c r="V1364" s="5" t="s">
        <v>96</v>
      </c>
      <c r="W1364" s="5" t="s">
        <v>171</v>
      </c>
      <c r="X1364" s="5" t="s">
        <v>3448</v>
      </c>
      <c r="Y1364" s="5" t="s">
        <v>5731</v>
      </c>
      <c r="Z1364" s="9">
        <v>46093</v>
      </c>
      <c r="AA1364" s="8">
        <v>12</v>
      </c>
      <c r="AB1364" s="9">
        <f t="shared" si="64"/>
        <v>46458</v>
      </c>
      <c r="AC1364" s="10">
        <v>14</v>
      </c>
      <c r="AD1364" s="7">
        <f t="shared" si="65"/>
        <v>7043</v>
      </c>
      <c r="AE1364" s="7">
        <f>IF(F1364="Bullet",H1364*AD1364,MIN(MAX(I1364,1),Assumptions!$B$6)*AD1364)</f>
        <v>14086</v>
      </c>
      <c r="AF1364" s="8">
        <f>IF(F1364="Bullet",MAX(0,Assumptions!$B$4-AB1364),MAX(0,Assumptions!$B$4-L1364))</f>
        <v>52</v>
      </c>
      <c r="AG1364" s="9">
        <v>46220</v>
      </c>
      <c r="AH1364" s="8">
        <f>IF(AG1364="","",Assumptions!$B$4-AG1364)</f>
        <v>78</v>
      </c>
      <c r="AI1364" s="5" t="s">
        <v>63</v>
      </c>
      <c r="AJ1364" s="8">
        <v>2</v>
      </c>
      <c r="AK1364" s="8">
        <v>2</v>
      </c>
      <c r="AL1364" s="8">
        <v>814</v>
      </c>
      <c r="AM1364" s="8">
        <v>0</v>
      </c>
      <c r="AN1364" s="5" t="s">
        <v>63</v>
      </c>
      <c r="AO1364" s="10">
        <v>51.3</v>
      </c>
      <c r="AP1364" s="8">
        <v>37</v>
      </c>
      <c r="AQ1364" s="9">
        <v>46288</v>
      </c>
      <c r="AR1364" s="5" t="s">
        <v>51</v>
      </c>
      <c r="AS1364" s="5" t="s">
        <v>81</v>
      </c>
    </row>
    <row r="1365" spans="1:45" x14ac:dyDescent="0.35">
      <c r="A1365" s="5" t="s">
        <v>5732</v>
      </c>
      <c r="B1365" s="5" t="s">
        <v>5733</v>
      </c>
      <c r="C1365" s="6" t="s">
        <v>5734</v>
      </c>
      <c r="D1365" s="7">
        <v>80100</v>
      </c>
      <c r="E1365" s="5" t="s">
        <v>48</v>
      </c>
      <c r="F1365" s="5" t="s">
        <v>68</v>
      </c>
      <c r="G1365" s="8">
        <v>3</v>
      </c>
      <c r="H1365" s="8">
        <f>IF(F1365="Bullet",MIN(G1365,Assumptions!$B$6),"")</f>
        <v>2</v>
      </c>
      <c r="I1365" s="8"/>
      <c r="J1365" s="8" t="str">
        <f>IF(F1365="Monthly interest",MAX(0,Assumptions!$B$5-I1365),"")</f>
        <v/>
      </c>
      <c r="K1365" s="7">
        <f t="shared" si="63"/>
        <v>3003</v>
      </c>
      <c r="L1365" s="9">
        <v>46202</v>
      </c>
      <c r="M1365" s="5" t="s">
        <v>116</v>
      </c>
      <c r="N1365" s="5" t="s">
        <v>117</v>
      </c>
      <c r="O1365" s="5" t="s">
        <v>207</v>
      </c>
      <c r="P1365" s="5" t="s">
        <v>72</v>
      </c>
      <c r="Q1365" s="5" t="s">
        <v>73</v>
      </c>
      <c r="R1365" s="5" t="s">
        <v>74</v>
      </c>
      <c r="S1365" s="5" t="s">
        <v>75</v>
      </c>
      <c r="T1365" s="5" t="s">
        <v>57</v>
      </c>
      <c r="U1365" s="5" t="s">
        <v>86</v>
      </c>
      <c r="V1365" s="5" t="s">
        <v>76</v>
      </c>
      <c r="W1365" s="5" t="s">
        <v>382</v>
      </c>
      <c r="X1365" s="5" t="s">
        <v>641</v>
      </c>
      <c r="Y1365" s="5" t="s">
        <v>5735</v>
      </c>
      <c r="Z1365" s="9">
        <v>46202</v>
      </c>
      <c r="AA1365" s="8">
        <v>3</v>
      </c>
      <c r="AB1365" s="9">
        <f t="shared" si="64"/>
        <v>46294</v>
      </c>
      <c r="AC1365" s="10">
        <v>15</v>
      </c>
      <c r="AD1365" s="7">
        <f t="shared" si="65"/>
        <v>1001</v>
      </c>
      <c r="AE1365" s="7">
        <f>IF(F1365="Bullet",H1365*AD1365,MIN(MAX(I1365,1),Assumptions!$B$6)*AD1365)</f>
        <v>2002</v>
      </c>
      <c r="AF1365" s="8">
        <f>IF(F1365="Bullet",MAX(0,Assumptions!$B$4-AB1365),MAX(0,Assumptions!$B$4-L1365))</f>
        <v>4</v>
      </c>
      <c r="AG1365" s="9"/>
      <c r="AH1365" s="8" t="str">
        <f>IF(AG1365="","",Assumptions!$B$4-AG1365)</f>
        <v/>
      </c>
      <c r="AI1365" s="5" t="s">
        <v>80</v>
      </c>
      <c r="AJ1365" s="8"/>
      <c r="AK1365" s="8">
        <v>1</v>
      </c>
      <c r="AL1365" s="8">
        <v>651</v>
      </c>
      <c r="AM1365" s="8">
        <v>1</v>
      </c>
      <c r="AN1365" s="5" t="s">
        <v>63</v>
      </c>
      <c r="AO1365" s="10">
        <v>75.3</v>
      </c>
      <c r="AP1365" s="8">
        <v>50</v>
      </c>
      <c r="AQ1365" s="9">
        <v>46276</v>
      </c>
      <c r="AR1365" s="5" t="s">
        <v>70</v>
      </c>
      <c r="AS1365" s="5" t="s">
        <v>81</v>
      </c>
    </row>
    <row r="1366" spans="1:45" x14ac:dyDescent="0.35">
      <c r="A1366" s="5" t="s">
        <v>5736</v>
      </c>
      <c r="B1366" s="5" t="s">
        <v>4523</v>
      </c>
      <c r="C1366" s="6" t="s">
        <v>5737</v>
      </c>
      <c r="D1366" s="7">
        <v>124100</v>
      </c>
      <c r="E1366" s="5" t="s">
        <v>48</v>
      </c>
      <c r="F1366" s="5" t="s">
        <v>49</v>
      </c>
      <c r="G1366" s="8"/>
      <c r="H1366" s="8" t="str">
        <f>IF(F1366="Bullet",MIN(G1366,Assumptions!$B$6),"")</f>
        <v/>
      </c>
      <c r="I1366" s="8">
        <v>2</v>
      </c>
      <c r="J1366" s="8">
        <f>IF(F1366="Monthly interest",MAX(0,Assumptions!$B$5-I1366),"")</f>
        <v>1</v>
      </c>
      <c r="K1366" s="7">
        <f t="shared" si="63"/>
        <v>3310</v>
      </c>
      <c r="L1366" s="9">
        <v>46247</v>
      </c>
      <c r="M1366" s="5" t="s">
        <v>69</v>
      </c>
      <c r="N1366" s="5" t="s">
        <v>53</v>
      </c>
      <c r="O1366" s="5" t="s">
        <v>71</v>
      </c>
      <c r="P1366" s="5" t="s">
        <v>70</v>
      </c>
      <c r="Q1366" s="5" t="s">
        <v>73</v>
      </c>
      <c r="R1366" s="5" t="s">
        <v>74</v>
      </c>
      <c r="S1366" s="5" t="s">
        <v>253</v>
      </c>
      <c r="T1366" s="5" t="s">
        <v>57</v>
      </c>
      <c r="U1366" s="5" t="s">
        <v>104</v>
      </c>
      <c r="V1366" s="5" t="s">
        <v>177</v>
      </c>
      <c r="W1366" s="5" t="s">
        <v>178</v>
      </c>
      <c r="X1366" s="5" t="s">
        <v>5738</v>
      </c>
      <c r="Y1366" s="5" t="s">
        <v>5739</v>
      </c>
      <c r="Z1366" s="9">
        <v>46155</v>
      </c>
      <c r="AA1366" s="8">
        <v>24</v>
      </c>
      <c r="AB1366" s="9">
        <f t="shared" si="64"/>
        <v>46886</v>
      </c>
      <c r="AC1366" s="10">
        <v>16</v>
      </c>
      <c r="AD1366" s="7">
        <f t="shared" si="65"/>
        <v>1655</v>
      </c>
      <c r="AE1366" s="7">
        <f>IF(F1366="Bullet",H1366*AD1366,MIN(MAX(I1366,1),Assumptions!$B$6)*AD1366)</f>
        <v>3310</v>
      </c>
      <c r="AF1366" s="8">
        <f>IF(F1366="Bullet",MAX(0,Assumptions!$B$4-AB1366),MAX(0,Assumptions!$B$4-L1366))</f>
        <v>51</v>
      </c>
      <c r="AG1366" s="9">
        <v>46216</v>
      </c>
      <c r="AH1366" s="8">
        <f>IF(AG1366="","",Assumptions!$B$4-AG1366)</f>
        <v>82</v>
      </c>
      <c r="AI1366" s="5" t="s">
        <v>63</v>
      </c>
      <c r="AJ1366" s="8">
        <v>2</v>
      </c>
      <c r="AK1366" s="8">
        <v>0</v>
      </c>
      <c r="AL1366" s="8">
        <v>759</v>
      </c>
      <c r="AM1366" s="8">
        <v>2</v>
      </c>
      <c r="AN1366" s="5" t="s">
        <v>63</v>
      </c>
      <c r="AO1366" s="10">
        <v>66.2</v>
      </c>
      <c r="AP1366" s="8">
        <v>32</v>
      </c>
      <c r="AQ1366" s="9"/>
      <c r="AR1366" s="5"/>
      <c r="AS1366" s="5" t="s">
        <v>159</v>
      </c>
    </row>
    <row r="1367" spans="1:45" x14ac:dyDescent="0.35">
      <c r="A1367" s="5" t="s">
        <v>5740</v>
      </c>
      <c r="B1367" s="5" t="s">
        <v>5741</v>
      </c>
      <c r="C1367" s="6" t="s">
        <v>5742</v>
      </c>
      <c r="D1367" s="7">
        <v>42900</v>
      </c>
      <c r="E1367" s="5" t="s">
        <v>48</v>
      </c>
      <c r="F1367" s="5" t="s">
        <v>68</v>
      </c>
      <c r="G1367" s="8">
        <v>3</v>
      </c>
      <c r="H1367" s="8">
        <f>IF(F1367="Bullet",MIN(G1367,Assumptions!$B$6),"")</f>
        <v>2</v>
      </c>
      <c r="I1367" s="8"/>
      <c r="J1367" s="8" t="str">
        <f>IF(F1367="Monthly interest",MAX(0,Assumptions!$B$5-I1367),"")</f>
        <v/>
      </c>
      <c r="K1367" s="7">
        <f t="shared" si="63"/>
        <v>1395</v>
      </c>
      <c r="L1367" s="9">
        <v>46197</v>
      </c>
      <c r="M1367" s="5" t="s">
        <v>50</v>
      </c>
      <c r="N1367" s="5" t="s">
        <v>53</v>
      </c>
      <c r="O1367" s="5" t="s">
        <v>152</v>
      </c>
      <c r="P1367" s="5" t="s">
        <v>153</v>
      </c>
      <c r="Q1367" s="5" t="s">
        <v>154</v>
      </c>
      <c r="R1367" s="5" t="s">
        <v>155</v>
      </c>
      <c r="S1367" s="5" t="s">
        <v>56</v>
      </c>
      <c r="T1367" s="5" t="s">
        <v>57</v>
      </c>
      <c r="U1367" s="5" t="s">
        <v>86</v>
      </c>
      <c r="V1367" s="5" t="s">
        <v>59</v>
      </c>
      <c r="W1367" s="5" t="s">
        <v>323</v>
      </c>
      <c r="X1367" s="5" t="s">
        <v>1309</v>
      </c>
      <c r="Y1367" s="5" t="s">
        <v>5743</v>
      </c>
      <c r="Z1367" s="9">
        <v>46197</v>
      </c>
      <c r="AA1367" s="8">
        <v>6</v>
      </c>
      <c r="AB1367" s="9">
        <f t="shared" si="64"/>
        <v>46380</v>
      </c>
      <c r="AC1367" s="10">
        <v>13</v>
      </c>
      <c r="AD1367" s="7">
        <f t="shared" si="65"/>
        <v>465</v>
      </c>
      <c r="AE1367" s="7">
        <f>IF(F1367="Bullet",H1367*AD1367,MIN(MAX(I1367,1),Assumptions!$B$6)*AD1367)</f>
        <v>930</v>
      </c>
      <c r="AF1367" s="8">
        <f>IF(F1367="Bullet",MAX(0,Assumptions!$B$4-AB1367),MAX(0,Assumptions!$B$4-L1367))</f>
        <v>0</v>
      </c>
      <c r="AG1367" s="9"/>
      <c r="AH1367" s="8" t="str">
        <f>IF(AG1367="","",Assumptions!$B$4-AG1367)</f>
        <v/>
      </c>
      <c r="AI1367" s="5" t="s">
        <v>80</v>
      </c>
      <c r="AJ1367" s="8"/>
      <c r="AK1367" s="8">
        <v>1</v>
      </c>
      <c r="AL1367" s="8" t="s">
        <v>80</v>
      </c>
      <c r="AM1367" s="8">
        <v>0</v>
      </c>
      <c r="AN1367" s="5" t="s">
        <v>63</v>
      </c>
      <c r="AO1367" s="10">
        <v>68.8</v>
      </c>
      <c r="AP1367" s="8">
        <v>21</v>
      </c>
      <c r="AQ1367" s="9">
        <v>46277</v>
      </c>
      <c r="AR1367" s="5" t="s">
        <v>70</v>
      </c>
      <c r="AS1367" s="5" t="s">
        <v>81</v>
      </c>
    </row>
    <row r="1368" spans="1:45" x14ac:dyDescent="0.35">
      <c r="A1368" s="5" t="s">
        <v>5744</v>
      </c>
      <c r="B1368" s="5" t="s">
        <v>2128</v>
      </c>
      <c r="C1368" s="6" t="s">
        <v>5745</v>
      </c>
      <c r="D1368" s="7">
        <v>426600</v>
      </c>
      <c r="E1368" s="5" t="s">
        <v>48</v>
      </c>
      <c r="F1368" s="5" t="s">
        <v>49</v>
      </c>
      <c r="G1368" s="8"/>
      <c r="H1368" s="8" t="str">
        <f>IF(F1368="Bullet",MIN(G1368,Assumptions!$B$6),"")</f>
        <v/>
      </c>
      <c r="I1368" s="8">
        <v>2</v>
      </c>
      <c r="J1368" s="8">
        <f>IF(F1368="Monthly interest",MAX(0,Assumptions!$B$5-I1368),"")</f>
        <v>1</v>
      </c>
      <c r="K1368" s="7">
        <f t="shared" si="63"/>
        <v>10666</v>
      </c>
      <c r="L1368" s="9">
        <v>46253</v>
      </c>
      <c r="M1368" s="5" t="s">
        <v>116</v>
      </c>
      <c r="N1368" s="5" t="s">
        <v>117</v>
      </c>
      <c r="O1368" s="5" t="s">
        <v>118</v>
      </c>
      <c r="P1368" s="5" t="s">
        <v>72</v>
      </c>
      <c r="Q1368" s="5" t="s">
        <v>119</v>
      </c>
      <c r="R1368" s="5" t="s">
        <v>120</v>
      </c>
      <c r="S1368" s="5" t="s">
        <v>75</v>
      </c>
      <c r="T1368" s="5" t="s">
        <v>57</v>
      </c>
      <c r="U1368" s="5" t="s">
        <v>104</v>
      </c>
      <c r="V1368" s="5" t="s">
        <v>76</v>
      </c>
      <c r="W1368" s="5" t="s">
        <v>444</v>
      </c>
      <c r="X1368" s="5" t="s">
        <v>661</v>
      </c>
      <c r="Y1368" s="5" t="s">
        <v>5746</v>
      </c>
      <c r="Z1368" s="9">
        <v>46010</v>
      </c>
      <c r="AA1368" s="8">
        <v>12</v>
      </c>
      <c r="AB1368" s="9">
        <f t="shared" si="64"/>
        <v>46375</v>
      </c>
      <c r="AC1368" s="10">
        <v>15</v>
      </c>
      <c r="AD1368" s="7">
        <f t="shared" si="65"/>
        <v>5333</v>
      </c>
      <c r="AE1368" s="7">
        <f>IF(F1368="Bullet",H1368*AD1368,MIN(MAX(I1368,1),Assumptions!$B$6)*AD1368)</f>
        <v>10666</v>
      </c>
      <c r="AF1368" s="8">
        <f>IF(F1368="Bullet",MAX(0,Assumptions!$B$4-AB1368),MAX(0,Assumptions!$B$4-L1368))</f>
        <v>45</v>
      </c>
      <c r="AG1368" s="9">
        <v>46224</v>
      </c>
      <c r="AH1368" s="8">
        <f>IF(AG1368="","",Assumptions!$B$4-AG1368)</f>
        <v>74</v>
      </c>
      <c r="AI1368" s="5" t="s">
        <v>63</v>
      </c>
      <c r="AJ1368" s="8">
        <v>3</v>
      </c>
      <c r="AK1368" s="8">
        <v>0</v>
      </c>
      <c r="AL1368" s="8" t="s">
        <v>80</v>
      </c>
      <c r="AM1368" s="8">
        <v>2</v>
      </c>
      <c r="AN1368" s="5" t="s">
        <v>63</v>
      </c>
      <c r="AO1368" s="10">
        <v>88</v>
      </c>
      <c r="AP1368" s="8">
        <v>60</v>
      </c>
      <c r="AQ1368" s="9">
        <v>46279</v>
      </c>
      <c r="AR1368" s="5" t="s">
        <v>72</v>
      </c>
      <c r="AS1368" s="5" t="s">
        <v>181</v>
      </c>
    </row>
    <row r="1369" spans="1:45" x14ac:dyDescent="0.35">
      <c r="A1369" s="5" t="s">
        <v>5747</v>
      </c>
      <c r="B1369" s="5" t="s">
        <v>4227</v>
      </c>
      <c r="C1369" s="6" t="s">
        <v>5748</v>
      </c>
      <c r="D1369" s="7">
        <v>117500</v>
      </c>
      <c r="E1369" s="5" t="s">
        <v>48</v>
      </c>
      <c r="F1369" s="5" t="s">
        <v>68</v>
      </c>
      <c r="G1369" s="8">
        <v>6</v>
      </c>
      <c r="H1369" s="8">
        <f>IF(F1369="Bullet",MIN(G1369,Assumptions!$B$6),"")</f>
        <v>2</v>
      </c>
      <c r="I1369" s="8"/>
      <c r="J1369" s="8" t="str">
        <f>IF(F1369="Monthly interest",MAX(0,Assumptions!$B$5-I1369),"")</f>
        <v/>
      </c>
      <c r="K1369" s="7">
        <f t="shared" si="63"/>
        <v>10578</v>
      </c>
      <c r="L1369" s="9">
        <v>46100</v>
      </c>
      <c r="M1369" s="5" t="s">
        <v>116</v>
      </c>
      <c r="N1369" s="5" t="s">
        <v>117</v>
      </c>
      <c r="O1369" s="5" t="s">
        <v>461</v>
      </c>
      <c r="P1369" s="5" t="s">
        <v>72</v>
      </c>
      <c r="Q1369" s="5" t="s">
        <v>169</v>
      </c>
      <c r="R1369" s="5" t="s">
        <v>170</v>
      </c>
      <c r="S1369" s="5" t="s">
        <v>214</v>
      </c>
      <c r="T1369" s="5" t="s">
        <v>57</v>
      </c>
      <c r="U1369" s="5" t="s">
        <v>58</v>
      </c>
      <c r="V1369" s="5" t="s">
        <v>215</v>
      </c>
      <c r="W1369" s="5" t="s">
        <v>232</v>
      </c>
      <c r="X1369" s="5" t="s">
        <v>3242</v>
      </c>
      <c r="Y1369" s="5" t="s">
        <v>5749</v>
      </c>
      <c r="Z1369" s="9">
        <v>46100</v>
      </c>
      <c r="AA1369" s="8">
        <v>6</v>
      </c>
      <c r="AB1369" s="9">
        <f t="shared" si="64"/>
        <v>46284</v>
      </c>
      <c r="AC1369" s="10">
        <v>18</v>
      </c>
      <c r="AD1369" s="7">
        <f t="shared" si="65"/>
        <v>1763</v>
      </c>
      <c r="AE1369" s="7">
        <f>IF(F1369="Bullet",H1369*AD1369,MIN(MAX(I1369,1),Assumptions!$B$6)*AD1369)</f>
        <v>3526</v>
      </c>
      <c r="AF1369" s="8">
        <f>IF(F1369="Bullet",MAX(0,Assumptions!$B$4-AB1369),MAX(0,Assumptions!$B$4-L1369))</f>
        <v>14</v>
      </c>
      <c r="AG1369" s="9"/>
      <c r="AH1369" s="8" t="str">
        <f>IF(AG1369="","",Assumptions!$B$4-AG1369)</f>
        <v/>
      </c>
      <c r="AI1369" s="5" t="s">
        <v>80</v>
      </c>
      <c r="AJ1369" s="8"/>
      <c r="AK1369" s="8">
        <v>1</v>
      </c>
      <c r="AL1369" s="8" t="s">
        <v>80</v>
      </c>
      <c r="AM1369" s="8">
        <v>1</v>
      </c>
      <c r="AN1369" s="5" t="s">
        <v>63</v>
      </c>
      <c r="AO1369" s="10">
        <v>73.900000000000006</v>
      </c>
      <c r="AP1369" s="8">
        <v>55</v>
      </c>
      <c r="AQ1369" s="9"/>
      <c r="AR1369" s="5"/>
      <c r="AS1369" s="5" t="s">
        <v>159</v>
      </c>
    </row>
    <row r="1370" spans="1:45" x14ac:dyDescent="0.35">
      <c r="A1370" s="5" t="s">
        <v>5750</v>
      </c>
      <c r="B1370" s="5" t="s">
        <v>5751</v>
      </c>
      <c r="C1370" s="6" t="s">
        <v>5752</v>
      </c>
      <c r="D1370" s="7">
        <v>136400</v>
      </c>
      <c r="E1370" s="5" t="s">
        <v>48</v>
      </c>
      <c r="F1370" s="5" t="s">
        <v>49</v>
      </c>
      <c r="G1370" s="8"/>
      <c r="H1370" s="8" t="str">
        <f>IF(F1370="Bullet",MIN(G1370,Assumptions!$B$6),"")</f>
        <v/>
      </c>
      <c r="I1370" s="8">
        <v>1</v>
      </c>
      <c r="J1370" s="8">
        <f>IF(F1370="Monthly interest",MAX(0,Assumptions!$B$5-I1370),"")</f>
        <v>2</v>
      </c>
      <c r="K1370" s="7">
        <f t="shared" si="63"/>
        <v>2501</v>
      </c>
      <c r="L1370" s="9">
        <v>46273</v>
      </c>
      <c r="M1370" s="5" t="s">
        <v>50</v>
      </c>
      <c r="N1370" s="5" t="s">
        <v>53</v>
      </c>
      <c r="O1370" s="5" t="s">
        <v>132</v>
      </c>
      <c r="P1370" s="5" t="s">
        <v>51</v>
      </c>
      <c r="Q1370" s="5" t="s">
        <v>54</v>
      </c>
      <c r="R1370" s="5" t="s">
        <v>55</v>
      </c>
      <c r="S1370" s="5" t="s">
        <v>56</v>
      </c>
      <c r="T1370" s="5" t="s">
        <v>57</v>
      </c>
      <c r="U1370" s="5" t="s">
        <v>86</v>
      </c>
      <c r="V1370" s="5" t="s">
        <v>59</v>
      </c>
      <c r="W1370" s="5" t="s">
        <v>194</v>
      </c>
      <c r="X1370" s="5" t="s">
        <v>956</v>
      </c>
      <c r="Y1370" s="5" t="s">
        <v>5753</v>
      </c>
      <c r="Z1370" s="9">
        <v>46030</v>
      </c>
      <c r="AA1370" s="8">
        <v>24</v>
      </c>
      <c r="AB1370" s="9">
        <f t="shared" si="64"/>
        <v>46760</v>
      </c>
      <c r="AC1370" s="10">
        <v>22</v>
      </c>
      <c r="AD1370" s="7">
        <f t="shared" si="65"/>
        <v>2501</v>
      </c>
      <c r="AE1370" s="7">
        <f>IF(F1370="Bullet",H1370*AD1370,MIN(MAX(I1370,1),Assumptions!$B$6)*AD1370)</f>
        <v>2501</v>
      </c>
      <c r="AF1370" s="8">
        <f>IF(F1370="Bullet",MAX(0,Assumptions!$B$4-AB1370),MAX(0,Assumptions!$B$4-L1370))</f>
        <v>25</v>
      </c>
      <c r="AG1370" s="9">
        <v>46246</v>
      </c>
      <c r="AH1370" s="8">
        <f>IF(AG1370="","",Assumptions!$B$4-AG1370)</f>
        <v>52</v>
      </c>
      <c r="AI1370" s="5" t="s">
        <v>63</v>
      </c>
      <c r="AJ1370" s="8">
        <v>1</v>
      </c>
      <c r="AK1370" s="8">
        <v>0</v>
      </c>
      <c r="AL1370" s="8">
        <v>752</v>
      </c>
      <c r="AM1370" s="8">
        <v>2</v>
      </c>
      <c r="AN1370" s="5" t="s">
        <v>63</v>
      </c>
      <c r="AO1370" s="10">
        <v>82.1</v>
      </c>
      <c r="AP1370" s="8">
        <v>29</v>
      </c>
      <c r="AQ1370" s="9">
        <v>46276</v>
      </c>
      <c r="AR1370" s="5" t="s">
        <v>51</v>
      </c>
      <c r="AS1370" s="5" t="s">
        <v>91</v>
      </c>
    </row>
    <row r="1371" spans="1:45" x14ac:dyDescent="0.35">
      <c r="A1371" s="5" t="s">
        <v>5754</v>
      </c>
      <c r="B1371" s="5" t="s">
        <v>2106</v>
      </c>
      <c r="C1371" s="6" t="s">
        <v>5755</v>
      </c>
      <c r="D1371" s="7">
        <v>76000</v>
      </c>
      <c r="E1371" s="5" t="s">
        <v>48</v>
      </c>
      <c r="F1371" s="5" t="s">
        <v>68</v>
      </c>
      <c r="G1371" s="8">
        <v>4</v>
      </c>
      <c r="H1371" s="8">
        <f>IF(F1371="Bullet",MIN(G1371,Assumptions!$B$6),"")</f>
        <v>2</v>
      </c>
      <c r="I1371" s="8"/>
      <c r="J1371" s="8" t="str">
        <f>IF(F1371="Monthly interest",MAX(0,Assumptions!$B$5-I1371),"")</f>
        <v/>
      </c>
      <c r="K1371" s="7">
        <f t="shared" si="63"/>
        <v>4052</v>
      </c>
      <c r="L1371" s="9">
        <v>46171</v>
      </c>
      <c r="M1371" s="5" t="s">
        <v>50</v>
      </c>
      <c r="N1371" s="5" t="s">
        <v>53</v>
      </c>
      <c r="O1371" s="5" t="s">
        <v>71</v>
      </c>
      <c r="P1371" s="5" t="s">
        <v>51</v>
      </c>
      <c r="Q1371" s="5" t="s">
        <v>73</v>
      </c>
      <c r="R1371" s="5" t="s">
        <v>74</v>
      </c>
      <c r="S1371" s="5" t="s">
        <v>85</v>
      </c>
      <c r="T1371" s="5" t="s">
        <v>57</v>
      </c>
      <c r="U1371" s="5" t="s">
        <v>86</v>
      </c>
      <c r="V1371" s="5" t="s">
        <v>553</v>
      </c>
      <c r="W1371" s="5" t="s">
        <v>554</v>
      </c>
      <c r="X1371" s="5" t="s">
        <v>1510</v>
      </c>
      <c r="Y1371" s="5" t="s">
        <v>5756</v>
      </c>
      <c r="Z1371" s="9">
        <v>46171</v>
      </c>
      <c r="AA1371" s="8">
        <v>12</v>
      </c>
      <c r="AB1371" s="9">
        <f t="shared" si="64"/>
        <v>46536</v>
      </c>
      <c r="AC1371" s="10">
        <v>16</v>
      </c>
      <c r="AD1371" s="7">
        <f t="shared" si="65"/>
        <v>1013</v>
      </c>
      <c r="AE1371" s="7">
        <f>IF(F1371="Bullet",H1371*AD1371,MIN(MAX(I1371,1),Assumptions!$B$6)*AD1371)</f>
        <v>2026</v>
      </c>
      <c r="AF1371" s="8">
        <f>IF(F1371="Bullet",MAX(0,Assumptions!$B$4-AB1371),MAX(0,Assumptions!$B$4-L1371))</f>
        <v>0</v>
      </c>
      <c r="AG1371" s="9"/>
      <c r="AH1371" s="8" t="str">
        <f>IF(AG1371="","",Assumptions!$B$4-AG1371)</f>
        <v/>
      </c>
      <c r="AI1371" s="5" t="s">
        <v>80</v>
      </c>
      <c r="AJ1371" s="8"/>
      <c r="AK1371" s="8">
        <v>0</v>
      </c>
      <c r="AL1371" s="8">
        <v>651</v>
      </c>
      <c r="AM1371" s="8">
        <v>0</v>
      </c>
      <c r="AN1371" s="5" t="s">
        <v>63</v>
      </c>
      <c r="AO1371" s="10">
        <v>73.3</v>
      </c>
      <c r="AP1371" s="8">
        <v>28</v>
      </c>
      <c r="AQ1371" s="9">
        <v>46278</v>
      </c>
      <c r="AR1371" s="5" t="s">
        <v>70</v>
      </c>
      <c r="AS1371" s="5" t="s">
        <v>81</v>
      </c>
    </row>
    <row r="1372" spans="1:45" x14ac:dyDescent="0.35">
      <c r="A1372" s="5" t="s">
        <v>5757</v>
      </c>
      <c r="B1372" s="5" t="s">
        <v>941</v>
      </c>
      <c r="C1372" s="6" t="s">
        <v>5758</v>
      </c>
      <c r="D1372" s="7">
        <v>257700</v>
      </c>
      <c r="E1372" s="5" t="s">
        <v>48</v>
      </c>
      <c r="F1372" s="5" t="s">
        <v>49</v>
      </c>
      <c r="G1372" s="8"/>
      <c r="H1372" s="8" t="str">
        <f>IF(F1372="Bullet",MIN(G1372,Assumptions!$B$6),"")</f>
        <v/>
      </c>
      <c r="I1372" s="8">
        <v>1</v>
      </c>
      <c r="J1372" s="8">
        <f>IF(F1372="Monthly interest",MAX(0,Assumptions!$B$5-I1372),"")</f>
        <v>2</v>
      </c>
      <c r="K1372" s="7">
        <f t="shared" si="63"/>
        <v>3436</v>
      </c>
      <c r="L1372" s="9">
        <v>46277</v>
      </c>
      <c r="M1372" s="5" t="s">
        <v>50</v>
      </c>
      <c r="N1372" s="5" t="s">
        <v>51</v>
      </c>
      <c r="O1372" s="5" t="s">
        <v>52</v>
      </c>
      <c r="P1372" s="5" t="s">
        <v>53</v>
      </c>
      <c r="Q1372" s="5" t="s">
        <v>54</v>
      </c>
      <c r="R1372" s="5" t="s">
        <v>55</v>
      </c>
      <c r="S1372" s="5" t="s">
        <v>75</v>
      </c>
      <c r="T1372" s="5" t="s">
        <v>57</v>
      </c>
      <c r="U1372" s="5" t="s">
        <v>58</v>
      </c>
      <c r="V1372" s="5" t="s">
        <v>76</v>
      </c>
      <c r="W1372" s="5" t="s">
        <v>140</v>
      </c>
      <c r="X1372" s="5" t="s">
        <v>3391</v>
      </c>
      <c r="Y1372" s="5" t="s">
        <v>5759</v>
      </c>
      <c r="Z1372" s="9">
        <v>46034</v>
      </c>
      <c r="AA1372" s="8">
        <v>12</v>
      </c>
      <c r="AB1372" s="9">
        <f t="shared" si="64"/>
        <v>46399</v>
      </c>
      <c r="AC1372" s="10">
        <v>16</v>
      </c>
      <c r="AD1372" s="7">
        <f t="shared" si="65"/>
        <v>3436</v>
      </c>
      <c r="AE1372" s="7">
        <f>IF(F1372="Bullet",H1372*AD1372,MIN(MAX(I1372,1),Assumptions!$B$6)*AD1372)</f>
        <v>3436</v>
      </c>
      <c r="AF1372" s="8">
        <f>IF(F1372="Bullet",MAX(0,Assumptions!$B$4-AB1372),MAX(0,Assumptions!$B$4-L1372))</f>
        <v>21</v>
      </c>
      <c r="AG1372" s="9">
        <v>46249</v>
      </c>
      <c r="AH1372" s="8">
        <f>IF(AG1372="","",Assumptions!$B$4-AG1372)</f>
        <v>49</v>
      </c>
      <c r="AI1372" s="5" t="s">
        <v>63</v>
      </c>
      <c r="AJ1372" s="8">
        <v>1</v>
      </c>
      <c r="AK1372" s="8">
        <v>0</v>
      </c>
      <c r="AL1372" s="8">
        <v>785</v>
      </c>
      <c r="AM1372" s="8">
        <v>2</v>
      </c>
      <c r="AN1372" s="5" t="s">
        <v>63</v>
      </c>
      <c r="AO1372" s="10">
        <v>62.3</v>
      </c>
      <c r="AP1372" s="8">
        <v>15</v>
      </c>
      <c r="AQ1372" s="9">
        <v>46275</v>
      </c>
      <c r="AR1372" s="5" t="s">
        <v>53</v>
      </c>
      <c r="AS1372" s="5" t="s">
        <v>91</v>
      </c>
    </row>
    <row r="1373" spans="1:45" x14ac:dyDescent="0.35">
      <c r="A1373" s="5" t="s">
        <v>5760</v>
      </c>
      <c r="B1373" s="5" t="s">
        <v>4348</v>
      </c>
      <c r="C1373" s="6" t="s">
        <v>5761</v>
      </c>
      <c r="D1373" s="7">
        <v>116900</v>
      </c>
      <c r="E1373" s="5" t="s">
        <v>48</v>
      </c>
      <c r="F1373" s="5" t="s">
        <v>49</v>
      </c>
      <c r="G1373" s="8"/>
      <c r="H1373" s="8" t="str">
        <f>IF(F1373="Bullet",MIN(G1373,Assumptions!$B$6),"")</f>
        <v/>
      </c>
      <c r="I1373" s="8">
        <v>1</v>
      </c>
      <c r="J1373" s="8">
        <f>IF(F1373="Monthly interest",MAX(0,Assumptions!$B$5-I1373),"")</f>
        <v>2</v>
      </c>
      <c r="K1373" s="7">
        <f t="shared" si="63"/>
        <v>1754</v>
      </c>
      <c r="L1373" s="9">
        <v>46296</v>
      </c>
      <c r="M1373" s="5" t="s">
        <v>69</v>
      </c>
      <c r="N1373" s="5" t="s">
        <v>51</v>
      </c>
      <c r="O1373" s="5" t="s">
        <v>52</v>
      </c>
      <c r="P1373" s="5" t="s">
        <v>53</v>
      </c>
      <c r="Q1373" s="5" t="s">
        <v>54</v>
      </c>
      <c r="R1373" s="5" t="s">
        <v>55</v>
      </c>
      <c r="S1373" s="5" t="s">
        <v>253</v>
      </c>
      <c r="T1373" s="5" t="s">
        <v>57</v>
      </c>
      <c r="U1373" s="5" t="s">
        <v>86</v>
      </c>
      <c r="V1373" s="5" t="s">
        <v>133</v>
      </c>
      <c r="W1373" s="5" t="s">
        <v>317</v>
      </c>
      <c r="X1373" s="5" t="s">
        <v>891</v>
      </c>
      <c r="Y1373" s="5" t="s">
        <v>5762</v>
      </c>
      <c r="Z1373" s="9">
        <v>46113</v>
      </c>
      <c r="AA1373" s="8">
        <v>24</v>
      </c>
      <c r="AB1373" s="9">
        <f t="shared" si="64"/>
        <v>46844</v>
      </c>
      <c r="AC1373" s="10">
        <v>18</v>
      </c>
      <c r="AD1373" s="7">
        <f t="shared" si="65"/>
        <v>1754</v>
      </c>
      <c r="AE1373" s="7">
        <f>IF(F1373="Bullet",H1373*AD1373,MIN(MAX(I1373,1),Assumptions!$B$6)*AD1373)</f>
        <v>1754</v>
      </c>
      <c r="AF1373" s="8">
        <f>IF(F1373="Bullet",MAX(0,Assumptions!$B$4-AB1373),MAX(0,Assumptions!$B$4-L1373))</f>
        <v>2</v>
      </c>
      <c r="AG1373" s="9">
        <v>46271</v>
      </c>
      <c r="AH1373" s="8">
        <f>IF(AG1373="","",Assumptions!$B$4-AG1373)</f>
        <v>27</v>
      </c>
      <c r="AI1373" s="5" t="s">
        <v>57</v>
      </c>
      <c r="AJ1373" s="8">
        <v>2</v>
      </c>
      <c r="AK1373" s="8">
        <v>0</v>
      </c>
      <c r="AL1373" s="8">
        <v>598</v>
      </c>
      <c r="AM1373" s="8">
        <v>0</v>
      </c>
      <c r="AN1373" s="5" t="s">
        <v>63</v>
      </c>
      <c r="AO1373" s="10">
        <v>73.8</v>
      </c>
      <c r="AP1373" s="8">
        <v>31</v>
      </c>
      <c r="AQ1373" s="9">
        <v>46294</v>
      </c>
      <c r="AR1373" s="5" t="s">
        <v>70</v>
      </c>
      <c r="AS1373" s="5" t="s">
        <v>190</v>
      </c>
    </row>
    <row r="1374" spans="1:45" x14ac:dyDescent="0.35">
      <c r="A1374" s="5" t="s">
        <v>5763</v>
      </c>
      <c r="B1374" s="5" t="s">
        <v>5764</v>
      </c>
      <c r="C1374" s="6" t="s">
        <v>5765</v>
      </c>
      <c r="D1374" s="7">
        <v>43300</v>
      </c>
      <c r="E1374" s="5" t="s">
        <v>48</v>
      </c>
      <c r="F1374" s="5" t="s">
        <v>49</v>
      </c>
      <c r="G1374" s="8"/>
      <c r="H1374" s="8" t="str">
        <f>IF(F1374="Bullet",MIN(G1374,Assumptions!$B$6),"")</f>
        <v/>
      </c>
      <c r="I1374" s="8">
        <v>2</v>
      </c>
      <c r="J1374" s="8">
        <f>IF(F1374="Monthly interest",MAX(0,Assumptions!$B$5-I1374),"")</f>
        <v>1</v>
      </c>
      <c r="K1374" s="7">
        <f t="shared" si="63"/>
        <v>1010</v>
      </c>
      <c r="L1374" s="9">
        <v>46259</v>
      </c>
      <c r="M1374" s="5" t="s">
        <v>116</v>
      </c>
      <c r="N1374" s="5" t="s">
        <v>117</v>
      </c>
      <c r="O1374" s="5" t="s">
        <v>450</v>
      </c>
      <c r="P1374" s="5" t="s">
        <v>72</v>
      </c>
      <c r="Q1374" s="5" t="s">
        <v>154</v>
      </c>
      <c r="R1374" s="5" t="s">
        <v>155</v>
      </c>
      <c r="S1374" s="5" t="s">
        <v>185</v>
      </c>
      <c r="T1374" s="5" t="s">
        <v>63</v>
      </c>
      <c r="U1374" s="5" t="s">
        <v>104</v>
      </c>
      <c r="V1374" s="5" t="s">
        <v>200</v>
      </c>
      <c r="W1374" s="5" t="s">
        <v>433</v>
      </c>
      <c r="X1374" s="5" t="s">
        <v>434</v>
      </c>
      <c r="Y1374" s="5" t="s">
        <v>5766</v>
      </c>
      <c r="Z1374" s="9">
        <v>46137</v>
      </c>
      <c r="AA1374" s="8">
        <v>12</v>
      </c>
      <c r="AB1374" s="9">
        <f t="shared" si="64"/>
        <v>46502</v>
      </c>
      <c r="AC1374" s="10">
        <v>14</v>
      </c>
      <c r="AD1374" s="7">
        <f t="shared" si="65"/>
        <v>505</v>
      </c>
      <c r="AE1374" s="7">
        <f>IF(F1374="Bullet",H1374*AD1374,MIN(MAX(I1374,1),Assumptions!$B$6)*AD1374)</f>
        <v>1010</v>
      </c>
      <c r="AF1374" s="8">
        <f>IF(F1374="Bullet",MAX(0,Assumptions!$B$4-AB1374),MAX(0,Assumptions!$B$4-L1374))</f>
        <v>39</v>
      </c>
      <c r="AG1374" s="9">
        <v>46230</v>
      </c>
      <c r="AH1374" s="8">
        <f>IF(AG1374="","",Assumptions!$B$4-AG1374)</f>
        <v>68</v>
      </c>
      <c r="AI1374" s="5" t="s">
        <v>63</v>
      </c>
      <c r="AJ1374" s="8">
        <v>3</v>
      </c>
      <c r="AK1374" s="8">
        <v>2</v>
      </c>
      <c r="AL1374" s="8" t="s">
        <v>80</v>
      </c>
      <c r="AM1374" s="8">
        <v>2</v>
      </c>
      <c r="AN1374" s="5" t="s">
        <v>63</v>
      </c>
      <c r="AO1374" s="10">
        <v>67.400000000000006</v>
      </c>
      <c r="AP1374" s="8">
        <v>55</v>
      </c>
      <c r="AQ1374" s="9">
        <v>46279</v>
      </c>
      <c r="AR1374" s="5" t="s">
        <v>53</v>
      </c>
      <c r="AS1374" s="5" t="s">
        <v>64</v>
      </c>
    </row>
    <row r="1375" spans="1:45" x14ac:dyDescent="0.35">
      <c r="A1375" s="5" t="s">
        <v>5767</v>
      </c>
      <c r="B1375" s="5" t="s">
        <v>5768</v>
      </c>
      <c r="C1375" s="6" t="s">
        <v>5769</v>
      </c>
      <c r="D1375" s="7">
        <v>152700</v>
      </c>
      <c r="E1375" s="5" t="s">
        <v>48</v>
      </c>
      <c r="F1375" s="5" t="s">
        <v>49</v>
      </c>
      <c r="G1375" s="8"/>
      <c r="H1375" s="8" t="str">
        <f>IF(F1375="Bullet",MIN(G1375,Assumptions!$B$6),"")</f>
        <v/>
      </c>
      <c r="I1375" s="8">
        <v>2</v>
      </c>
      <c r="J1375" s="8">
        <f>IF(F1375="Monthly interest",MAX(0,Assumptions!$B$5-I1375),"")</f>
        <v>1</v>
      </c>
      <c r="K1375" s="7">
        <f t="shared" si="63"/>
        <v>6108</v>
      </c>
      <c r="L1375" s="9">
        <v>46246</v>
      </c>
      <c r="M1375" s="5" t="s">
        <v>116</v>
      </c>
      <c r="N1375" s="5" t="s">
        <v>117</v>
      </c>
      <c r="O1375" s="5" t="s">
        <v>118</v>
      </c>
      <c r="P1375" s="5" t="s">
        <v>72</v>
      </c>
      <c r="Q1375" s="5" t="s">
        <v>119</v>
      </c>
      <c r="R1375" s="5" t="s">
        <v>120</v>
      </c>
      <c r="S1375" s="5" t="s">
        <v>185</v>
      </c>
      <c r="T1375" s="5" t="s">
        <v>57</v>
      </c>
      <c r="U1375" s="5" t="s">
        <v>58</v>
      </c>
      <c r="V1375" s="5" t="s">
        <v>200</v>
      </c>
      <c r="W1375" s="5" t="s">
        <v>433</v>
      </c>
      <c r="X1375" s="5" t="s">
        <v>5770</v>
      </c>
      <c r="Y1375" s="5" t="s">
        <v>5771</v>
      </c>
      <c r="Z1375" s="9">
        <v>45973</v>
      </c>
      <c r="AA1375" s="8">
        <v>12</v>
      </c>
      <c r="AB1375" s="9">
        <f t="shared" si="64"/>
        <v>46338</v>
      </c>
      <c r="AC1375" s="10">
        <v>24</v>
      </c>
      <c r="AD1375" s="7">
        <f t="shared" si="65"/>
        <v>3054</v>
      </c>
      <c r="AE1375" s="7">
        <f>IF(F1375="Bullet",H1375*AD1375,MIN(MAX(I1375,1),Assumptions!$B$6)*AD1375)</f>
        <v>6108</v>
      </c>
      <c r="AF1375" s="8">
        <f>IF(F1375="Bullet",MAX(0,Assumptions!$B$4-AB1375),MAX(0,Assumptions!$B$4-L1375))</f>
        <v>52</v>
      </c>
      <c r="AG1375" s="9">
        <v>46215</v>
      </c>
      <c r="AH1375" s="8">
        <f>IF(AG1375="","",Assumptions!$B$4-AG1375)</f>
        <v>83</v>
      </c>
      <c r="AI1375" s="5" t="s">
        <v>57</v>
      </c>
      <c r="AJ1375" s="8">
        <v>2</v>
      </c>
      <c r="AK1375" s="8">
        <v>2</v>
      </c>
      <c r="AL1375" s="8">
        <v>706</v>
      </c>
      <c r="AM1375" s="8">
        <v>1</v>
      </c>
      <c r="AN1375" s="5" t="s">
        <v>63</v>
      </c>
      <c r="AO1375" s="10">
        <v>57.2</v>
      </c>
      <c r="AP1375" s="8">
        <v>49</v>
      </c>
      <c r="AQ1375" s="9">
        <v>46288</v>
      </c>
      <c r="AR1375" s="5" t="s">
        <v>70</v>
      </c>
      <c r="AS1375" s="5" t="s">
        <v>64</v>
      </c>
    </row>
    <row r="1376" spans="1:45" x14ac:dyDescent="0.35">
      <c r="A1376" s="5" t="s">
        <v>5772</v>
      </c>
      <c r="B1376" s="5" t="s">
        <v>5773</v>
      </c>
      <c r="C1376" s="6" t="s">
        <v>5774</v>
      </c>
      <c r="D1376" s="7">
        <v>86900</v>
      </c>
      <c r="E1376" s="5" t="s">
        <v>48</v>
      </c>
      <c r="F1376" s="5" t="s">
        <v>49</v>
      </c>
      <c r="G1376" s="8"/>
      <c r="H1376" s="8" t="str">
        <f>IF(F1376="Bullet",MIN(G1376,Assumptions!$B$6),"")</f>
        <v/>
      </c>
      <c r="I1376" s="8">
        <v>1</v>
      </c>
      <c r="J1376" s="8">
        <f>IF(F1376="Monthly interest",MAX(0,Assumptions!$B$5-I1376),"")</f>
        <v>2</v>
      </c>
      <c r="K1376" s="7">
        <f t="shared" si="63"/>
        <v>1086</v>
      </c>
      <c r="L1376" s="9">
        <v>46283</v>
      </c>
      <c r="M1376" s="5" t="s">
        <v>50</v>
      </c>
      <c r="N1376" s="5" t="s">
        <v>51</v>
      </c>
      <c r="O1376" s="5" t="s">
        <v>52</v>
      </c>
      <c r="P1376" s="5" t="s">
        <v>53</v>
      </c>
      <c r="Q1376" s="5" t="s">
        <v>54</v>
      </c>
      <c r="R1376" s="5" t="s">
        <v>55</v>
      </c>
      <c r="S1376" s="5" t="s">
        <v>253</v>
      </c>
      <c r="T1376" s="5" t="s">
        <v>57</v>
      </c>
      <c r="U1376" s="5" t="s">
        <v>58</v>
      </c>
      <c r="V1376" s="5" t="s">
        <v>186</v>
      </c>
      <c r="W1376" s="5" t="s">
        <v>376</v>
      </c>
      <c r="X1376" s="5" t="s">
        <v>1270</v>
      </c>
      <c r="Y1376" s="5" t="s">
        <v>5775</v>
      </c>
      <c r="Z1376" s="9">
        <v>46221</v>
      </c>
      <c r="AA1376" s="8">
        <v>18</v>
      </c>
      <c r="AB1376" s="9">
        <f t="shared" si="64"/>
        <v>46770</v>
      </c>
      <c r="AC1376" s="10">
        <v>15</v>
      </c>
      <c r="AD1376" s="7">
        <f t="shared" si="65"/>
        <v>1086</v>
      </c>
      <c r="AE1376" s="7">
        <f>IF(F1376="Bullet",H1376*AD1376,MIN(MAX(I1376,1),Assumptions!$B$6)*AD1376)</f>
        <v>1086</v>
      </c>
      <c r="AF1376" s="8">
        <f>IF(F1376="Bullet",MAX(0,Assumptions!$B$4-AB1376),MAX(0,Assumptions!$B$4-L1376))</f>
        <v>15</v>
      </c>
      <c r="AG1376" s="9">
        <v>46255</v>
      </c>
      <c r="AH1376" s="8">
        <f>IF(AG1376="","",Assumptions!$B$4-AG1376)</f>
        <v>43</v>
      </c>
      <c r="AI1376" s="5" t="s">
        <v>57</v>
      </c>
      <c r="AJ1376" s="8">
        <v>3</v>
      </c>
      <c r="AK1376" s="8">
        <v>0</v>
      </c>
      <c r="AL1376" s="8">
        <v>810</v>
      </c>
      <c r="AM1376" s="8">
        <v>0</v>
      </c>
      <c r="AN1376" s="5" t="s">
        <v>63</v>
      </c>
      <c r="AO1376" s="10">
        <v>62.9</v>
      </c>
      <c r="AP1376" s="8">
        <v>11</v>
      </c>
      <c r="AQ1376" s="9">
        <v>46280</v>
      </c>
      <c r="AR1376" s="5" t="s">
        <v>53</v>
      </c>
      <c r="AS1376" s="5" t="s">
        <v>181</v>
      </c>
    </row>
    <row r="1377" spans="1:45" x14ac:dyDescent="0.35">
      <c r="A1377" s="5" t="s">
        <v>5776</v>
      </c>
      <c r="B1377" s="5" t="s">
        <v>2697</v>
      </c>
      <c r="C1377" s="6" t="s">
        <v>5777</v>
      </c>
      <c r="D1377" s="7">
        <v>142300</v>
      </c>
      <c r="E1377" s="5" t="s">
        <v>48</v>
      </c>
      <c r="F1377" s="5" t="s">
        <v>68</v>
      </c>
      <c r="G1377" s="8">
        <v>6</v>
      </c>
      <c r="H1377" s="8">
        <f>IF(F1377="Bullet",MIN(G1377,Assumptions!$B$6),"")</f>
        <v>2</v>
      </c>
      <c r="I1377" s="8"/>
      <c r="J1377" s="8" t="str">
        <f>IF(F1377="Monthly interest",MAX(0,Assumptions!$B$5-I1377),"")</f>
        <v/>
      </c>
      <c r="K1377" s="7">
        <f t="shared" si="63"/>
        <v>9252</v>
      </c>
      <c r="L1377" s="9">
        <v>46104</v>
      </c>
      <c r="M1377" s="5" t="s">
        <v>116</v>
      </c>
      <c r="N1377" s="5" t="s">
        <v>117</v>
      </c>
      <c r="O1377" s="5" t="s">
        <v>461</v>
      </c>
      <c r="P1377" s="5" t="s">
        <v>72</v>
      </c>
      <c r="Q1377" s="5" t="s">
        <v>169</v>
      </c>
      <c r="R1377" s="5" t="s">
        <v>170</v>
      </c>
      <c r="S1377" s="5" t="s">
        <v>214</v>
      </c>
      <c r="T1377" s="5" t="s">
        <v>57</v>
      </c>
      <c r="U1377" s="5" t="s">
        <v>58</v>
      </c>
      <c r="V1377" s="5" t="s">
        <v>215</v>
      </c>
      <c r="W1377" s="5" t="s">
        <v>278</v>
      </c>
      <c r="X1377" s="5" t="s">
        <v>279</v>
      </c>
      <c r="Y1377" s="5" t="s">
        <v>5778</v>
      </c>
      <c r="Z1377" s="9">
        <v>46104</v>
      </c>
      <c r="AA1377" s="8">
        <v>6</v>
      </c>
      <c r="AB1377" s="9">
        <f t="shared" si="64"/>
        <v>46288</v>
      </c>
      <c r="AC1377" s="10">
        <v>13</v>
      </c>
      <c r="AD1377" s="7">
        <f t="shared" si="65"/>
        <v>1542</v>
      </c>
      <c r="AE1377" s="7">
        <f>IF(F1377="Bullet",H1377*AD1377,MIN(MAX(I1377,1),Assumptions!$B$6)*AD1377)</f>
        <v>3084</v>
      </c>
      <c r="AF1377" s="8">
        <f>IF(F1377="Bullet",MAX(0,Assumptions!$B$4-AB1377),MAX(0,Assumptions!$B$4-L1377))</f>
        <v>10</v>
      </c>
      <c r="AG1377" s="9"/>
      <c r="AH1377" s="8" t="str">
        <f>IF(AG1377="","",Assumptions!$B$4-AG1377)</f>
        <v/>
      </c>
      <c r="AI1377" s="5" t="s">
        <v>80</v>
      </c>
      <c r="AJ1377" s="8"/>
      <c r="AK1377" s="8">
        <v>2</v>
      </c>
      <c r="AL1377" s="8" t="s">
        <v>80</v>
      </c>
      <c r="AM1377" s="8">
        <v>0</v>
      </c>
      <c r="AN1377" s="5" t="s">
        <v>63</v>
      </c>
      <c r="AO1377" s="10">
        <v>73.5</v>
      </c>
      <c r="AP1377" s="8">
        <v>71</v>
      </c>
      <c r="AQ1377" s="9">
        <v>46280</v>
      </c>
      <c r="AR1377" s="5" t="s">
        <v>70</v>
      </c>
      <c r="AS1377" s="5" t="s">
        <v>91</v>
      </c>
    </row>
    <row r="1378" spans="1:45" x14ac:dyDescent="0.35">
      <c r="A1378" s="5" t="s">
        <v>5779</v>
      </c>
      <c r="B1378" s="5" t="s">
        <v>5780</v>
      </c>
      <c r="C1378" s="6" t="s">
        <v>5781</v>
      </c>
      <c r="D1378" s="7">
        <v>77700</v>
      </c>
      <c r="E1378" s="5" t="s">
        <v>48</v>
      </c>
      <c r="F1378" s="5" t="s">
        <v>49</v>
      </c>
      <c r="G1378" s="8"/>
      <c r="H1378" s="8" t="str">
        <f>IF(F1378="Bullet",MIN(G1378,Assumptions!$B$6),"")</f>
        <v/>
      </c>
      <c r="I1378" s="8">
        <v>1</v>
      </c>
      <c r="J1378" s="8">
        <f>IF(F1378="Monthly interest",MAX(0,Assumptions!$B$5-I1378),"")</f>
        <v>2</v>
      </c>
      <c r="K1378" s="7">
        <f t="shared" si="63"/>
        <v>1166</v>
      </c>
      <c r="L1378" s="9">
        <v>46277</v>
      </c>
      <c r="M1378" s="5" t="s">
        <v>69</v>
      </c>
      <c r="N1378" s="5" t="s">
        <v>53</v>
      </c>
      <c r="O1378" s="5" t="s">
        <v>132</v>
      </c>
      <c r="P1378" s="5" t="s">
        <v>70</v>
      </c>
      <c r="Q1378" s="5" t="s">
        <v>54</v>
      </c>
      <c r="R1378" s="5" t="s">
        <v>55</v>
      </c>
      <c r="S1378" s="5" t="s">
        <v>56</v>
      </c>
      <c r="T1378" s="5" t="s">
        <v>57</v>
      </c>
      <c r="U1378" s="5" t="s">
        <v>86</v>
      </c>
      <c r="V1378" s="5" t="s">
        <v>59</v>
      </c>
      <c r="W1378" s="5" t="s">
        <v>467</v>
      </c>
      <c r="X1378" s="5" t="s">
        <v>3431</v>
      </c>
      <c r="Y1378" s="5" t="s">
        <v>5782</v>
      </c>
      <c r="Z1378" s="9">
        <v>46093</v>
      </c>
      <c r="AA1378" s="8">
        <v>12</v>
      </c>
      <c r="AB1378" s="9">
        <f t="shared" si="64"/>
        <v>46458</v>
      </c>
      <c r="AC1378" s="10">
        <v>18</v>
      </c>
      <c r="AD1378" s="7">
        <f t="shared" si="65"/>
        <v>1166</v>
      </c>
      <c r="AE1378" s="7">
        <f>IF(F1378="Bullet",H1378*AD1378,MIN(MAX(I1378,1),Assumptions!$B$6)*AD1378)</f>
        <v>1166</v>
      </c>
      <c r="AF1378" s="8">
        <f>IF(F1378="Bullet",MAX(0,Assumptions!$B$4-AB1378),MAX(0,Assumptions!$B$4-L1378))</f>
        <v>21</v>
      </c>
      <c r="AG1378" s="9">
        <v>46248</v>
      </c>
      <c r="AH1378" s="8">
        <f>IF(AG1378="","",Assumptions!$B$4-AG1378)</f>
        <v>50</v>
      </c>
      <c r="AI1378" s="5" t="s">
        <v>63</v>
      </c>
      <c r="AJ1378" s="8">
        <v>1</v>
      </c>
      <c r="AK1378" s="8">
        <v>0</v>
      </c>
      <c r="AL1378" s="8" t="s">
        <v>80</v>
      </c>
      <c r="AM1378" s="8">
        <v>3</v>
      </c>
      <c r="AN1378" s="5" t="s">
        <v>57</v>
      </c>
      <c r="AO1378" s="10">
        <v>72.599999999999994</v>
      </c>
      <c r="AP1378" s="8">
        <v>46</v>
      </c>
      <c r="AQ1378" s="9">
        <v>46279</v>
      </c>
      <c r="AR1378" s="5" t="s">
        <v>51</v>
      </c>
      <c r="AS1378" s="5" t="s">
        <v>91</v>
      </c>
    </row>
    <row r="1379" spans="1:45" x14ac:dyDescent="0.35">
      <c r="A1379" s="5" t="s">
        <v>5783</v>
      </c>
      <c r="B1379" s="5" t="s">
        <v>2656</v>
      </c>
      <c r="C1379" s="6" t="s">
        <v>5784</v>
      </c>
      <c r="D1379" s="7">
        <v>354700</v>
      </c>
      <c r="E1379" s="5" t="s">
        <v>48</v>
      </c>
      <c r="F1379" s="5" t="s">
        <v>49</v>
      </c>
      <c r="G1379" s="8"/>
      <c r="H1379" s="8" t="str">
        <f>IF(F1379="Bullet",MIN(G1379,Assumptions!$B$6),"")</f>
        <v/>
      </c>
      <c r="I1379" s="8">
        <v>1</v>
      </c>
      <c r="J1379" s="8">
        <f>IF(F1379="Monthly interest",MAX(0,Assumptions!$B$5-I1379),"")</f>
        <v>2</v>
      </c>
      <c r="K1379" s="7">
        <f t="shared" si="63"/>
        <v>4434</v>
      </c>
      <c r="L1379" s="9">
        <v>46273</v>
      </c>
      <c r="M1379" s="5" t="s">
        <v>69</v>
      </c>
      <c r="N1379" s="5" t="s">
        <v>51</v>
      </c>
      <c r="O1379" s="5" t="s">
        <v>52</v>
      </c>
      <c r="P1379" s="5" t="s">
        <v>53</v>
      </c>
      <c r="Q1379" s="5" t="s">
        <v>54</v>
      </c>
      <c r="R1379" s="5" t="s">
        <v>55</v>
      </c>
      <c r="S1379" s="5" t="s">
        <v>85</v>
      </c>
      <c r="T1379" s="5" t="s">
        <v>57</v>
      </c>
      <c r="U1379" s="5" t="s">
        <v>86</v>
      </c>
      <c r="V1379" s="5" t="s">
        <v>177</v>
      </c>
      <c r="W1379" s="5" t="s">
        <v>178</v>
      </c>
      <c r="X1379" s="5" t="s">
        <v>5738</v>
      </c>
      <c r="Y1379" s="5" t="s">
        <v>5785</v>
      </c>
      <c r="Z1379" s="9">
        <v>45999</v>
      </c>
      <c r="AA1379" s="8">
        <v>12</v>
      </c>
      <c r="AB1379" s="9">
        <f t="shared" si="64"/>
        <v>46364</v>
      </c>
      <c r="AC1379" s="10">
        <v>15</v>
      </c>
      <c r="AD1379" s="7">
        <f t="shared" si="65"/>
        <v>4434</v>
      </c>
      <c r="AE1379" s="7">
        <f>IF(F1379="Bullet",H1379*AD1379,MIN(MAX(I1379,1),Assumptions!$B$6)*AD1379)</f>
        <v>4434</v>
      </c>
      <c r="AF1379" s="8">
        <f>IF(F1379="Bullet",MAX(0,Assumptions!$B$4-AB1379),MAX(0,Assumptions!$B$4-L1379))</f>
        <v>25</v>
      </c>
      <c r="AG1379" s="9">
        <v>46247</v>
      </c>
      <c r="AH1379" s="8">
        <f>IF(AG1379="","",Assumptions!$B$4-AG1379)</f>
        <v>51</v>
      </c>
      <c r="AI1379" s="5" t="s">
        <v>63</v>
      </c>
      <c r="AJ1379" s="8">
        <v>1</v>
      </c>
      <c r="AK1379" s="8">
        <v>1</v>
      </c>
      <c r="AL1379" s="8">
        <v>692</v>
      </c>
      <c r="AM1379" s="8">
        <v>1</v>
      </c>
      <c r="AN1379" s="5" t="s">
        <v>57</v>
      </c>
      <c r="AO1379" s="10">
        <v>58.8</v>
      </c>
      <c r="AP1379" s="8">
        <v>33</v>
      </c>
      <c r="AQ1379" s="9">
        <v>46291</v>
      </c>
      <c r="AR1379" s="5" t="s">
        <v>53</v>
      </c>
      <c r="AS1379" s="5" t="s">
        <v>64</v>
      </c>
    </row>
    <row r="1380" spans="1:45" x14ac:dyDescent="0.35">
      <c r="A1380" s="5" t="s">
        <v>5786</v>
      </c>
      <c r="B1380" s="5" t="s">
        <v>588</v>
      </c>
      <c r="C1380" s="6" t="s">
        <v>5787</v>
      </c>
      <c r="D1380" s="7">
        <v>388600</v>
      </c>
      <c r="E1380" s="5" t="s">
        <v>48</v>
      </c>
      <c r="F1380" s="5" t="s">
        <v>49</v>
      </c>
      <c r="G1380" s="8"/>
      <c r="H1380" s="8" t="str">
        <f>IF(F1380="Bullet",MIN(G1380,Assumptions!$B$6),"")</f>
        <v/>
      </c>
      <c r="I1380" s="8">
        <v>1</v>
      </c>
      <c r="J1380" s="8">
        <f>IF(F1380="Monthly interest",MAX(0,Assumptions!$B$5-I1380),"")</f>
        <v>2</v>
      </c>
      <c r="K1380" s="7">
        <f t="shared" si="63"/>
        <v>7124</v>
      </c>
      <c r="L1380" s="9">
        <v>46273</v>
      </c>
      <c r="M1380" s="5" t="s">
        <v>69</v>
      </c>
      <c r="N1380" s="5" t="s">
        <v>51</v>
      </c>
      <c r="O1380" s="5" t="s">
        <v>52</v>
      </c>
      <c r="P1380" s="5" t="s">
        <v>53</v>
      </c>
      <c r="Q1380" s="5" t="s">
        <v>54</v>
      </c>
      <c r="R1380" s="5" t="s">
        <v>55</v>
      </c>
      <c r="S1380" s="5" t="s">
        <v>56</v>
      </c>
      <c r="T1380" s="5" t="s">
        <v>57</v>
      </c>
      <c r="U1380" s="5" t="s">
        <v>86</v>
      </c>
      <c r="V1380" s="5" t="s">
        <v>59</v>
      </c>
      <c r="W1380" s="5" t="s">
        <v>126</v>
      </c>
      <c r="X1380" s="5" t="s">
        <v>606</v>
      </c>
      <c r="Y1380" s="5" t="s">
        <v>5788</v>
      </c>
      <c r="Z1380" s="9">
        <v>46211</v>
      </c>
      <c r="AA1380" s="8">
        <v>12</v>
      </c>
      <c r="AB1380" s="9">
        <f t="shared" si="64"/>
        <v>46576</v>
      </c>
      <c r="AC1380" s="10">
        <v>22</v>
      </c>
      <c r="AD1380" s="7">
        <f t="shared" si="65"/>
        <v>7124</v>
      </c>
      <c r="AE1380" s="7">
        <f>IF(F1380="Bullet",H1380*AD1380,MIN(MAX(I1380,1),Assumptions!$B$6)*AD1380)</f>
        <v>7124</v>
      </c>
      <c r="AF1380" s="8">
        <f>IF(F1380="Bullet",MAX(0,Assumptions!$B$4-AB1380),MAX(0,Assumptions!$B$4-L1380))</f>
        <v>25</v>
      </c>
      <c r="AG1380" s="9">
        <v>46245</v>
      </c>
      <c r="AH1380" s="8">
        <f>IF(AG1380="","",Assumptions!$B$4-AG1380)</f>
        <v>53</v>
      </c>
      <c r="AI1380" s="5" t="s">
        <v>63</v>
      </c>
      <c r="AJ1380" s="8">
        <v>1</v>
      </c>
      <c r="AK1380" s="8">
        <v>0</v>
      </c>
      <c r="AL1380" s="8">
        <v>705</v>
      </c>
      <c r="AM1380" s="8">
        <v>1</v>
      </c>
      <c r="AN1380" s="5" t="s">
        <v>57</v>
      </c>
      <c r="AO1380" s="10">
        <v>82.2</v>
      </c>
      <c r="AP1380" s="8">
        <v>43</v>
      </c>
      <c r="AQ1380" s="9">
        <v>46275</v>
      </c>
      <c r="AR1380" s="5" t="s">
        <v>51</v>
      </c>
      <c r="AS1380" s="5" t="s">
        <v>190</v>
      </c>
    </row>
    <row r="1381" spans="1:45" x14ac:dyDescent="0.35">
      <c r="A1381" s="5" t="s">
        <v>5789</v>
      </c>
      <c r="B1381" s="5" t="s">
        <v>3988</v>
      </c>
      <c r="C1381" s="6" t="s">
        <v>5790</v>
      </c>
      <c r="D1381" s="7">
        <v>197000</v>
      </c>
      <c r="E1381" s="5" t="s">
        <v>48</v>
      </c>
      <c r="F1381" s="5" t="s">
        <v>49</v>
      </c>
      <c r="G1381" s="8"/>
      <c r="H1381" s="8" t="str">
        <f>IF(F1381="Bullet",MIN(G1381,Assumptions!$B$6),"")</f>
        <v/>
      </c>
      <c r="I1381" s="8">
        <v>1</v>
      </c>
      <c r="J1381" s="8">
        <f>IF(F1381="Monthly interest",MAX(0,Assumptions!$B$5-I1381),"")</f>
        <v>2</v>
      </c>
      <c r="K1381" s="7">
        <f t="shared" si="63"/>
        <v>2955</v>
      </c>
      <c r="L1381" s="9">
        <v>46284</v>
      </c>
      <c r="M1381" s="5" t="s">
        <v>69</v>
      </c>
      <c r="N1381" s="5" t="s">
        <v>51</v>
      </c>
      <c r="O1381" s="5" t="s">
        <v>52</v>
      </c>
      <c r="P1381" s="5" t="s">
        <v>53</v>
      </c>
      <c r="Q1381" s="5" t="s">
        <v>54</v>
      </c>
      <c r="R1381" s="5" t="s">
        <v>55</v>
      </c>
      <c r="S1381" s="5" t="s">
        <v>185</v>
      </c>
      <c r="T1381" s="5" t="s">
        <v>57</v>
      </c>
      <c r="U1381" s="5" t="s">
        <v>86</v>
      </c>
      <c r="V1381" s="5" t="s">
        <v>200</v>
      </c>
      <c r="W1381" s="5" t="s">
        <v>201</v>
      </c>
      <c r="X1381" s="5" t="s">
        <v>428</v>
      </c>
      <c r="Y1381" s="5" t="s">
        <v>5791</v>
      </c>
      <c r="Z1381" s="9">
        <v>46131</v>
      </c>
      <c r="AA1381" s="8">
        <v>12</v>
      </c>
      <c r="AB1381" s="9">
        <f t="shared" si="64"/>
        <v>46496</v>
      </c>
      <c r="AC1381" s="10">
        <v>18</v>
      </c>
      <c r="AD1381" s="7">
        <f t="shared" si="65"/>
        <v>2955</v>
      </c>
      <c r="AE1381" s="7">
        <f>IF(F1381="Bullet",H1381*AD1381,MIN(MAX(I1381,1),Assumptions!$B$6)*AD1381)</f>
        <v>2955</v>
      </c>
      <c r="AF1381" s="8">
        <f>IF(F1381="Bullet",MAX(0,Assumptions!$B$4-AB1381),MAX(0,Assumptions!$B$4-L1381))</f>
        <v>14</v>
      </c>
      <c r="AG1381" s="9">
        <v>46253</v>
      </c>
      <c r="AH1381" s="8">
        <f>IF(AG1381="","",Assumptions!$B$4-AG1381)</f>
        <v>45</v>
      </c>
      <c r="AI1381" s="5" t="s">
        <v>63</v>
      </c>
      <c r="AJ1381" s="8">
        <v>2</v>
      </c>
      <c r="AK1381" s="8">
        <v>0</v>
      </c>
      <c r="AL1381" s="8">
        <v>725</v>
      </c>
      <c r="AM1381" s="8">
        <v>0</v>
      </c>
      <c r="AN1381" s="5" t="s">
        <v>63</v>
      </c>
      <c r="AO1381" s="10">
        <v>88</v>
      </c>
      <c r="AP1381" s="8">
        <v>43</v>
      </c>
      <c r="AQ1381" s="9">
        <v>46289</v>
      </c>
      <c r="AR1381" s="5" t="s">
        <v>51</v>
      </c>
      <c r="AS1381" s="5" t="s">
        <v>181</v>
      </c>
    </row>
    <row r="1382" spans="1:45" x14ac:dyDescent="0.35">
      <c r="A1382" s="5" t="s">
        <v>5792</v>
      </c>
      <c r="B1382" s="5" t="s">
        <v>5793</v>
      </c>
      <c r="C1382" s="6" t="s">
        <v>5794</v>
      </c>
      <c r="D1382" s="7">
        <v>94900</v>
      </c>
      <c r="E1382" s="5" t="s">
        <v>48</v>
      </c>
      <c r="F1382" s="5" t="s">
        <v>68</v>
      </c>
      <c r="G1382" s="8">
        <v>6</v>
      </c>
      <c r="H1382" s="8">
        <f>IF(F1382="Bullet",MIN(G1382,Assumptions!$B$6),"")</f>
        <v>2</v>
      </c>
      <c r="I1382" s="8"/>
      <c r="J1382" s="8" t="str">
        <f>IF(F1382="Monthly interest",MAX(0,Assumptions!$B$5-I1382),"")</f>
        <v/>
      </c>
      <c r="K1382" s="7">
        <f t="shared" si="63"/>
        <v>7590</v>
      </c>
      <c r="L1382" s="9">
        <v>46110</v>
      </c>
      <c r="M1382" s="5" t="s">
        <v>116</v>
      </c>
      <c r="N1382" s="5" t="s">
        <v>117</v>
      </c>
      <c r="O1382" s="5" t="s">
        <v>461</v>
      </c>
      <c r="P1382" s="5" t="s">
        <v>72</v>
      </c>
      <c r="Q1382" s="5" t="s">
        <v>169</v>
      </c>
      <c r="R1382" s="5" t="s">
        <v>170</v>
      </c>
      <c r="S1382" s="5" t="s">
        <v>85</v>
      </c>
      <c r="T1382" s="5" t="s">
        <v>57</v>
      </c>
      <c r="U1382" s="5" t="s">
        <v>104</v>
      </c>
      <c r="V1382" s="5" t="s">
        <v>96</v>
      </c>
      <c r="W1382" s="5" t="s">
        <v>819</v>
      </c>
      <c r="X1382" s="5" t="s">
        <v>3873</v>
      </c>
      <c r="Y1382" s="5" t="s">
        <v>5795</v>
      </c>
      <c r="Z1382" s="9">
        <v>46110</v>
      </c>
      <c r="AA1382" s="8">
        <v>6</v>
      </c>
      <c r="AB1382" s="9">
        <f t="shared" si="64"/>
        <v>46294</v>
      </c>
      <c r="AC1382" s="10">
        <v>16</v>
      </c>
      <c r="AD1382" s="7">
        <f t="shared" si="65"/>
        <v>1265</v>
      </c>
      <c r="AE1382" s="7">
        <f>IF(F1382="Bullet",H1382*AD1382,MIN(MAX(I1382,1),Assumptions!$B$6)*AD1382)</f>
        <v>2530</v>
      </c>
      <c r="AF1382" s="8">
        <f>IF(F1382="Bullet",MAX(0,Assumptions!$B$4-AB1382),MAX(0,Assumptions!$B$4-L1382))</f>
        <v>4</v>
      </c>
      <c r="AG1382" s="9"/>
      <c r="AH1382" s="8" t="str">
        <f>IF(AG1382="","",Assumptions!$B$4-AG1382)</f>
        <v/>
      </c>
      <c r="AI1382" s="5" t="s">
        <v>80</v>
      </c>
      <c r="AJ1382" s="8"/>
      <c r="AK1382" s="8">
        <v>2</v>
      </c>
      <c r="AL1382" s="8">
        <v>713</v>
      </c>
      <c r="AM1382" s="8">
        <v>0</v>
      </c>
      <c r="AN1382" s="5" t="s">
        <v>63</v>
      </c>
      <c r="AO1382" s="10">
        <v>70.5</v>
      </c>
      <c r="AP1382" s="8">
        <v>61</v>
      </c>
      <c r="AQ1382" s="9">
        <v>46286</v>
      </c>
      <c r="AR1382" s="5" t="s">
        <v>70</v>
      </c>
      <c r="AS1382" s="5" t="s">
        <v>81</v>
      </c>
    </row>
    <row r="1383" spans="1:45" x14ac:dyDescent="0.35">
      <c r="A1383" s="5" t="s">
        <v>5796</v>
      </c>
      <c r="B1383" s="5" t="s">
        <v>4586</v>
      </c>
      <c r="C1383" s="6" t="s">
        <v>5797</v>
      </c>
      <c r="D1383" s="7">
        <v>53500</v>
      </c>
      <c r="E1383" s="5" t="s">
        <v>48</v>
      </c>
      <c r="F1383" s="5" t="s">
        <v>68</v>
      </c>
      <c r="G1383" s="8">
        <v>6</v>
      </c>
      <c r="H1383" s="8">
        <f>IF(F1383="Bullet",MIN(G1383,Assumptions!$B$6),"")</f>
        <v>2</v>
      </c>
      <c r="I1383" s="8"/>
      <c r="J1383" s="8" t="str">
        <f>IF(F1383="Monthly interest",MAX(0,Assumptions!$B$5-I1383),"")</f>
        <v/>
      </c>
      <c r="K1383" s="7">
        <f t="shared" si="63"/>
        <v>4014</v>
      </c>
      <c r="L1383" s="9">
        <v>46101</v>
      </c>
      <c r="M1383" s="5" t="s">
        <v>116</v>
      </c>
      <c r="N1383" s="5" t="s">
        <v>117</v>
      </c>
      <c r="O1383" s="5" t="s">
        <v>461</v>
      </c>
      <c r="P1383" s="5" t="s">
        <v>72</v>
      </c>
      <c r="Q1383" s="5" t="s">
        <v>169</v>
      </c>
      <c r="R1383" s="5" t="s">
        <v>170</v>
      </c>
      <c r="S1383" s="5" t="s">
        <v>85</v>
      </c>
      <c r="T1383" s="5" t="s">
        <v>57</v>
      </c>
      <c r="U1383" s="5" t="s">
        <v>104</v>
      </c>
      <c r="V1383" s="5" t="s">
        <v>177</v>
      </c>
      <c r="W1383" s="5" t="s">
        <v>178</v>
      </c>
      <c r="X1383" s="5" t="s">
        <v>5798</v>
      </c>
      <c r="Y1383" s="5" t="s">
        <v>5799</v>
      </c>
      <c r="Z1383" s="9">
        <v>46101</v>
      </c>
      <c r="AA1383" s="8">
        <v>12</v>
      </c>
      <c r="AB1383" s="9">
        <f t="shared" si="64"/>
        <v>46466</v>
      </c>
      <c r="AC1383" s="10">
        <v>15</v>
      </c>
      <c r="AD1383" s="7">
        <f t="shared" si="65"/>
        <v>669</v>
      </c>
      <c r="AE1383" s="7">
        <f>IF(F1383="Bullet",H1383*AD1383,MIN(MAX(I1383,1),Assumptions!$B$6)*AD1383)</f>
        <v>1338</v>
      </c>
      <c r="AF1383" s="8">
        <f>IF(F1383="Bullet",MAX(0,Assumptions!$B$4-AB1383),MAX(0,Assumptions!$B$4-L1383))</f>
        <v>0</v>
      </c>
      <c r="AG1383" s="9"/>
      <c r="AH1383" s="8" t="str">
        <f>IF(AG1383="","",Assumptions!$B$4-AG1383)</f>
        <v/>
      </c>
      <c r="AI1383" s="5" t="s">
        <v>80</v>
      </c>
      <c r="AJ1383" s="8"/>
      <c r="AK1383" s="8">
        <v>0</v>
      </c>
      <c r="AL1383" s="8">
        <v>684</v>
      </c>
      <c r="AM1383" s="8">
        <v>0</v>
      </c>
      <c r="AN1383" s="5" t="s">
        <v>63</v>
      </c>
      <c r="AO1383" s="10">
        <v>83.3</v>
      </c>
      <c r="AP1383" s="8">
        <v>50</v>
      </c>
      <c r="AQ1383" s="9">
        <v>46282</v>
      </c>
      <c r="AR1383" s="5" t="s">
        <v>51</v>
      </c>
      <c r="AS1383" s="5" t="s">
        <v>81</v>
      </c>
    </row>
    <row r="1384" spans="1:45" x14ac:dyDescent="0.35">
      <c r="A1384" s="5" t="s">
        <v>5800</v>
      </c>
      <c r="B1384" s="5" t="s">
        <v>5801</v>
      </c>
      <c r="C1384" s="6" t="s">
        <v>5802</v>
      </c>
      <c r="D1384" s="7">
        <v>35700</v>
      </c>
      <c r="E1384" s="5" t="s">
        <v>48</v>
      </c>
      <c r="F1384" s="5" t="s">
        <v>49</v>
      </c>
      <c r="G1384" s="8"/>
      <c r="H1384" s="8" t="str">
        <f>IF(F1384="Bullet",MIN(G1384,Assumptions!$B$6),"")</f>
        <v/>
      </c>
      <c r="I1384" s="8">
        <v>1</v>
      </c>
      <c r="J1384" s="8">
        <f>IF(F1384="Monthly interest",MAX(0,Assumptions!$B$5-I1384),"")</f>
        <v>2</v>
      </c>
      <c r="K1384" s="7">
        <f t="shared" si="63"/>
        <v>714</v>
      </c>
      <c r="L1384" s="9">
        <v>46286</v>
      </c>
      <c r="M1384" s="5" t="s">
        <v>50</v>
      </c>
      <c r="N1384" s="5" t="s">
        <v>53</v>
      </c>
      <c r="O1384" s="5" t="s">
        <v>95</v>
      </c>
      <c r="P1384" s="5" t="s">
        <v>153</v>
      </c>
      <c r="Q1384" s="5" t="s">
        <v>154</v>
      </c>
      <c r="R1384" s="5" t="s">
        <v>155</v>
      </c>
      <c r="S1384" s="5" t="s">
        <v>56</v>
      </c>
      <c r="T1384" s="5" t="s">
        <v>63</v>
      </c>
      <c r="U1384" s="5" t="s">
        <v>86</v>
      </c>
      <c r="V1384" s="5" t="s">
        <v>59</v>
      </c>
      <c r="W1384" s="5" t="s">
        <v>126</v>
      </c>
      <c r="X1384" s="5" t="s">
        <v>2383</v>
      </c>
      <c r="Y1384" s="5" t="s">
        <v>5803</v>
      </c>
      <c r="Z1384" s="9">
        <v>46133</v>
      </c>
      <c r="AA1384" s="8">
        <v>24</v>
      </c>
      <c r="AB1384" s="9">
        <f t="shared" si="64"/>
        <v>46864</v>
      </c>
      <c r="AC1384" s="10">
        <v>24</v>
      </c>
      <c r="AD1384" s="7">
        <f t="shared" si="65"/>
        <v>714</v>
      </c>
      <c r="AE1384" s="7">
        <f>IF(F1384="Bullet",H1384*AD1384,MIN(MAX(I1384,1),Assumptions!$B$6)*AD1384)</f>
        <v>714</v>
      </c>
      <c r="AF1384" s="8">
        <f>IF(F1384="Bullet",MAX(0,Assumptions!$B$4-AB1384),MAX(0,Assumptions!$B$4-L1384))</f>
        <v>12</v>
      </c>
      <c r="AG1384" s="9">
        <v>46256</v>
      </c>
      <c r="AH1384" s="8">
        <f>IF(AG1384="","",Assumptions!$B$4-AG1384)</f>
        <v>42</v>
      </c>
      <c r="AI1384" s="5" t="s">
        <v>57</v>
      </c>
      <c r="AJ1384" s="8">
        <v>1</v>
      </c>
      <c r="AK1384" s="8">
        <v>0</v>
      </c>
      <c r="AL1384" s="8">
        <v>687</v>
      </c>
      <c r="AM1384" s="8">
        <v>0</v>
      </c>
      <c r="AN1384" s="5" t="s">
        <v>63</v>
      </c>
      <c r="AO1384" s="10">
        <v>77.099999999999994</v>
      </c>
      <c r="AP1384" s="8">
        <v>24</v>
      </c>
      <c r="AQ1384" s="9">
        <v>46278</v>
      </c>
      <c r="AR1384" s="5" t="s">
        <v>53</v>
      </c>
      <c r="AS1384" s="5" t="s">
        <v>64</v>
      </c>
    </row>
    <row r="1385" spans="1:45" x14ac:dyDescent="0.35">
      <c r="A1385" s="5" t="s">
        <v>5804</v>
      </c>
      <c r="B1385" s="5" t="s">
        <v>5805</v>
      </c>
      <c r="C1385" s="6" t="s">
        <v>5806</v>
      </c>
      <c r="D1385" s="7">
        <v>315200</v>
      </c>
      <c r="E1385" s="5" t="s">
        <v>48</v>
      </c>
      <c r="F1385" s="5" t="s">
        <v>49</v>
      </c>
      <c r="G1385" s="8"/>
      <c r="H1385" s="8" t="str">
        <f>IF(F1385="Bullet",MIN(G1385,Assumptions!$B$6),"")</f>
        <v/>
      </c>
      <c r="I1385" s="8">
        <v>2</v>
      </c>
      <c r="J1385" s="8">
        <f>IF(F1385="Monthly interest",MAX(0,Assumptions!$B$5-I1385),"")</f>
        <v>1</v>
      </c>
      <c r="K1385" s="7">
        <f t="shared" si="63"/>
        <v>8406</v>
      </c>
      <c r="L1385" s="9">
        <v>46268</v>
      </c>
      <c r="M1385" s="5" t="s">
        <v>69</v>
      </c>
      <c r="N1385" s="5" t="s">
        <v>70</v>
      </c>
      <c r="O1385" s="5" t="s">
        <v>71</v>
      </c>
      <c r="P1385" s="5" t="s">
        <v>72</v>
      </c>
      <c r="Q1385" s="5" t="s">
        <v>73</v>
      </c>
      <c r="R1385" s="5" t="s">
        <v>74</v>
      </c>
      <c r="S1385" s="5" t="s">
        <v>75</v>
      </c>
      <c r="T1385" s="5" t="s">
        <v>57</v>
      </c>
      <c r="U1385" s="5" t="s">
        <v>104</v>
      </c>
      <c r="V1385" s="5" t="s">
        <v>76</v>
      </c>
      <c r="W1385" s="5" t="s">
        <v>444</v>
      </c>
      <c r="X1385" s="5" t="s">
        <v>1403</v>
      </c>
      <c r="Y1385" s="5" t="s">
        <v>5807</v>
      </c>
      <c r="Z1385" s="9">
        <v>46145</v>
      </c>
      <c r="AA1385" s="8">
        <v>12</v>
      </c>
      <c r="AB1385" s="9">
        <f t="shared" si="64"/>
        <v>46510</v>
      </c>
      <c r="AC1385" s="10">
        <v>16</v>
      </c>
      <c r="AD1385" s="7">
        <f t="shared" si="65"/>
        <v>4203</v>
      </c>
      <c r="AE1385" s="7">
        <f>IF(F1385="Bullet",H1385*AD1385,MIN(MAX(I1385,1),Assumptions!$B$6)*AD1385)</f>
        <v>8406</v>
      </c>
      <c r="AF1385" s="8">
        <f>IF(F1385="Bullet",MAX(0,Assumptions!$B$4-AB1385),MAX(0,Assumptions!$B$4-L1385))</f>
        <v>30</v>
      </c>
      <c r="AG1385" s="9">
        <v>46238</v>
      </c>
      <c r="AH1385" s="8">
        <f>IF(AG1385="","",Assumptions!$B$4-AG1385)</f>
        <v>60</v>
      </c>
      <c r="AI1385" s="5" t="s">
        <v>57</v>
      </c>
      <c r="AJ1385" s="8">
        <v>3</v>
      </c>
      <c r="AK1385" s="8">
        <v>0</v>
      </c>
      <c r="AL1385" s="8">
        <v>762</v>
      </c>
      <c r="AM1385" s="8">
        <v>1</v>
      </c>
      <c r="AN1385" s="5" t="s">
        <v>63</v>
      </c>
      <c r="AO1385" s="10">
        <v>62.9</v>
      </c>
      <c r="AP1385" s="8">
        <v>41</v>
      </c>
      <c r="AQ1385" s="9">
        <v>46287</v>
      </c>
      <c r="AR1385" s="5" t="s">
        <v>53</v>
      </c>
      <c r="AS1385" s="5" t="s">
        <v>81</v>
      </c>
    </row>
    <row r="1386" spans="1:45" x14ac:dyDescent="0.35">
      <c r="A1386" s="5" t="s">
        <v>5808</v>
      </c>
      <c r="B1386" s="5" t="s">
        <v>5809</v>
      </c>
      <c r="C1386" s="6" t="s">
        <v>5810</v>
      </c>
      <c r="D1386" s="7">
        <v>210200</v>
      </c>
      <c r="E1386" s="5" t="s">
        <v>48</v>
      </c>
      <c r="F1386" s="5" t="s">
        <v>49</v>
      </c>
      <c r="G1386" s="8"/>
      <c r="H1386" s="8" t="str">
        <f>IF(F1386="Bullet",MIN(G1386,Assumptions!$B$6),"")</f>
        <v/>
      </c>
      <c r="I1386" s="8">
        <v>2</v>
      </c>
      <c r="J1386" s="8">
        <f>IF(F1386="Monthly interest",MAX(0,Assumptions!$B$5-I1386),"")</f>
        <v>1</v>
      </c>
      <c r="K1386" s="7">
        <f t="shared" si="63"/>
        <v>5256</v>
      </c>
      <c r="L1386" s="9">
        <v>46256</v>
      </c>
      <c r="M1386" s="5" t="s">
        <v>116</v>
      </c>
      <c r="N1386" s="5" t="s">
        <v>117</v>
      </c>
      <c r="O1386" s="5" t="s">
        <v>118</v>
      </c>
      <c r="P1386" s="5" t="s">
        <v>72</v>
      </c>
      <c r="Q1386" s="5" t="s">
        <v>119</v>
      </c>
      <c r="R1386" s="5" t="s">
        <v>120</v>
      </c>
      <c r="S1386" s="5" t="s">
        <v>85</v>
      </c>
      <c r="T1386" s="5" t="s">
        <v>57</v>
      </c>
      <c r="U1386" s="5" t="s">
        <v>86</v>
      </c>
      <c r="V1386" s="5" t="s">
        <v>553</v>
      </c>
      <c r="W1386" s="5" t="s">
        <v>554</v>
      </c>
      <c r="X1386" s="5" t="s">
        <v>1510</v>
      </c>
      <c r="Y1386" s="5" t="s">
        <v>5811</v>
      </c>
      <c r="Z1386" s="9">
        <v>46044</v>
      </c>
      <c r="AA1386" s="8">
        <v>12</v>
      </c>
      <c r="AB1386" s="9">
        <f t="shared" si="64"/>
        <v>46409</v>
      </c>
      <c r="AC1386" s="10">
        <v>15</v>
      </c>
      <c r="AD1386" s="7">
        <f t="shared" si="65"/>
        <v>2628</v>
      </c>
      <c r="AE1386" s="7">
        <f>IF(F1386="Bullet",H1386*AD1386,MIN(MAX(I1386,1),Assumptions!$B$6)*AD1386)</f>
        <v>5256</v>
      </c>
      <c r="AF1386" s="8">
        <f>IF(F1386="Bullet",MAX(0,Assumptions!$B$4-AB1386),MAX(0,Assumptions!$B$4-L1386))</f>
        <v>42</v>
      </c>
      <c r="AG1386" s="9">
        <v>46229</v>
      </c>
      <c r="AH1386" s="8">
        <f>IF(AG1386="","",Assumptions!$B$4-AG1386)</f>
        <v>69</v>
      </c>
      <c r="AI1386" s="5" t="s">
        <v>63</v>
      </c>
      <c r="AJ1386" s="8">
        <v>2</v>
      </c>
      <c r="AK1386" s="8">
        <v>1</v>
      </c>
      <c r="AL1386" s="8">
        <v>678</v>
      </c>
      <c r="AM1386" s="8">
        <v>3</v>
      </c>
      <c r="AN1386" s="5" t="s">
        <v>63</v>
      </c>
      <c r="AO1386" s="10">
        <v>81.900000000000006</v>
      </c>
      <c r="AP1386" s="8">
        <v>62</v>
      </c>
      <c r="AQ1386" s="9">
        <v>46285</v>
      </c>
      <c r="AR1386" s="5" t="s">
        <v>72</v>
      </c>
      <c r="AS1386" s="5" t="s">
        <v>64</v>
      </c>
    </row>
    <row r="1387" spans="1:45" x14ac:dyDescent="0.35">
      <c r="A1387" s="5" t="s">
        <v>5812</v>
      </c>
      <c r="B1387" s="5" t="s">
        <v>902</v>
      </c>
      <c r="C1387" s="6" t="s">
        <v>5813</v>
      </c>
      <c r="D1387" s="7">
        <v>44300</v>
      </c>
      <c r="E1387" s="5" t="s">
        <v>48</v>
      </c>
      <c r="F1387" s="5" t="s">
        <v>68</v>
      </c>
      <c r="G1387" s="8">
        <v>3</v>
      </c>
      <c r="H1387" s="8">
        <f>IF(F1387="Bullet",MIN(G1387,Assumptions!$B$6),"")</f>
        <v>2</v>
      </c>
      <c r="I1387" s="8"/>
      <c r="J1387" s="8" t="str">
        <f>IF(F1387="Monthly interest",MAX(0,Assumptions!$B$5-I1387),"")</f>
        <v/>
      </c>
      <c r="K1387" s="7">
        <f t="shared" si="63"/>
        <v>1995</v>
      </c>
      <c r="L1387" s="9">
        <v>46205</v>
      </c>
      <c r="M1387" s="5" t="s">
        <v>69</v>
      </c>
      <c r="N1387" s="5" t="s">
        <v>53</v>
      </c>
      <c r="O1387" s="5" t="s">
        <v>152</v>
      </c>
      <c r="P1387" s="5" t="s">
        <v>153</v>
      </c>
      <c r="Q1387" s="5" t="s">
        <v>154</v>
      </c>
      <c r="R1387" s="5" t="s">
        <v>155</v>
      </c>
      <c r="S1387" s="5" t="s">
        <v>85</v>
      </c>
      <c r="T1387" s="5" t="s">
        <v>57</v>
      </c>
      <c r="U1387" s="5" t="s">
        <v>104</v>
      </c>
      <c r="V1387" s="5" t="s">
        <v>96</v>
      </c>
      <c r="W1387" s="5" t="s">
        <v>819</v>
      </c>
      <c r="X1387" s="5" t="s">
        <v>1459</v>
      </c>
      <c r="Y1387" s="5" t="s">
        <v>5814</v>
      </c>
      <c r="Z1387" s="9">
        <v>46205</v>
      </c>
      <c r="AA1387" s="8">
        <v>12</v>
      </c>
      <c r="AB1387" s="9">
        <f t="shared" si="64"/>
        <v>46570</v>
      </c>
      <c r="AC1387" s="10">
        <v>18</v>
      </c>
      <c r="AD1387" s="7">
        <f t="shared" si="65"/>
        <v>665</v>
      </c>
      <c r="AE1387" s="7">
        <f>IF(F1387="Bullet",H1387*AD1387,MIN(MAX(I1387,1),Assumptions!$B$6)*AD1387)</f>
        <v>1330</v>
      </c>
      <c r="AF1387" s="8">
        <f>IF(F1387="Bullet",MAX(0,Assumptions!$B$4-AB1387),MAX(0,Assumptions!$B$4-L1387))</f>
        <v>0</v>
      </c>
      <c r="AG1387" s="9"/>
      <c r="AH1387" s="8" t="str">
        <f>IF(AG1387="","",Assumptions!$B$4-AG1387)</f>
        <v/>
      </c>
      <c r="AI1387" s="5" t="s">
        <v>80</v>
      </c>
      <c r="AJ1387" s="8"/>
      <c r="AK1387" s="8">
        <v>0</v>
      </c>
      <c r="AL1387" s="8">
        <v>624</v>
      </c>
      <c r="AM1387" s="8">
        <v>2</v>
      </c>
      <c r="AN1387" s="5" t="s">
        <v>63</v>
      </c>
      <c r="AO1387" s="10">
        <v>73.099999999999994</v>
      </c>
      <c r="AP1387" s="8">
        <v>36</v>
      </c>
      <c r="AQ1387" s="9">
        <v>46297</v>
      </c>
      <c r="AR1387" s="5" t="s">
        <v>70</v>
      </c>
      <c r="AS1387" s="5" t="s">
        <v>190</v>
      </c>
    </row>
    <row r="1388" spans="1:45" x14ac:dyDescent="0.35">
      <c r="A1388" s="5" t="s">
        <v>5815</v>
      </c>
      <c r="B1388" s="5" t="s">
        <v>5816</v>
      </c>
      <c r="C1388" s="6" t="s">
        <v>5817</v>
      </c>
      <c r="D1388" s="7">
        <v>280800</v>
      </c>
      <c r="E1388" s="5" t="s">
        <v>48</v>
      </c>
      <c r="F1388" s="5" t="s">
        <v>49</v>
      </c>
      <c r="G1388" s="8"/>
      <c r="H1388" s="8" t="str">
        <f>IF(F1388="Bullet",MIN(G1388,Assumptions!$B$6),"")</f>
        <v/>
      </c>
      <c r="I1388" s="8">
        <v>1</v>
      </c>
      <c r="J1388" s="8">
        <f>IF(F1388="Monthly interest",MAX(0,Assumptions!$B$5-I1388),"")</f>
        <v>2</v>
      </c>
      <c r="K1388" s="7">
        <f t="shared" si="63"/>
        <v>3276</v>
      </c>
      <c r="L1388" s="9">
        <v>46297</v>
      </c>
      <c r="M1388" s="5" t="s">
        <v>50</v>
      </c>
      <c r="N1388" s="5" t="s">
        <v>51</v>
      </c>
      <c r="O1388" s="5" t="s">
        <v>52</v>
      </c>
      <c r="P1388" s="5" t="s">
        <v>53</v>
      </c>
      <c r="Q1388" s="5" t="s">
        <v>54</v>
      </c>
      <c r="R1388" s="5" t="s">
        <v>55</v>
      </c>
      <c r="S1388" s="5" t="s">
        <v>185</v>
      </c>
      <c r="T1388" s="5" t="s">
        <v>57</v>
      </c>
      <c r="U1388" s="5" t="s">
        <v>86</v>
      </c>
      <c r="V1388" s="5" t="s">
        <v>186</v>
      </c>
      <c r="W1388" s="5" t="s">
        <v>694</v>
      </c>
      <c r="X1388" s="5" t="s">
        <v>1099</v>
      </c>
      <c r="Y1388" s="5" t="s">
        <v>5818</v>
      </c>
      <c r="Z1388" s="9">
        <v>46083</v>
      </c>
      <c r="AA1388" s="8">
        <v>12</v>
      </c>
      <c r="AB1388" s="9">
        <f t="shared" si="64"/>
        <v>46448</v>
      </c>
      <c r="AC1388" s="10">
        <v>14</v>
      </c>
      <c r="AD1388" s="7">
        <f t="shared" si="65"/>
        <v>3276</v>
      </c>
      <c r="AE1388" s="7">
        <f>IF(F1388="Bullet",H1388*AD1388,MIN(MAX(I1388,1),Assumptions!$B$6)*AD1388)</f>
        <v>3276</v>
      </c>
      <c r="AF1388" s="8">
        <f>IF(F1388="Bullet",MAX(0,Assumptions!$B$4-AB1388),MAX(0,Assumptions!$B$4-L1388))</f>
        <v>1</v>
      </c>
      <c r="AG1388" s="9">
        <v>46269</v>
      </c>
      <c r="AH1388" s="8">
        <f>IF(AG1388="","",Assumptions!$B$4-AG1388)</f>
        <v>29</v>
      </c>
      <c r="AI1388" s="5" t="s">
        <v>57</v>
      </c>
      <c r="AJ1388" s="8">
        <v>1</v>
      </c>
      <c r="AK1388" s="8">
        <v>0</v>
      </c>
      <c r="AL1388" s="8">
        <v>744</v>
      </c>
      <c r="AM1388" s="8">
        <v>2</v>
      </c>
      <c r="AN1388" s="5" t="s">
        <v>63</v>
      </c>
      <c r="AO1388" s="10">
        <v>60.1</v>
      </c>
      <c r="AP1388" s="8">
        <v>23</v>
      </c>
      <c r="AQ1388" s="9">
        <v>46290</v>
      </c>
      <c r="AR1388" s="5" t="s">
        <v>51</v>
      </c>
      <c r="AS1388" s="5" t="s">
        <v>64</v>
      </c>
    </row>
    <row r="1389" spans="1:45" x14ac:dyDescent="0.35">
      <c r="A1389" s="5" t="s">
        <v>5819</v>
      </c>
      <c r="B1389" s="5" t="s">
        <v>3300</v>
      </c>
      <c r="C1389" s="6" t="s">
        <v>5820</v>
      </c>
      <c r="D1389" s="7">
        <v>194300</v>
      </c>
      <c r="E1389" s="5" t="s">
        <v>48</v>
      </c>
      <c r="F1389" s="5" t="s">
        <v>68</v>
      </c>
      <c r="G1389" s="8">
        <v>3</v>
      </c>
      <c r="H1389" s="8">
        <f>IF(F1389="Bullet",MIN(G1389,Assumptions!$B$6),"")</f>
        <v>2</v>
      </c>
      <c r="I1389" s="8"/>
      <c r="J1389" s="8" t="str">
        <f>IF(F1389="Monthly interest",MAX(0,Assumptions!$B$5-I1389),"")</f>
        <v/>
      </c>
      <c r="K1389" s="7">
        <f t="shared" si="63"/>
        <v>7287</v>
      </c>
      <c r="L1389" s="9">
        <v>46186</v>
      </c>
      <c r="M1389" s="5" t="s">
        <v>69</v>
      </c>
      <c r="N1389" s="5" t="s">
        <v>53</v>
      </c>
      <c r="O1389" s="5" t="s">
        <v>71</v>
      </c>
      <c r="P1389" s="5" t="s">
        <v>70</v>
      </c>
      <c r="Q1389" s="5" t="s">
        <v>73</v>
      </c>
      <c r="R1389" s="5" t="s">
        <v>74</v>
      </c>
      <c r="S1389" s="5" t="s">
        <v>56</v>
      </c>
      <c r="T1389" s="5" t="s">
        <v>57</v>
      </c>
      <c r="U1389" s="5" t="s">
        <v>86</v>
      </c>
      <c r="V1389" s="5" t="s">
        <v>59</v>
      </c>
      <c r="W1389" s="5" t="s">
        <v>300</v>
      </c>
      <c r="X1389" s="5" t="s">
        <v>1193</v>
      </c>
      <c r="Y1389" s="5" t="s">
        <v>5821</v>
      </c>
      <c r="Z1389" s="9">
        <v>46186</v>
      </c>
      <c r="AA1389" s="8">
        <v>6</v>
      </c>
      <c r="AB1389" s="9">
        <f t="shared" si="64"/>
        <v>46369</v>
      </c>
      <c r="AC1389" s="10">
        <v>15</v>
      </c>
      <c r="AD1389" s="7">
        <f t="shared" si="65"/>
        <v>2429</v>
      </c>
      <c r="AE1389" s="7">
        <f>IF(F1389="Bullet",H1389*AD1389,MIN(MAX(I1389,1),Assumptions!$B$6)*AD1389)</f>
        <v>4858</v>
      </c>
      <c r="AF1389" s="8">
        <f>IF(F1389="Bullet",MAX(0,Assumptions!$B$4-AB1389),MAX(0,Assumptions!$B$4-L1389))</f>
        <v>0</v>
      </c>
      <c r="AG1389" s="9"/>
      <c r="AH1389" s="8" t="str">
        <f>IF(AG1389="","",Assumptions!$B$4-AG1389)</f>
        <v/>
      </c>
      <c r="AI1389" s="5" t="s">
        <v>80</v>
      </c>
      <c r="AJ1389" s="8"/>
      <c r="AK1389" s="8">
        <v>2</v>
      </c>
      <c r="AL1389" s="8">
        <v>747</v>
      </c>
      <c r="AM1389" s="8">
        <v>3</v>
      </c>
      <c r="AN1389" s="5" t="s">
        <v>63</v>
      </c>
      <c r="AO1389" s="10">
        <v>64.5</v>
      </c>
      <c r="AP1389" s="8">
        <v>33</v>
      </c>
      <c r="AQ1389" s="9"/>
      <c r="AR1389" s="5"/>
      <c r="AS1389" s="5" t="s">
        <v>159</v>
      </c>
    </row>
    <row r="1390" spans="1:45" x14ac:dyDescent="0.35">
      <c r="A1390" s="5" t="s">
        <v>5822</v>
      </c>
      <c r="B1390" s="5" t="s">
        <v>5823</v>
      </c>
      <c r="C1390" s="6" t="s">
        <v>5824</v>
      </c>
      <c r="D1390" s="7">
        <v>45400</v>
      </c>
      <c r="E1390" s="5" t="s">
        <v>48</v>
      </c>
      <c r="F1390" s="5" t="s">
        <v>49</v>
      </c>
      <c r="G1390" s="8"/>
      <c r="H1390" s="8" t="str">
        <f>IF(F1390="Bullet",MIN(G1390,Assumptions!$B$6),"")</f>
        <v/>
      </c>
      <c r="I1390" s="8">
        <v>1</v>
      </c>
      <c r="J1390" s="8">
        <f>IF(F1390="Monthly interest",MAX(0,Assumptions!$B$5-I1390),"")</f>
        <v>2</v>
      </c>
      <c r="K1390" s="7">
        <f t="shared" si="63"/>
        <v>605</v>
      </c>
      <c r="L1390" s="9">
        <v>46270</v>
      </c>
      <c r="M1390" s="5" t="s">
        <v>50</v>
      </c>
      <c r="N1390" s="5" t="s">
        <v>51</v>
      </c>
      <c r="O1390" s="5" t="s">
        <v>152</v>
      </c>
      <c r="P1390" s="5" t="s">
        <v>53</v>
      </c>
      <c r="Q1390" s="5" t="s">
        <v>154</v>
      </c>
      <c r="R1390" s="5" t="s">
        <v>155</v>
      </c>
      <c r="S1390" s="5" t="s">
        <v>214</v>
      </c>
      <c r="T1390" s="5" t="s">
        <v>57</v>
      </c>
      <c r="U1390" s="5" t="s">
        <v>86</v>
      </c>
      <c r="V1390" s="5" t="s">
        <v>215</v>
      </c>
      <c r="W1390" s="5" t="s">
        <v>242</v>
      </c>
      <c r="X1390" s="5" t="s">
        <v>2400</v>
      </c>
      <c r="Y1390" s="5" t="s">
        <v>5825</v>
      </c>
      <c r="Z1390" s="9">
        <v>46027</v>
      </c>
      <c r="AA1390" s="8">
        <v>24</v>
      </c>
      <c r="AB1390" s="9">
        <f t="shared" si="64"/>
        <v>46757</v>
      </c>
      <c r="AC1390" s="10">
        <v>16</v>
      </c>
      <c r="AD1390" s="7">
        <f t="shared" si="65"/>
        <v>605</v>
      </c>
      <c r="AE1390" s="7">
        <f>IF(F1390="Bullet",H1390*AD1390,MIN(MAX(I1390,1),Assumptions!$B$6)*AD1390)</f>
        <v>605</v>
      </c>
      <c r="AF1390" s="8">
        <f>IF(F1390="Bullet",MAX(0,Assumptions!$B$4-AB1390),MAX(0,Assumptions!$B$4-L1390))</f>
        <v>28</v>
      </c>
      <c r="AG1390" s="9">
        <v>46239</v>
      </c>
      <c r="AH1390" s="8">
        <f>IF(AG1390="","",Assumptions!$B$4-AG1390)</f>
        <v>59</v>
      </c>
      <c r="AI1390" s="5" t="s">
        <v>63</v>
      </c>
      <c r="AJ1390" s="8">
        <v>2</v>
      </c>
      <c r="AK1390" s="8">
        <v>1</v>
      </c>
      <c r="AL1390" s="8">
        <v>761</v>
      </c>
      <c r="AM1390" s="8">
        <v>2</v>
      </c>
      <c r="AN1390" s="5" t="s">
        <v>63</v>
      </c>
      <c r="AO1390" s="10">
        <v>71.7</v>
      </c>
      <c r="AP1390" s="8">
        <v>24</v>
      </c>
      <c r="AQ1390" s="9"/>
      <c r="AR1390" s="5"/>
      <c r="AS1390" s="5" t="s">
        <v>159</v>
      </c>
    </row>
    <row r="1391" spans="1:45" x14ac:dyDescent="0.35">
      <c r="A1391" s="5" t="s">
        <v>5826</v>
      </c>
      <c r="B1391" s="5" t="s">
        <v>4348</v>
      </c>
      <c r="C1391" s="6" t="s">
        <v>5827</v>
      </c>
      <c r="D1391" s="7">
        <v>61900</v>
      </c>
      <c r="E1391" s="5" t="s">
        <v>48</v>
      </c>
      <c r="F1391" s="5" t="s">
        <v>49</v>
      </c>
      <c r="G1391" s="8"/>
      <c r="H1391" s="8" t="str">
        <f>IF(F1391="Bullet",MIN(G1391,Assumptions!$B$6),"")</f>
        <v/>
      </c>
      <c r="I1391" s="8">
        <v>1</v>
      </c>
      <c r="J1391" s="8">
        <f>IF(F1391="Monthly interest",MAX(0,Assumptions!$B$5-I1391),"")</f>
        <v>2</v>
      </c>
      <c r="K1391" s="7">
        <f t="shared" si="63"/>
        <v>1032</v>
      </c>
      <c r="L1391" s="9">
        <v>46279</v>
      </c>
      <c r="M1391" s="5" t="s">
        <v>50</v>
      </c>
      <c r="N1391" s="5" t="s">
        <v>51</v>
      </c>
      <c r="O1391" s="5" t="s">
        <v>52</v>
      </c>
      <c r="P1391" s="5" t="s">
        <v>53</v>
      </c>
      <c r="Q1391" s="5" t="s">
        <v>54</v>
      </c>
      <c r="R1391" s="5" t="s">
        <v>55</v>
      </c>
      <c r="S1391" s="5" t="s">
        <v>85</v>
      </c>
      <c r="T1391" s="5" t="s">
        <v>57</v>
      </c>
      <c r="U1391" s="5" t="s">
        <v>58</v>
      </c>
      <c r="V1391" s="5" t="s">
        <v>87</v>
      </c>
      <c r="W1391" s="5" t="s">
        <v>361</v>
      </c>
      <c r="X1391" s="5" t="s">
        <v>5828</v>
      </c>
      <c r="Y1391" s="5" t="s">
        <v>5829</v>
      </c>
      <c r="Z1391" s="9">
        <v>46217</v>
      </c>
      <c r="AA1391" s="8">
        <v>12</v>
      </c>
      <c r="AB1391" s="9">
        <f t="shared" si="64"/>
        <v>46582</v>
      </c>
      <c r="AC1391" s="10">
        <v>20</v>
      </c>
      <c r="AD1391" s="7">
        <f t="shared" si="65"/>
        <v>1032</v>
      </c>
      <c r="AE1391" s="7">
        <f>IF(F1391="Bullet",H1391*AD1391,MIN(MAX(I1391,1),Assumptions!$B$6)*AD1391)</f>
        <v>1032</v>
      </c>
      <c r="AF1391" s="8">
        <f>IF(F1391="Bullet",MAX(0,Assumptions!$B$4-AB1391),MAX(0,Assumptions!$B$4-L1391))</f>
        <v>19</v>
      </c>
      <c r="AG1391" s="9">
        <v>46249</v>
      </c>
      <c r="AH1391" s="8">
        <f>IF(AG1391="","",Assumptions!$B$4-AG1391)</f>
        <v>49</v>
      </c>
      <c r="AI1391" s="5" t="s">
        <v>57</v>
      </c>
      <c r="AJ1391" s="8">
        <v>1</v>
      </c>
      <c r="AK1391" s="8">
        <v>0</v>
      </c>
      <c r="AL1391" s="8">
        <v>739</v>
      </c>
      <c r="AM1391" s="8">
        <v>2</v>
      </c>
      <c r="AN1391" s="5" t="s">
        <v>63</v>
      </c>
      <c r="AO1391" s="10">
        <v>59</v>
      </c>
      <c r="AP1391" s="8">
        <v>22</v>
      </c>
      <c r="AQ1391" s="9">
        <v>46288</v>
      </c>
      <c r="AR1391" s="5" t="s">
        <v>53</v>
      </c>
      <c r="AS1391" s="5" t="s">
        <v>181</v>
      </c>
    </row>
    <row r="1392" spans="1:45" x14ac:dyDescent="0.35">
      <c r="A1392" s="5" t="s">
        <v>5830</v>
      </c>
      <c r="B1392" s="5" t="s">
        <v>5471</v>
      </c>
      <c r="C1392" s="6" t="s">
        <v>5831</v>
      </c>
      <c r="D1392" s="7">
        <v>35200</v>
      </c>
      <c r="E1392" s="5" t="s">
        <v>48</v>
      </c>
      <c r="F1392" s="5" t="s">
        <v>49</v>
      </c>
      <c r="G1392" s="8"/>
      <c r="H1392" s="8" t="str">
        <f>IF(F1392="Bullet",MIN(G1392,Assumptions!$B$6),"")</f>
        <v/>
      </c>
      <c r="I1392" s="8">
        <v>1</v>
      </c>
      <c r="J1392" s="8">
        <f>IF(F1392="Monthly interest",MAX(0,Assumptions!$B$5-I1392),"")</f>
        <v>2</v>
      </c>
      <c r="K1392" s="7">
        <f t="shared" si="63"/>
        <v>411</v>
      </c>
      <c r="L1392" s="9">
        <v>46287</v>
      </c>
      <c r="M1392" s="5" t="s">
        <v>116</v>
      </c>
      <c r="N1392" s="5" t="s">
        <v>117</v>
      </c>
      <c r="O1392" s="5" t="s">
        <v>450</v>
      </c>
      <c r="P1392" s="5" t="s">
        <v>72</v>
      </c>
      <c r="Q1392" s="5" t="s">
        <v>154</v>
      </c>
      <c r="R1392" s="5" t="s">
        <v>155</v>
      </c>
      <c r="S1392" s="5" t="s">
        <v>56</v>
      </c>
      <c r="T1392" s="5" t="s">
        <v>63</v>
      </c>
      <c r="U1392" s="5" t="s">
        <v>86</v>
      </c>
      <c r="V1392" s="5" t="s">
        <v>59</v>
      </c>
      <c r="W1392" s="5" t="s">
        <v>194</v>
      </c>
      <c r="X1392" s="5" t="s">
        <v>526</v>
      </c>
      <c r="Y1392" s="5" t="s">
        <v>5832</v>
      </c>
      <c r="Z1392" s="9">
        <v>46044</v>
      </c>
      <c r="AA1392" s="8">
        <v>12</v>
      </c>
      <c r="AB1392" s="9">
        <f t="shared" si="64"/>
        <v>46409</v>
      </c>
      <c r="AC1392" s="10">
        <v>14</v>
      </c>
      <c r="AD1392" s="7">
        <f t="shared" si="65"/>
        <v>411</v>
      </c>
      <c r="AE1392" s="7">
        <f>IF(F1392="Bullet",H1392*AD1392,MIN(MAX(I1392,1),Assumptions!$B$6)*AD1392)</f>
        <v>411</v>
      </c>
      <c r="AF1392" s="8">
        <f>IF(F1392="Bullet",MAX(0,Assumptions!$B$4-AB1392),MAX(0,Assumptions!$B$4-L1392))</f>
        <v>11</v>
      </c>
      <c r="AG1392" s="9">
        <v>46257</v>
      </c>
      <c r="AH1392" s="8">
        <f>IF(AG1392="","",Assumptions!$B$4-AG1392)</f>
        <v>41</v>
      </c>
      <c r="AI1392" s="5" t="s">
        <v>63</v>
      </c>
      <c r="AJ1392" s="8">
        <v>1</v>
      </c>
      <c r="AK1392" s="8">
        <v>0</v>
      </c>
      <c r="AL1392" s="8">
        <v>533</v>
      </c>
      <c r="AM1392" s="8">
        <v>1</v>
      </c>
      <c r="AN1392" s="5" t="s">
        <v>57</v>
      </c>
      <c r="AO1392" s="10">
        <v>71.599999999999994</v>
      </c>
      <c r="AP1392" s="8">
        <v>51</v>
      </c>
      <c r="AQ1392" s="9">
        <v>46297</v>
      </c>
      <c r="AR1392" s="5" t="s">
        <v>51</v>
      </c>
      <c r="AS1392" s="5" t="s">
        <v>81</v>
      </c>
    </row>
    <row r="1393" spans="1:45" x14ac:dyDescent="0.35">
      <c r="A1393" s="5" t="s">
        <v>5833</v>
      </c>
      <c r="B1393" s="5" t="s">
        <v>3095</v>
      </c>
      <c r="C1393" s="6" t="s">
        <v>5834</v>
      </c>
      <c r="D1393" s="7">
        <v>227000</v>
      </c>
      <c r="E1393" s="5" t="s">
        <v>48</v>
      </c>
      <c r="F1393" s="5" t="s">
        <v>49</v>
      </c>
      <c r="G1393" s="8"/>
      <c r="H1393" s="8" t="str">
        <f>IF(F1393="Bullet",MIN(G1393,Assumptions!$B$6),"")</f>
        <v/>
      </c>
      <c r="I1393" s="8">
        <v>2</v>
      </c>
      <c r="J1393" s="8">
        <f>IF(F1393="Monthly interest",MAX(0,Assumptions!$B$5-I1393),"")</f>
        <v>1</v>
      </c>
      <c r="K1393" s="7">
        <f t="shared" si="63"/>
        <v>6054</v>
      </c>
      <c r="L1393" s="9">
        <v>46252</v>
      </c>
      <c r="M1393" s="5" t="s">
        <v>116</v>
      </c>
      <c r="N1393" s="5" t="s">
        <v>117</v>
      </c>
      <c r="O1393" s="5" t="s">
        <v>118</v>
      </c>
      <c r="P1393" s="5" t="s">
        <v>72</v>
      </c>
      <c r="Q1393" s="5" t="s">
        <v>119</v>
      </c>
      <c r="R1393" s="5" t="s">
        <v>120</v>
      </c>
      <c r="S1393" s="5" t="s">
        <v>85</v>
      </c>
      <c r="T1393" s="5" t="s">
        <v>57</v>
      </c>
      <c r="U1393" s="5" t="s">
        <v>58</v>
      </c>
      <c r="V1393" s="5" t="s">
        <v>96</v>
      </c>
      <c r="W1393" s="5" t="s">
        <v>819</v>
      </c>
      <c r="X1393" s="5" t="s">
        <v>1939</v>
      </c>
      <c r="Y1393" s="5" t="s">
        <v>5835</v>
      </c>
      <c r="Z1393" s="9">
        <v>46071</v>
      </c>
      <c r="AA1393" s="8">
        <v>18</v>
      </c>
      <c r="AB1393" s="9">
        <f t="shared" si="64"/>
        <v>46617</v>
      </c>
      <c r="AC1393" s="10">
        <v>16</v>
      </c>
      <c r="AD1393" s="7">
        <f t="shared" si="65"/>
        <v>3027</v>
      </c>
      <c r="AE1393" s="7">
        <f>IF(F1393="Bullet",H1393*AD1393,MIN(MAX(I1393,1),Assumptions!$B$6)*AD1393)</f>
        <v>6054</v>
      </c>
      <c r="AF1393" s="8">
        <f>IF(F1393="Bullet",MAX(0,Assumptions!$B$4-AB1393),MAX(0,Assumptions!$B$4-L1393))</f>
        <v>46</v>
      </c>
      <c r="AG1393" s="9">
        <v>46225</v>
      </c>
      <c r="AH1393" s="8">
        <f>IF(AG1393="","",Assumptions!$B$4-AG1393)</f>
        <v>73</v>
      </c>
      <c r="AI1393" s="5" t="s">
        <v>57</v>
      </c>
      <c r="AJ1393" s="8">
        <v>4</v>
      </c>
      <c r="AK1393" s="8">
        <v>1</v>
      </c>
      <c r="AL1393" s="8" t="s">
        <v>80</v>
      </c>
      <c r="AM1393" s="8">
        <v>0</v>
      </c>
      <c r="AN1393" s="5" t="s">
        <v>63</v>
      </c>
      <c r="AO1393" s="10">
        <v>80.599999999999994</v>
      </c>
      <c r="AP1393" s="8">
        <v>65</v>
      </c>
      <c r="AQ1393" s="9">
        <v>46292</v>
      </c>
      <c r="AR1393" s="5" t="s">
        <v>53</v>
      </c>
      <c r="AS1393" s="5" t="s">
        <v>64</v>
      </c>
    </row>
    <row r="1394" spans="1:45" x14ac:dyDescent="0.35">
      <c r="A1394" s="5" t="s">
        <v>5836</v>
      </c>
      <c r="B1394" s="5" t="s">
        <v>5837</v>
      </c>
      <c r="C1394" s="6" t="s">
        <v>5838</v>
      </c>
      <c r="D1394" s="7">
        <v>113300</v>
      </c>
      <c r="E1394" s="5" t="s">
        <v>48</v>
      </c>
      <c r="F1394" s="5" t="s">
        <v>68</v>
      </c>
      <c r="G1394" s="8">
        <v>4</v>
      </c>
      <c r="H1394" s="8">
        <f>IF(F1394="Bullet",MIN(G1394,Assumptions!$B$6),"")</f>
        <v>2</v>
      </c>
      <c r="I1394" s="8"/>
      <c r="J1394" s="8" t="str">
        <f>IF(F1394="Monthly interest",MAX(0,Assumptions!$B$5-I1394),"")</f>
        <v/>
      </c>
      <c r="K1394" s="7">
        <f t="shared" si="63"/>
        <v>4908</v>
      </c>
      <c r="L1394" s="9">
        <v>46160</v>
      </c>
      <c r="M1394" s="5" t="s">
        <v>69</v>
      </c>
      <c r="N1394" s="5" t="s">
        <v>53</v>
      </c>
      <c r="O1394" s="5" t="s">
        <v>71</v>
      </c>
      <c r="P1394" s="5" t="s">
        <v>70</v>
      </c>
      <c r="Q1394" s="5" t="s">
        <v>73</v>
      </c>
      <c r="R1394" s="5" t="s">
        <v>74</v>
      </c>
      <c r="S1394" s="5" t="s">
        <v>185</v>
      </c>
      <c r="T1394" s="5" t="s">
        <v>57</v>
      </c>
      <c r="U1394" s="5" t="s">
        <v>58</v>
      </c>
      <c r="V1394" s="5" t="s">
        <v>200</v>
      </c>
      <c r="W1394" s="5" t="s">
        <v>201</v>
      </c>
      <c r="X1394" s="5" t="s">
        <v>2728</v>
      </c>
      <c r="Y1394" s="5" t="s">
        <v>5839</v>
      </c>
      <c r="Z1394" s="9">
        <v>46160</v>
      </c>
      <c r="AA1394" s="8">
        <v>3</v>
      </c>
      <c r="AB1394" s="9">
        <f t="shared" si="64"/>
        <v>46252</v>
      </c>
      <c r="AC1394" s="10">
        <v>13</v>
      </c>
      <c r="AD1394" s="7">
        <f t="shared" si="65"/>
        <v>1227</v>
      </c>
      <c r="AE1394" s="7">
        <f>IF(F1394="Bullet",H1394*AD1394,MIN(MAX(I1394,1),Assumptions!$B$6)*AD1394)</f>
        <v>2454</v>
      </c>
      <c r="AF1394" s="8">
        <f>IF(F1394="Bullet",MAX(0,Assumptions!$B$4-AB1394),MAX(0,Assumptions!$B$4-L1394))</f>
        <v>46</v>
      </c>
      <c r="AG1394" s="9"/>
      <c r="AH1394" s="8" t="str">
        <f>IF(AG1394="","",Assumptions!$B$4-AG1394)</f>
        <v/>
      </c>
      <c r="AI1394" s="5" t="s">
        <v>80</v>
      </c>
      <c r="AJ1394" s="8"/>
      <c r="AK1394" s="8">
        <v>0</v>
      </c>
      <c r="AL1394" s="8">
        <v>774</v>
      </c>
      <c r="AM1394" s="8">
        <v>0</v>
      </c>
      <c r="AN1394" s="5" t="s">
        <v>63</v>
      </c>
      <c r="AO1394" s="10">
        <v>51.3</v>
      </c>
      <c r="AP1394" s="8">
        <v>39</v>
      </c>
      <c r="AQ1394" s="9">
        <v>46275</v>
      </c>
      <c r="AR1394" s="5" t="s">
        <v>70</v>
      </c>
      <c r="AS1394" s="5" t="s">
        <v>190</v>
      </c>
    </row>
    <row r="1395" spans="1:45" x14ac:dyDescent="0.35">
      <c r="A1395" s="5" t="s">
        <v>5840</v>
      </c>
      <c r="B1395" s="5" t="s">
        <v>1379</v>
      </c>
      <c r="C1395" s="6" t="s">
        <v>5841</v>
      </c>
      <c r="D1395" s="7">
        <v>277500</v>
      </c>
      <c r="E1395" s="5" t="s">
        <v>48</v>
      </c>
      <c r="F1395" s="5" t="s">
        <v>49</v>
      </c>
      <c r="G1395" s="8"/>
      <c r="H1395" s="8" t="str">
        <f>IF(F1395="Bullet",MIN(G1395,Assumptions!$B$6),"")</f>
        <v/>
      </c>
      <c r="I1395" s="8">
        <v>1</v>
      </c>
      <c r="J1395" s="8">
        <f>IF(F1395="Monthly interest",MAX(0,Assumptions!$B$5-I1395),"")</f>
        <v>2</v>
      </c>
      <c r="K1395" s="7">
        <f t="shared" si="63"/>
        <v>5088</v>
      </c>
      <c r="L1395" s="9">
        <v>46279</v>
      </c>
      <c r="M1395" s="5" t="s">
        <v>69</v>
      </c>
      <c r="N1395" s="5" t="s">
        <v>51</v>
      </c>
      <c r="O1395" s="5" t="s">
        <v>52</v>
      </c>
      <c r="P1395" s="5" t="s">
        <v>53</v>
      </c>
      <c r="Q1395" s="5" t="s">
        <v>54</v>
      </c>
      <c r="R1395" s="5" t="s">
        <v>55</v>
      </c>
      <c r="S1395" s="5" t="s">
        <v>75</v>
      </c>
      <c r="T1395" s="5" t="s">
        <v>57</v>
      </c>
      <c r="U1395" s="5" t="s">
        <v>58</v>
      </c>
      <c r="V1395" s="5" t="s">
        <v>76</v>
      </c>
      <c r="W1395" s="5" t="s">
        <v>77</v>
      </c>
      <c r="X1395" s="5" t="s">
        <v>2200</v>
      </c>
      <c r="Y1395" s="5" t="s">
        <v>5842</v>
      </c>
      <c r="Z1395" s="9">
        <v>46067</v>
      </c>
      <c r="AA1395" s="8">
        <v>12</v>
      </c>
      <c r="AB1395" s="9">
        <f t="shared" si="64"/>
        <v>46432</v>
      </c>
      <c r="AC1395" s="10">
        <v>22</v>
      </c>
      <c r="AD1395" s="7">
        <f t="shared" si="65"/>
        <v>5088</v>
      </c>
      <c r="AE1395" s="7">
        <f>IF(F1395="Bullet",H1395*AD1395,MIN(MAX(I1395,1),Assumptions!$B$6)*AD1395)</f>
        <v>5088</v>
      </c>
      <c r="AF1395" s="8">
        <f>IF(F1395="Bullet",MAX(0,Assumptions!$B$4-AB1395),MAX(0,Assumptions!$B$4-L1395))</f>
        <v>19</v>
      </c>
      <c r="AG1395" s="9">
        <v>46250</v>
      </c>
      <c r="AH1395" s="8">
        <f>IF(AG1395="","",Assumptions!$B$4-AG1395)</f>
        <v>48</v>
      </c>
      <c r="AI1395" s="5" t="s">
        <v>63</v>
      </c>
      <c r="AJ1395" s="8">
        <v>1</v>
      </c>
      <c r="AK1395" s="8">
        <v>0</v>
      </c>
      <c r="AL1395" s="8">
        <v>639</v>
      </c>
      <c r="AM1395" s="8">
        <v>0</v>
      </c>
      <c r="AN1395" s="5" t="s">
        <v>63</v>
      </c>
      <c r="AO1395" s="10">
        <v>81.8</v>
      </c>
      <c r="AP1395" s="8">
        <v>32</v>
      </c>
      <c r="AQ1395" s="9">
        <v>46276</v>
      </c>
      <c r="AR1395" s="5" t="s">
        <v>51</v>
      </c>
      <c r="AS1395" s="5" t="s">
        <v>274</v>
      </c>
    </row>
    <row r="1396" spans="1:45" x14ac:dyDescent="0.35">
      <c r="A1396" s="5" t="s">
        <v>5843</v>
      </c>
      <c r="B1396" s="5" t="s">
        <v>5844</v>
      </c>
      <c r="C1396" s="6" t="s">
        <v>5845</v>
      </c>
      <c r="D1396" s="7">
        <v>103200</v>
      </c>
      <c r="E1396" s="5" t="s">
        <v>48</v>
      </c>
      <c r="F1396" s="5" t="s">
        <v>68</v>
      </c>
      <c r="G1396" s="8">
        <v>4</v>
      </c>
      <c r="H1396" s="8">
        <f>IF(F1396="Bullet",MIN(G1396,Assumptions!$B$6),"")</f>
        <v>2</v>
      </c>
      <c r="I1396" s="8"/>
      <c r="J1396" s="8" t="str">
        <f>IF(F1396="Monthly interest",MAX(0,Assumptions!$B$5-I1396),"")</f>
        <v/>
      </c>
      <c r="K1396" s="7">
        <f t="shared" si="63"/>
        <v>4472</v>
      </c>
      <c r="L1396" s="9">
        <v>46159</v>
      </c>
      <c r="M1396" s="5" t="s">
        <v>116</v>
      </c>
      <c r="N1396" s="5" t="s">
        <v>117</v>
      </c>
      <c r="O1396" s="5" t="s">
        <v>207</v>
      </c>
      <c r="P1396" s="5" t="s">
        <v>72</v>
      </c>
      <c r="Q1396" s="5" t="s">
        <v>73</v>
      </c>
      <c r="R1396" s="5" t="s">
        <v>74</v>
      </c>
      <c r="S1396" s="5" t="s">
        <v>185</v>
      </c>
      <c r="T1396" s="5" t="s">
        <v>57</v>
      </c>
      <c r="U1396" s="5" t="s">
        <v>104</v>
      </c>
      <c r="V1396" s="5" t="s">
        <v>186</v>
      </c>
      <c r="W1396" s="5" t="s">
        <v>187</v>
      </c>
      <c r="X1396" s="5" t="s">
        <v>2963</v>
      </c>
      <c r="Y1396" s="5" t="s">
        <v>5846</v>
      </c>
      <c r="Z1396" s="9">
        <v>46159</v>
      </c>
      <c r="AA1396" s="8">
        <v>6</v>
      </c>
      <c r="AB1396" s="9">
        <f t="shared" si="64"/>
        <v>46343</v>
      </c>
      <c r="AC1396" s="10">
        <v>13</v>
      </c>
      <c r="AD1396" s="7">
        <f t="shared" si="65"/>
        <v>1118</v>
      </c>
      <c r="AE1396" s="7">
        <f>IF(F1396="Bullet",H1396*AD1396,MIN(MAX(I1396,1),Assumptions!$B$6)*AD1396)</f>
        <v>2236</v>
      </c>
      <c r="AF1396" s="8">
        <f>IF(F1396="Bullet",MAX(0,Assumptions!$B$4-AB1396),MAX(0,Assumptions!$B$4-L1396))</f>
        <v>0</v>
      </c>
      <c r="AG1396" s="9"/>
      <c r="AH1396" s="8" t="str">
        <f>IF(AG1396="","",Assumptions!$B$4-AG1396)</f>
        <v/>
      </c>
      <c r="AI1396" s="5" t="s">
        <v>80</v>
      </c>
      <c r="AJ1396" s="8"/>
      <c r="AK1396" s="8">
        <v>3</v>
      </c>
      <c r="AL1396" s="8">
        <v>620</v>
      </c>
      <c r="AM1396" s="8">
        <v>0</v>
      </c>
      <c r="AN1396" s="5" t="s">
        <v>63</v>
      </c>
      <c r="AO1396" s="10">
        <v>66.8</v>
      </c>
      <c r="AP1396" s="8">
        <v>48</v>
      </c>
      <c r="AQ1396" s="9">
        <v>46278</v>
      </c>
      <c r="AR1396" s="5" t="s">
        <v>70</v>
      </c>
      <c r="AS1396" s="5" t="s">
        <v>91</v>
      </c>
    </row>
    <row r="1397" spans="1:45" x14ac:dyDescent="0.35">
      <c r="A1397" s="5" t="s">
        <v>5847</v>
      </c>
      <c r="B1397" s="5" t="s">
        <v>2338</v>
      </c>
      <c r="C1397" s="6" t="s">
        <v>5848</v>
      </c>
      <c r="D1397" s="7">
        <v>138800</v>
      </c>
      <c r="E1397" s="5" t="s">
        <v>48</v>
      </c>
      <c r="F1397" s="5" t="s">
        <v>68</v>
      </c>
      <c r="G1397" s="8">
        <v>2</v>
      </c>
      <c r="H1397" s="8">
        <f>IF(F1397="Bullet",MIN(G1397,Assumptions!$B$6),"")</f>
        <v>2</v>
      </c>
      <c r="I1397" s="8"/>
      <c r="J1397" s="8" t="str">
        <f>IF(F1397="Monthly interest",MAX(0,Assumptions!$B$5-I1397),"")</f>
        <v/>
      </c>
      <c r="K1397" s="7">
        <f t="shared" si="63"/>
        <v>3238</v>
      </c>
      <c r="L1397" s="9">
        <v>46224</v>
      </c>
      <c r="M1397" s="5" t="s">
        <v>69</v>
      </c>
      <c r="N1397" s="5" t="s">
        <v>53</v>
      </c>
      <c r="O1397" s="5" t="s">
        <v>71</v>
      </c>
      <c r="P1397" s="5" t="s">
        <v>70</v>
      </c>
      <c r="Q1397" s="5" t="s">
        <v>73</v>
      </c>
      <c r="R1397" s="5" t="s">
        <v>74</v>
      </c>
      <c r="S1397" s="5" t="s">
        <v>75</v>
      </c>
      <c r="T1397" s="5" t="s">
        <v>57</v>
      </c>
      <c r="U1397" s="5" t="s">
        <v>58</v>
      </c>
      <c r="V1397" s="5" t="s">
        <v>76</v>
      </c>
      <c r="W1397" s="5" t="s">
        <v>77</v>
      </c>
      <c r="X1397" s="5" t="s">
        <v>1613</v>
      </c>
      <c r="Y1397" s="5" t="s">
        <v>5849</v>
      </c>
      <c r="Z1397" s="9">
        <v>46224</v>
      </c>
      <c r="AA1397" s="8">
        <v>12</v>
      </c>
      <c r="AB1397" s="9">
        <f t="shared" si="64"/>
        <v>46589</v>
      </c>
      <c r="AC1397" s="10">
        <v>14</v>
      </c>
      <c r="AD1397" s="7">
        <f t="shared" si="65"/>
        <v>1619</v>
      </c>
      <c r="AE1397" s="7">
        <f>IF(F1397="Bullet",H1397*AD1397,MIN(MAX(I1397,1),Assumptions!$B$6)*AD1397)</f>
        <v>3238</v>
      </c>
      <c r="AF1397" s="8">
        <f>IF(F1397="Bullet",MAX(0,Assumptions!$B$4-AB1397),MAX(0,Assumptions!$B$4-L1397))</f>
        <v>0</v>
      </c>
      <c r="AG1397" s="9"/>
      <c r="AH1397" s="8" t="str">
        <f>IF(AG1397="","",Assumptions!$B$4-AG1397)</f>
        <v/>
      </c>
      <c r="AI1397" s="5" t="s">
        <v>80</v>
      </c>
      <c r="AJ1397" s="8"/>
      <c r="AK1397" s="8">
        <v>4</v>
      </c>
      <c r="AL1397" s="8">
        <v>676</v>
      </c>
      <c r="AM1397" s="8">
        <v>2</v>
      </c>
      <c r="AN1397" s="5" t="s">
        <v>63</v>
      </c>
      <c r="AO1397" s="10">
        <v>76.400000000000006</v>
      </c>
      <c r="AP1397" s="8">
        <v>39</v>
      </c>
      <c r="AQ1397" s="9">
        <v>46292</v>
      </c>
      <c r="AR1397" s="5" t="s">
        <v>53</v>
      </c>
      <c r="AS1397" s="5" t="s">
        <v>64</v>
      </c>
    </row>
    <row r="1398" spans="1:45" x14ac:dyDescent="0.35">
      <c r="A1398" s="5" t="s">
        <v>5850</v>
      </c>
      <c r="B1398" s="5" t="s">
        <v>1848</v>
      </c>
      <c r="C1398" s="6" t="s">
        <v>5851</v>
      </c>
      <c r="D1398" s="7">
        <v>53100</v>
      </c>
      <c r="E1398" s="5" t="s">
        <v>48</v>
      </c>
      <c r="F1398" s="5" t="s">
        <v>68</v>
      </c>
      <c r="G1398" s="8">
        <v>2</v>
      </c>
      <c r="H1398" s="8">
        <f>IF(F1398="Bullet",MIN(G1398,Assumptions!$B$6),"")</f>
        <v>2</v>
      </c>
      <c r="I1398" s="8"/>
      <c r="J1398" s="8" t="str">
        <f>IF(F1398="Monthly interest",MAX(0,Assumptions!$B$5-I1398),"")</f>
        <v/>
      </c>
      <c r="K1398" s="7">
        <f t="shared" si="63"/>
        <v>1328</v>
      </c>
      <c r="L1398" s="9">
        <v>46216</v>
      </c>
      <c r="M1398" s="5" t="s">
        <v>50</v>
      </c>
      <c r="N1398" s="5" t="s">
        <v>51</v>
      </c>
      <c r="O1398" s="5" t="s">
        <v>71</v>
      </c>
      <c r="P1398" s="5" t="s">
        <v>53</v>
      </c>
      <c r="Q1398" s="5" t="s">
        <v>73</v>
      </c>
      <c r="R1398" s="5" t="s">
        <v>74</v>
      </c>
      <c r="S1398" s="5" t="s">
        <v>75</v>
      </c>
      <c r="T1398" s="5" t="s">
        <v>57</v>
      </c>
      <c r="U1398" s="5" t="s">
        <v>86</v>
      </c>
      <c r="V1398" s="5" t="s">
        <v>76</v>
      </c>
      <c r="W1398" s="5" t="s">
        <v>382</v>
      </c>
      <c r="X1398" s="5" t="s">
        <v>4335</v>
      </c>
      <c r="Y1398" s="5" t="s">
        <v>5852</v>
      </c>
      <c r="Z1398" s="9">
        <v>46216</v>
      </c>
      <c r="AA1398" s="8">
        <v>6</v>
      </c>
      <c r="AB1398" s="9">
        <f t="shared" si="64"/>
        <v>46400</v>
      </c>
      <c r="AC1398" s="10">
        <v>15</v>
      </c>
      <c r="AD1398" s="7">
        <f t="shared" si="65"/>
        <v>664</v>
      </c>
      <c r="AE1398" s="7">
        <f>IF(F1398="Bullet",H1398*AD1398,MIN(MAX(I1398,1),Assumptions!$B$6)*AD1398)</f>
        <v>1328</v>
      </c>
      <c r="AF1398" s="8">
        <f>IF(F1398="Bullet",MAX(0,Assumptions!$B$4-AB1398),MAX(0,Assumptions!$B$4-L1398))</f>
        <v>0</v>
      </c>
      <c r="AG1398" s="9"/>
      <c r="AH1398" s="8" t="str">
        <f>IF(AG1398="","",Assumptions!$B$4-AG1398)</f>
        <v/>
      </c>
      <c r="AI1398" s="5" t="s">
        <v>80</v>
      </c>
      <c r="AJ1398" s="8"/>
      <c r="AK1398" s="8">
        <v>1</v>
      </c>
      <c r="AL1398" s="8">
        <v>735</v>
      </c>
      <c r="AM1398" s="8">
        <v>0</v>
      </c>
      <c r="AN1398" s="5" t="s">
        <v>63</v>
      </c>
      <c r="AO1398" s="10">
        <v>62.1</v>
      </c>
      <c r="AP1398" s="8">
        <v>15</v>
      </c>
      <c r="AQ1398" s="9"/>
      <c r="AR1398" s="5"/>
      <c r="AS1398" s="5" t="s">
        <v>159</v>
      </c>
    </row>
    <row r="1399" spans="1:45" x14ac:dyDescent="0.35">
      <c r="A1399" s="5" t="s">
        <v>5853</v>
      </c>
      <c r="B1399" s="5" t="s">
        <v>5854</v>
      </c>
      <c r="C1399" s="6" t="s">
        <v>5855</v>
      </c>
      <c r="D1399" s="7">
        <v>133600</v>
      </c>
      <c r="E1399" s="5" t="s">
        <v>48</v>
      </c>
      <c r="F1399" s="5" t="s">
        <v>49</v>
      </c>
      <c r="G1399" s="8"/>
      <c r="H1399" s="8" t="str">
        <f>IF(F1399="Bullet",MIN(G1399,Assumptions!$B$6),"")</f>
        <v/>
      </c>
      <c r="I1399" s="8">
        <v>1</v>
      </c>
      <c r="J1399" s="8">
        <f>IF(F1399="Monthly interest",MAX(0,Assumptions!$B$5-I1399),"")</f>
        <v>2</v>
      </c>
      <c r="K1399" s="7">
        <f t="shared" si="63"/>
        <v>1781</v>
      </c>
      <c r="L1399" s="9">
        <v>46298</v>
      </c>
      <c r="M1399" s="5" t="s">
        <v>50</v>
      </c>
      <c r="N1399" s="5" t="s">
        <v>53</v>
      </c>
      <c r="O1399" s="5" t="s">
        <v>95</v>
      </c>
      <c r="P1399" s="5" t="s">
        <v>70</v>
      </c>
      <c r="Q1399" s="5" t="s">
        <v>54</v>
      </c>
      <c r="R1399" s="5" t="s">
        <v>55</v>
      </c>
      <c r="S1399" s="5" t="s">
        <v>56</v>
      </c>
      <c r="T1399" s="5" t="s">
        <v>63</v>
      </c>
      <c r="U1399" s="5" t="s">
        <v>86</v>
      </c>
      <c r="V1399" s="5" t="s">
        <v>59</v>
      </c>
      <c r="W1399" s="5" t="s">
        <v>418</v>
      </c>
      <c r="X1399" s="5" t="s">
        <v>2052</v>
      </c>
      <c r="Y1399" s="5" t="s">
        <v>5856</v>
      </c>
      <c r="Z1399" s="9">
        <v>46237</v>
      </c>
      <c r="AA1399" s="8">
        <v>24</v>
      </c>
      <c r="AB1399" s="9">
        <f t="shared" si="64"/>
        <v>46968</v>
      </c>
      <c r="AC1399" s="10">
        <v>16</v>
      </c>
      <c r="AD1399" s="7">
        <f t="shared" si="65"/>
        <v>1781</v>
      </c>
      <c r="AE1399" s="7">
        <f>IF(F1399="Bullet",H1399*AD1399,MIN(MAX(I1399,1),Assumptions!$B$6)*AD1399)</f>
        <v>1781</v>
      </c>
      <c r="AF1399" s="8">
        <f>IF(F1399="Bullet",MAX(0,Assumptions!$B$4-AB1399),MAX(0,Assumptions!$B$4-L1399))</f>
        <v>0</v>
      </c>
      <c r="AG1399" s="9">
        <v>46269</v>
      </c>
      <c r="AH1399" s="8">
        <f>IF(AG1399="","",Assumptions!$B$4-AG1399)</f>
        <v>29</v>
      </c>
      <c r="AI1399" s="5" t="s">
        <v>63</v>
      </c>
      <c r="AJ1399" s="8">
        <v>1</v>
      </c>
      <c r="AK1399" s="8">
        <v>0</v>
      </c>
      <c r="AL1399" s="8">
        <v>763</v>
      </c>
      <c r="AM1399" s="8">
        <v>1</v>
      </c>
      <c r="AN1399" s="5" t="s">
        <v>63</v>
      </c>
      <c r="AO1399" s="10">
        <v>64.400000000000006</v>
      </c>
      <c r="AP1399" s="8">
        <v>25</v>
      </c>
      <c r="AQ1399" s="9">
        <v>46294</v>
      </c>
      <c r="AR1399" s="5" t="s">
        <v>53</v>
      </c>
      <c r="AS1399" s="5" t="s">
        <v>190</v>
      </c>
    </row>
    <row r="1400" spans="1:45" x14ac:dyDescent="0.35">
      <c r="A1400" s="5" t="s">
        <v>5857</v>
      </c>
      <c r="B1400" s="5" t="s">
        <v>5858</v>
      </c>
      <c r="C1400" s="6" t="s">
        <v>5859</v>
      </c>
      <c r="D1400" s="7">
        <v>29200</v>
      </c>
      <c r="E1400" s="5" t="s">
        <v>48</v>
      </c>
      <c r="F1400" s="5" t="s">
        <v>49</v>
      </c>
      <c r="G1400" s="8"/>
      <c r="H1400" s="8" t="str">
        <f>IF(F1400="Bullet",MIN(G1400,Assumptions!$B$6),"")</f>
        <v/>
      </c>
      <c r="I1400" s="8">
        <v>2</v>
      </c>
      <c r="J1400" s="8">
        <f>IF(F1400="Monthly interest",MAX(0,Assumptions!$B$5-I1400),"")</f>
        <v>1</v>
      </c>
      <c r="K1400" s="7">
        <f t="shared" si="63"/>
        <v>974</v>
      </c>
      <c r="L1400" s="9">
        <v>46244</v>
      </c>
      <c r="M1400" s="5" t="s">
        <v>69</v>
      </c>
      <c r="N1400" s="5" t="s">
        <v>53</v>
      </c>
      <c r="O1400" s="5" t="s">
        <v>152</v>
      </c>
      <c r="P1400" s="5" t="s">
        <v>153</v>
      </c>
      <c r="Q1400" s="5" t="s">
        <v>154</v>
      </c>
      <c r="R1400" s="5" t="s">
        <v>155</v>
      </c>
      <c r="S1400" s="5" t="s">
        <v>253</v>
      </c>
      <c r="T1400" s="5" t="s">
        <v>57</v>
      </c>
      <c r="U1400" s="5" t="s">
        <v>86</v>
      </c>
      <c r="V1400" s="5" t="s">
        <v>76</v>
      </c>
      <c r="W1400" s="5" t="s">
        <v>105</v>
      </c>
      <c r="X1400" s="5" t="s">
        <v>585</v>
      </c>
      <c r="Y1400" s="5" t="s">
        <v>5860</v>
      </c>
      <c r="Z1400" s="9">
        <v>46091</v>
      </c>
      <c r="AA1400" s="8">
        <v>18</v>
      </c>
      <c r="AB1400" s="9">
        <f t="shared" si="64"/>
        <v>46640</v>
      </c>
      <c r="AC1400" s="10">
        <v>20</v>
      </c>
      <c r="AD1400" s="7">
        <f t="shared" si="65"/>
        <v>487</v>
      </c>
      <c r="AE1400" s="7">
        <f>IF(F1400="Bullet",H1400*AD1400,MIN(MAX(I1400,1),Assumptions!$B$6)*AD1400)</f>
        <v>974</v>
      </c>
      <c r="AF1400" s="8">
        <f>IF(F1400="Bullet",MAX(0,Assumptions!$B$4-AB1400),MAX(0,Assumptions!$B$4-L1400))</f>
        <v>54</v>
      </c>
      <c r="AG1400" s="9">
        <v>46218</v>
      </c>
      <c r="AH1400" s="8">
        <f>IF(AG1400="","",Assumptions!$B$4-AG1400)</f>
        <v>80</v>
      </c>
      <c r="AI1400" s="5" t="s">
        <v>63</v>
      </c>
      <c r="AJ1400" s="8">
        <v>3</v>
      </c>
      <c r="AK1400" s="8">
        <v>0</v>
      </c>
      <c r="AL1400" s="8">
        <v>716</v>
      </c>
      <c r="AM1400" s="8">
        <v>1</v>
      </c>
      <c r="AN1400" s="5" t="s">
        <v>63</v>
      </c>
      <c r="AO1400" s="10">
        <v>58.3</v>
      </c>
      <c r="AP1400" s="8">
        <v>44</v>
      </c>
      <c r="AQ1400" s="9">
        <v>46287</v>
      </c>
      <c r="AR1400" s="5" t="s">
        <v>53</v>
      </c>
      <c r="AS1400" s="5" t="s">
        <v>81</v>
      </c>
    </row>
    <row r="1401" spans="1:45" x14ac:dyDescent="0.35">
      <c r="A1401" s="5" t="s">
        <v>5861</v>
      </c>
      <c r="B1401" s="5" t="s">
        <v>5862</v>
      </c>
      <c r="C1401" s="6" t="s">
        <v>5863</v>
      </c>
      <c r="D1401" s="7">
        <v>330500</v>
      </c>
      <c r="E1401" s="5" t="s">
        <v>48</v>
      </c>
      <c r="F1401" s="5" t="s">
        <v>49</v>
      </c>
      <c r="G1401" s="8"/>
      <c r="H1401" s="8" t="str">
        <f>IF(F1401="Bullet",MIN(G1401,Assumptions!$B$6),"")</f>
        <v/>
      </c>
      <c r="I1401" s="8">
        <v>2</v>
      </c>
      <c r="J1401" s="8">
        <f>IF(F1401="Monthly interest",MAX(0,Assumptions!$B$5-I1401),"")</f>
        <v>1</v>
      </c>
      <c r="K1401" s="7">
        <f t="shared" si="63"/>
        <v>9916</v>
      </c>
      <c r="L1401" s="9">
        <v>46262</v>
      </c>
      <c r="M1401" s="5" t="s">
        <v>116</v>
      </c>
      <c r="N1401" s="5" t="s">
        <v>117</v>
      </c>
      <c r="O1401" s="5" t="s">
        <v>118</v>
      </c>
      <c r="P1401" s="5" t="s">
        <v>72</v>
      </c>
      <c r="Q1401" s="5" t="s">
        <v>119</v>
      </c>
      <c r="R1401" s="5" t="s">
        <v>120</v>
      </c>
      <c r="S1401" s="5" t="s">
        <v>75</v>
      </c>
      <c r="T1401" s="5" t="s">
        <v>57</v>
      </c>
      <c r="U1401" s="5" t="s">
        <v>104</v>
      </c>
      <c r="V1401" s="5" t="s">
        <v>76</v>
      </c>
      <c r="W1401" s="5" t="s">
        <v>77</v>
      </c>
      <c r="X1401" s="5" t="s">
        <v>4083</v>
      </c>
      <c r="Y1401" s="5" t="s">
        <v>5864</v>
      </c>
      <c r="Z1401" s="9">
        <v>46019</v>
      </c>
      <c r="AA1401" s="8">
        <v>12</v>
      </c>
      <c r="AB1401" s="9">
        <f t="shared" si="64"/>
        <v>46384</v>
      </c>
      <c r="AC1401" s="10">
        <v>18</v>
      </c>
      <c r="AD1401" s="7">
        <f t="shared" si="65"/>
        <v>4958</v>
      </c>
      <c r="AE1401" s="7">
        <f>IF(F1401="Bullet",H1401*AD1401,MIN(MAX(I1401,1),Assumptions!$B$6)*AD1401)</f>
        <v>9916</v>
      </c>
      <c r="AF1401" s="8">
        <f>IF(F1401="Bullet",MAX(0,Assumptions!$B$4-AB1401),MAX(0,Assumptions!$B$4-L1401))</f>
        <v>36</v>
      </c>
      <c r="AG1401" s="9">
        <v>46231</v>
      </c>
      <c r="AH1401" s="8">
        <f>IF(AG1401="","",Assumptions!$B$4-AG1401)</f>
        <v>67</v>
      </c>
      <c r="AI1401" s="5" t="s">
        <v>57</v>
      </c>
      <c r="AJ1401" s="8">
        <v>2</v>
      </c>
      <c r="AK1401" s="8">
        <v>1</v>
      </c>
      <c r="AL1401" s="8" t="s">
        <v>80</v>
      </c>
      <c r="AM1401" s="8">
        <v>1</v>
      </c>
      <c r="AN1401" s="5" t="s">
        <v>57</v>
      </c>
      <c r="AO1401" s="10">
        <v>79.3</v>
      </c>
      <c r="AP1401" s="8">
        <v>63</v>
      </c>
      <c r="AQ1401" s="9">
        <v>46295</v>
      </c>
      <c r="AR1401" s="5" t="s">
        <v>72</v>
      </c>
      <c r="AS1401" s="5" t="s">
        <v>81</v>
      </c>
    </row>
    <row r="1402" spans="1:45" x14ac:dyDescent="0.35">
      <c r="A1402" s="5" t="s">
        <v>5865</v>
      </c>
      <c r="B1402" s="5" t="s">
        <v>5866</v>
      </c>
      <c r="C1402" s="6" t="s">
        <v>5867</v>
      </c>
      <c r="D1402" s="7">
        <v>58700</v>
      </c>
      <c r="E1402" s="5" t="s">
        <v>48</v>
      </c>
      <c r="F1402" s="5" t="s">
        <v>68</v>
      </c>
      <c r="G1402" s="8">
        <v>4</v>
      </c>
      <c r="H1402" s="8">
        <f>IF(F1402="Bullet",MIN(G1402,Assumptions!$B$6),"")</f>
        <v>2</v>
      </c>
      <c r="I1402" s="8"/>
      <c r="J1402" s="8" t="str">
        <f>IF(F1402="Monthly interest",MAX(0,Assumptions!$B$5-I1402),"")</f>
        <v/>
      </c>
      <c r="K1402" s="7">
        <f t="shared" si="63"/>
        <v>3524</v>
      </c>
      <c r="L1402" s="9">
        <v>46155</v>
      </c>
      <c r="M1402" s="5" t="s">
        <v>69</v>
      </c>
      <c r="N1402" s="5" t="s">
        <v>53</v>
      </c>
      <c r="O1402" s="5" t="s">
        <v>71</v>
      </c>
      <c r="P1402" s="5" t="s">
        <v>70</v>
      </c>
      <c r="Q1402" s="5" t="s">
        <v>73</v>
      </c>
      <c r="R1402" s="5" t="s">
        <v>74</v>
      </c>
      <c r="S1402" s="5" t="s">
        <v>75</v>
      </c>
      <c r="T1402" s="5" t="s">
        <v>57</v>
      </c>
      <c r="U1402" s="5" t="s">
        <v>86</v>
      </c>
      <c r="V1402" s="5" t="s">
        <v>76</v>
      </c>
      <c r="W1402" s="5" t="s">
        <v>382</v>
      </c>
      <c r="X1402" s="5" t="s">
        <v>4446</v>
      </c>
      <c r="Y1402" s="5" t="s">
        <v>5868</v>
      </c>
      <c r="Z1402" s="9">
        <v>46155</v>
      </c>
      <c r="AA1402" s="8">
        <v>12</v>
      </c>
      <c r="AB1402" s="9">
        <f t="shared" si="64"/>
        <v>46520</v>
      </c>
      <c r="AC1402" s="10">
        <v>18</v>
      </c>
      <c r="AD1402" s="7">
        <f t="shared" si="65"/>
        <v>881</v>
      </c>
      <c r="AE1402" s="7">
        <f>IF(F1402="Bullet",H1402*AD1402,MIN(MAX(I1402,1),Assumptions!$B$6)*AD1402)</f>
        <v>1762</v>
      </c>
      <c r="AF1402" s="8">
        <f>IF(F1402="Bullet",MAX(0,Assumptions!$B$4-AB1402),MAX(0,Assumptions!$B$4-L1402))</f>
        <v>0</v>
      </c>
      <c r="AG1402" s="9"/>
      <c r="AH1402" s="8" t="str">
        <f>IF(AG1402="","",Assumptions!$B$4-AG1402)</f>
        <v/>
      </c>
      <c r="AI1402" s="5" t="s">
        <v>80</v>
      </c>
      <c r="AJ1402" s="8"/>
      <c r="AK1402" s="8">
        <v>1</v>
      </c>
      <c r="AL1402" s="8">
        <v>669</v>
      </c>
      <c r="AM1402" s="8">
        <v>1</v>
      </c>
      <c r="AN1402" s="5" t="s">
        <v>63</v>
      </c>
      <c r="AO1402" s="10">
        <v>69.400000000000006</v>
      </c>
      <c r="AP1402" s="8">
        <v>33</v>
      </c>
      <c r="AQ1402" s="9">
        <v>46291</v>
      </c>
      <c r="AR1402" s="5" t="s">
        <v>70</v>
      </c>
      <c r="AS1402" s="5" t="s">
        <v>81</v>
      </c>
    </row>
    <row r="1403" spans="1:45" x14ac:dyDescent="0.35">
      <c r="A1403" s="5" t="s">
        <v>5869</v>
      </c>
      <c r="B1403" s="5" t="s">
        <v>604</v>
      </c>
      <c r="C1403" s="6" t="s">
        <v>5870</v>
      </c>
      <c r="D1403" s="7">
        <v>83300</v>
      </c>
      <c r="E1403" s="5" t="s">
        <v>48</v>
      </c>
      <c r="F1403" s="5" t="s">
        <v>49</v>
      </c>
      <c r="G1403" s="8"/>
      <c r="H1403" s="8" t="str">
        <f>IF(F1403="Bullet",MIN(G1403,Assumptions!$B$6),"")</f>
        <v/>
      </c>
      <c r="I1403" s="8">
        <v>2</v>
      </c>
      <c r="J1403" s="8">
        <f>IF(F1403="Monthly interest",MAX(0,Assumptions!$B$5-I1403),"")</f>
        <v>1</v>
      </c>
      <c r="K1403" s="7">
        <f t="shared" si="63"/>
        <v>3332</v>
      </c>
      <c r="L1403" s="9">
        <v>46255</v>
      </c>
      <c r="M1403" s="5" t="s">
        <v>69</v>
      </c>
      <c r="N1403" s="5" t="s">
        <v>70</v>
      </c>
      <c r="O1403" s="5" t="s">
        <v>531</v>
      </c>
      <c r="P1403" s="5" t="s">
        <v>72</v>
      </c>
      <c r="Q1403" s="5" t="s">
        <v>73</v>
      </c>
      <c r="R1403" s="5" t="s">
        <v>74</v>
      </c>
      <c r="S1403" s="5" t="s">
        <v>56</v>
      </c>
      <c r="T1403" s="5" t="s">
        <v>57</v>
      </c>
      <c r="U1403" s="5" t="s">
        <v>58</v>
      </c>
      <c r="V1403" s="5" t="s">
        <v>59</v>
      </c>
      <c r="W1403" s="5" t="s">
        <v>300</v>
      </c>
      <c r="X1403" s="5" t="s">
        <v>1193</v>
      </c>
      <c r="Y1403" s="5" t="s">
        <v>5871</v>
      </c>
      <c r="Z1403" s="9">
        <v>46074</v>
      </c>
      <c r="AA1403" s="8">
        <v>12</v>
      </c>
      <c r="AB1403" s="9">
        <f t="shared" si="64"/>
        <v>46439</v>
      </c>
      <c r="AC1403" s="10">
        <v>24</v>
      </c>
      <c r="AD1403" s="7">
        <f t="shared" si="65"/>
        <v>1666</v>
      </c>
      <c r="AE1403" s="7">
        <f>IF(F1403="Bullet",H1403*AD1403,MIN(MAX(I1403,1),Assumptions!$B$6)*AD1403)</f>
        <v>3332</v>
      </c>
      <c r="AF1403" s="8">
        <f>IF(F1403="Bullet",MAX(0,Assumptions!$B$4-AB1403),MAX(0,Assumptions!$B$4-L1403))</f>
        <v>43</v>
      </c>
      <c r="AG1403" s="9">
        <v>46228</v>
      </c>
      <c r="AH1403" s="8">
        <f>IF(AG1403="","",Assumptions!$B$4-AG1403)</f>
        <v>70</v>
      </c>
      <c r="AI1403" s="5" t="s">
        <v>63</v>
      </c>
      <c r="AJ1403" s="8">
        <v>3</v>
      </c>
      <c r="AK1403" s="8">
        <v>1</v>
      </c>
      <c r="AL1403" s="8" t="s">
        <v>80</v>
      </c>
      <c r="AM1403" s="8">
        <v>1</v>
      </c>
      <c r="AN1403" s="5" t="s">
        <v>63</v>
      </c>
      <c r="AO1403" s="10">
        <v>62.8</v>
      </c>
      <c r="AP1403" s="8">
        <v>44</v>
      </c>
      <c r="AQ1403" s="9">
        <v>46283</v>
      </c>
      <c r="AR1403" s="5" t="s">
        <v>53</v>
      </c>
      <c r="AS1403" s="5" t="s">
        <v>81</v>
      </c>
    </row>
    <row r="1404" spans="1:45" x14ac:dyDescent="0.35">
      <c r="A1404" s="5" t="s">
        <v>5872</v>
      </c>
      <c r="B1404" s="5" t="s">
        <v>4631</v>
      </c>
      <c r="C1404" s="6" t="s">
        <v>5873</v>
      </c>
      <c r="D1404" s="7">
        <v>58100</v>
      </c>
      <c r="E1404" s="5" t="s">
        <v>48</v>
      </c>
      <c r="F1404" s="5" t="s">
        <v>68</v>
      </c>
      <c r="G1404" s="8">
        <v>6</v>
      </c>
      <c r="H1404" s="8">
        <f>IF(F1404="Bullet",MIN(G1404,Assumptions!$B$6),"")</f>
        <v>2</v>
      </c>
      <c r="I1404" s="8"/>
      <c r="J1404" s="8" t="str">
        <f>IF(F1404="Monthly interest",MAX(0,Assumptions!$B$5-I1404),"")</f>
        <v/>
      </c>
      <c r="K1404" s="7">
        <f t="shared" si="63"/>
        <v>3486</v>
      </c>
      <c r="L1404" s="9">
        <v>46113</v>
      </c>
      <c r="M1404" s="5" t="s">
        <v>116</v>
      </c>
      <c r="N1404" s="5" t="s">
        <v>117</v>
      </c>
      <c r="O1404" s="5" t="s">
        <v>461</v>
      </c>
      <c r="P1404" s="5" t="s">
        <v>72</v>
      </c>
      <c r="Q1404" s="5" t="s">
        <v>169</v>
      </c>
      <c r="R1404" s="5" t="s">
        <v>170</v>
      </c>
      <c r="S1404" s="5" t="s">
        <v>85</v>
      </c>
      <c r="T1404" s="5" t="s">
        <v>57</v>
      </c>
      <c r="U1404" s="5" t="s">
        <v>58</v>
      </c>
      <c r="V1404" s="5" t="s">
        <v>177</v>
      </c>
      <c r="W1404" s="5" t="s">
        <v>208</v>
      </c>
      <c r="X1404" s="5" t="s">
        <v>312</v>
      </c>
      <c r="Y1404" s="5" t="s">
        <v>5874</v>
      </c>
      <c r="Z1404" s="9">
        <v>46113</v>
      </c>
      <c r="AA1404" s="8">
        <v>6</v>
      </c>
      <c r="AB1404" s="9">
        <f t="shared" si="64"/>
        <v>46296</v>
      </c>
      <c r="AC1404" s="10">
        <v>12</v>
      </c>
      <c r="AD1404" s="7">
        <f t="shared" si="65"/>
        <v>581</v>
      </c>
      <c r="AE1404" s="7">
        <f>IF(F1404="Bullet",H1404*AD1404,MIN(MAX(I1404,1),Assumptions!$B$6)*AD1404)</f>
        <v>1162</v>
      </c>
      <c r="AF1404" s="8">
        <f>IF(F1404="Bullet",MAX(0,Assumptions!$B$4-AB1404),MAX(0,Assumptions!$B$4-L1404))</f>
        <v>2</v>
      </c>
      <c r="AG1404" s="9"/>
      <c r="AH1404" s="8" t="str">
        <f>IF(AG1404="","",Assumptions!$B$4-AG1404)</f>
        <v/>
      </c>
      <c r="AI1404" s="5" t="s">
        <v>80</v>
      </c>
      <c r="AJ1404" s="8"/>
      <c r="AK1404" s="8">
        <v>0</v>
      </c>
      <c r="AL1404" s="8">
        <v>635</v>
      </c>
      <c r="AM1404" s="8">
        <v>1</v>
      </c>
      <c r="AN1404" s="5" t="s">
        <v>57</v>
      </c>
      <c r="AO1404" s="10">
        <v>71.7</v>
      </c>
      <c r="AP1404" s="8">
        <v>73</v>
      </c>
      <c r="AQ1404" s="9">
        <v>46280</v>
      </c>
      <c r="AR1404" s="5" t="s">
        <v>70</v>
      </c>
      <c r="AS1404" s="5" t="s">
        <v>81</v>
      </c>
    </row>
    <row r="1405" spans="1:45" x14ac:dyDescent="0.35">
      <c r="A1405" s="5" t="s">
        <v>5875</v>
      </c>
      <c r="B1405" s="5" t="s">
        <v>5876</v>
      </c>
      <c r="C1405" s="6" t="s">
        <v>5877</v>
      </c>
      <c r="D1405" s="7">
        <v>195700</v>
      </c>
      <c r="E1405" s="5" t="s">
        <v>48</v>
      </c>
      <c r="F1405" s="5" t="s">
        <v>49</v>
      </c>
      <c r="G1405" s="8"/>
      <c r="H1405" s="8" t="str">
        <f>IF(F1405="Bullet",MIN(G1405,Assumptions!$B$6),"")</f>
        <v/>
      </c>
      <c r="I1405" s="8">
        <v>1</v>
      </c>
      <c r="J1405" s="8">
        <f>IF(F1405="Monthly interest",MAX(0,Assumptions!$B$5-I1405),"")</f>
        <v>2</v>
      </c>
      <c r="K1405" s="7">
        <f t="shared" si="63"/>
        <v>2446</v>
      </c>
      <c r="L1405" s="9">
        <v>46287</v>
      </c>
      <c r="M1405" s="5" t="s">
        <v>50</v>
      </c>
      <c r="N1405" s="5" t="s">
        <v>51</v>
      </c>
      <c r="O1405" s="5" t="s">
        <v>52</v>
      </c>
      <c r="P1405" s="5" t="s">
        <v>53</v>
      </c>
      <c r="Q1405" s="5" t="s">
        <v>54</v>
      </c>
      <c r="R1405" s="5" t="s">
        <v>55</v>
      </c>
      <c r="S1405" s="5" t="s">
        <v>185</v>
      </c>
      <c r="T1405" s="5" t="s">
        <v>57</v>
      </c>
      <c r="U1405" s="5" t="s">
        <v>58</v>
      </c>
      <c r="V1405" s="5" t="s">
        <v>186</v>
      </c>
      <c r="W1405" s="5" t="s">
        <v>329</v>
      </c>
      <c r="X1405" s="5" t="s">
        <v>1253</v>
      </c>
      <c r="Y1405" s="5" t="s">
        <v>5878</v>
      </c>
      <c r="Z1405" s="9">
        <v>46103</v>
      </c>
      <c r="AA1405" s="8">
        <v>18</v>
      </c>
      <c r="AB1405" s="9">
        <f t="shared" si="64"/>
        <v>46652</v>
      </c>
      <c r="AC1405" s="10">
        <v>15</v>
      </c>
      <c r="AD1405" s="7">
        <f t="shared" si="65"/>
        <v>2446</v>
      </c>
      <c r="AE1405" s="7">
        <f>IF(F1405="Bullet",H1405*AD1405,MIN(MAX(I1405,1),Assumptions!$B$6)*AD1405)</f>
        <v>2446</v>
      </c>
      <c r="AF1405" s="8">
        <f>IF(F1405="Bullet",MAX(0,Assumptions!$B$4-AB1405),MAX(0,Assumptions!$B$4-L1405))</f>
        <v>11</v>
      </c>
      <c r="AG1405" s="9">
        <v>46260</v>
      </c>
      <c r="AH1405" s="8">
        <f>IF(AG1405="","",Assumptions!$B$4-AG1405)</f>
        <v>38</v>
      </c>
      <c r="AI1405" s="5" t="s">
        <v>63</v>
      </c>
      <c r="AJ1405" s="8">
        <v>1</v>
      </c>
      <c r="AK1405" s="8">
        <v>1</v>
      </c>
      <c r="AL1405" s="8">
        <v>698</v>
      </c>
      <c r="AM1405" s="8">
        <v>1</v>
      </c>
      <c r="AN1405" s="5" t="s">
        <v>63</v>
      </c>
      <c r="AO1405" s="10">
        <v>70.900000000000006</v>
      </c>
      <c r="AP1405" s="8">
        <v>28</v>
      </c>
      <c r="AQ1405" s="9">
        <v>46280</v>
      </c>
      <c r="AR1405" s="5" t="s">
        <v>70</v>
      </c>
      <c r="AS1405" s="5" t="s">
        <v>190</v>
      </c>
    </row>
    <row r="1406" spans="1:45" x14ac:dyDescent="0.35">
      <c r="A1406" s="5" t="s">
        <v>5879</v>
      </c>
      <c r="B1406" s="5" t="s">
        <v>1972</v>
      </c>
      <c r="C1406" s="6" t="s">
        <v>5880</v>
      </c>
      <c r="D1406" s="7">
        <v>84900</v>
      </c>
      <c r="E1406" s="5" t="s">
        <v>48</v>
      </c>
      <c r="F1406" s="5" t="s">
        <v>68</v>
      </c>
      <c r="G1406" s="8">
        <v>5</v>
      </c>
      <c r="H1406" s="8">
        <f>IF(F1406="Bullet",MIN(G1406,Assumptions!$B$6),"")</f>
        <v>2</v>
      </c>
      <c r="I1406" s="8"/>
      <c r="J1406" s="8" t="str">
        <f>IF(F1406="Monthly interest",MAX(0,Assumptions!$B$5-I1406),"")</f>
        <v/>
      </c>
      <c r="K1406" s="7">
        <f t="shared" si="63"/>
        <v>5660</v>
      </c>
      <c r="L1406" s="9">
        <v>46130</v>
      </c>
      <c r="M1406" s="5" t="s">
        <v>116</v>
      </c>
      <c r="N1406" s="5" t="s">
        <v>117</v>
      </c>
      <c r="O1406" s="5" t="s">
        <v>461</v>
      </c>
      <c r="P1406" s="5" t="s">
        <v>72</v>
      </c>
      <c r="Q1406" s="5" t="s">
        <v>169</v>
      </c>
      <c r="R1406" s="5" t="s">
        <v>170</v>
      </c>
      <c r="S1406" s="5" t="s">
        <v>185</v>
      </c>
      <c r="T1406" s="5" t="s">
        <v>63</v>
      </c>
      <c r="U1406" s="5" t="s">
        <v>86</v>
      </c>
      <c r="V1406" s="5" t="s">
        <v>186</v>
      </c>
      <c r="W1406" s="5" t="s">
        <v>376</v>
      </c>
      <c r="X1406" s="5" t="s">
        <v>1978</v>
      </c>
      <c r="Y1406" s="5" t="s">
        <v>5881</v>
      </c>
      <c r="Z1406" s="9">
        <v>46130</v>
      </c>
      <c r="AA1406" s="8">
        <v>3</v>
      </c>
      <c r="AB1406" s="9">
        <f t="shared" si="64"/>
        <v>46221</v>
      </c>
      <c r="AC1406" s="10">
        <v>16</v>
      </c>
      <c r="AD1406" s="7">
        <f t="shared" si="65"/>
        <v>1132</v>
      </c>
      <c r="AE1406" s="7">
        <f>IF(F1406="Bullet",H1406*AD1406,MIN(MAX(I1406,1),Assumptions!$B$6)*AD1406)</f>
        <v>2264</v>
      </c>
      <c r="AF1406" s="8">
        <f>IF(F1406="Bullet",MAX(0,Assumptions!$B$4-AB1406),MAX(0,Assumptions!$B$4-L1406))</f>
        <v>77</v>
      </c>
      <c r="AG1406" s="9"/>
      <c r="AH1406" s="8" t="str">
        <f>IF(AG1406="","",Assumptions!$B$4-AG1406)</f>
        <v/>
      </c>
      <c r="AI1406" s="5" t="s">
        <v>80</v>
      </c>
      <c r="AJ1406" s="8"/>
      <c r="AK1406" s="8">
        <v>3</v>
      </c>
      <c r="AL1406" s="8">
        <v>699</v>
      </c>
      <c r="AM1406" s="8">
        <v>0</v>
      </c>
      <c r="AN1406" s="5" t="s">
        <v>63</v>
      </c>
      <c r="AO1406" s="10">
        <v>83.3</v>
      </c>
      <c r="AP1406" s="8">
        <v>71</v>
      </c>
      <c r="AQ1406" s="9">
        <v>46275</v>
      </c>
      <c r="AR1406" s="5" t="s">
        <v>53</v>
      </c>
      <c r="AS1406" s="5" t="s">
        <v>181</v>
      </c>
    </row>
    <row r="1407" spans="1:45" x14ac:dyDescent="0.35">
      <c r="A1407" s="5" t="s">
        <v>5882</v>
      </c>
      <c r="B1407" s="5" t="s">
        <v>5883</v>
      </c>
      <c r="C1407" s="6" t="s">
        <v>5884</v>
      </c>
      <c r="D1407" s="7">
        <v>79900</v>
      </c>
      <c r="E1407" s="5" t="s">
        <v>48</v>
      </c>
      <c r="F1407" s="5" t="s">
        <v>68</v>
      </c>
      <c r="G1407" s="8">
        <v>4</v>
      </c>
      <c r="H1407" s="8">
        <f>IF(F1407="Bullet",MIN(G1407,Assumptions!$B$6),"")</f>
        <v>2</v>
      </c>
      <c r="I1407" s="8"/>
      <c r="J1407" s="8" t="str">
        <f>IF(F1407="Monthly interest",MAX(0,Assumptions!$B$5-I1407),"")</f>
        <v/>
      </c>
      <c r="K1407" s="7">
        <f t="shared" si="63"/>
        <v>4260</v>
      </c>
      <c r="L1407" s="9">
        <v>46175</v>
      </c>
      <c r="M1407" s="5" t="s">
        <v>116</v>
      </c>
      <c r="N1407" s="5" t="s">
        <v>117</v>
      </c>
      <c r="O1407" s="5" t="s">
        <v>207</v>
      </c>
      <c r="P1407" s="5" t="s">
        <v>72</v>
      </c>
      <c r="Q1407" s="5" t="s">
        <v>73</v>
      </c>
      <c r="R1407" s="5" t="s">
        <v>74</v>
      </c>
      <c r="S1407" s="5" t="s">
        <v>56</v>
      </c>
      <c r="T1407" s="5" t="s">
        <v>57</v>
      </c>
      <c r="U1407" s="5" t="s">
        <v>86</v>
      </c>
      <c r="V1407" s="5" t="s">
        <v>59</v>
      </c>
      <c r="W1407" s="5" t="s">
        <v>418</v>
      </c>
      <c r="X1407" s="5" t="s">
        <v>2483</v>
      </c>
      <c r="Y1407" s="5" t="s">
        <v>5885</v>
      </c>
      <c r="Z1407" s="9">
        <v>46175</v>
      </c>
      <c r="AA1407" s="8">
        <v>6</v>
      </c>
      <c r="AB1407" s="9">
        <f t="shared" si="64"/>
        <v>46358</v>
      </c>
      <c r="AC1407" s="10">
        <v>16</v>
      </c>
      <c r="AD1407" s="7">
        <f t="shared" si="65"/>
        <v>1065</v>
      </c>
      <c r="AE1407" s="7">
        <f>IF(F1407="Bullet",H1407*AD1407,MIN(MAX(I1407,1),Assumptions!$B$6)*AD1407)</f>
        <v>2130</v>
      </c>
      <c r="AF1407" s="8">
        <f>IF(F1407="Bullet",MAX(0,Assumptions!$B$4-AB1407),MAX(0,Assumptions!$B$4-L1407))</f>
        <v>0</v>
      </c>
      <c r="AG1407" s="9"/>
      <c r="AH1407" s="8" t="str">
        <f>IF(AG1407="","",Assumptions!$B$4-AG1407)</f>
        <v/>
      </c>
      <c r="AI1407" s="5" t="s">
        <v>80</v>
      </c>
      <c r="AJ1407" s="8"/>
      <c r="AK1407" s="8">
        <v>1</v>
      </c>
      <c r="AL1407" s="8">
        <v>595</v>
      </c>
      <c r="AM1407" s="8">
        <v>0</v>
      </c>
      <c r="AN1407" s="5" t="s">
        <v>57</v>
      </c>
      <c r="AO1407" s="10">
        <v>64.3</v>
      </c>
      <c r="AP1407" s="8">
        <v>54</v>
      </c>
      <c r="AQ1407" s="9">
        <v>46285</v>
      </c>
      <c r="AR1407" s="5" t="s">
        <v>70</v>
      </c>
      <c r="AS1407" s="5" t="s">
        <v>81</v>
      </c>
    </row>
    <row r="1408" spans="1:45" x14ac:dyDescent="0.35">
      <c r="A1408" s="5" t="s">
        <v>5886</v>
      </c>
      <c r="B1408" s="5" t="s">
        <v>5887</v>
      </c>
      <c r="C1408" s="6" t="s">
        <v>5888</v>
      </c>
      <c r="D1408" s="7">
        <v>352100</v>
      </c>
      <c r="E1408" s="5" t="s">
        <v>48</v>
      </c>
      <c r="F1408" s="5" t="s">
        <v>49</v>
      </c>
      <c r="G1408" s="8"/>
      <c r="H1408" s="8" t="str">
        <f>IF(F1408="Bullet",MIN(G1408,Assumptions!$B$6),"")</f>
        <v/>
      </c>
      <c r="I1408" s="8">
        <v>1</v>
      </c>
      <c r="J1408" s="8">
        <f>IF(F1408="Monthly interest",MAX(0,Assumptions!$B$5-I1408),"")</f>
        <v>2</v>
      </c>
      <c r="K1408" s="7">
        <f t="shared" si="63"/>
        <v>5282</v>
      </c>
      <c r="L1408" s="9">
        <v>46272</v>
      </c>
      <c r="M1408" s="5" t="s">
        <v>116</v>
      </c>
      <c r="N1408" s="5" t="s">
        <v>117</v>
      </c>
      <c r="O1408" s="5" t="s">
        <v>118</v>
      </c>
      <c r="P1408" s="5" t="s">
        <v>72</v>
      </c>
      <c r="Q1408" s="5" t="s">
        <v>119</v>
      </c>
      <c r="R1408" s="5" t="s">
        <v>120</v>
      </c>
      <c r="S1408" s="5" t="s">
        <v>85</v>
      </c>
      <c r="T1408" s="5" t="s">
        <v>57</v>
      </c>
      <c r="U1408" s="5" t="s">
        <v>104</v>
      </c>
      <c r="V1408" s="5" t="s">
        <v>133</v>
      </c>
      <c r="W1408" s="5" t="s">
        <v>317</v>
      </c>
      <c r="X1408" s="5" t="s">
        <v>5889</v>
      </c>
      <c r="Y1408" s="5" t="s">
        <v>5890</v>
      </c>
      <c r="Z1408" s="9">
        <v>46119</v>
      </c>
      <c r="AA1408" s="8">
        <v>24</v>
      </c>
      <c r="AB1408" s="9">
        <f t="shared" si="64"/>
        <v>46850</v>
      </c>
      <c r="AC1408" s="10">
        <v>18</v>
      </c>
      <c r="AD1408" s="7">
        <f t="shared" si="65"/>
        <v>5282</v>
      </c>
      <c r="AE1408" s="7">
        <f>IF(F1408="Bullet",H1408*AD1408,MIN(MAX(I1408,1),Assumptions!$B$6)*AD1408)</f>
        <v>5282</v>
      </c>
      <c r="AF1408" s="8">
        <f>IF(F1408="Bullet",MAX(0,Assumptions!$B$4-AB1408),MAX(0,Assumptions!$B$4-L1408))</f>
        <v>26</v>
      </c>
      <c r="AG1408" s="9">
        <v>46243</v>
      </c>
      <c r="AH1408" s="8">
        <f>IF(AG1408="","",Assumptions!$B$4-AG1408)</f>
        <v>55</v>
      </c>
      <c r="AI1408" s="5" t="s">
        <v>57</v>
      </c>
      <c r="AJ1408" s="8">
        <v>3</v>
      </c>
      <c r="AK1408" s="8">
        <v>1</v>
      </c>
      <c r="AL1408" s="8">
        <v>603</v>
      </c>
      <c r="AM1408" s="8">
        <v>0</v>
      </c>
      <c r="AN1408" s="5" t="s">
        <v>57</v>
      </c>
      <c r="AO1408" s="10">
        <v>73.2</v>
      </c>
      <c r="AP1408" s="8">
        <v>56</v>
      </c>
      <c r="AQ1408" s="9">
        <v>46294</v>
      </c>
      <c r="AR1408" s="5" t="s">
        <v>53</v>
      </c>
      <c r="AS1408" s="5" t="s">
        <v>181</v>
      </c>
    </row>
    <row r="1409" spans="1:45" x14ac:dyDescent="0.35">
      <c r="A1409" s="5" t="s">
        <v>5891</v>
      </c>
      <c r="B1409" s="5" t="s">
        <v>5892</v>
      </c>
      <c r="C1409" s="6" t="s">
        <v>5893</v>
      </c>
      <c r="D1409" s="7">
        <v>166400</v>
      </c>
      <c r="E1409" s="5" t="s">
        <v>48</v>
      </c>
      <c r="F1409" s="5" t="s">
        <v>68</v>
      </c>
      <c r="G1409" s="8">
        <v>2</v>
      </c>
      <c r="H1409" s="8">
        <f>IF(F1409="Bullet",MIN(G1409,Assumptions!$B$6),"")</f>
        <v>2</v>
      </c>
      <c r="I1409" s="8"/>
      <c r="J1409" s="8" t="str">
        <f>IF(F1409="Monthly interest",MAX(0,Assumptions!$B$5-I1409),"")</f>
        <v/>
      </c>
      <c r="K1409" s="7">
        <f t="shared" si="63"/>
        <v>3328</v>
      </c>
      <c r="L1409" s="9">
        <v>46228</v>
      </c>
      <c r="M1409" s="5" t="s">
        <v>50</v>
      </c>
      <c r="N1409" s="5" t="s">
        <v>51</v>
      </c>
      <c r="O1409" s="5" t="s">
        <v>71</v>
      </c>
      <c r="P1409" s="5" t="s">
        <v>53</v>
      </c>
      <c r="Q1409" s="5" t="s">
        <v>73</v>
      </c>
      <c r="R1409" s="5" t="s">
        <v>74</v>
      </c>
      <c r="S1409" s="5" t="s">
        <v>56</v>
      </c>
      <c r="T1409" s="5" t="s">
        <v>57</v>
      </c>
      <c r="U1409" s="5" t="s">
        <v>86</v>
      </c>
      <c r="V1409" s="5" t="s">
        <v>59</v>
      </c>
      <c r="W1409" s="5" t="s">
        <v>300</v>
      </c>
      <c r="X1409" s="5" t="s">
        <v>511</v>
      </c>
      <c r="Y1409" s="5" t="s">
        <v>5894</v>
      </c>
      <c r="Z1409" s="9">
        <v>46228</v>
      </c>
      <c r="AA1409" s="8">
        <v>6</v>
      </c>
      <c r="AB1409" s="9">
        <f t="shared" si="64"/>
        <v>46412</v>
      </c>
      <c r="AC1409" s="10">
        <v>12</v>
      </c>
      <c r="AD1409" s="7">
        <f t="shared" si="65"/>
        <v>1664</v>
      </c>
      <c r="AE1409" s="7">
        <f>IF(F1409="Bullet",H1409*AD1409,MIN(MAX(I1409,1),Assumptions!$B$6)*AD1409)</f>
        <v>3328</v>
      </c>
      <c r="AF1409" s="8">
        <f>IF(F1409="Bullet",MAX(0,Assumptions!$B$4-AB1409),MAX(0,Assumptions!$B$4-L1409))</f>
        <v>0</v>
      </c>
      <c r="AG1409" s="9"/>
      <c r="AH1409" s="8" t="str">
        <f>IF(AG1409="","",Assumptions!$B$4-AG1409)</f>
        <v/>
      </c>
      <c r="AI1409" s="5" t="s">
        <v>80</v>
      </c>
      <c r="AJ1409" s="8"/>
      <c r="AK1409" s="8">
        <v>0</v>
      </c>
      <c r="AL1409" s="8">
        <v>689</v>
      </c>
      <c r="AM1409" s="8">
        <v>0</v>
      </c>
      <c r="AN1409" s="5" t="s">
        <v>63</v>
      </c>
      <c r="AO1409" s="10">
        <v>74.8</v>
      </c>
      <c r="AP1409" s="8">
        <v>16</v>
      </c>
      <c r="AQ1409" s="9"/>
      <c r="AR1409" s="5"/>
      <c r="AS1409" s="5" t="s">
        <v>159</v>
      </c>
    </row>
    <row r="1410" spans="1:45" x14ac:dyDescent="0.35">
      <c r="A1410" s="5" t="s">
        <v>5895</v>
      </c>
      <c r="B1410" s="5" t="s">
        <v>1654</v>
      </c>
      <c r="C1410" s="6" t="s">
        <v>5896</v>
      </c>
      <c r="D1410" s="7">
        <v>173200</v>
      </c>
      <c r="E1410" s="5" t="s">
        <v>48</v>
      </c>
      <c r="F1410" s="5" t="s">
        <v>49</v>
      </c>
      <c r="G1410" s="8"/>
      <c r="H1410" s="8" t="str">
        <f>IF(F1410="Bullet",MIN(G1410,Assumptions!$B$6),"")</f>
        <v/>
      </c>
      <c r="I1410" s="8">
        <v>2</v>
      </c>
      <c r="J1410" s="8">
        <f>IF(F1410="Monthly interest",MAX(0,Assumptions!$B$5-I1410),"")</f>
        <v>1</v>
      </c>
      <c r="K1410" s="7">
        <f t="shared" ref="K1410:K1473" si="66">IF(F1410="Bullet",G1410*AD1410,MAX(I1410,1)*AD1410)</f>
        <v>5196</v>
      </c>
      <c r="L1410" s="9">
        <v>46245</v>
      </c>
      <c r="M1410" s="5" t="s">
        <v>116</v>
      </c>
      <c r="N1410" s="5" t="s">
        <v>117</v>
      </c>
      <c r="O1410" s="5" t="s">
        <v>118</v>
      </c>
      <c r="P1410" s="5" t="s">
        <v>72</v>
      </c>
      <c r="Q1410" s="5" t="s">
        <v>119</v>
      </c>
      <c r="R1410" s="5" t="s">
        <v>120</v>
      </c>
      <c r="S1410" s="5" t="s">
        <v>56</v>
      </c>
      <c r="T1410" s="5" t="s">
        <v>57</v>
      </c>
      <c r="U1410" s="5" t="s">
        <v>86</v>
      </c>
      <c r="V1410" s="5" t="s">
        <v>59</v>
      </c>
      <c r="W1410" s="5" t="s">
        <v>156</v>
      </c>
      <c r="X1410" s="5" t="s">
        <v>5250</v>
      </c>
      <c r="Y1410" s="5" t="s">
        <v>5897</v>
      </c>
      <c r="Z1410" s="9">
        <v>45972</v>
      </c>
      <c r="AA1410" s="8">
        <v>24</v>
      </c>
      <c r="AB1410" s="9">
        <f t="shared" ref="AB1410:AB1473" si="67">EDATE(Z1410,AA1410)</f>
        <v>46702</v>
      </c>
      <c r="AC1410" s="10">
        <v>18</v>
      </c>
      <c r="AD1410" s="7">
        <f t="shared" ref="AD1410:AD1473" si="68">ROUND(D1410*AC1410/100/12,0)</f>
        <v>2598</v>
      </c>
      <c r="AE1410" s="7">
        <f>IF(F1410="Bullet",H1410*AD1410,MIN(MAX(I1410,1),Assumptions!$B$6)*AD1410)</f>
        <v>5196</v>
      </c>
      <c r="AF1410" s="8">
        <f>IF(F1410="Bullet",MAX(0,Assumptions!$B$4-AB1410),MAX(0,Assumptions!$B$4-L1410))</f>
        <v>53</v>
      </c>
      <c r="AG1410" s="9">
        <v>46219</v>
      </c>
      <c r="AH1410" s="8">
        <f>IF(AG1410="","",Assumptions!$B$4-AG1410)</f>
        <v>79</v>
      </c>
      <c r="AI1410" s="5" t="s">
        <v>63</v>
      </c>
      <c r="AJ1410" s="8">
        <v>3</v>
      </c>
      <c r="AK1410" s="8">
        <v>0</v>
      </c>
      <c r="AL1410" s="8">
        <v>751</v>
      </c>
      <c r="AM1410" s="8">
        <v>0</v>
      </c>
      <c r="AN1410" s="5" t="s">
        <v>57</v>
      </c>
      <c r="AO1410" s="10">
        <v>72.099999999999994</v>
      </c>
      <c r="AP1410" s="8">
        <v>48</v>
      </c>
      <c r="AQ1410" s="9">
        <v>46276</v>
      </c>
      <c r="AR1410" s="5" t="s">
        <v>51</v>
      </c>
      <c r="AS1410" s="5" t="s">
        <v>81</v>
      </c>
    </row>
    <row r="1411" spans="1:45" x14ac:dyDescent="0.35">
      <c r="A1411" s="5" t="s">
        <v>5898</v>
      </c>
      <c r="B1411" s="5" t="s">
        <v>5899</v>
      </c>
      <c r="C1411" s="6" t="s">
        <v>5900</v>
      </c>
      <c r="D1411" s="7">
        <v>19600</v>
      </c>
      <c r="E1411" s="5" t="s">
        <v>48</v>
      </c>
      <c r="F1411" s="5" t="s">
        <v>68</v>
      </c>
      <c r="G1411" s="8">
        <v>2</v>
      </c>
      <c r="H1411" s="8">
        <f>IF(F1411="Bullet",MIN(G1411,Assumptions!$B$6),"")</f>
        <v>2</v>
      </c>
      <c r="I1411" s="8"/>
      <c r="J1411" s="8" t="str">
        <f>IF(F1411="Monthly interest",MAX(0,Assumptions!$B$5-I1411),"")</f>
        <v/>
      </c>
      <c r="K1411" s="7">
        <f t="shared" si="66"/>
        <v>588</v>
      </c>
      <c r="L1411" s="9">
        <v>46218</v>
      </c>
      <c r="M1411" s="5" t="s">
        <v>50</v>
      </c>
      <c r="N1411" s="5" t="s">
        <v>53</v>
      </c>
      <c r="O1411" s="5" t="s">
        <v>152</v>
      </c>
      <c r="P1411" s="5" t="s">
        <v>153</v>
      </c>
      <c r="Q1411" s="5" t="s">
        <v>154</v>
      </c>
      <c r="R1411" s="5" t="s">
        <v>155</v>
      </c>
      <c r="S1411" s="5" t="s">
        <v>56</v>
      </c>
      <c r="T1411" s="5" t="s">
        <v>57</v>
      </c>
      <c r="U1411" s="5" t="s">
        <v>58</v>
      </c>
      <c r="V1411" s="5" t="s">
        <v>59</v>
      </c>
      <c r="W1411" s="5" t="s">
        <v>323</v>
      </c>
      <c r="X1411" s="5" t="s">
        <v>5901</v>
      </c>
      <c r="Y1411" s="5" t="s">
        <v>5902</v>
      </c>
      <c r="Z1411" s="9">
        <v>46218</v>
      </c>
      <c r="AA1411" s="8">
        <v>6</v>
      </c>
      <c r="AB1411" s="9">
        <f t="shared" si="67"/>
        <v>46402</v>
      </c>
      <c r="AC1411" s="10">
        <v>18</v>
      </c>
      <c r="AD1411" s="7">
        <f t="shared" si="68"/>
        <v>294</v>
      </c>
      <c r="AE1411" s="7">
        <f>IF(F1411="Bullet",H1411*AD1411,MIN(MAX(I1411,1),Assumptions!$B$6)*AD1411)</f>
        <v>588</v>
      </c>
      <c r="AF1411" s="8">
        <f>IF(F1411="Bullet",MAX(0,Assumptions!$B$4-AB1411),MAX(0,Assumptions!$B$4-L1411))</f>
        <v>0</v>
      </c>
      <c r="AG1411" s="9"/>
      <c r="AH1411" s="8" t="str">
        <f>IF(AG1411="","",Assumptions!$B$4-AG1411)</f>
        <v/>
      </c>
      <c r="AI1411" s="5" t="s">
        <v>80</v>
      </c>
      <c r="AJ1411" s="8"/>
      <c r="AK1411" s="8">
        <v>1</v>
      </c>
      <c r="AL1411" s="8">
        <v>676</v>
      </c>
      <c r="AM1411" s="8">
        <v>0</v>
      </c>
      <c r="AN1411" s="5" t="s">
        <v>63</v>
      </c>
      <c r="AO1411" s="10">
        <v>60.2</v>
      </c>
      <c r="AP1411" s="8">
        <v>16</v>
      </c>
      <c r="AQ1411" s="9"/>
      <c r="AR1411" s="5"/>
      <c r="AS1411" s="5" t="s">
        <v>159</v>
      </c>
    </row>
    <row r="1412" spans="1:45" x14ac:dyDescent="0.35">
      <c r="A1412" s="5" t="s">
        <v>5903</v>
      </c>
      <c r="B1412" s="5" t="s">
        <v>2303</v>
      </c>
      <c r="C1412" s="6" t="s">
        <v>5904</v>
      </c>
      <c r="D1412" s="7">
        <v>27200</v>
      </c>
      <c r="E1412" s="5" t="s">
        <v>48</v>
      </c>
      <c r="F1412" s="5" t="s">
        <v>68</v>
      </c>
      <c r="G1412" s="8">
        <v>4</v>
      </c>
      <c r="H1412" s="8">
        <f>IF(F1412="Bullet",MIN(G1412,Assumptions!$B$6),"")</f>
        <v>2</v>
      </c>
      <c r="I1412" s="8"/>
      <c r="J1412" s="8" t="str">
        <f>IF(F1412="Monthly interest",MAX(0,Assumptions!$B$5-I1412),"")</f>
        <v/>
      </c>
      <c r="K1412" s="7">
        <f t="shared" si="66"/>
        <v>1180</v>
      </c>
      <c r="L1412" s="9">
        <v>46171</v>
      </c>
      <c r="M1412" s="5" t="s">
        <v>69</v>
      </c>
      <c r="N1412" s="5" t="s">
        <v>53</v>
      </c>
      <c r="O1412" s="5" t="s">
        <v>152</v>
      </c>
      <c r="P1412" s="5" t="s">
        <v>153</v>
      </c>
      <c r="Q1412" s="5" t="s">
        <v>154</v>
      </c>
      <c r="R1412" s="5" t="s">
        <v>155</v>
      </c>
      <c r="S1412" s="5" t="s">
        <v>214</v>
      </c>
      <c r="T1412" s="5" t="s">
        <v>57</v>
      </c>
      <c r="U1412" s="5" t="s">
        <v>58</v>
      </c>
      <c r="V1412" s="5" t="s">
        <v>215</v>
      </c>
      <c r="W1412" s="5" t="s">
        <v>242</v>
      </c>
      <c r="X1412" s="5" t="s">
        <v>2699</v>
      </c>
      <c r="Y1412" s="5" t="s">
        <v>5905</v>
      </c>
      <c r="Z1412" s="9">
        <v>46171</v>
      </c>
      <c r="AA1412" s="8">
        <v>6</v>
      </c>
      <c r="AB1412" s="9">
        <f t="shared" si="67"/>
        <v>46355</v>
      </c>
      <c r="AC1412" s="10">
        <v>13</v>
      </c>
      <c r="AD1412" s="7">
        <f t="shared" si="68"/>
        <v>295</v>
      </c>
      <c r="AE1412" s="7">
        <f>IF(F1412="Bullet",H1412*AD1412,MIN(MAX(I1412,1),Assumptions!$B$6)*AD1412)</f>
        <v>590</v>
      </c>
      <c r="AF1412" s="8">
        <f>IF(F1412="Bullet",MAX(0,Assumptions!$B$4-AB1412),MAX(0,Assumptions!$B$4-L1412))</f>
        <v>0</v>
      </c>
      <c r="AG1412" s="9"/>
      <c r="AH1412" s="8" t="str">
        <f>IF(AG1412="","",Assumptions!$B$4-AG1412)</f>
        <v/>
      </c>
      <c r="AI1412" s="5" t="s">
        <v>80</v>
      </c>
      <c r="AJ1412" s="8"/>
      <c r="AK1412" s="8">
        <v>3</v>
      </c>
      <c r="AL1412" s="8">
        <v>753</v>
      </c>
      <c r="AM1412" s="8">
        <v>2</v>
      </c>
      <c r="AN1412" s="5" t="s">
        <v>63</v>
      </c>
      <c r="AO1412" s="10">
        <v>62.9</v>
      </c>
      <c r="AP1412" s="8">
        <v>32</v>
      </c>
      <c r="AQ1412" s="9">
        <v>46280</v>
      </c>
      <c r="AR1412" s="5" t="s">
        <v>53</v>
      </c>
      <c r="AS1412" s="5" t="s">
        <v>274</v>
      </c>
    </row>
    <row r="1413" spans="1:45" x14ac:dyDescent="0.35">
      <c r="A1413" s="5" t="s">
        <v>5906</v>
      </c>
      <c r="B1413" s="5" t="s">
        <v>5907</v>
      </c>
      <c r="C1413" s="6" t="s">
        <v>5908</v>
      </c>
      <c r="D1413" s="7">
        <v>57500</v>
      </c>
      <c r="E1413" s="5" t="s">
        <v>48</v>
      </c>
      <c r="F1413" s="5" t="s">
        <v>49</v>
      </c>
      <c r="G1413" s="8"/>
      <c r="H1413" s="8" t="str">
        <f>IF(F1413="Bullet",MIN(G1413,Assumptions!$B$6),"")</f>
        <v/>
      </c>
      <c r="I1413" s="8">
        <v>1</v>
      </c>
      <c r="J1413" s="8">
        <f>IF(F1413="Monthly interest",MAX(0,Assumptions!$B$5-I1413),"")</f>
        <v>2</v>
      </c>
      <c r="K1413" s="7">
        <f t="shared" si="66"/>
        <v>1054</v>
      </c>
      <c r="L1413" s="9">
        <v>46288</v>
      </c>
      <c r="M1413" s="5" t="s">
        <v>69</v>
      </c>
      <c r="N1413" s="5" t="s">
        <v>53</v>
      </c>
      <c r="O1413" s="5" t="s">
        <v>103</v>
      </c>
      <c r="P1413" s="5" t="s">
        <v>70</v>
      </c>
      <c r="Q1413" s="5" t="s">
        <v>54</v>
      </c>
      <c r="R1413" s="5" t="s">
        <v>55</v>
      </c>
      <c r="S1413" s="5" t="s">
        <v>56</v>
      </c>
      <c r="T1413" s="5" t="s">
        <v>57</v>
      </c>
      <c r="U1413" s="5" t="s">
        <v>58</v>
      </c>
      <c r="V1413" s="5" t="s">
        <v>59</v>
      </c>
      <c r="W1413" s="5" t="s">
        <v>60</v>
      </c>
      <c r="X1413" s="5" t="s">
        <v>335</v>
      </c>
      <c r="Y1413" s="5" t="s">
        <v>5909</v>
      </c>
      <c r="Z1413" s="9">
        <v>46104</v>
      </c>
      <c r="AA1413" s="8">
        <v>18</v>
      </c>
      <c r="AB1413" s="9">
        <f t="shared" si="67"/>
        <v>46653</v>
      </c>
      <c r="AC1413" s="10">
        <v>22</v>
      </c>
      <c r="AD1413" s="7">
        <f t="shared" si="68"/>
        <v>1054</v>
      </c>
      <c r="AE1413" s="7">
        <f>IF(F1413="Bullet",H1413*AD1413,MIN(MAX(I1413,1),Assumptions!$B$6)*AD1413)</f>
        <v>1054</v>
      </c>
      <c r="AF1413" s="8">
        <f>IF(F1413="Bullet",MAX(0,Assumptions!$B$4-AB1413),MAX(0,Assumptions!$B$4-L1413))</f>
        <v>10</v>
      </c>
      <c r="AG1413" s="9">
        <v>46259</v>
      </c>
      <c r="AH1413" s="8">
        <f>IF(AG1413="","",Assumptions!$B$4-AG1413)</f>
        <v>39</v>
      </c>
      <c r="AI1413" s="5" t="s">
        <v>63</v>
      </c>
      <c r="AJ1413" s="8">
        <v>2</v>
      </c>
      <c r="AK1413" s="8">
        <v>0</v>
      </c>
      <c r="AL1413" s="8">
        <v>666</v>
      </c>
      <c r="AM1413" s="8">
        <v>3</v>
      </c>
      <c r="AN1413" s="5" t="s">
        <v>63</v>
      </c>
      <c r="AO1413" s="10">
        <v>77.7</v>
      </c>
      <c r="AP1413" s="8">
        <v>47</v>
      </c>
      <c r="AQ1413" s="9">
        <v>46297</v>
      </c>
      <c r="AR1413" s="5" t="s">
        <v>51</v>
      </c>
      <c r="AS1413" s="5" t="s">
        <v>81</v>
      </c>
    </row>
    <row r="1414" spans="1:45" x14ac:dyDescent="0.35">
      <c r="A1414" s="5" t="s">
        <v>5910</v>
      </c>
      <c r="B1414" s="5" t="s">
        <v>93</v>
      </c>
      <c r="C1414" s="6" t="s">
        <v>5911</v>
      </c>
      <c r="D1414" s="7">
        <v>15000</v>
      </c>
      <c r="E1414" s="5" t="s">
        <v>48</v>
      </c>
      <c r="F1414" s="5" t="s">
        <v>49</v>
      </c>
      <c r="G1414" s="8"/>
      <c r="H1414" s="8" t="str">
        <f>IF(F1414="Bullet",MIN(G1414,Assumptions!$B$6),"")</f>
        <v/>
      </c>
      <c r="I1414" s="8">
        <v>1</v>
      </c>
      <c r="J1414" s="8">
        <f>IF(F1414="Monthly interest",MAX(0,Assumptions!$B$5-I1414),"")</f>
        <v>2</v>
      </c>
      <c r="K1414" s="7">
        <f t="shared" si="66"/>
        <v>300</v>
      </c>
      <c r="L1414" s="9">
        <v>46273</v>
      </c>
      <c r="M1414" s="5" t="s">
        <v>50</v>
      </c>
      <c r="N1414" s="5" t="s">
        <v>51</v>
      </c>
      <c r="O1414" s="5" t="s">
        <v>152</v>
      </c>
      <c r="P1414" s="5" t="s">
        <v>53</v>
      </c>
      <c r="Q1414" s="5" t="s">
        <v>154</v>
      </c>
      <c r="R1414" s="5" t="s">
        <v>155</v>
      </c>
      <c r="S1414" s="5" t="s">
        <v>85</v>
      </c>
      <c r="T1414" s="5" t="s">
        <v>57</v>
      </c>
      <c r="U1414" s="5" t="s">
        <v>104</v>
      </c>
      <c r="V1414" s="5" t="s">
        <v>177</v>
      </c>
      <c r="W1414" s="5" t="s">
        <v>178</v>
      </c>
      <c r="X1414" s="5" t="s">
        <v>222</v>
      </c>
      <c r="Y1414" s="5" t="s">
        <v>5912</v>
      </c>
      <c r="Z1414" s="9">
        <v>46061</v>
      </c>
      <c r="AA1414" s="8">
        <v>12</v>
      </c>
      <c r="AB1414" s="9">
        <f t="shared" si="67"/>
        <v>46426</v>
      </c>
      <c r="AC1414" s="10">
        <v>24</v>
      </c>
      <c r="AD1414" s="7">
        <f t="shared" si="68"/>
        <v>300</v>
      </c>
      <c r="AE1414" s="7">
        <f>IF(F1414="Bullet",H1414*AD1414,MIN(MAX(I1414,1),Assumptions!$B$6)*AD1414)</f>
        <v>300</v>
      </c>
      <c r="AF1414" s="8">
        <f>IF(F1414="Bullet",MAX(0,Assumptions!$B$4-AB1414),MAX(0,Assumptions!$B$4-L1414))</f>
        <v>25</v>
      </c>
      <c r="AG1414" s="9">
        <v>46246</v>
      </c>
      <c r="AH1414" s="8">
        <f>IF(AG1414="","",Assumptions!$B$4-AG1414)</f>
        <v>52</v>
      </c>
      <c r="AI1414" s="5" t="s">
        <v>63</v>
      </c>
      <c r="AJ1414" s="8">
        <v>2</v>
      </c>
      <c r="AK1414" s="8">
        <v>1</v>
      </c>
      <c r="AL1414" s="8">
        <v>683</v>
      </c>
      <c r="AM1414" s="8">
        <v>0</v>
      </c>
      <c r="AN1414" s="5" t="s">
        <v>63</v>
      </c>
      <c r="AO1414" s="10">
        <v>72.5</v>
      </c>
      <c r="AP1414" s="8">
        <v>28</v>
      </c>
      <c r="AQ1414" s="9">
        <v>46285</v>
      </c>
      <c r="AR1414" s="5" t="s">
        <v>53</v>
      </c>
      <c r="AS1414" s="5" t="s">
        <v>64</v>
      </c>
    </row>
    <row r="1415" spans="1:45" x14ac:dyDescent="0.35">
      <c r="A1415" s="5" t="s">
        <v>5913</v>
      </c>
      <c r="B1415" s="5" t="s">
        <v>5914</v>
      </c>
      <c r="C1415" s="6" t="s">
        <v>5915</v>
      </c>
      <c r="D1415" s="7">
        <v>198200</v>
      </c>
      <c r="E1415" s="5" t="s">
        <v>48</v>
      </c>
      <c r="F1415" s="5" t="s">
        <v>49</v>
      </c>
      <c r="G1415" s="8"/>
      <c r="H1415" s="8" t="str">
        <f>IF(F1415="Bullet",MIN(G1415,Assumptions!$B$6),"")</f>
        <v/>
      </c>
      <c r="I1415" s="8">
        <v>2</v>
      </c>
      <c r="J1415" s="8">
        <f>IF(F1415="Monthly interest",MAX(0,Assumptions!$B$5-I1415),"")</f>
        <v>1</v>
      </c>
      <c r="K1415" s="7">
        <f t="shared" si="66"/>
        <v>7268</v>
      </c>
      <c r="L1415" s="9">
        <v>46248</v>
      </c>
      <c r="M1415" s="5" t="s">
        <v>116</v>
      </c>
      <c r="N1415" s="5" t="s">
        <v>117</v>
      </c>
      <c r="O1415" s="5" t="s">
        <v>118</v>
      </c>
      <c r="P1415" s="5" t="s">
        <v>72</v>
      </c>
      <c r="Q1415" s="5" t="s">
        <v>119</v>
      </c>
      <c r="R1415" s="5" t="s">
        <v>120</v>
      </c>
      <c r="S1415" s="5" t="s">
        <v>85</v>
      </c>
      <c r="T1415" s="5" t="s">
        <v>57</v>
      </c>
      <c r="U1415" s="5" t="s">
        <v>86</v>
      </c>
      <c r="V1415" s="5" t="s">
        <v>177</v>
      </c>
      <c r="W1415" s="5" t="s">
        <v>345</v>
      </c>
      <c r="X1415" s="5" t="s">
        <v>802</v>
      </c>
      <c r="Y1415" s="5" t="s">
        <v>5916</v>
      </c>
      <c r="Z1415" s="9">
        <v>46067</v>
      </c>
      <c r="AA1415" s="8">
        <v>24</v>
      </c>
      <c r="AB1415" s="9">
        <f t="shared" si="67"/>
        <v>46797</v>
      </c>
      <c r="AC1415" s="10">
        <v>22</v>
      </c>
      <c r="AD1415" s="7">
        <f t="shared" si="68"/>
        <v>3634</v>
      </c>
      <c r="AE1415" s="7">
        <f>IF(F1415="Bullet",H1415*AD1415,MIN(MAX(I1415,1),Assumptions!$B$6)*AD1415)</f>
        <v>7268</v>
      </c>
      <c r="AF1415" s="8">
        <f>IF(F1415="Bullet",MAX(0,Assumptions!$B$4-AB1415),MAX(0,Assumptions!$B$4-L1415))</f>
        <v>50</v>
      </c>
      <c r="AG1415" s="9">
        <v>46219</v>
      </c>
      <c r="AH1415" s="8">
        <f>IF(AG1415="","",Assumptions!$B$4-AG1415)</f>
        <v>79</v>
      </c>
      <c r="AI1415" s="5" t="s">
        <v>57</v>
      </c>
      <c r="AJ1415" s="8">
        <v>3</v>
      </c>
      <c r="AK1415" s="8">
        <v>1</v>
      </c>
      <c r="AL1415" s="8">
        <v>900</v>
      </c>
      <c r="AM1415" s="8">
        <v>1</v>
      </c>
      <c r="AN1415" s="5" t="s">
        <v>57</v>
      </c>
      <c r="AO1415" s="10">
        <v>49.8</v>
      </c>
      <c r="AP1415" s="8">
        <v>49</v>
      </c>
      <c r="AQ1415" s="9">
        <v>46292</v>
      </c>
      <c r="AR1415" s="5" t="s">
        <v>51</v>
      </c>
      <c r="AS1415" s="5" t="s">
        <v>64</v>
      </c>
    </row>
    <row r="1416" spans="1:45" x14ac:dyDescent="0.35">
      <c r="A1416" s="5" t="s">
        <v>5917</v>
      </c>
      <c r="B1416" s="5" t="s">
        <v>5095</v>
      </c>
      <c r="C1416" s="6" t="s">
        <v>5918</v>
      </c>
      <c r="D1416" s="7">
        <v>62600</v>
      </c>
      <c r="E1416" s="5" t="s">
        <v>48</v>
      </c>
      <c r="F1416" s="5" t="s">
        <v>49</v>
      </c>
      <c r="G1416" s="8"/>
      <c r="H1416" s="8" t="str">
        <f>IF(F1416="Bullet",MIN(G1416,Assumptions!$B$6),"")</f>
        <v/>
      </c>
      <c r="I1416" s="8">
        <v>1</v>
      </c>
      <c r="J1416" s="8">
        <f>IF(F1416="Monthly interest",MAX(0,Assumptions!$B$5-I1416),"")</f>
        <v>2</v>
      </c>
      <c r="K1416" s="7">
        <f t="shared" si="66"/>
        <v>939</v>
      </c>
      <c r="L1416" s="9">
        <v>46273</v>
      </c>
      <c r="M1416" s="5" t="s">
        <v>50</v>
      </c>
      <c r="N1416" s="5" t="s">
        <v>51</v>
      </c>
      <c r="O1416" s="5" t="s">
        <v>52</v>
      </c>
      <c r="P1416" s="5" t="s">
        <v>53</v>
      </c>
      <c r="Q1416" s="5" t="s">
        <v>54</v>
      </c>
      <c r="R1416" s="5" t="s">
        <v>55</v>
      </c>
      <c r="S1416" s="5" t="s">
        <v>56</v>
      </c>
      <c r="T1416" s="5" t="s">
        <v>57</v>
      </c>
      <c r="U1416" s="5" t="s">
        <v>104</v>
      </c>
      <c r="V1416" s="5" t="s">
        <v>59</v>
      </c>
      <c r="W1416" s="5" t="s">
        <v>60</v>
      </c>
      <c r="X1416" s="5" t="s">
        <v>335</v>
      </c>
      <c r="Y1416" s="5" t="s">
        <v>5919</v>
      </c>
      <c r="Z1416" s="9">
        <v>46211</v>
      </c>
      <c r="AA1416" s="8">
        <v>12</v>
      </c>
      <c r="AB1416" s="9">
        <f t="shared" si="67"/>
        <v>46576</v>
      </c>
      <c r="AC1416" s="10">
        <v>18</v>
      </c>
      <c r="AD1416" s="7">
        <f t="shared" si="68"/>
        <v>939</v>
      </c>
      <c r="AE1416" s="7">
        <f>IF(F1416="Bullet",H1416*AD1416,MIN(MAX(I1416,1),Assumptions!$B$6)*AD1416)</f>
        <v>939</v>
      </c>
      <c r="AF1416" s="8">
        <f>IF(F1416="Bullet",MAX(0,Assumptions!$B$4-AB1416),MAX(0,Assumptions!$B$4-L1416))</f>
        <v>25</v>
      </c>
      <c r="AG1416" s="9">
        <v>46245</v>
      </c>
      <c r="AH1416" s="8">
        <f>IF(AG1416="","",Assumptions!$B$4-AG1416)</f>
        <v>53</v>
      </c>
      <c r="AI1416" s="5" t="s">
        <v>57</v>
      </c>
      <c r="AJ1416" s="8">
        <v>3</v>
      </c>
      <c r="AK1416" s="8">
        <v>0</v>
      </c>
      <c r="AL1416" s="8">
        <v>797</v>
      </c>
      <c r="AM1416" s="8">
        <v>3</v>
      </c>
      <c r="AN1416" s="5" t="s">
        <v>63</v>
      </c>
      <c r="AO1416" s="10">
        <v>71.8</v>
      </c>
      <c r="AP1416" s="8">
        <v>20</v>
      </c>
      <c r="AQ1416" s="9">
        <v>46276</v>
      </c>
      <c r="AR1416" s="5" t="s">
        <v>51</v>
      </c>
      <c r="AS1416" s="5" t="s">
        <v>190</v>
      </c>
    </row>
    <row r="1417" spans="1:45" x14ac:dyDescent="0.35">
      <c r="A1417" s="5" t="s">
        <v>5920</v>
      </c>
      <c r="B1417" s="5" t="s">
        <v>3900</v>
      </c>
      <c r="C1417" s="6" t="s">
        <v>5921</v>
      </c>
      <c r="D1417" s="7">
        <v>123200</v>
      </c>
      <c r="E1417" s="5" t="s">
        <v>48</v>
      </c>
      <c r="F1417" s="5" t="s">
        <v>68</v>
      </c>
      <c r="G1417" s="8">
        <v>1</v>
      </c>
      <c r="H1417" s="8">
        <f>IF(F1417="Bullet",MIN(G1417,Assumptions!$B$6),"")</f>
        <v>1</v>
      </c>
      <c r="I1417" s="8"/>
      <c r="J1417" s="8" t="str">
        <f>IF(F1417="Monthly interest",MAX(0,Assumptions!$B$5-I1417),"")</f>
        <v/>
      </c>
      <c r="K1417" s="7">
        <f t="shared" si="66"/>
        <v>1335</v>
      </c>
      <c r="L1417" s="9">
        <v>46245</v>
      </c>
      <c r="M1417" s="5" t="s">
        <v>50</v>
      </c>
      <c r="N1417" s="5" t="s">
        <v>53</v>
      </c>
      <c r="O1417" s="5" t="s">
        <v>132</v>
      </c>
      <c r="P1417" s="5" t="s">
        <v>51</v>
      </c>
      <c r="Q1417" s="5" t="s">
        <v>73</v>
      </c>
      <c r="R1417" s="5" t="s">
        <v>74</v>
      </c>
      <c r="S1417" s="5" t="s">
        <v>75</v>
      </c>
      <c r="T1417" s="5" t="s">
        <v>57</v>
      </c>
      <c r="U1417" s="5" t="s">
        <v>86</v>
      </c>
      <c r="V1417" s="5" t="s">
        <v>76</v>
      </c>
      <c r="W1417" s="5" t="s">
        <v>382</v>
      </c>
      <c r="X1417" s="5" t="s">
        <v>4446</v>
      </c>
      <c r="Y1417" s="5" t="s">
        <v>5922</v>
      </c>
      <c r="Z1417" s="9">
        <v>46245</v>
      </c>
      <c r="AA1417" s="8">
        <v>6</v>
      </c>
      <c r="AB1417" s="9">
        <f t="shared" si="67"/>
        <v>46429</v>
      </c>
      <c r="AC1417" s="10">
        <v>13</v>
      </c>
      <c r="AD1417" s="7">
        <f t="shared" si="68"/>
        <v>1335</v>
      </c>
      <c r="AE1417" s="7">
        <f>IF(F1417="Bullet",H1417*AD1417,MIN(MAX(I1417,1),Assumptions!$B$6)*AD1417)</f>
        <v>1335</v>
      </c>
      <c r="AF1417" s="8">
        <f>IF(F1417="Bullet",MAX(0,Assumptions!$B$4-AB1417),MAX(0,Assumptions!$B$4-L1417))</f>
        <v>0</v>
      </c>
      <c r="AG1417" s="9"/>
      <c r="AH1417" s="8" t="str">
        <f>IF(AG1417="","",Assumptions!$B$4-AG1417)</f>
        <v/>
      </c>
      <c r="AI1417" s="5" t="s">
        <v>80</v>
      </c>
      <c r="AJ1417" s="8"/>
      <c r="AK1417" s="8">
        <v>0</v>
      </c>
      <c r="AL1417" s="8">
        <v>725</v>
      </c>
      <c r="AM1417" s="8">
        <v>0</v>
      </c>
      <c r="AN1417" s="5" t="s">
        <v>63</v>
      </c>
      <c r="AO1417" s="10">
        <v>62.6</v>
      </c>
      <c r="AP1417" s="8">
        <v>5</v>
      </c>
      <c r="AQ1417" s="9">
        <v>46281</v>
      </c>
      <c r="AR1417" s="5" t="s">
        <v>51</v>
      </c>
      <c r="AS1417" s="5" t="s">
        <v>91</v>
      </c>
    </row>
    <row r="1418" spans="1:45" x14ac:dyDescent="0.35">
      <c r="A1418" s="5" t="s">
        <v>5923</v>
      </c>
      <c r="B1418" s="5" t="s">
        <v>349</v>
      </c>
      <c r="C1418" s="6" t="s">
        <v>5924</v>
      </c>
      <c r="D1418" s="7">
        <v>40300</v>
      </c>
      <c r="E1418" s="5" t="s">
        <v>48</v>
      </c>
      <c r="F1418" s="5" t="s">
        <v>68</v>
      </c>
      <c r="G1418" s="8">
        <v>4</v>
      </c>
      <c r="H1418" s="8">
        <f>IF(F1418="Bullet",MIN(G1418,Assumptions!$B$6),"")</f>
        <v>2</v>
      </c>
      <c r="I1418" s="8"/>
      <c r="J1418" s="8" t="str">
        <f>IF(F1418="Monthly interest",MAX(0,Assumptions!$B$5-I1418),"")</f>
        <v/>
      </c>
      <c r="K1418" s="7">
        <f t="shared" si="66"/>
        <v>1880</v>
      </c>
      <c r="L1418" s="9">
        <v>46174</v>
      </c>
      <c r="M1418" s="5" t="s">
        <v>69</v>
      </c>
      <c r="N1418" s="5" t="s">
        <v>53</v>
      </c>
      <c r="O1418" s="5" t="s">
        <v>152</v>
      </c>
      <c r="P1418" s="5" t="s">
        <v>153</v>
      </c>
      <c r="Q1418" s="5" t="s">
        <v>154</v>
      </c>
      <c r="R1418" s="5" t="s">
        <v>155</v>
      </c>
      <c r="S1418" s="5" t="s">
        <v>214</v>
      </c>
      <c r="T1418" s="5" t="s">
        <v>57</v>
      </c>
      <c r="U1418" s="5" t="s">
        <v>86</v>
      </c>
      <c r="V1418" s="5" t="s">
        <v>215</v>
      </c>
      <c r="W1418" s="5" t="s">
        <v>278</v>
      </c>
      <c r="X1418" s="5" t="s">
        <v>1688</v>
      </c>
      <c r="Y1418" s="5" t="s">
        <v>5925</v>
      </c>
      <c r="Z1418" s="9">
        <v>46174</v>
      </c>
      <c r="AA1418" s="8">
        <v>6</v>
      </c>
      <c r="AB1418" s="9">
        <f t="shared" si="67"/>
        <v>46357</v>
      </c>
      <c r="AC1418" s="10">
        <v>14</v>
      </c>
      <c r="AD1418" s="7">
        <f t="shared" si="68"/>
        <v>470</v>
      </c>
      <c r="AE1418" s="7">
        <f>IF(F1418="Bullet",H1418*AD1418,MIN(MAX(I1418,1),Assumptions!$B$6)*AD1418)</f>
        <v>940</v>
      </c>
      <c r="AF1418" s="8">
        <f>IF(F1418="Bullet",MAX(0,Assumptions!$B$4-AB1418),MAX(0,Assumptions!$B$4-L1418))</f>
        <v>0</v>
      </c>
      <c r="AG1418" s="9"/>
      <c r="AH1418" s="8" t="str">
        <f>IF(AG1418="","",Assumptions!$B$4-AG1418)</f>
        <v/>
      </c>
      <c r="AI1418" s="5" t="s">
        <v>80</v>
      </c>
      <c r="AJ1418" s="8"/>
      <c r="AK1418" s="8">
        <v>4</v>
      </c>
      <c r="AL1418" s="8">
        <v>752</v>
      </c>
      <c r="AM1418" s="8">
        <v>0</v>
      </c>
      <c r="AN1418" s="5" t="s">
        <v>63</v>
      </c>
      <c r="AO1418" s="10">
        <v>67.8</v>
      </c>
      <c r="AP1418" s="8">
        <v>35</v>
      </c>
      <c r="AQ1418" s="9">
        <v>46277</v>
      </c>
      <c r="AR1418" s="5" t="s">
        <v>53</v>
      </c>
      <c r="AS1418" s="5" t="s">
        <v>64</v>
      </c>
    </row>
    <row r="1419" spans="1:45" x14ac:dyDescent="0.35">
      <c r="A1419" s="5" t="s">
        <v>5926</v>
      </c>
      <c r="B1419" s="5" t="s">
        <v>2974</v>
      </c>
      <c r="C1419" s="6" t="s">
        <v>5927</v>
      </c>
      <c r="D1419" s="7">
        <v>203600</v>
      </c>
      <c r="E1419" s="5" t="s">
        <v>48</v>
      </c>
      <c r="F1419" s="5" t="s">
        <v>49</v>
      </c>
      <c r="G1419" s="8"/>
      <c r="H1419" s="8" t="str">
        <f>IF(F1419="Bullet",MIN(G1419,Assumptions!$B$6),"")</f>
        <v/>
      </c>
      <c r="I1419" s="8">
        <v>1</v>
      </c>
      <c r="J1419" s="8">
        <f>IF(F1419="Monthly interest",MAX(0,Assumptions!$B$5-I1419),"")</f>
        <v>2</v>
      </c>
      <c r="K1419" s="7">
        <f t="shared" si="66"/>
        <v>3733</v>
      </c>
      <c r="L1419" s="9">
        <v>46296</v>
      </c>
      <c r="M1419" s="5" t="s">
        <v>69</v>
      </c>
      <c r="N1419" s="5" t="s">
        <v>53</v>
      </c>
      <c r="O1419" s="5" t="s">
        <v>103</v>
      </c>
      <c r="P1419" s="5" t="s">
        <v>70</v>
      </c>
      <c r="Q1419" s="5" t="s">
        <v>54</v>
      </c>
      <c r="R1419" s="5" t="s">
        <v>55</v>
      </c>
      <c r="S1419" s="5" t="s">
        <v>75</v>
      </c>
      <c r="T1419" s="5" t="s">
        <v>57</v>
      </c>
      <c r="U1419" s="5" t="s">
        <v>104</v>
      </c>
      <c r="V1419" s="5" t="s">
        <v>76</v>
      </c>
      <c r="W1419" s="5" t="s">
        <v>547</v>
      </c>
      <c r="X1419" s="5" t="s">
        <v>3419</v>
      </c>
      <c r="Y1419" s="5" t="s">
        <v>5928</v>
      </c>
      <c r="Z1419" s="9">
        <v>46174</v>
      </c>
      <c r="AA1419" s="8">
        <v>24</v>
      </c>
      <c r="AB1419" s="9">
        <f t="shared" si="67"/>
        <v>46905</v>
      </c>
      <c r="AC1419" s="10">
        <v>22</v>
      </c>
      <c r="AD1419" s="7">
        <f t="shared" si="68"/>
        <v>3733</v>
      </c>
      <c r="AE1419" s="7">
        <f>IF(F1419="Bullet",H1419*AD1419,MIN(MAX(I1419,1),Assumptions!$B$6)*AD1419)</f>
        <v>3733</v>
      </c>
      <c r="AF1419" s="8">
        <f>IF(F1419="Bullet",MAX(0,Assumptions!$B$4-AB1419),MAX(0,Assumptions!$B$4-L1419))</f>
        <v>2</v>
      </c>
      <c r="AG1419" s="9">
        <v>46267</v>
      </c>
      <c r="AH1419" s="8">
        <f>IF(AG1419="","",Assumptions!$B$4-AG1419)</f>
        <v>31</v>
      </c>
      <c r="AI1419" s="5" t="s">
        <v>63</v>
      </c>
      <c r="AJ1419" s="8">
        <v>1</v>
      </c>
      <c r="AK1419" s="8">
        <v>0</v>
      </c>
      <c r="AL1419" s="8">
        <v>656</v>
      </c>
      <c r="AM1419" s="8">
        <v>1</v>
      </c>
      <c r="AN1419" s="5" t="s">
        <v>57</v>
      </c>
      <c r="AO1419" s="10">
        <v>68.099999999999994</v>
      </c>
      <c r="AP1419" s="8">
        <v>43</v>
      </c>
      <c r="AQ1419" s="9">
        <v>46276</v>
      </c>
      <c r="AR1419" s="5" t="s">
        <v>51</v>
      </c>
      <c r="AS1419" s="5" t="s">
        <v>81</v>
      </c>
    </row>
    <row r="1420" spans="1:45" x14ac:dyDescent="0.35">
      <c r="A1420" s="5" t="s">
        <v>5929</v>
      </c>
      <c r="B1420" s="5" t="s">
        <v>5930</v>
      </c>
      <c r="C1420" s="6" t="s">
        <v>5931</v>
      </c>
      <c r="D1420" s="7">
        <v>235500</v>
      </c>
      <c r="E1420" s="5" t="s">
        <v>48</v>
      </c>
      <c r="F1420" s="5" t="s">
        <v>68</v>
      </c>
      <c r="G1420" s="8">
        <v>2</v>
      </c>
      <c r="H1420" s="8">
        <f>IF(F1420="Bullet",MIN(G1420,Assumptions!$B$6),"")</f>
        <v>2</v>
      </c>
      <c r="I1420" s="8"/>
      <c r="J1420" s="8" t="str">
        <f>IF(F1420="Monthly interest",MAX(0,Assumptions!$B$5-I1420),"")</f>
        <v/>
      </c>
      <c r="K1420" s="7">
        <f t="shared" si="66"/>
        <v>5888</v>
      </c>
      <c r="L1420" s="9">
        <v>46232</v>
      </c>
      <c r="M1420" s="5" t="s">
        <v>50</v>
      </c>
      <c r="N1420" s="5" t="s">
        <v>51</v>
      </c>
      <c r="O1420" s="5" t="s">
        <v>71</v>
      </c>
      <c r="P1420" s="5" t="s">
        <v>53</v>
      </c>
      <c r="Q1420" s="5" t="s">
        <v>73</v>
      </c>
      <c r="R1420" s="5" t="s">
        <v>74</v>
      </c>
      <c r="S1420" s="5" t="s">
        <v>56</v>
      </c>
      <c r="T1420" s="5" t="s">
        <v>57</v>
      </c>
      <c r="U1420" s="5" t="s">
        <v>58</v>
      </c>
      <c r="V1420" s="5" t="s">
        <v>59</v>
      </c>
      <c r="W1420" s="5" t="s">
        <v>126</v>
      </c>
      <c r="X1420" s="5" t="s">
        <v>2161</v>
      </c>
      <c r="Y1420" s="5" t="s">
        <v>5932</v>
      </c>
      <c r="Z1420" s="9">
        <v>46232</v>
      </c>
      <c r="AA1420" s="8">
        <v>6</v>
      </c>
      <c r="AB1420" s="9">
        <f t="shared" si="67"/>
        <v>46416</v>
      </c>
      <c r="AC1420" s="10">
        <v>15</v>
      </c>
      <c r="AD1420" s="7">
        <f t="shared" si="68"/>
        <v>2944</v>
      </c>
      <c r="AE1420" s="7">
        <f>IF(F1420="Bullet",H1420*AD1420,MIN(MAX(I1420,1),Assumptions!$B$6)*AD1420)</f>
        <v>5888</v>
      </c>
      <c r="AF1420" s="8">
        <f>IF(F1420="Bullet",MAX(0,Assumptions!$B$4-AB1420),MAX(0,Assumptions!$B$4-L1420))</f>
        <v>0</v>
      </c>
      <c r="AG1420" s="9"/>
      <c r="AH1420" s="8" t="str">
        <f>IF(AG1420="","",Assumptions!$B$4-AG1420)</f>
        <v/>
      </c>
      <c r="AI1420" s="5" t="s">
        <v>80</v>
      </c>
      <c r="AJ1420" s="8"/>
      <c r="AK1420" s="8">
        <v>0</v>
      </c>
      <c r="AL1420" s="8">
        <v>731</v>
      </c>
      <c r="AM1420" s="8">
        <v>1</v>
      </c>
      <c r="AN1420" s="5" t="s">
        <v>63</v>
      </c>
      <c r="AO1420" s="10">
        <v>61.1</v>
      </c>
      <c r="AP1420" s="8">
        <v>13</v>
      </c>
      <c r="AQ1420" s="9">
        <v>46289</v>
      </c>
      <c r="AR1420" s="5" t="s">
        <v>70</v>
      </c>
      <c r="AS1420" s="5" t="s">
        <v>91</v>
      </c>
    </row>
    <row r="1421" spans="1:45" x14ac:dyDescent="0.35">
      <c r="A1421" s="5" t="s">
        <v>5933</v>
      </c>
      <c r="B1421" s="5" t="s">
        <v>5934</v>
      </c>
      <c r="C1421" s="6" t="s">
        <v>5935</v>
      </c>
      <c r="D1421" s="7">
        <v>110600</v>
      </c>
      <c r="E1421" s="5" t="s">
        <v>48</v>
      </c>
      <c r="F1421" s="5" t="s">
        <v>68</v>
      </c>
      <c r="G1421" s="8">
        <v>4</v>
      </c>
      <c r="H1421" s="8">
        <f>IF(F1421="Bullet",MIN(G1421,Assumptions!$B$6),"")</f>
        <v>2</v>
      </c>
      <c r="I1421" s="8"/>
      <c r="J1421" s="8" t="str">
        <f>IF(F1421="Monthly interest",MAX(0,Assumptions!$B$5-I1421),"")</f>
        <v/>
      </c>
      <c r="K1421" s="7">
        <f t="shared" si="66"/>
        <v>4424</v>
      </c>
      <c r="L1421" s="9">
        <v>46161</v>
      </c>
      <c r="M1421" s="5" t="s">
        <v>69</v>
      </c>
      <c r="N1421" s="5" t="s">
        <v>53</v>
      </c>
      <c r="O1421" s="5" t="s">
        <v>71</v>
      </c>
      <c r="P1421" s="5" t="s">
        <v>70</v>
      </c>
      <c r="Q1421" s="5" t="s">
        <v>73</v>
      </c>
      <c r="R1421" s="5" t="s">
        <v>74</v>
      </c>
      <c r="S1421" s="5" t="s">
        <v>85</v>
      </c>
      <c r="T1421" s="5" t="s">
        <v>57</v>
      </c>
      <c r="U1421" s="5" t="s">
        <v>86</v>
      </c>
      <c r="V1421" s="5" t="s">
        <v>96</v>
      </c>
      <c r="W1421" s="5" t="s">
        <v>265</v>
      </c>
      <c r="X1421" s="5" t="s">
        <v>1641</v>
      </c>
      <c r="Y1421" s="5" t="s">
        <v>5936</v>
      </c>
      <c r="Z1421" s="9">
        <v>46161</v>
      </c>
      <c r="AA1421" s="8">
        <v>6</v>
      </c>
      <c r="AB1421" s="9">
        <f t="shared" si="67"/>
        <v>46345</v>
      </c>
      <c r="AC1421" s="10">
        <v>12</v>
      </c>
      <c r="AD1421" s="7">
        <f t="shared" si="68"/>
        <v>1106</v>
      </c>
      <c r="AE1421" s="7">
        <f>IF(F1421="Bullet",H1421*AD1421,MIN(MAX(I1421,1),Assumptions!$B$6)*AD1421)</f>
        <v>2212</v>
      </c>
      <c r="AF1421" s="8">
        <f>IF(F1421="Bullet",MAX(0,Assumptions!$B$4-AB1421),MAX(0,Assumptions!$B$4-L1421))</f>
        <v>0</v>
      </c>
      <c r="AG1421" s="9"/>
      <c r="AH1421" s="8" t="str">
        <f>IF(AG1421="","",Assumptions!$B$4-AG1421)</f>
        <v/>
      </c>
      <c r="AI1421" s="5" t="s">
        <v>80</v>
      </c>
      <c r="AJ1421" s="8"/>
      <c r="AK1421" s="8">
        <v>1</v>
      </c>
      <c r="AL1421" s="8">
        <v>717</v>
      </c>
      <c r="AM1421" s="8">
        <v>1</v>
      </c>
      <c r="AN1421" s="5" t="s">
        <v>63</v>
      </c>
      <c r="AO1421" s="10">
        <v>84.4</v>
      </c>
      <c r="AP1421" s="8">
        <v>37</v>
      </c>
      <c r="AQ1421" s="9"/>
      <c r="AR1421" s="5"/>
      <c r="AS1421" s="5" t="s">
        <v>159</v>
      </c>
    </row>
    <row r="1422" spans="1:45" x14ac:dyDescent="0.35">
      <c r="A1422" s="5" t="s">
        <v>5937</v>
      </c>
      <c r="B1422" s="5" t="s">
        <v>1079</v>
      </c>
      <c r="C1422" s="6" t="s">
        <v>5938</v>
      </c>
      <c r="D1422" s="7">
        <v>147500</v>
      </c>
      <c r="E1422" s="5" t="s">
        <v>48</v>
      </c>
      <c r="F1422" s="5" t="s">
        <v>49</v>
      </c>
      <c r="G1422" s="8"/>
      <c r="H1422" s="8" t="str">
        <f>IF(F1422="Bullet",MIN(G1422,Assumptions!$B$6),"")</f>
        <v/>
      </c>
      <c r="I1422" s="8">
        <v>1</v>
      </c>
      <c r="J1422" s="8">
        <f>IF(F1422="Monthly interest",MAX(0,Assumptions!$B$5-I1422),"")</f>
        <v>2</v>
      </c>
      <c r="K1422" s="7">
        <f t="shared" si="66"/>
        <v>1721</v>
      </c>
      <c r="L1422" s="9">
        <v>46273</v>
      </c>
      <c r="M1422" s="5" t="s">
        <v>50</v>
      </c>
      <c r="N1422" s="5" t="s">
        <v>53</v>
      </c>
      <c r="O1422" s="5" t="s">
        <v>103</v>
      </c>
      <c r="P1422" s="5" t="s">
        <v>51</v>
      </c>
      <c r="Q1422" s="5" t="s">
        <v>54</v>
      </c>
      <c r="R1422" s="5" t="s">
        <v>55</v>
      </c>
      <c r="S1422" s="5" t="s">
        <v>56</v>
      </c>
      <c r="T1422" s="5" t="s">
        <v>57</v>
      </c>
      <c r="U1422" s="5" t="s">
        <v>58</v>
      </c>
      <c r="V1422" s="5" t="s">
        <v>59</v>
      </c>
      <c r="W1422" s="5" t="s">
        <v>156</v>
      </c>
      <c r="X1422" s="5" t="s">
        <v>2809</v>
      </c>
      <c r="Y1422" s="5" t="s">
        <v>5939</v>
      </c>
      <c r="Z1422" s="9">
        <v>46061</v>
      </c>
      <c r="AA1422" s="8">
        <v>12</v>
      </c>
      <c r="AB1422" s="9">
        <f t="shared" si="67"/>
        <v>46426</v>
      </c>
      <c r="AC1422" s="10">
        <v>14</v>
      </c>
      <c r="AD1422" s="7">
        <f t="shared" si="68"/>
        <v>1721</v>
      </c>
      <c r="AE1422" s="7">
        <f>IF(F1422="Bullet",H1422*AD1422,MIN(MAX(I1422,1),Assumptions!$B$6)*AD1422)</f>
        <v>1721</v>
      </c>
      <c r="AF1422" s="8">
        <f>IF(F1422="Bullet",MAX(0,Assumptions!$B$4-AB1422),MAX(0,Assumptions!$B$4-L1422))</f>
        <v>25</v>
      </c>
      <c r="AG1422" s="9">
        <v>46244</v>
      </c>
      <c r="AH1422" s="8">
        <f>IF(AG1422="","",Assumptions!$B$4-AG1422)</f>
        <v>54</v>
      </c>
      <c r="AI1422" s="5" t="s">
        <v>57</v>
      </c>
      <c r="AJ1422" s="8">
        <v>1</v>
      </c>
      <c r="AK1422" s="8">
        <v>0</v>
      </c>
      <c r="AL1422" s="8">
        <v>790</v>
      </c>
      <c r="AM1422" s="8">
        <v>2</v>
      </c>
      <c r="AN1422" s="5" t="s">
        <v>63</v>
      </c>
      <c r="AO1422" s="10">
        <v>50.2</v>
      </c>
      <c r="AP1422" s="8">
        <v>16</v>
      </c>
      <c r="AQ1422" s="9">
        <v>46275</v>
      </c>
      <c r="AR1422" s="5" t="s">
        <v>51</v>
      </c>
      <c r="AS1422" s="5" t="s">
        <v>81</v>
      </c>
    </row>
    <row r="1423" spans="1:45" x14ac:dyDescent="0.35">
      <c r="A1423" s="5" t="s">
        <v>5940</v>
      </c>
      <c r="B1423" s="5" t="s">
        <v>4607</v>
      </c>
      <c r="C1423" s="6" t="s">
        <v>5941</v>
      </c>
      <c r="D1423" s="7">
        <v>61600</v>
      </c>
      <c r="E1423" s="5" t="s">
        <v>48</v>
      </c>
      <c r="F1423" s="5" t="s">
        <v>49</v>
      </c>
      <c r="G1423" s="8"/>
      <c r="H1423" s="8" t="str">
        <f>IF(F1423="Bullet",MIN(G1423,Assumptions!$B$6),"")</f>
        <v/>
      </c>
      <c r="I1423" s="8">
        <v>1</v>
      </c>
      <c r="J1423" s="8">
        <f>IF(F1423="Monthly interest",MAX(0,Assumptions!$B$5-I1423),"")</f>
        <v>2</v>
      </c>
      <c r="K1423" s="7">
        <f t="shared" si="66"/>
        <v>1129</v>
      </c>
      <c r="L1423" s="9">
        <v>46280</v>
      </c>
      <c r="M1423" s="5" t="s">
        <v>69</v>
      </c>
      <c r="N1423" s="5" t="s">
        <v>51</v>
      </c>
      <c r="O1423" s="5" t="s">
        <v>52</v>
      </c>
      <c r="P1423" s="5" t="s">
        <v>53</v>
      </c>
      <c r="Q1423" s="5" t="s">
        <v>54</v>
      </c>
      <c r="R1423" s="5" t="s">
        <v>55</v>
      </c>
      <c r="S1423" s="5" t="s">
        <v>185</v>
      </c>
      <c r="T1423" s="5" t="s">
        <v>57</v>
      </c>
      <c r="U1423" s="5" t="s">
        <v>58</v>
      </c>
      <c r="V1423" s="5" t="s">
        <v>200</v>
      </c>
      <c r="W1423" s="5" t="s">
        <v>433</v>
      </c>
      <c r="X1423" s="5" t="s">
        <v>978</v>
      </c>
      <c r="Y1423" s="5" t="s">
        <v>5942</v>
      </c>
      <c r="Z1423" s="9">
        <v>46157</v>
      </c>
      <c r="AA1423" s="8">
        <v>18</v>
      </c>
      <c r="AB1423" s="9">
        <f t="shared" si="67"/>
        <v>46706</v>
      </c>
      <c r="AC1423" s="10">
        <v>22</v>
      </c>
      <c r="AD1423" s="7">
        <f t="shared" si="68"/>
        <v>1129</v>
      </c>
      <c r="AE1423" s="7">
        <f>IF(F1423="Bullet",H1423*AD1423,MIN(MAX(I1423,1),Assumptions!$B$6)*AD1423)</f>
        <v>1129</v>
      </c>
      <c r="AF1423" s="8">
        <f>IF(F1423="Bullet",MAX(0,Assumptions!$B$4-AB1423),MAX(0,Assumptions!$B$4-L1423))</f>
        <v>18</v>
      </c>
      <c r="AG1423" s="9">
        <v>46252</v>
      </c>
      <c r="AH1423" s="8">
        <f>IF(AG1423="","",Assumptions!$B$4-AG1423)</f>
        <v>46</v>
      </c>
      <c r="AI1423" s="5" t="s">
        <v>57</v>
      </c>
      <c r="AJ1423" s="8">
        <v>1</v>
      </c>
      <c r="AK1423" s="8">
        <v>0</v>
      </c>
      <c r="AL1423" s="8">
        <v>605</v>
      </c>
      <c r="AM1423" s="8">
        <v>0</v>
      </c>
      <c r="AN1423" s="5" t="s">
        <v>57</v>
      </c>
      <c r="AO1423" s="10">
        <v>64</v>
      </c>
      <c r="AP1423" s="8">
        <v>45</v>
      </c>
      <c r="AQ1423" s="9"/>
      <c r="AR1423" s="5"/>
      <c r="AS1423" s="5" t="s">
        <v>159</v>
      </c>
    </row>
    <row r="1424" spans="1:45" x14ac:dyDescent="0.35">
      <c r="A1424" s="5" t="s">
        <v>5943</v>
      </c>
      <c r="B1424" s="5" t="s">
        <v>5944</v>
      </c>
      <c r="C1424" s="6" t="s">
        <v>5945</v>
      </c>
      <c r="D1424" s="7">
        <v>298600</v>
      </c>
      <c r="E1424" s="5" t="s">
        <v>48</v>
      </c>
      <c r="F1424" s="5" t="s">
        <v>49</v>
      </c>
      <c r="G1424" s="8"/>
      <c r="H1424" s="8" t="str">
        <f>IF(F1424="Bullet",MIN(G1424,Assumptions!$B$6),"")</f>
        <v/>
      </c>
      <c r="I1424" s="8">
        <v>1</v>
      </c>
      <c r="J1424" s="8">
        <f>IF(F1424="Monthly interest",MAX(0,Assumptions!$B$5-I1424),"")</f>
        <v>2</v>
      </c>
      <c r="K1424" s="7">
        <f t="shared" si="66"/>
        <v>4977</v>
      </c>
      <c r="L1424" s="9">
        <v>46273</v>
      </c>
      <c r="M1424" s="5" t="s">
        <v>50</v>
      </c>
      <c r="N1424" s="5" t="s">
        <v>53</v>
      </c>
      <c r="O1424" s="5" t="s">
        <v>103</v>
      </c>
      <c r="P1424" s="5" t="s">
        <v>51</v>
      </c>
      <c r="Q1424" s="5" t="s">
        <v>54</v>
      </c>
      <c r="R1424" s="5" t="s">
        <v>55</v>
      </c>
      <c r="S1424" s="5" t="s">
        <v>85</v>
      </c>
      <c r="T1424" s="5" t="s">
        <v>57</v>
      </c>
      <c r="U1424" s="5" t="s">
        <v>86</v>
      </c>
      <c r="V1424" s="5" t="s">
        <v>133</v>
      </c>
      <c r="W1424" s="5" t="s">
        <v>134</v>
      </c>
      <c r="X1424" s="5" t="s">
        <v>5946</v>
      </c>
      <c r="Y1424" s="5" t="s">
        <v>5947</v>
      </c>
      <c r="Z1424" s="9">
        <v>46061</v>
      </c>
      <c r="AA1424" s="8">
        <v>12</v>
      </c>
      <c r="AB1424" s="9">
        <f t="shared" si="67"/>
        <v>46426</v>
      </c>
      <c r="AC1424" s="10">
        <v>20</v>
      </c>
      <c r="AD1424" s="7">
        <f t="shared" si="68"/>
        <v>4977</v>
      </c>
      <c r="AE1424" s="7">
        <f>IF(F1424="Bullet",H1424*AD1424,MIN(MAX(I1424,1),Assumptions!$B$6)*AD1424)</f>
        <v>4977</v>
      </c>
      <c r="AF1424" s="8">
        <f>IF(F1424="Bullet",MAX(0,Assumptions!$B$4-AB1424),MAX(0,Assumptions!$B$4-L1424))</f>
        <v>25</v>
      </c>
      <c r="AG1424" s="9">
        <v>46243</v>
      </c>
      <c r="AH1424" s="8">
        <f>IF(AG1424="","",Assumptions!$B$4-AG1424)</f>
        <v>55</v>
      </c>
      <c r="AI1424" s="5" t="s">
        <v>57</v>
      </c>
      <c r="AJ1424" s="8">
        <v>1</v>
      </c>
      <c r="AK1424" s="8">
        <v>0</v>
      </c>
      <c r="AL1424" s="8">
        <v>674</v>
      </c>
      <c r="AM1424" s="8">
        <v>3</v>
      </c>
      <c r="AN1424" s="5" t="s">
        <v>63</v>
      </c>
      <c r="AO1424" s="10">
        <v>59.7</v>
      </c>
      <c r="AP1424" s="8">
        <v>30</v>
      </c>
      <c r="AQ1424" s="9">
        <v>46297</v>
      </c>
      <c r="AR1424" s="5" t="s">
        <v>51</v>
      </c>
      <c r="AS1424" s="5" t="s">
        <v>81</v>
      </c>
    </row>
    <row r="1425" spans="1:45" x14ac:dyDescent="0.35">
      <c r="A1425" s="5" t="s">
        <v>5948</v>
      </c>
      <c r="B1425" s="5" t="s">
        <v>5949</v>
      </c>
      <c r="C1425" s="6" t="s">
        <v>5950</v>
      </c>
      <c r="D1425" s="7">
        <v>176100</v>
      </c>
      <c r="E1425" s="5" t="s">
        <v>48</v>
      </c>
      <c r="F1425" s="5" t="s">
        <v>49</v>
      </c>
      <c r="G1425" s="8"/>
      <c r="H1425" s="8" t="str">
        <f>IF(F1425="Bullet",MIN(G1425,Assumptions!$B$6),"")</f>
        <v/>
      </c>
      <c r="I1425" s="8">
        <v>2</v>
      </c>
      <c r="J1425" s="8">
        <f>IF(F1425="Monthly interest",MAX(0,Assumptions!$B$5-I1425),"")</f>
        <v>1</v>
      </c>
      <c r="K1425" s="7">
        <f t="shared" si="66"/>
        <v>6458</v>
      </c>
      <c r="L1425" s="9">
        <v>46261</v>
      </c>
      <c r="M1425" s="5" t="s">
        <v>69</v>
      </c>
      <c r="N1425" s="5" t="s">
        <v>53</v>
      </c>
      <c r="O1425" s="5" t="s">
        <v>71</v>
      </c>
      <c r="P1425" s="5" t="s">
        <v>70</v>
      </c>
      <c r="Q1425" s="5" t="s">
        <v>73</v>
      </c>
      <c r="R1425" s="5" t="s">
        <v>74</v>
      </c>
      <c r="S1425" s="5" t="s">
        <v>253</v>
      </c>
      <c r="T1425" s="5" t="s">
        <v>57</v>
      </c>
      <c r="U1425" s="5" t="s">
        <v>86</v>
      </c>
      <c r="V1425" s="5" t="s">
        <v>186</v>
      </c>
      <c r="W1425" s="5" t="s">
        <v>376</v>
      </c>
      <c r="X1425" s="5" t="s">
        <v>1270</v>
      </c>
      <c r="Y1425" s="5" t="s">
        <v>5951</v>
      </c>
      <c r="Z1425" s="9">
        <v>46108</v>
      </c>
      <c r="AA1425" s="8">
        <v>12</v>
      </c>
      <c r="AB1425" s="9">
        <f t="shared" si="67"/>
        <v>46473</v>
      </c>
      <c r="AC1425" s="10">
        <v>22</v>
      </c>
      <c r="AD1425" s="7">
        <f t="shared" si="68"/>
        <v>3229</v>
      </c>
      <c r="AE1425" s="7">
        <f>IF(F1425="Bullet",H1425*AD1425,MIN(MAX(I1425,1),Assumptions!$B$6)*AD1425)</f>
        <v>6458</v>
      </c>
      <c r="AF1425" s="8">
        <f>IF(F1425="Bullet",MAX(0,Assumptions!$B$4-AB1425),MAX(0,Assumptions!$B$4-L1425))</f>
        <v>37</v>
      </c>
      <c r="AG1425" s="9">
        <v>46232</v>
      </c>
      <c r="AH1425" s="8">
        <f>IF(AG1425="","",Assumptions!$B$4-AG1425)</f>
        <v>66</v>
      </c>
      <c r="AI1425" s="5" t="s">
        <v>63</v>
      </c>
      <c r="AJ1425" s="8">
        <v>3</v>
      </c>
      <c r="AK1425" s="8">
        <v>1</v>
      </c>
      <c r="AL1425" s="8">
        <v>745</v>
      </c>
      <c r="AM1425" s="8">
        <v>0</v>
      </c>
      <c r="AN1425" s="5" t="s">
        <v>63</v>
      </c>
      <c r="AO1425" s="10">
        <v>55.1</v>
      </c>
      <c r="AP1425" s="8">
        <v>46</v>
      </c>
      <c r="AQ1425" s="9">
        <v>46286</v>
      </c>
      <c r="AR1425" s="5" t="s">
        <v>51</v>
      </c>
      <c r="AS1425" s="5" t="s">
        <v>81</v>
      </c>
    </row>
    <row r="1426" spans="1:45" x14ac:dyDescent="0.35">
      <c r="A1426" s="5" t="s">
        <v>5952</v>
      </c>
      <c r="B1426" s="5" t="s">
        <v>2021</v>
      </c>
      <c r="C1426" s="6" t="s">
        <v>5953</v>
      </c>
      <c r="D1426" s="7">
        <v>40200</v>
      </c>
      <c r="E1426" s="5" t="s">
        <v>48</v>
      </c>
      <c r="F1426" s="5" t="s">
        <v>49</v>
      </c>
      <c r="G1426" s="8"/>
      <c r="H1426" s="8" t="str">
        <f>IF(F1426="Bullet",MIN(G1426,Assumptions!$B$6),"")</f>
        <v/>
      </c>
      <c r="I1426" s="8">
        <v>2</v>
      </c>
      <c r="J1426" s="8">
        <f>IF(F1426="Monthly interest",MAX(0,Assumptions!$B$5-I1426),"")</f>
        <v>1</v>
      </c>
      <c r="K1426" s="7">
        <f t="shared" si="66"/>
        <v>1206</v>
      </c>
      <c r="L1426" s="9">
        <v>46253</v>
      </c>
      <c r="M1426" s="5" t="s">
        <v>69</v>
      </c>
      <c r="N1426" s="5" t="s">
        <v>53</v>
      </c>
      <c r="O1426" s="5" t="s">
        <v>152</v>
      </c>
      <c r="P1426" s="5" t="s">
        <v>153</v>
      </c>
      <c r="Q1426" s="5" t="s">
        <v>154</v>
      </c>
      <c r="R1426" s="5" t="s">
        <v>155</v>
      </c>
      <c r="S1426" s="5" t="s">
        <v>85</v>
      </c>
      <c r="T1426" s="5" t="s">
        <v>57</v>
      </c>
      <c r="U1426" s="5" t="s">
        <v>86</v>
      </c>
      <c r="V1426" s="5" t="s">
        <v>87</v>
      </c>
      <c r="W1426" s="5" t="s">
        <v>361</v>
      </c>
      <c r="X1426" s="5" t="s">
        <v>646</v>
      </c>
      <c r="Y1426" s="5" t="s">
        <v>5954</v>
      </c>
      <c r="Z1426" s="9">
        <v>45980</v>
      </c>
      <c r="AA1426" s="8">
        <v>18</v>
      </c>
      <c r="AB1426" s="9">
        <f t="shared" si="67"/>
        <v>46526</v>
      </c>
      <c r="AC1426" s="10">
        <v>18</v>
      </c>
      <c r="AD1426" s="7">
        <f t="shared" si="68"/>
        <v>603</v>
      </c>
      <c r="AE1426" s="7">
        <f>IF(F1426="Bullet",H1426*AD1426,MIN(MAX(I1426,1),Assumptions!$B$6)*AD1426)</f>
        <v>1206</v>
      </c>
      <c r="AF1426" s="8">
        <f>IF(F1426="Bullet",MAX(0,Assumptions!$B$4-AB1426),MAX(0,Assumptions!$B$4-L1426))</f>
        <v>45</v>
      </c>
      <c r="AG1426" s="9">
        <v>46222</v>
      </c>
      <c r="AH1426" s="8">
        <f>IF(AG1426="","",Assumptions!$B$4-AG1426)</f>
        <v>76</v>
      </c>
      <c r="AI1426" s="5" t="s">
        <v>57</v>
      </c>
      <c r="AJ1426" s="8">
        <v>2</v>
      </c>
      <c r="AK1426" s="8">
        <v>2</v>
      </c>
      <c r="AL1426" s="8">
        <v>774</v>
      </c>
      <c r="AM1426" s="8">
        <v>0</v>
      </c>
      <c r="AN1426" s="5" t="s">
        <v>63</v>
      </c>
      <c r="AO1426" s="10">
        <v>72.900000000000006</v>
      </c>
      <c r="AP1426" s="8">
        <v>41</v>
      </c>
      <c r="AQ1426" s="9">
        <v>46285</v>
      </c>
      <c r="AR1426" s="5" t="s">
        <v>51</v>
      </c>
      <c r="AS1426" s="5" t="s">
        <v>81</v>
      </c>
    </row>
    <row r="1427" spans="1:45" x14ac:dyDescent="0.35">
      <c r="A1427" s="5" t="s">
        <v>5955</v>
      </c>
      <c r="B1427" s="5" t="s">
        <v>5956</v>
      </c>
      <c r="C1427" s="6" t="s">
        <v>5957</v>
      </c>
      <c r="D1427" s="7">
        <v>32300</v>
      </c>
      <c r="E1427" s="5" t="s">
        <v>48</v>
      </c>
      <c r="F1427" s="5" t="s">
        <v>49</v>
      </c>
      <c r="G1427" s="8"/>
      <c r="H1427" s="8" t="str">
        <f>IF(F1427="Bullet",MIN(G1427,Assumptions!$B$6),"")</f>
        <v/>
      </c>
      <c r="I1427" s="8">
        <v>1</v>
      </c>
      <c r="J1427" s="8">
        <f>IF(F1427="Monthly interest",MAX(0,Assumptions!$B$5-I1427),"")</f>
        <v>2</v>
      </c>
      <c r="K1427" s="7">
        <f t="shared" si="66"/>
        <v>431</v>
      </c>
      <c r="L1427" s="9">
        <v>46281</v>
      </c>
      <c r="M1427" s="5" t="s">
        <v>50</v>
      </c>
      <c r="N1427" s="5" t="s">
        <v>51</v>
      </c>
      <c r="O1427" s="5" t="s">
        <v>152</v>
      </c>
      <c r="P1427" s="5" t="s">
        <v>53</v>
      </c>
      <c r="Q1427" s="5" t="s">
        <v>154</v>
      </c>
      <c r="R1427" s="5" t="s">
        <v>155</v>
      </c>
      <c r="S1427" s="5" t="s">
        <v>85</v>
      </c>
      <c r="T1427" s="5" t="s">
        <v>57</v>
      </c>
      <c r="U1427" s="5" t="s">
        <v>58</v>
      </c>
      <c r="V1427" s="5" t="s">
        <v>177</v>
      </c>
      <c r="W1427" s="5" t="s">
        <v>345</v>
      </c>
      <c r="X1427" s="5" t="s">
        <v>1068</v>
      </c>
      <c r="Y1427" s="5" t="s">
        <v>5958</v>
      </c>
      <c r="Z1427" s="9">
        <v>46158</v>
      </c>
      <c r="AA1427" s="8">
        <v>12</v>
      </c>
      <c r="AB1427" s="9">
        <f t="shared" si="67"/>
        <v>46523</v>
      </c>
      <c r="AC1427" s="10">
        <v>16</v>
      </c>
      <c r="AD1427" s="7">
        <f t="shared" si="68"/>
        <v>431</v>
      </c>
      <c r="AE1427" s="7">
        <f>IF(F1427="Bullet",H1427*AD1427,MIN(MAX(I1427,1),Assumptions!$B$6)*AD1427)</f>
        <v>431</v>
      </c>
      <c r="AF1427" s="8">
        <f>IF(F1427="Bullet",MAX(0,Assumptions!$B$4-AB1427),MAX(0,Assumptions!$B$4-L1427))</f>
        <v>17</v>
      </c>
      <c r="AG1427" s="9">
        <v>46252</v>
      </c>
      <c r="AH1427" s="8">
        <f>IF(AG1427="","",Assumptions!$B$4-AG1427)</f>
        <v>46</v>
      </c>
      <c r="AI1427" s="5" t="s">
        <v>63</v>
      </c>
      <c r="AJ1427" s="8">
        <v>3</v>
      </c>
      <c r="AK1427" s="8">
        <v>0</v>
      </c>
      <c r="AL1427" s="8">
        <v>787</v>
      </c>
      <c r="AM1427" s="8">
        <v>5</v>
      </c>
      <c r="AN1427" s="5" t="s">
        <v>63</v>
      </c>
      <c r="AO1427" s="10">
        <v>60.8</v>
      </c>
      <c r="AP1427" s="8">
        <v>20</v>
      </c>
      <c r="AQ1427" s="9"/>
      <c r="AR1427" s="5"/>
      <c r="AS1427" s="5" t="s">
        <v>159</v>
      </c>
    </row>
    <row r="1428" spans="1:45" x14ac:dyDescent="0.35">
      <c r="A1428" s="5" t="s">
        <v>5959</v>
      </c>
      <c r="B1428" s="5" t="s">
        <v>5203</v>
      </c>
      <c r="C1428" s="6" t="s">
        <v>5960</v>
      </c>
      <c r="D1428" s="7">
        <v>75600</v>
      </c>
      <c r="E1428" s="5" t="s">
        <v>48</v>
      </c>
      <c r="F1428" s="5" t="s">
        <v>49</v>
      </c>
      <c r="G1428" s="8"/>
      <c r="H1428" s="8" t="str">
        <f>IF(F1428="Bullet",MIN(G1428,Assumptions!$B$6),"")</f>
        <v/>
      </c>
      <c r="I1428" s="8">
        <v>2</v>
      </c>
      <c r="J1428" s="8">
        <f>IF(F1428="Monthly interest",MAX(0,Assumptions!$B$5-I1428),"")</f>
        <v>1</v>
      </c>
      <c r="K1428" s="7">
        <f t="shared" si="66"/>
        <v>1890</v>
      </c>
      <c r="L1428" s="9">
        <v>46268</v>
      </c>
      <c r="M1428" s="5" t="s">
        <v>116</v>
      </c>
      <c r="N1428" s="5" t="s">
        <v>117</v>
      </c>
      <c r="O1428" s="5" t="s">
        <v>118</v>
      </c>
      <c r="P1428" s="5" t="s">
        <v>72</v>
      </c>
      <c r="Q1428" s="5" t="s">
        <v>119</v>
      </c>
      <c r="R1428" s="5" t="s">
        <v>120</v>
      </c>
      <c r="S1428" s="5" t="s">
        <v>56</v>
      </c>
      <c r="T1428" s="5" t="s">
        <v>57</v>
      </c>
      <c r="U1428" s="5" t="s">
        <v>58</v>
      </c>
      <c r="V1428" s="5" t="s">
        <v>59</v>
      </c>
      <c r="W1428" s="5" t="s">
        <v>156</v>
      </c>
      <c r="X1428" s="5" t="s">
        <v>5250</v>
      </c>
      <c r="Y1428" s="5" t="s">
        <v>5961</v>
      </c>
      <c r="Z1428" s="9">
        <v>45994</v>
      </c>
      <c r="AA1428" s="8">
        <v>18</v>
      </c>
      <c r="AB1428" s="9">
        <f t="shared" si="67"/>
        <v>46541</v>
      </c>
      <c r="AC1428" s="10">
        <v>15</v>
      </c>
      <c r="AD1428" s="7">
        <f t="shared" si="68"/>
        <v>945</v>
      </c>
      <c r="AE1428" s="7">
        <f>IF(F1428="Bullet",H1428*AD1428,MIN(MAX(I1428,1),Assumptions!$B$6)*AD1428)</f>
        <v>1890</v>
      </c>
      <c r="AF1428" s="8">
        <f>IF(F1428="Bullet",MAX(0,Assumptions!$B$4-AB1428),MAX(0,Assumptions!$B$4-L1428))</f>
        <v>30</v>
      </c>
      <c r="AG1428" s="9">
        <v>46241</v>
      </c>
      <c r="AH1428" s="8">
        <f>IF(AG1428="","",Assumptions!$B$4-AG1428)</f>
        <v>57</v>
      </c>
      <c r="AI1428" s="5" t="s">
        <v>57</v>
      </c>
      <c r="AJ1428" s="8">
        <v>3</v>
      </c>
      <c r="AK1428" s="8">
        <v>0</v>
      </c>
      <c r="AL1428" s="8">
        <v>742</v>
      </c>
      <c r="AM1428" s="8">
        <v>0</v>
      </c>
      <c r="AN1428" s="5" t="s">
        <v>63</v>
      </c>
      <c r="AO1428" s="10">
        <v>85</v>
      </c>
      <c r="AP1428" s="8">
        <v>58</v>
      </c>
      <c r="AQ1428" s="9">
        <v>46281</v>
      </c>
      <c r="AR1428" s="5" t="s">
        <v>70</v>
      </c>
      <c r="AS1428" s="5" t="s">
        <v>81</v>
      </c>
    </row>
    <row r="1429" spans="1:45" x14ac:dyDescent="0.35">
      <c r="A1429" s="5" t="s">
        <v>5962</v>
      </c>
      <c r="B1429" s="5" t="s">
        <v>3675</v>
      </c>
      <c r="C1429" s="6" t="s">
        <v>5963</v>
      </c>
      <c r="D1429" s="7">
        <v>336300</v>
      </c>
      <c r="E1429" s="5" t="s">
        <v>48</v>
      </c>
      <c r="F1429" s="5" t="s">
        <v>49</v>
      </c>
      <c r="G1429" s="8"/>
      <c r="H1429" s="8" t="str">
        <f>IF(F1429="Bullet",MIN(G1429,Assumptions!$B$6),"")</f>
        <v/>
      </c>
      <c r="I1429" s="8">
        <v>1</v>
      </c>
      <c r="J1429" s="8">
        <f>IF(F1429="Monthly interest",MAX(0,Assumptions!$B$5-I1429),"")</f>
        <v>2</v>
      </c>
      <c r="K1429" s="7">
        <f t="shared" si="66"/>
        <v>5045</v>
      </c>
      <c r="L1429" s="9">
        <v>46286</v>
      </c>
      <c r="M1429" s="5" t="s">
        <v>50</v>
      </c>
      <c r="N1429" s="5" t="s">
        <v>51</v>
      </c>
      <c r="O1429" s="5" t="s">
        <v>52</v>
      </c>
      <c r="P1429" s="5" t="s">
        <v>53</v>
      </c>
      <c r="Q1429" s="5" t="s">
        <v>54</v>
      </c>
      <c r="R1429" s="5" t="s">
        <v>55</v>
      </c>
      <c r="S1429" s="5" t="s">
        <v>56</v>
      </c>
      <c r="T1429" s="5" t="s">
        <v>57</v>
      </c>
      <c r="U1429" s="5" t="s">
        <v>86</v>
      </c>
      <c r="V1429" s="5" t="s">
        <v>59</v>
      </c>
      <c r="W1429" s="5" t="s">
        <v>126</v>
      </c>
      <c r="X1429" s="5" t="s">
        <v>1424</v>
      </c>
      <c r="Y1429" s="5" t="s">
        <v>5964</v>
      </c>
      <c r="Z1429" s="9">
        <v>46133</v>
      </c>
      <c r="AA1429" s="8">
        <v>24</v>
      </c>
      <c r="AB1429" s="9">
        <f t="shared" si="67"/>
        <v>46864</v>
      </c>
      <c r="AC1429" s="10">
        <v>18</v>
      </c>
      <c r="AD1429" s="7">
        <f t="shared" si="68"/>
        <v>5045</v>
      </c>
      <c r="AE1429" s="7">
        <f>IF(F1429="Bullet",H1429*AD1429,MIN(MAX(I1429,1),Assumptions!$B$6)*AD1429)</f>
        <v>5045</v>
      </c>
      <c r="AF1429" s="8">
        <f>IF(F1429="Bullet",MAX(0,Assumptions!$B$4-AB1429),MAX(0,Assumptions!$B$4-L1429))</f>
        <v>12</v>
      </c>
      <c r="AG1429" s="9">
        <v>46256</v>
      </c>
      <c r="AH1429" s="8">
        <f>IF(AG1429="","",Assumptions!$B$4-AG1429)</f>
        <v>42</v>
      </c>
      <c r="AI1429" s="5" t="s">
        <v>63</v>
      </c>
      <c r="AJ1429" s="8">
        <v>1</v>
      </c>
      <c r="AK1429" s="8">
        <v>0</v>
      </c>
      <c r="AL1429" s="8" t="s">
        <v>80</v>
      </c>
      <c r="AM1429" s="8">
        <v>2</v>
      </c>
      <c r="AN1429" s="5" t="s">
        <v>63</v>
      </c>
      <c r="AO1429" s="10">
        <v>71</v>
      </c>
      <c r="AP1429" s="8">
        <v>22</v>
      </c>
      <c r="AQ1429" s="9">
        <v>46283</v>
      </c>
      <c r="AR1429" s="5" t="s">
        <v>70</v>
      </c>
      <c r="AS1429" s="5" t="s">
        <v>91</v>
      </c>
    </row>
    <row r="1430" spans="1:45" x14ac:dyDescent="0.35">
      <c r="A1430" s="5" t="s">
        <v>5965</v>
      </c>
      <c r="B1430" s="5" t="s">
        <v>3163</v>
      </c>
      <c r="C1430" s="6" t="s">
        <v>5966</v>
      </c>
      <c r="D1430" s="7">
        <v>58900</v>
      </c>
      <c r="E1430" s="5" t="s">
        <v>48</v>
      </c>
      <c r="F1430" s="5" t="s">
        <v>49</v>
      </c>
      <c r="G1430" s="8"/>
      <c r="H1430" s="8" t="str">
        <f>IF(F1430="Bullet",MIN(G1430,Assumptions!$B$6),"")</f>
        <v/>
      </c>
      <c r="I1430" s="8">
        <v>2</v>
      </c>
      <c r="J1430" s="8">
        <f>IF(F1430="Monthly interest",MAX(0,Assumptions!$B$5-I1430),"")</f>
        <v>1</v>
      </c>
      <c r="K1430" s="7">
        <f t="shared" si="66"/>
        <v>2160</v>
      </c>
      <c r="L1430" s="9">
        <v>46268</v>
      </c>
      <c r="M1430" s="5" t="s">
        <v>116</v>
      </c>
      <c r="N1430" s="5" t="s">
        <v>117</v>
      </c>
      <c r="O1430" s="5" t="s">
        <v>118</v>
      </c>
      <c r="P1430" s="5" t="s">
        <v>72</v>
      </c>
      <c r="Q1430" s="5" t="s">
        <v>119</v>
      </c>
      <c r="R1430" s="5" t="s">
        <v>120</v>
      </c>
      <c r="S1430" s="5" t="s">
        <v>75</v>
      </c>
      <c r="T1430" s="5" t="s">
        <v>57</v>
      </c>
      <c r="U1430" s="5" t="s">
        <v>104</v>
      </c>
      <c r="V1430" s="5" t="s">
        <v>76</v>
      </c>
      <c r="W1430" s="5" t="s">
        <v>105</v>
      </c>
      <c r="X1430" s="5" t="s">
        <v>1884</v>
      </c>
      <c r="Y1430" s="5" t="s">
        <v>5967</v>
      </c>
      <c r="Z1430" s="9">
        <v>46025</v>
      </c>
      <c r="AA1430" s="8">
        <v>24</v>
      </c>
      <c r="AB1430" s="9">
        <f t="shared" si="67"/>
        <v>46755</v>
      </c>
      <c r="AC1430" s="10">
        <v>22</v>
      </c>
      <c r="AD1430" s="7">
        <f t="shared" si="68"/>
        <v>1080</v>
      </c>
      <c r="AE1430" s="7">
        <f>IF(F1430="Bullet",H1430*AD1430,MIN(MAX(I1430,1),Assumptions!$B$6)*AD1430)</f>
        <v>2160</v>
      </c>
      <c r="AF1430" s="8">
        <f>IF(F1430="Bullet",MAX(0,Assumptions!$B$4-AB1430),MAX(0,Assumptions!$B$4-L1430))</f>
        <v>30</v>
      </c>
      <c r="AG1430" s="9">
        <v>46239</v>
      </c>
      <c r="AH1430" s="8">
        <f>IF(AG1430="","",Assumptions!$B$4-AG1430)</f>
        <v>59</v>
      </c>
      <c r="AI1430" s="5" t="s">
        <v>63</v>
      </c>
      <c r="AJ1430" s="8">
        <v>3</v>
      </c>
      <c r="AK1430" s="8">
        <v>1</v>
      </c>
      <c r="AL1430" s="8">
        <v>656</v>
      </c>
      <c r="AM1430" s="8">
        <v>2</v>
      </c>
      <c r="AN1430" s="5" t="s">
        <v>63</v>
      </c>
      <c r="AO1430" s="10">
        <v>76</v>
      </c>
      <c r="AP1430" s="8">
        <v>57</v>
      </c>
      <c r="AQ1430" s="9">
        <v>46285</v>
      </c>
      <c r="AR1430" s="5" t="s">
        <v>70</v>
      </c>
      <c r="AS1430" s="5" t="s">
        <v>81</v>
      </c>
    </row>
    <row r="1431" spans="1:45" x14ac:dyDescent="0.35">
      <c r="A1431" s="5" t="s">
        <v>5968</v>
      </c>
      <c r="B1431" s="5" t="s">
        <v>5969</v>
      </c>
      <c r="C1431" s="6" t="s">
        <v>5970</v>
      </c>
      <c r="D1431" s="7">
        <v>287900</v>
      </c>
      <c r="E1431" s="5" t="s">
        <v>48</v>
      </c>
      <c r="F1431" s="5" t="s">
        <v>49</v>
      </c>
      <c r="G1431" s="8"/>
      <c r="H1431" s="8" t="str">
        <f>IF(F1431="Bullet",MIN(G1431,Assumptions!$B$6),"")</f>
        <v/>
      </c>
      <c r="I1431" s="8">
        <v>1</v>
      </c>
      <c r="J1431" s="8">
        <f>IF(F1431="Monthly interest",MAX(0,Assumptions!$B$5-I1431),"")</f>
        <v>2</v>
      </c>
      <c r="K1431" s="7">
        <f t="shared" si="66"/>
        <v>3839</v>
      </c>
      <c r="L1431" s="9">
        <v>46292</v>
      </c>
      <c r="M1431" s="5" t="s">
        <v>69</v>
      </c>
      <c r="N1431" s="5" t="s">
        <v>53</v>
      </c>
      <c r="O1431" s="5" t="s">
        <v>132</v>
      </c>
      <c r="P1431" s="5" t="s">
        <v>70</v>
      </c>
      <c r="Q1431" s="5" t="s">
        <v>54</v>
      </c>
      <c r="R1431" s="5" t="s">
        <v>55</v>
      </c>
      <c r="S1431" s="5" t="s">
        <v>214</v>
      </c>
      <c r="T1431" s="5" t="s">
        <v>57</v>
      </c>
      <c r="U1431" s="5" t="s">
        <v>104</v>
      </c>
      <c r="V1431" s="5" t="s">
        <v>215</v>
      </c>
      <c r="W1431" s="5" t="s">
        <v>600</v>
      </c>
      <c r="X1431" s="5" t="s">
        <v>1867</v>
      </c>
      <c r="Y1431" s="5" t="s">
        <v>5971</v>
      </c>
      <c r="Z1431" s="9">
        <v>46080</v>
      </c>
      <c r="AA1431" s="8">
        <v>12</v>
      </c>
      <c r="AB1431" s="9">
        <f t="shared" si="67"/>
        <v>46445</v>
      </c>
      <c r="AC1431" s="10">
        <v>16</v>
      </c>
      <c r="AD1431" s="7">
        <f t="shared" si="68"/>
        <v>3839</v>
      </c>
      <c r="AE1431" s="7">
        <f>IF(F1431="Bullet",H1431*AD1431,MIN(MAX(I1431,1),Assumptions!$B$6)*AD1431)</f>
        <v>3839</v>
      </c>
      <c r="AF1431" s="8">
        <f>IF(F1431="Bullet",MAX(0,Assumptions!$B$4-AB1431),MAX(0,Assumptions!$B$4-L1431))</f>
        <v>6</v>
      </c>
      <c r="AG1431" s="9">
        <v>46263</v>
      </c>
      <c r="AH1431" s="8">
        <f>IF(AG1431="","",Assumptions!$B$4-AG1431)</f>
        <v>35</v>
      </c>
      <c r="AI1431" s="5" t="s">
        <v>63</v>
      </c>
      <c r="AJ1431" s="8">
        <v>1</v>
      </c>
      <c r="AK1431" s="8">
        <v>1</v>
      </c>
      <c r="AL1431" s="8">
        <v>722</v>
      </c>
      <c r="AM1431" s="8">
        <v>2</v>
      </c>
      <c r="AN1431" s="5" t="s">
        <v>63</v>
      </c>
      <c r="AO1431" s="10">
        <v>76.099999999999994</v>
      </c>
      <c r="AP1431" s="8">
        <v>32</v>
      </c>
      <c r="AQ1431" s="9">
        <v>46297</v>
      </c>
      <c r="AR1431" s="5" t="s">
        <v>51</v>
      </c>
      <c r="AS1431" s="5" t="s">
        <v>91</v>
      </c>
    </row>
    <row r="1432" spans="1:45" x14ac:dyDescent="0.35">
      <c r="A1432" s="5" t="s">
        <v>5972</v>
      </c>
      <c r="B1432" s="5" t="s">
        <v>5973</v>
      </c>
      <c r="C1432" s="6" t="s">
        <v>5974</v>
      </c>
      <c r="D1432" s="7">
        <v>92800</v>
      </c>
      <c r="E1432" s="5" t="s">
        <v>48</v>
      </c>
      <c r="F1432" s="5" t="s">
        <v>68</v>
      </c>
      <c r="G1432" s="8">
        <v>6</v>
      </c>
      <c r="H1432" s="8">
        <f>IF(F1432="Bullet",MIN(G1432,Assumptions!$B$6),"")</f>
        <v>2</v>
      </c>
      <c r="I1432" s="8"/>
      <c r="J1432" s="8" t="str">
        <f>IF(F1432="Monthly interest",MAX(0,Assumptions!$B$5-I1432),"")</f>
        <v/>
      </c>
      <c r="K1432" s="7">
        <f t="shared" si="66"/>
        <v>7422</v>
      </c>
      <c r="L1432" s="9">
        <v>46096</v>
      </c>
      <c r="M1432" s="5" t="s">
        <v>116</v>
      </c>
      <c r="N1432" s="5" t="s">
        <v>117</v>
      </c>
      <c r="O1432" s="5" t="s">
        <v>461</v>
      </c>
      <c r="P1432" s="5" t="s">
        <v>72</v>
      </c>
      <c r="Q1432" s="5" t="s">
        <v>169</v>
      </c>
      <c r="R1432" s="5" t="s">
        <v>170</v>
      </c>
      <c r="S1432" s="5" t="s">
        <v>185</v>
      </c>
      <c r="T1432" s="5" t="s">
        <v>57</v>
      </c>
      <c r="U1432" s="5" t="s">
        <v>86</v>
      </c>
      <c r="V1432" s="5" t="s">
        <v>186</v>
      </c>
      <c r="W1432" s="5" t="s">
        <v>376</v>
      </c>
      <c r="X1432" s="5" t="s">
        <v>5975</v>
      </c>
      <c r="Y1432" s="5" t="s">
        <v>5976</v>
      </c>
      <c r="Z1432" s="9">
        <v>46096</v>
      </c>
      <c r="AA1432" s="8">
        <v>12</v>
      </c>
      <c r="AB1432" s="9">
        <f t="shared" si="67"/>
        <v>46461</v>
      </c>
      <c r="AC1432" s="10">
        <v>16</v>
      </c>
      <c r="AD1432" s="7">
        <f t="shared" si="68"/>
        <v>1237</v>
      </c>
      <c r="AE1432" s="7">
        <f>IF(F1432="Bullet",H1432*AD1432,MIN(MAX(I1432,1),Assumptions!$B$6)*AD1432)</f>
        <v>2474</v>
      </c>
      <c r="AF1432" s="8">
        <f>IF(F1432="Bullet",MAX(0,Assumptions!$B$4-AB1432),MAX(0,Assumptions!$B$4-L1432))</f>
        <v>0</v>
      </c>
      <c r="AG1432" s="9"/>
      <c r="AH1432" s="8" t="str">
        <f>IF(AG1432="","",Assumptions!$B$4-AG1432)</f>
        <v/>
      </c>
      <c r="AI1432" s="5" t="s">
        <v>80</v>
      </c>
      <c r="AJ1432" s="8"/>
      <c r="AK1432" s="8">
        <v>2</v>
      </c>
      <c r="AL1432" s="8">
        <v>683</v>
      </c>
      <c r="AM1432" s="8">
        <v>2</v>
      </c>
      <c r="AN1432" s="5" t="s">
        <v>63</v>
      </c>
      <c r="AO1432" s="10">
        <v>67.099999999999994</v>
      </c>
      <c r="AP1432" s="8">
        <v>50</v>
      </c>
      <c r="AQ1432" s="9">
        <v>46275</v>
      </c>
      <c r="AR1432" s="5" t="s">
        <v>70</v>
      </c>
      <c r="AS1432" s="5" t="s">
        <v>181</v>
      </c>
    </row>
    <row r="1433" spans="1:45" x14ac:dyDescent="0.35">
      <c r="A1433" s="5" t="s">
        <v>5977</v>
      </c>
      <c r="B1433" s="5" t="s">
        <v>2490</v>
      </c>
      <c r="C1433" s="6" t="s">
        <v>5978</v>
      </c>
      <c r="D1433" s="7">
        <v>210100</v>
      </c>
      <c r="E1433" s="5" t="s">
        <v>48</v>
      </c>
      <c r="F1433" s="5" t="s">
        <v>49</v>
      </c>
      <c r="G1433" s="8"/>
      <c r="H1433" s="8" t="str">
        <f>IF(F1433="Bullet",MIN(G1433,Assumptions!$B$6),"")</f>
        <v/>
      </c>
      <c r="I1433" s="8">
        <v>2</v>
      </c>
      <c r="J1433" s="8">
        <f>IF(F1433="Monthly interest",MAX(0,Assumptions!$B$5-I1433),"")</f>
        <v>1</v>
      </c>
      <c r="K1433" s="7">
        <f t="shared" si="66"/>
        <v>5252</v>
      </c>
      <c r="L1433" s="9">
        <v>46244</v>
      </c>
      <c r="M1433" s="5" t="s">
        <v>116</v>
      </c>
      <c r="N1433" s="5" t="s">
        <v>117</v>
      </c>
      <c r="O1433" s="5" t="s">
        <v>118</v>
      </c>
      <c r="P1433" s="5" t="s">
        <v>72</v>
      </c>
      <c r="Q1433" s="5" t="s">
        <v>119</v>
      </c>
      <c r="R1433" s="5" t="s">
        <v>120</v>
      </c>
      <c r="S1433" s="5" t="s">
        <v>85</v>
      </c>
      <c r="T1433" s="5" t="s">
        <v>57</v>
      </c>
      <c r="U1433" s="5" t="s">
        <v>58</v>
      </c>
      <c r="V1433" s="5" t="s">
        <v>177</v>
      </c>
      <c r="W1433" s="5" t="s">
        <v>178</v>
      </c>
      <c r="X1433" s="5" t="s">
        <v>1528</v>
      </c>
      <c r="Y1433" s="5" t="s">
        <v>5979</v>
      </c>
      <c r="Z1433" s="9">
        <v>46183</v>
      </c>
      <c r="AA1433" s="8">
        <v>12</v>
      </c>
      <c r="AB1433" s="9">
        <f t="shared" si="67"/>
        <v>46548</v>
      </c>
      <c r="AC1433" s="10">
        <v>15</v>
      </c>
      <c r="AD1433" s="7">
        <f t="shared" si="68"/>
        <v>2626</v>
      </c>
      <c r="AE1433" s="7">
        <f>IF(F1433="Bullet",H1433*AD1433,MIN(MAX(I1433,1),Assumptions!$B$6)*AD1433)</f>
        <v>5252</v>
      </c>
      <c r="AF1433" s="8">
        <f>IF(F1433="Bullet",MAX(0,Assumptions!$B$4-AB1433),MAX(0,Assumptions!$B$4-L1433))</f>
        <v>54</v>
      </c>
      <c r="AG1433" s="9">
        <v>46218</v>
      </c>
      <c r="AH1433" s="8">
        <f>IF(AG1433="","",Assumptions!$B$4-AG1433)</f>
        <v>80</v>
      </c>
      <c r="AI1433" s="5" t="s">
        <v>63</v>
      </c>
      <c r="AJ1433" s="8">
        <v>3</v>
      </c>
      <c r="AK1433" s="8">
        <v>2</v>
      </c>
      <c r="AL1433" s="8">
        <v>619</v>
      </c>
      <c r="AM1433" s="8">
        <v>3</v>
      </c>
      <c r="AN1433" s="5" t="s">
        <v>57</v>
      </c>
      <c r="AO1433" s="10">
        <v>75.3</v>
      </c>
      <c r="AP1433" s="8">
        <v>76</v>
      </c>
      <c r="AQ1433" s="9"/>
      <c r="AR1433" s="5"/>
      <c r="AS1433" s="5" t="s">
        <v>159</v>
      </c>
    </row>
    <row r="1434" spans="1:45" x14ac:dyDescent="0.35">
      <c r="A1434" s="5" t="s">
        <v>5980</v>
      </c>
      <c r="B1434" s="5" t="s">
        <v>4843</v>
      </c>
      <c r="C1434" s="6" t="s">
        <v>5981</v>
      </c>
      <c r="D1434" s="7">
        <v>126300</v>
      </c>
      <c r="E1434" s="5" t="s">
        <v>48</v>
      </c>
      <c r="F1434" s="5" t="s">
        <v>49</v>
      </c>
      <c r="G1434" s="8"/>
      <c r="H1434" s="8" t="str">
        <f>IF(F1434="Bullet",MIN(G1434,Assumptions!$B$6),"")</f>
        <v/>
      </c>
      <c r="I1434" s="8">
        <v>2</v>
      </c>
      <c r="J1434" s="8">
        <f>IF(F1434="Monthly interest",MAX(0,Assumptions!$B$5-I1434),"")</f>
        <v>1</v>
      </c>
      <c r="K1434" s="7">
        <f t="shared" si="66"/>
        <v>3368</v>
      </c>
      <c r="L1434" s="9">
        <v>46261</v>
      </c>
      <c r="M1434" s="5" t="s">
        <v>50</v>
      </c>
      <c r="N1434" s="5" t="s">
        <v>53</v>
      </c>
      <c r="O1434" s="5" t="s">
        <v>95</v>
      </c>
      <c r="P1434" s="5" t="s">
        <v>70</v>
      </c>
      <c r="Q1434" s="5" t="s">
        <v>73</v>
      </c>
      <c r="R1434" s="5" t="s">
        <v>74</v>
      </c>
      <c r="S1434" s="5" t="s">
        <v>56</v>
      </c>
      <c r="T1434" s="5" t="s">
        <v>63</v>
      </c>
      <c r="U1434" s="5" t="s">
        <v>58</v>
      </c>
      <c r="V1434" s="5" t="s">
        <v>59</v>
      </c>
      <c r="W1434" s="5" t="s">
        <v>300</v>
      </c>
      <c r="X1434" s="5" t="s">
        <v>2310</v>
      </c>
      <c r="Y1434" s="5" t="s">
        <v>5982</v>
      </c>
      <c r="Z1434" s="9">
        <v>45988</v>
      </c>
      <c r="AA1434" s="8">
        <v>24</v>
      </c>
      <c r="AB1434" s="9">
        <f t="shared" si="67"/>
        <v>46718</v>
      </c>
      <c r="AC1434" s="10">
        <v>16</v>
      </c>
      <c r="AD1434" s="7">
        <f t="shared" si="68"/>
        <v>1684</v>
      </c>
      <c r="AE1434" s="7">
        <f>IF(F1434="Bullet",H1434*AD1434,MIN(MAX(I1434,1),Assumptions!$B$6)*AD1434)</f>
        <v>3368</v>
      </c>
      <c r="AF1434" s="8">
        <f>IF(F1434="Bullet",MAX(0,Assumptions!$B$4-AB1434),MAX(0,Assumptions!$B$4-L1434))</f>
        <v>37</v>
      </c>
      <c r="AG1434" s="9">
        <v>46231</v>
      </c>
      <c r="AH1434" s="8">
        <f>IF(AG1434="","",Assumptions!$B$4-AG1434)</f>
        <v>67</v>
      </c>
      <c r="AI1434" s="5" t="s">
        <v>57</v>
      </c>
      <c r="AJ1434" s="8">
        <v>2</v>
      </c>
      <c r="AK1434" s="8">
        <v>0</v>
      </c>
      <c r="AL1434" s="8">
        <v>785</v>
      </c>
      <c r="AM1434" s="8">
        <v>1</v>
      </c>
      <c r="AN1434" s="5" t="s">
        <v>63</v>
      </c>
      <c r="AO1434" s="10">
        <v>63.1</v>
      </c>
      <c r="AP1434" s="8">
        <v>28</v>
      </c>
      <c r="AQ1434" s="9">
        <v>46285</v>
      </c>
      <c r="AR1434" s="5" t="s">
        <v>70</v>
      </c>
      <c r="AS1434" s="5" t="s">
        <v>81</v>
      </c>
    </row>
    <row r="1435" spans="1:45" x14ac:dyDescent="0.35">
      <c r="A1435" s="5" t="s">
        <v>5983</v>
      </c>
      <c r="B1435" s="5" t="s">
        <v>454</v>
      </c>
      <c r="C1435" s="6" t="s">
        <v>5984</v>
      </c>
      <c r="D1435" s="7">
        <v>37200</v>
      </c>
      <c r="E1435" s="5" t="s">
        <v>48</v>
      </c>
      <c r="F1435" s="5" t="s">
        <v>68</v>
      </c>
      <c r="G1435" s="8">
        <v>2</v>
      </c>
      <c r="H1435" s="8">
        <f>IF(F1435="Bullet",MIN(G1435,Assumptions!$B$6),"")</f>
        <v>2</v>
      </c>
      <c r="I1435" s="8"/>
      <c r="J1435" s="8" t="str">
        <f>IF(F1435="Monthly interest",MAX(0,Assumptions!$B$5-I1435),"")</f>
        <v/>
      </c>
      <c r="K1435" s="7">
        <f t="shared" si="66"/>
        <v>868</v>
      </c>
      <c r="L1435" s="9">
        <v>46226</v>
      </c>
      <c r="M1435" s="5" t="s">
        <v>50</v>
      </c>
      <c r="N1435" s="5" t="s">
        <v>53</v>
      </c>
      <c r="O1435" s="5" t="s">
        <v>152</v>
      </c>
      <c r="P1435" s="5" t="s">
        <v>153</v>
      </c>
      <c r="Q1435" s="5" t="s">
        <v>154</v>
      </c>
      <c r="R1435" s="5" t="s">
        <v>155</v>
      </c>
      <c r="S1435" s="5" t="s">
        <v>85</v>
      </c>
      <c r="T1435" s="5" t="s">
        <v>57</v>
      </c>
      <c r="U1435" s="5" t="s">
        <v>86</v>
      </c>
      <c r="V1435" s="5" t="s">
        <v>133</v>
      </c>
      <c r="W1435" s="5" t="s">
        <v>134</v>
      </c>
      <c r="X1435" s="5" t="s">
        <v>356</v>
      </c>
      <c r="Y1435" s="5" t="s">
        <v>5985</v>
      </c>
      <c r="Z1435" s="9">
        <v>46226</v>
      </c>
      <c r="AA1435" s="8">
        <v>3</v>
      </c>
      <c r="AB1435" s="9">
        <f t="shared" si="67"/>
        <v>46318</v>
      </c>
      <c r="AC1435" s="10">
        <v>14</v>
      </c>
      <c r="AD1435" s="7">
        <f t="shared" si="68"/>
        <v>434</v>
      </c>
      <c r="AE1435" s="7">
        <f>IF(F1435="Bullet",H1435*AD1435,MIN(MAX(I1435,1),Assumptions!$B$6)*AD1435)</f>
        <v>868</v>
      </c>
      <c r="AF1435" s="8">
        <f>IF(F1435="Bullet",MAX(0,Assumptions!$B$4-AB1435),MAX(0,Assumptions!$B$4-L1435))</f>
        <v>0</v>
      </c>
      <c r="AG1435" s="9"/>
      <c r="AH1435" s="8" t="str">
        <f>IF(AG1435="","",Assumptions!$B$4-AG1435)</f>
        <v/>
      </c>
      <c r="AI1435" s="5" t="s">
        <v>80</v>
      </c>
      <c r="AJ1435" s="8"/>
      <c r="AK1435" s="8">
        <v>0</v>
      </c>
      <c r="AL1435" s="8">
        <v>874</v>
      </c>
      <c r="AM1435" s="8">
        <v>1</v>
      </c>
      <c r="AN1435" s="5" t="s">
        <v>63</v>
      </c>
      <c r="AO1435" s="10">
        <v>63.1</v>
      </c>
      <c r="AP1435" s="8">
        <v>15</v>
      </c>
      <c r="AQ1435" s="9">
        <v>46284</v>
      </c>
      <c r="AR1435" s="5" t="s">
        <v>53</v>
      </c>
      <c r="AS1435" s="5" t="s">
        <v>274</v>
      </c>
    </row>
    <row r="1436" spans="1:45" x14ac:dyDescent="0.35">
      <c r="A1436" s="5" t="s">
        <v>5986</v>
      </c>
      <c r="B1436" s="5" t="s">
        <v>2211</v>
      </c>
      <c r="C1436" s="6" t="s">
        <v>5987</v>
      </c>
      <c r="D1436" s="7">
        <v>133000</v>
      </c>
      <c r="E1436" s="5" t="s">
        <v>48</v>
      </c>
      <c r="F1436" s="5" t="s">
        <v>68</v>
      </c>
      <c r="G1436" s="8">
        <v>4</v>
      </c>
      <c r="H1436" s="8">
        <f>IF(F1436="Bullet",MIN(G1436,Assumptions!$B$6),"")</f>
        <v>2</v>
      </c>
      <c r="I1436" s="8"/>
      <c r="J1436" s="8" t="str">
        <f>IF(F1436="Monthly interest",MAX(0,Assumptions!$B$5-I1436),"")</f>
        <v/>
      </c>
      <c r="K1436" s="7">
        <f t="shared" si="66"/>
        <v>5320</v>
      </c>
      <c r="L1436" s="9">
        <v>46163</v>
      </c>
      <c r="M1436" s="5" t="s">
        <v>50</v>
      </c>
      <c r="N1436" s="5" t="s">
        <v>70</v>
      </c>
      <c r="O1436" s="5" t="s">
        <v>531</v>
      </c>
      <c r="P1436" s="5" t="s">
        <v>72</v>
      </c>
      <c r="Q1436" s="5" t="s">
        <v>73</v>
      </c>
      <c r="R1436" s="5" t="s">
        <v>74</v>
      </c>
      <c r="S1436" s="5" t="s">
        <v>75</v>
      </c>
      <c r="T1436" s="5" t="s">
        <v>57</v>
      </c>
      <c r="U1436" s="5" t="s">
        <v>104</v>
      </c>
      <c r="V1436" s="5" t="s">
        <v>76</v>
      </c>
      <c r="W1436" s="5" t="s">
        <v>382</v>
      </c>
      <c r="X1436" s="5" t="s">
        <v>4446</v>
      </c>
      <c r="Y1436" s="5" t="s">
        <v>5988</v>
      </c>
      <c r="Z1436" s="9">
        <v>46163</v>
      </c>
      <c r="AA1436" s="8">
        <v>12</v>
      </c>
      <c r="AB1436" s="9">
        <f t="shared" si="67"/>
        <v>46528</v>
      </c>
      <c r="AC1436" s="10">
        <v>12</v>
      </c>
      <c r="AD1436" s="7">
        <f t="shared" si="68"/>
        <v>1330</v>
      </c>
      <c r="AE1436" s="7">
        <f>IF(F1436="Bullet",H1436*AD1436,MIN(MAX(I1436,1),Assumptions!$B$6)*AD1436)</f>
        <v>2660</v>
      </c>
      <c r="AF1436" s="8">
        <f>IF(F1436="Bullet",MAX(0,Assumptions!$B$4-AB1436),MAX(0,Assumptions!$B$4-L1436))</f>
        <v>0</v>
      </c>
      <c r="AG1436" s="9"/>
      <c r="AH1436" s="8" t="str">
        <f>IF(AG1436="","",Assumptions!$B$4-AG1436)</f>
        <v/>
      </c>
      <c r="AI1436" s="5" t="s">
        <v>80</v>
      </c>
      <c r="AJ1436" s="8"/>
      <c r="AK1436" s="8">
        <v>0</v>
      </c>
      <c r="AL1436" s="8">
        <v>721</v>
      </c>
      <c r="AM1436" s="8">
        <v>4</v>
      </c>
      <c r="AN1436" s="5" t="s">
        <v>63</v>
      </c>
      <c r="AO1436" s="10">
        <v>69.3</v>
      </c>
      <c r="AP1436" s="8">
        <v>23</v>
      </c>
      <c r="AQ1436" s="9">
        <v>46292</v>
      </c>
      <c r="AR1436" s="5" t="s">
        <v>53</v>
      </c>
      <c r="AS1436" s="5" t="s">
        <v>81</v>
      </c>
    </row>
    <row r="1437" spans="1:45" x14ac:dyDescent="0.35">
      <c r="A1437" s="5" t="s">
        <v>5989</v>
      </c>
      <c r="B1437" s="5" t="s">
        <v>5990</v>
      </c>
      <c r="C1437" s="6" t="s">
        <v>5991</v>
      </c>
      <c r="D1437" s="7">
        <v>352500</v>
      </c>
      <c r="E1437" s="5" t="s">
        <v>48</v>
      </c>
      <c r="F1437" s="5" t="s">
        <v>68</v>
      </c>
      <c r="G1437" s="8">
        <v>3</v>
      </c>
      <c r="H1437" s="8">
        <f>IF(F1437="Bullet",MIN(G1437,Assumptions!$B$6),"")</f>
        <v>2</v>
      </c>
      <c r="I1437" s="8"/>
      <c r="J1437" s="8" t="str">
        <f>IF(F1437="Monthly interest",MAX(0,Assumptions!$B$5-I1437),"")</f>
        <v/>
      </c>
      <c r="K1437" s="7">
        <f t="shared" si="66"/>
        <v>15864</v>
      </c>
      <c r="L1437" s="9">
        <v>46193</v>
      </c>
      <c r="M1437" s="5" t="s">
        <v>69</v>
      </c>
      <c r="N1437" s="5" t="s">
        <v>70</v>
      </c>
      <c r="O1437" s="5" t="s">
        <v>71</v>
      </c>
      <c r="P1437" s="5" t="s">
        <v>72</v>
      </c>
      <c r="Q1437" s="5" t="s">
        <v>73</v>
      </c>
      <c r="R1437" s="5" t="s">
        <v>74</v>
      </c>
      <c r="S1437" s="5" t="s">
        <v>85</v>
      </c>
      <c r="T1437" s="5" t="s">
        <v>63</v>
      </c>
      <c r="U1437" s="5" t="s">
        <v>86</v>
      </c>
      <c r="V1437" s="5" t="s">
        <v>553</v>
      </c>
      <c r="W1437" s="5" t="s">
        <v>554</v>
      </c>
      <c r="X1437" s="5" t="s">
        <v>5992</v>
      </c>
      <c r="Y1437" s="5" t="s">
        <v>5993</v>
      </c>
      <c r="Z1437" s="9">
        <v>46193</v>
      </c>
      <c r="AA1437" s="8">
        <v>12</v>
      </c>
      <c r="AB1437" s="9">
        <f t="shared" si="67"/>
        <v>46558</v>
      </c>
      <c r="AC1437" s="10">
        <v>18</v>
      </c>
      <c r="AD1437" s="7">
        <f t="shared" si="68"/>
        <v>5288</v>
      </c>
      <c r="AE1437" s="7">
        <f>IF(F1437="Bullet",H1437*AD1437,MIN(MAX(I1437,1),Assumptions!$B$6)*AD1437)</f>
        <v>10576</v>
      </c>
      <c r="AF1437" s="8">
        <f>IF(F1437="Bullet",MAX(0,Assumptions!$B$4-AB1437),MAX(0,Assumptions!$B$4-L1437))</f>
        <v>0</v>
      </c>
      <c r="AG1437" s="9"/>
      <c r="AH1437" s="8" t="str">
        <f>IF(AG1437="","",Assumptions!$B$4-AG1437)</f>
        <v/>
      </c>
      <c r="AI1437" s="5" t="s">
        <v>80</v>
      </c>
      <c r="AJ1437" s="8"/>
      <c r="AK1437" s="8">
        <v>0</v>
      </c>
      <c r="AL1437" s="8">
        <v>633</v>
      </c>
      <c r="AM1437" s="8">
        <v>3</v>
      </c>
      <c r="AN1437" s="5" t="s">
        <v>63</v>
      </c>
      <c r="AO1437" s="10">
        <v>82.3</v>
      </c>
      <c r="AP1437" s="8">
        <v>41</v>
      </c>
      <c r="AQ1437" s="9">
        <v>46293</v>
      </c>
      <c r="AR1437" s="5" t="s">
        <v>72</v>
      </c>
      <c r="AS1437" s="5" t="s">
        <v>190</v>
      </c>
    </row>
    <row r="1438" spans="1:45" x14ac:dyDescent="0.35">
      <c r="A1438" s="5" t="s">
        <v>5994</v>
      </c>
      <c r="B1438" s="5" t="s">
        <v>795</v>
      </c>
      <c r="C1438" s="6" t="s">
        <v>5995</v>
      </c>
      <c r="D1438" s="7">
        <v>90800</v>
      </c>
      <c r="E1438" s="5" t="s">
        <v>48</v>
      </c>
      <c r="F1438" s="5" t="s">
        <v>68</v>
      </c>
      <c r="G1438" s="8">
        <v>5</v>
      </c>
      <c r="H1438" s="8">
        <f>IF(F1438="Bullet",MIN(G1438,Assumptions!$B$6),"")</f>
        <v>2</v>
      </c>
      <c r="I1438" s="8"/>
      <c r="J1438" s="8" t="str">
        <f>IF(F1438="Monthly interest",MAX(0,Assumptions!$B$5-I1438),"")</f>
        <v/>
      </c>
      <c r="K1438" s="7">
        <f t="shared" si="66"/>
        <v>6810</v>
      </c>
      <c r="L1438" s="9">
        <v>46129</v>
      </c>
      <c r="M1438" s="5" t="s">
        <v>116</v>
      </c>
      <c r="N1438" s="5" t="s">
        <v>117</v>
      </c>
      <c r="O1438" s="5" t="s">
        <v>461</v>
      </c>
      <c r="P1438" s="5" t="s">
        <v>72</v>
      </c>
      <c r="Q1438" s="5" t="s">
        <v>169</v>
      </c>
      <c r="R1438" s="5" t="s">
        <v>170</v>
      </c>
      <c r="S1438" s="5" t="s">
        <v>214</v>
      </c>
      <c r="T1438" s="5" t="s">
        <v>57</v>
      </c>
      <c r="U1438" s="5" t="s">
        <v>104</v>
      </c>
      <c r="V1438" s="5" t="s">
        <v>215</v>
      </c>
      <c r="W1438" s="5" t="s">
        <v>216</v>
      </c>
      <c r="X1438" s="5" t="s">
        <v>1578</v>
      </c>
      <c r="Y1438" s="5" t="s">
        <v>5996</v>
      </c>
      <c r="Z1438" s="9">
        <v>46129</v>
      </c>
      <c r="AA1438" s="8">
        <v>6</v>
      </c>
      <c r="AB1438" s="9">
        <f t="shared" si="67"/>
        <v>46312</v>
      </c>
      <c r="AC1438" s="10">
        <v>18</v>
      </c>
      <c r="AD1438" s="7">
        <f t="shared" si="68"/>
        <v>1362</v>
      </c>
      <c r="AE1438" s="7">
        <f>IF(F1438="Bullet",H1438*AD1438,MIN(MAX(I1438,1),Assumptions!$B$6)*AD1438)</f>
        <v>2724</v>
      </c>
      <c r="AF1438" s="8">
        <f>IF(F1438="Bullet",MAX(0,Assumptions!$B$4-AB1438),MAX(0,Assumptions!$B$4-L1438))</f>
        <v>0</v>
      </c>
      <c r="AG1438" s="9"/>
      <c r="AH1438" s="8" t="str">
        <f>IF(AG1438="","",Assumptions!$B$4-AG1438)</f>
        <v/>
      </c>
      <c r="AI1438" s="5" t="s">
        <v>80</v>
      </c>
      <c r="AJ1438" s="8"/>
      <c r="AK1438" s="8">
        <v>1</v>
      </c>
      <c r="AL1438" s="8">
        <v>597</v>
      </c>
      <c r="AM1438" s="8">
        <v>1</v>
      </c>
      <c r="AN1438" s="5" t="s">
        <v>63</v>
      </c>
      <c r="AO1438" s="10">
        <v>74</v>
      </c>
      <c r="AP1438" s="8">
        <v>58</v>
      </c>
      <c r="AQ1438" s="9">
        <v>46297</v>
      </c>
      <c r="AR1438" s="5" t="s">
        <v>51</v>
      </c>
      <c r="AS1438" s="5" t="s">
        <v>274</v>
      </c>
    </row>
    <row r="1439" spans="1:45" x14ac:dyDescent="0.35">
      <c r="A1439" s="5" t="s">
        <v>5997</v>
      </c>
      <c r="B1439" s="5" t="s">
        <v>2194</v>
      </c>
      <c r="C1439" s="6" t="s">
        <v>5998</v>
      </c>
      <c r="D1439" s="7">
        <v>36800</v>
      </c>
      <c r="E1439" s="5" t="s">
        <v>48</v>
      </c>
      <c r="F1439" s="5" t="s">
        <v>68</v>
      </c>
      <c r="G1439" s="8">
        <v>2</v>
      </c>
      <c r="H1439" s="8">
        <f>IF(F1439="Bullet",MIN(G1439,Assumptions!$B$6),"")</f>
        <v>2</v>
      </c>
      <c r="I1439" s="8"/>
      <c r="J1439" s="8" t="str">
        <f>IF(F1439="Monthly interest",MAX(0,Assumptions!$B$5-I1439),"")</f>
        <v/>
      </c>
      <c r="K1439" s="7">
        <f t="shared" si="66"/>
        <v>736</v>
      </c>
      <c r="L1439" s="9">
        <v>46220</v>
      </c>
      <c r="M1439" s="5" t="s">
        <v>50</v>
      </c>
      <c r="N1439" s="5" t="s">
        <v>53</v>
      </c>
      <c r="O1439" s="5" t="s">
        <v>152</v>
      </c>
      <c r="P1439" s="5" t="s">
        <v>153</v>
      </c>
      <c r="Q1439" s="5" t="s">
        <v>154</v>
      </c>
      <c r="R1439" s="5" t="s">
        <v>155</v>
      </c>
      <c r="S1439" s="5" t="s">
        <v>85</v>
      </c>
      <c r="T1439" s="5" t="s">
        <v>57</v>
      </c>
      <c r="U1439" s="5" t="s">
        <v>104</v>
      </c>
      <c r="V1439" s="5" t="s">
        <v>177</v>
      </c>
      <c r="W1439" s="5" t="s">
        <v>178</v>
      </c>
      <c r="X1439" s="5" t="s">
        <v>5999</v>
      </c>
      <c r="Y1439" s="5" t="s">
        <v>6000</v>
      </c>
      <c r="Z1439" s="9">
        <v>46220</v>
      </c>
      <c r="AA1439" s="8">
        <v>6</v>
      </c>
      <c r="AB1439" s="9">
        <f t="shared" si="67"/>
        <v>46404</v>
      </c>
      <c r="AC1439" s="10">
        <v>12</v>
      </c>
      <c r="AD1439" s="7">
        <f t="shared" si="68"/>
        <v>368</v>
      </c>
      <c r="AE1439" s="7">
        <f>IF(F1439="Bullet",H1439*AD1439,MIN(MAX(I1439,1),Assumptions!$B$6)*AD1439)</f>
        <v>736</v>
      </c>
      <c r="AF1439" s="8">
        <f>IF(F1439="Bullet",MAX(0,Assumptions!$B$4-AB1439),MAX(0,Assumptions!$B$4-L1439))</f>
        <v>0</v>
      </c>
      <c r="AG1439" s="9"/>
      <c r="AH1439" s="8" t="str">
        <f>IF(AG1439="","",Assumptions!$B$4-AG1439)</f>
        <v/>
      </c>
      <c r="AI1439" s="5" t="s">
        <v>80</v>
      </c>
      <c r="AJ1439" s="8"/>
      <c r="AK1439" s="8">
        <v>1</v>
      </c>
      <c r="AL1439" s="8">
        <v>833</v>
      </c>
      <c r="AM1439" s="8">
        <v>1</v>
      </c>
      <c r="AN1439" s="5" t="s">
        <v>63</v>
      </c>
      <c r="AO1439" s="10">
        <v>78.7</v>
      </c>
      <c r="AP1439" s="8">
        <v>13</v>
      </c>
      <c r="AQ1439" s="9">
        <v>46289</v>
      </c>
      <c r="AR1439" s="5" t="s">
        <v>70</v>
      </c>
      <c r="AS1439" s="5" t="s">
        <v>91</v>
      </c>
    </row>
    <row r="1440" spans="1:45" x14ac:dyDescent="0.35">
      <c r="A1440" s="5" t="s">
        <v>6001</v>
      </c>
      <c r="B1440" s="5" t="s">
        <v>698</v>
      </c>
      <c r="C1440" s="6" t="s">
        <v>6002</v>
      </c>
      <c r="D1440" s="7">
        <v>91900</v>
      </c>
      <c r="E1440" s="5" t="s">
        <v>48</v>
      </c>
      <c r="F1440" s="5" t="s">
        <v>68</v>
      </c>
      <c r="G1440" s="8">
        <v>6</v>
      </c>
      <c r="H1440" s="8">
        <f>IF(F1440="Bullet",MIN(G1440,Assumptions!$B$6),"")</f>
        <v>2</v>
      </c>
      <c r="I1440" s="8"/>
      <c r="J1440" s="8" t="str">
        <f>IF(F1440="Monthly interest",MAX(0,Assumptions!$B$5-I1440),"")</f>
        <v/>
      </c>
      <c r="K1440" s="7">
        <f t="shared" si="66"/>
        <v>8274</v>
      </c>
      <c r="L1440" s="9">
        <v>46091</v>
      </c>
      <c r="M1440" s="5" t="s">
        <v>69</v>
      </c>
      <c r="N1440" s="5" t="s">
        <v>53</v>
      </c>
      <c r="O1440" s="5" t="s">
        <v>168</v>
      </c>
      <c r="P1440" s="5" t="s">
        <v>70</v>
      </c>
      <c r="Q1440" s="5" t="s">
        <v>169</v>
      </c>
      <c r="R1440" s="5" t="s">
        <v>170</v>
      </c>
      <c r="S1440" s="5" t="s">
        <v>75</v>
      </c>
      <c r="T1440" s="5" t="s">
        <v>57</v>
      </c>
      <c r="U1440" s="5" t="s">
        <v>86</v>
      </c>
      <c r="V1440" s="5" t="s">
        <v>76</v>
      </c>
      <c r="W1440" s="5" t="s">
        <v>140</v>
      </c>
      <c r="X1440" s="5" t="s">
        <v>3391</v>
      </c>
      <c r="Y1440" s="5" t="s">
        <v>6003</v>
      </c>
      <c r="Z1440" s="9">
        <v>46091</v>
      </c>
      <c r="AA1440" s="8">
        <v>12</v>
      </c>
      <c r="AB1440" s="9">
        <f t="shared" si="67"/>
        <v>46456</v>
      </c>
      <c r="AC1440" s="10">
        <v>18</v>
      </c>
      <c r="AD1440" s="7">
        <f t="shared" si="68"/>
        <v>1379</v>
      </c>
      <c r="AE1440" s="7">
        <f>IF(F1440="Bullet",H1440*AD1440,MIN(MAX(I1440,1),Assumptions!$B$6)*AD1440)</f>
        <v>2758</v>
      </c>
      <c r="AF1440" s="8">
        <f>IF(F1440="Bullet",MAX(0,Assumptions!$B$4-AB1440),MAX(0,Assumptions!$B$4-L1440))</f>
        <v>0</v>
      </c>
      <c r="AG1440" s="9"/>
      <c r="AH1440" s="8" t="str">
        <f>IF(AG1440="","",Assumptions!$B$4-AG1440)</f>
        <v/>
      </c>
      <c r="AI1440" s="5" t="s">
        <v>80</v>
      </c>
      <c r="AJ1440" s="8"/>
      <c r="AK1440" s="8">
        <v>2</v>
      </c>
      <c r="AL1440" s="8">
        <v>688</v>
      </c>
      <c r="AM1440" s="8">
        <v>0</v>
      </c>
      <c r="AN1440" s="5" t="s">
        <v>63</v>
      </c>
      <c r="AO1440" s="10">
        <v>57.5</v>
      </c>
      <c r="AP1440" s="8">
        <v>46</v>
      </c>
      <c r="AQ1440" s="9">
        <v>46286</v>
      </c>
      <c r="AR1440" s="5" t="s">
        <v>70</v>
      </c>
      <c r="AS1440" s="5" t="s">
        <v>190</v>
      </c>
    </row>
    <row r="1441" spans="1:45" x14ac:dyDescent="0.35">
      <c r="A1441" s="5" t="s">
        <v>6004</v>
      </c>
      <c r="B1441" s="5" t="s">
        <v>6005</v>
      </c>
      <c r="C1441" s="6" t="s">
        <v>6006</v>
      </c>
      <c r="D1441" s="7">
        <v>251000</v>
      </c>
      <c r="E1441" s="5" t="s">
        <v>48</v>
      </c>
      <c r="F1441" s="5" t="s">
        <v>49</v>
      </c>
      <c r="G1441" s="8"/>
      <c r="H1441" s="8" t="str">
        <f>IF(F1441="Bullet",MIN(G1441,Assumptions!$B$6),"")</f>
        <v/>
      </c>
      <c r="I1441" s="8">
        <v>1</v>
      </c>
      <c r="J1441" s="8">
        <f>IF(F1441="Monthly interest",MAX(0,Assumptions!$B$5-I1441),"")</f>
        <v>2</v>
      </c>
      <c r="K1441" s="7">
        <f t="shared" si="66"/>
        <v>3765</v>
      </c>
      <c r="L1441" s="9">
        <v>46289</v>
      </c>
      <c r="M1441" s="5" t="s">
        <v>69</v>
      </c>
      <c r="N1441" s="5" t="s">
        <v>51</v>
      </c>
      <c r="O1441" s="5" t="s">
        <v>52</v>
      </c>
      <c r="P1441" s="5" t="s">
        <v>53</v>
      </c>
      <c r="Q1441" s="5" t="s">
        <v>54</v>
      </c>
      <c r="R1441" s="5" t="s">
        <v>55</v>
      </c>
      <c r="S1441" s="5" t="s">
        <v>75</v>
      </c>
      <c r="T1441" s="5" t="s">
        <v>57</v>
      </c>
      <c r="U1441" s="5" t="s">
        <v>86</v>
      </c>
      <c r="V1441" s="5" t="s">
        <v>76</v>
      </c>
      <c r="W1441" s="5" t="s">
        <v>140</v>
      </c>
      <c r="X1441" s="5" t="s">
        <v>5693</v>
      </c>
      <c r="Y1441" s="5" t="s">
        <v>6007</v>
      </c>
      <c r="Z1441" s="9">
        <v>46105</v>
      </c>
      <c r="AA1441" s="8">
        <v>18</v>
      </c>
      <c r="AB1441" s="9">
        <f t="shared" si="67"/>
        <v>46654</v>
      </c>
      <c r="AC1441" s="10">
        <v>18</v>
      </c>
      <c r="AD1441" s="7">
        <f t="shared" si="68"/>
        <v>3765</v>
      </c>
      <c r="AE1441" s="7">
        <f>IF(F1441="Bullet",H1441*AD1441,MIN(MAX(I1441,1),Assumptions!$B$6)*AD1441)</f>
        <v>3765</v>
      </c>
      <c r="AF1441" s="8">
        <f>IF(F1441="Bullet",MAX(0,Assumptions!$B$4-AB1441),MAX(0,Assumptions!$B$4-L1441))</f>
        <v>9</v>
      </c>
      <c r="AG1441" s="9">
        <v>46259</v>
      </c>
      <c r="AH1441" s="8">
        <f>IF(AG1441="","",Assumptions!$B$4-AG1441)</f>
        <v>39</v>
      </c>
      <c r="AI1441" s="5" t="s">
        <v>63</v>
      </c>
      <c r="AJ1441" s="8">
        <v>1</v>
      </c>
      <c r="AK1441" s="8">
        <v>0</v>
      </c>
      <c r="AL1441" s="8">
        <v>681</v>
      </c>
      <c r="AM1441" s="8">
        <v>0</v>
      </c>
      <c r="AN1441" s="5" t="s">
        <v>63</v>
      </c>
      <c r="AO1441" s="10">
        <v>77</v>
      </c>
      <c r="AP1441" s="8">
        <v>32</v>
      </c>
      <c r="AQ1441" s="9">
        <v>46282</v>
      </c>
      <c r="AR1441" s="5" t="s">
        <v>53</v>
      </c>
      <c r="AS1441" s="5" t="s">
        <v>81</v>
      </c>
    </row>
    <row r="1442" spans="1:45" x14ac:dyDescent="0.35">
      <c r="A1442" s="5" t="s">
        <v>6008</v>
      </c>
      <c r="B1442" s="5" t="s">
        <v>6009</v>
      </c>
      <c r="C1442" s="6" t="s">
        <v>6010</v>
      </c>
      <c r="D1442" s="7">
        <v>336100</v>
      </c>
      <c r="E1442" s="5" t="s">
        <v>48</v>
      </c>
      <c r="F1442" s="5" t="s">
        <v>49</v>
      </c>
      <c r="G1442" s="8"/>
      <c r="H1442" s="8" t="str">
        <f>IF(F1442="Bullet",MIN(G1442,Assumptions!$B$6),"")</f>
        <v/>
      </c>
      <c r="I1442" s="8">
        <v>1</v>
      </c>
      <c r="J1442" s="8">
        <f>IF(F1442="Monthly interest",MAX(0,Assumptions!$B$5-I1442),"")</f>
        <v>2</v>
      </c>
      <c r="K1442" s="7">
        <f t="shared" si="66"/>
        <v>4201</v>
      </c>
      <c r="L1442" s="9">
        <v>46278</v>
      </c>
      <c r="M1442" s="5" t="s">
        <v>69</v>
      </c>
      <c r="N1442" s="5" t="s">
        <v>51</v>
      </c>
      <c r="O1442" s="5" t="s">
        <v>52</v>
      </c>
      <c r="P1442" s="5" t="s">
        <v>53</v>
      </c>
      <c r="Q1442" s="5" t="s">
        <v>54</v>
      </c>
      <c r="R1442" s="5" t="s">
        <v>55</v>
      </c>
      <c r="S1442" s="5" t="s">
        <v>214</v>
      </c>
      <c r="T1442" s="5" t="s">
        <v>57</v>
      </c>
      <c r="U1442" s="5" t="s">
        <v>86</v>
      </c>
      <c r="V1442" s="5" t="s">
        <v>215</v>
      </c>
      <c r="W1442" s="5" t="s">
        <v>284</v>
      </c>
      <c r="X1442" s="5" t="s">
        <v>398</v>
      </c>
      <c r="Y1442" s="5" t="s">
        <v>6011</v>
      </c>
      <c r="Z1442" s="9">
        <v>46004</v>
      </c>
      <c r="AA1442" s="8">
        <v>24</v>
      </c>
      <c r="AB1442" s="9">
        <f t="shared" si="67"/>
        <v>46734</v>
      </c>
      <c r="AC1442" s="10">
        <v>15</v>
      </c>
      <c r="AD1442" s="7">
        <f t="shared" si="68"/>
        <v>4201</v>
      </c>
      <c r="AE1442" s="7">
        <f>IF(F1442="Bullet",H1442*AD1442,MIN(MAX(I1442,1),Assumptions!$B$6)*AD1442)</f>
        <v>4201</v>
      </c>
      <c r="AF1442" s="8">
        <f>IF(F1442="Bullet",MAX(0,Assumptions!$B$4-AB1442),MAX(0,Assumptions!$B$4-L1442))</f>
        <v>20</v>
      </c>
      <c r="AG1442" s="9">
        <v>46247</v>
      </c>
      <c r="AH1442" s="8">
        <f>IF(AG1442="","",Assumptions!$B$4-AG1442)</f>
        <v>51</v>
      </c>
      <c r="AI1442" s="5" t="s">
        <v>63</v>
      </c>
      <c r="AJ1442" s="8">
        <v>1</v>
      </c>
      <c r="AK1442" s="8">
        <v>1</v>
      </c>
      <c r="AL1442" s="8">
        <v>644</v>
      </c>
      <c r="AM1442" s="8">
        <v>1</v>
      </c>
      <c r="AN1442" s="5" t="s">
        <v>63</v>
      </c>
      <c r="AO1442" s="10">
        <v>77.2</v>
      </c>
      <c r="AP1442" s="8">
        <v>36</v>
      </c>
      <c r="AQ1442" s="9">
        <v>46288</v>
      </c>
      <c r="AR1442" s="5" t="s">
        <v>70</v>
      </c>
      <c r="AS1442" s="5" t="s">
        <v>181</v>
      </c>
    </row>
    <row r="1443" spans="1:45" x14ac:dyDescent="0.35">
      <c r="A1443" s="5" t="s">
        <v>6012</v>
      </c>
      <c r="B1443" s="5" t="s">
        <v>6013</v>
      </c>
      <c r="C1443" s="6" t="s">
        <v>6014</v>
      </c>
      <c r="D1443" s="7">
        <v>23100</v>
      </c>
      <c r="E1443" s="5" t="s">
        <v>48</v>
      </c>
      <c r="F1443" s="5" t="s">
        <v>68</v>
      </c>
      <c r="G1443" s="8">
        <v>5</v>
      </c>
      <c r="H1443" s="8">
        <f>IF(F1443="Bullet",MIN(G1443,Assumptions!$B$6),"")</f>
        <v>2</v>
      </c>
      <c r="I1443" s="8"/>
      <c r="J1443" s="8" t="str">
        <f>IF(F1443="Monthly interest",MAX(0,Assumptions!$B$5-I1443),"")</f>
        <v/>
      </c>
      <c r="K1443" s="7">
        <f t="shared" si="66"/>
        <v>1735</v>
      </c>
      <c r="L1443" s="9">
        <v>46127</v>
      </c>
      <c r="M1443" s="5" t="s">
        <v>116</v>
      </c>
      <c r="N1443" s="5" t="s">
        <v>117</v>
      </c>
      <c r="O1443" s="5" t="s">
        <v>461</v>
      </c>
      <c r="P1443" s="5" t="s">
        <v>72</v>
      </c>
      <c r="Q1443" s="5" t="s">
        <v>169</v>
      </c>
      <c r="R1443" s="5" t="s">
        <v>170</v>
      </c>
      <c r="S1443" s="5" t="s">
        <v>56</v>
      </c>
      <c r="T1443" s="5" t="s">
        <v>57</v>
      </c>
      <c r="U1443" s="5" t="s">
        <v>86</v>
      </c>
      <c r="V1443" s="5" t="s">
        <v>59</v>
      </c>
      <c r="W1443" s="5" t="s">
        <v>126</v>
      </c>
      <c r="X1443" s="5" t="s">
        <v>2383</v>
      </c>
      <c r="Y1443" s="5" t="s">
        <v>6015</v>
      </c>
      <c r="Z1443" s="9">
        <v>46127</v>
      </c>
      <c r="AA1443" s="8">
        <v>6</v>
      </c>
      <c r="AB1443" s="9">
        <f t="shared" si="67"/>
        <v>46310</v>
      </c>
      <c r="AC1443" s="10">
        <v>18</v>
      </c>
      <c r="AD1443" s="7">
        <f t="shared" si="68"/>
        <v>347</v>
      </c>
      <c r="AE1443" s="7">
        <f>IF(F1443="Bullet",H1443*AD1443,MIN(MAX(I1443,1),Assumptions!$B$6)*AD1443)</f>
        <v>694</v>
      </c>
      <c r="AF1443" s="8">
        <f>IF(F1443="Bullet",MAX(0,Assumptions!$B$4-AB1443),MAX(0,Assumptions!$B$4-L1443))</f>
        <v>0</v>
      </c>
      <c r="AG1443" s="9"/>
      <c r="AH1443" s="8" t="str">
        <f>IF(AG1443="","",Assumptions!$B$4-AG1443)</f>
        <v/>
      </c>
      <c r="AI1443" s="5" t="s">
        <v>80</v>
      </c>
      <c r="AJ1443" s="8"/>
      <c r="AK1443" s="8">
        <v>3</v>
      </c>
      <c r="AL1443" s="8">
        <v>607</v>
      </c>
      <c r="AM1443" s="8">
        <v>0</v>
      </c>
      <c r="AN1443" s="5" t="s">
        <v>63</v>
      </c>
      <c r="AO1443" s="10">
        <v>70.599999999999994</v>
      </c>
      <c r="AP1443" s="8">
        <v>69</v>
      </c>
      <c r="AQ1443" s="9">
        <v>46294</v>
      </c>
      <c r="AR1443" s="5" t="s">
        <v>53</v>
      </c>
      <c r="AS1443" s="5" t="s">
        <v>81</v>
      </c>
    </row>
    <row r="1444" spans="1:45" x14ac:dyDescent="0.35">
      <c r="A1444" s="5" t="s">
        <v>6016</v>
      </c>
      <c r="B1444" s="5" t="s">
        <v>6017</v>
      </c>
      <c r="C1444" s="6" t="s">
        <v>6018</v>
      </c>
      <c r="D1444" s="7">
        <v>105800</v>
      </c>
      <c r="E1444" s="5" t="s">
        <v>48</v>
      </c>
      <c r="F1444" s="5" t="s">
        <v>49</v>
      </c>
      <c r="G1444" s="8"/>
      <c r="H1444" s="8" t="str">
        <f>IF(F1444="Bullet",MIN(G1444,Assumptions!$B$6),"")</f>
        <v/>
      </c>
      <c r="I1444" s="8">
        <v>1</v>
      </c>
      <c r="J1444" s="8">
        <f>IF(F1444="Monthly interest",MAX(0,Assumptions!$B$5-I1444),"")</f>
        <v>2</v>
      </c>
      <c r="K1444" s="7">
        <f t="shared" si="66"/>
        <v>1587</v>
      </c>
      <c r="L1444" s="9">
        <v>46297</v>
      </c>
      <c r="M1444" s="5" t="s">
        <v>50</v>
      </c>
      <c r="N1444" s="5" t="s">
        <v>51</v>
      </c>
      <c r="O1444" s="5" t="s">
        <v>52</v>
      </c>
      <c r="P1444" s="5" t="s">
        <v>53</v>
      </c>
      <c r="Q1444" s="5" t="s">
        <v>54</v>
      </c>
      <c r="R1444" s="5" t="s">
        <v>55</v>
      </c>
      <c r="S1444" s="5" t="s">
        <v>56</v>
      </c>
      <c r="T1444" s="5" t="s">
        <v>57</v>
      </c>
      <c r="U1444" s="5" t="s">
        <v>104</v>
      </c>
      <c r="V1444" s="5" t="s">
        <v>59</v>
      </c>
      <c r="W1444" s="5" t="s">
        <v>126</v>
      </c>
      <c r="X1444" s="5" t="s">
        <v>127</v>
      </c>
      <c r="Y1444" s="5" t="s">
        <v>6019</v>
      </c>
      <c r="Z1444" s="9">
        <v>46114</v>
      </c>
      <c r="AA1444" s="8">
        <v>18</v>
      </c>
      <c r="AB1444" s="9">
        <f t="shared" si="67"/>
        <v>46662</v>
      </c>
      <c r="AC1444" s="10">
        <v>18</v>
      </c>
      <c r="AD1444" s="7">
        <f t="shared" si="68"/>
        <v>1587</v>
      </c>
      <c r="AE1444" s="7">
        <f>IF(F1444="Bullet",H1444*AD1444,MIN(MAX(I1444,1),Assumptions!$B$6)*AD1444)</f>
        <v>1587</v>
      </c>
      <c r="AF1444" s="8">
        <f>IF(F1444="Bullet",MAX(0,Assumptions!$B$4-AB1444),MAX(0,Assumptions!$B$4-L1444))</f>
        <v>1</v>
      </c>
      <c r="AG1444" s="9">
        <v>46268</v>
      </c>
      <c r="AH1444" s="8">
        <f>IF(AG1444="","",Assumptions!$B$4-AG1444)</f>
        <v>30</v>
      </c>
      <c r="AI1444" s="5" t="s">
        <v>63</v>
      </c>
      <c r="AJ1444" s="8">
        <v>1</v>
      </c>
      <c r="AK1444" s="8">
        <v>0</v>
      </c>
      <c r="AL1444" s="8">
        <v>866</v>
      </c>
      <c r="AM1444" s="8">
        <v>2</v>
      </c>
      <c r="AN1444" s="5" t="s">
        <v>63</v>
      </c>
      <c r="AO1444" s="10">
        <v>65.599999999999994</v>
      </c>
      <c r="AP1444" s="8">
        <v>11</v>
      </c>
      <c r="AQ1444" s="9">
        <v>46284</v>
      </c>
      <c r="AR1444" s="5" t="s">
        <v>53</v>
      </c>
      <c r="AS1444" s="5" t="s">
        <v>64</v>
      </c>
    </row>
    <row r="1445" spans="1:45" x14ac:dyDescent="0.35">
      <c r="A1445" s="5" t="s">
        <v>6020</v>
      </c>
      <c r="B1445" s="5" t="s">
        <v>6021</v>
      </c>
      <c r="C1445" s="6" t="s">
        <v>6022</v>
      </c>
      <c r="D1445" s="7">
        <v>566400</v>
      </c>
      <c r="E1445" s="5" t="s">
        <v>48</v>
      </c>
      <c r="F1445" s="5" t="s">
        <v>49</v>
      </c>
      <c r="G1445" s="8"/>
      <c r="H1445" s="8" t="str">
        <f>IF(F1445="Bullet",MIN(G1445,Assumptions!$B$6),"")</f>
        <v/>
      </c>
      <c r="I1445" s="8">
        <v>2</v>
      </c>
      <c r="J1445" s="8">
        <f>IF(F1445="Monthly interest",MAX(0,Assumptions!$B$5-I1445),"")</f>
        <v>1</v>
      </c>
      <c r="K1445" s="7">
        <f t="shared" si="66"/>
        <v>18880</v>
      </c>
      <c r="L1445" s="9">
        <v>46245</v>
      </c>
      <c r="M1445" s="5" t="s">
        <v>50</v>
      </c>
      <c r="N1445" s="5" t="s">
        <v>51</v>
      </c>
      <c r="O1445" s="5" t="s">
        <v>71</v>
      </c>
      <c r="P1445" s="5" t="s">
        <v>53</v>
      </c>
      <c r="Q1445" s="5" t="s">
        <v>73</v>
      </c>
      <c r="R1445" s="5" t="s">
        <v>74</v>
      </c>
      <c r="S1445" s="5" t="s">
        <v>75</v>
      </c>
      <c r="T1445" s="5" t="s">
        <v>57</v>
      </c>
      <c r="U1445" s="5" t="s">
        <v>86</v>
      </c>
      <c r="V1445" s="5" t="s">
        <v>76</v>
      </c>
      <c r="W1445" s="5" t="s">
        <v>306</v>
      </c>
      <c r="X1445" s="5" t="s">
        <v>3977</v>
      </c>
      <c r="Y1445" s="5" t="s">
        <v>6023</v>
      </c>
      <c r="Z1445" s="9">
        <v>46153</v>
      </c>
      <c r="AA1445" s="8">
        <v>18</v>
      </c>
      <c r="AB1445" s="9">
        <f t="shared" si="67"/>
        <v>46702</v>
      </c>
      <c r="AC1445" s="10">
        <v>20</v>
      </c>
      <c r="AD1445" s="7">
        <f t="shared" si="68"/>
        <v>9440</v>
      </c>
      <c r="AE1445" s="7">
        <f>IF(F1445="Bullet",H1445*AD1445,MIN(MAX(I1445,1),Assumptions!$B$6)*AD1445)</f>
        <v>18880</v>
      </c>
      <c r="AF1445" s="8">
        <f>IF(F1445="Bullet",MAX(0,Assumptions!$B$4-AB1445),MAX(0,Assumptions!$B$4-L1445))</f>
        <v>53</v>
      </c>
      <c r="AG1445" s="9">
        <v>46217</v>
      </c>
      <c r="AH1445" s="8">
        <f>IF(AG1445="","",Assumptions!$B$4-AG1445)</f>
        <v>81</v>
      </c>
      <c r="AI1445" s="5" t="s">
        <v>63</v>
      </c>
      <c r="AJ1445" s="8">
        <v>2</v>
      </c>
      <c r="AK1445" s="8">
        <v>0</v>
      </c>
      <c r="AL1445" s="8">
        <v>845</v>
      </c>
      <c r="AM1445" s="8">
        <v>1</v>
      </c>
      <c r="AN1445" s="5" t="s">
        <v>63</v>
      </c>
      <c r="AO1445" s="10">
        <v>73</v>
      </c>
      <c r="AP1445" s="8">
        <v>26</v>
      </c>
      <c r="AQ1445" s="9">
        <v>46295</v>
      </c>
      <c r="AR1445" s="5" t="s">
        <v>70</v>
      </c>
      <c r="AS1445" s="5" t="s">
        <v>81</v>
      </c>
    </row>
    <row r="1446" spans="1:45" x14ac:dyDescent="0.35">
      <c r="A1446" s="5" t="s">
        <v>6024</v>
      </c>
      <c r="B1446" s="5" t="s">
        <v>6025</v>
      </c>
      <c r="C1446" s="6" t="s">
        <v>6026</v>
      </c>
      <c r="D1446" s="7">
        <v>156900</v>
      </c>
      <c r="E1446" s="5" t="s">
        <v>48</v>
      </c>
      <c r="F1446" s="5" t="s">
        <v>68</v>
      </c>
      <c r="G1446" s="8">
        <v>3</v>
      </c>
      <c r="H1446" s="8">
        <f>IF(F1446="Bullet",MIN(G1446,Assumptions!$B$6),"")</f>
        <v>2</v>
      </c>
      <c r="I1446" s="8"/>
      <c r="J1446" s="8" t="str">
        <f>IF(F1446="Monthly interest",MAX(0,Assumptions!$B$5-I1446),"")</f>
        <v/>
      </c>
      <c r="K1446" s="7">
        <f t="shared" si="66"/>
        <v>5100</v>
      </c>
      <c r="L1446" s="9">
        <v>46197</v>
      </c>
      <c r="M1446" s="5" t="s">
        <v>69</v>
      </c>
      <c r="N1446" s="5" t="s">
        <v>53</v>
      </c>
      <c r="O1446" s="5" t="s">
        <v>71</v>
      </c>
      <c r="P1446" s="5" t="s">
        <v>70</v>
      </c>
      <c r="Q1446" s="5" t="s">
        <v>73</v>
      </c>
      <c r="R1446" s="5" t="s">
        <v>74</v>
      </c>
      <c r="S1446" s="5" t="s">
        <v>253</v>
      </c>
      <c r="T1446" s="5" t="s">
        <v>57</v>
      </c>
      <c r="U1446" s="5" t="s">
        <v>58</v>
      </c>
      <c r="V1446" s="5" t="s">
        <v>553</v>
      </c>
      <c r="W1446" s="5" t="s">
        <v>1029</v>
      </c>
      <c r="X1446" s="5" t="s">
        <v>5583</v>
      </c>
      <c r="Y1446" s="5" t="s">
        <v>6027</v>
      </c>
      <c r="Z1446" s="9">
        <v>46197</v>
      </c>
      <c r="AA1446" s="8">
        <v>6</v>
      </c>
      <c r="AB1446" s="9">
        <f t="shared" si="67"/>
        <v>46380</v>
      </c>
      <c r="AC1446" s="10">
        <v>13</v>
      </c>
      <c r="AD1446" s="7">
        <f t="shared" si="68"/>
        <v>1700</v>
      </c>
      <c r="AE1446" s="7">
        <f>IF(F1446="Bullet",H1446*AD1446,MIN(MAX(I1446,1),Assumptions!$B$6)*AD1446)</f>
        <v>3400</v>
      </c>
      <c r="AF1446" s="8">
        <f>IF(F1446="Bullet",MAX(0,Assumptions!$B$4-AB1446),MAX(0,Assumptions!$B$4-L1446))</f>
        <v>0</v>
      </c>
      <c r="AG1446" s="9"/>
      <c r="AH1446" s="8" t="str">
        <f>IF(AG1446="","",Assumptions!$B$4-AG1446)</f>
        <v/>
      </c>
      <c r="AI1446" s="5" t="s">
        <v>80</v>
      </c>
      <c r="AJ1446" s="8"/>
      <c r="AK1446" s="8">
        <v>2</v>
      </c>
      <c r="AL1446" s="8">
        <v>681</v>
      </c>
      <c r="AM1446" s="8">
        <v>1</v>
      </c>
      <c r="AN1446" s="5" t="s">
        <v>63</v>
      </c>
      <c r="AO1446" s="10">
        <v>77.599999999999994</v>
      </c>
      <c r="AP1446" s="8">
        <v>37</v>
      </c>
      <c r="AQ1446" s="9">
        <v>46288</v>
      </c>
      <c r="AR1446" s="5" t="s">
        <v>70</v>
      </c>
      <c r="AS1446" s="5" t="s">
        <v>64</v>
      </c>
    </row>
    <row r="1447" spans="1:45" x14ac:dyDescent="0.35">
      <c r="A1447" s="5" t="s">
        <v>6028</v>
      </c>
      <c r="B1447" s="5" t="s">
        <v>6029</v>
      </c>
      <c r="C1447" s="6" t="s">
        <v>6030</v>
      </c>
      <c r="D1447" s="7">
        <v>86900</v>
      </c>
      <c r="E1447" s="5" t="s">
        <v>48</v>
      </c>
      <c r="F1447" s="5" t="s">
        <v>49</v>
      </c>
      <c r="G1447" s="8"/>
      <c r="H1447" s="8" t="str">
        <f>IF(F1447="Bullet",MIN(G1447,Assumptions!$B$6),"")</f>
        <v/>
      </c>
      <c r="I1447" s="8">
        <v>1</v>
      </c>
      <c r="J1447" s="8">
        <f>IF(F1447="Monthly interest",MAX(0,Assumptions!$B$5-I1447),"")</f>
        <v>2</v>
      </c>
      <c r="K1447" s="7">
        <f t="shared" si="66"/>
        <v>1738</v>
      </c>
      <c r="L1447" s="9">
        <v>46277</v>
      </c>
      <c r="M1447" s="5" t="s">
        <v>50</v>
      </c>
      <c r="N1447" s="5" t="s">
        <v>51</v>
      </c>
      <c r="O1447" s="5" t="s">
        <v>52</v>
      </c>
      <c r="P1447" s="5" t="s">
        <v>53</v>
      </c>
      <c r="Q1447" s="5" t="s">
        <v>54</v>
      </c>
      <c r="R1447" s="5" t="s">
        <v>55</v>
      </c>
      <c r="S1447" s="5" t="s">
        <v>75</v>
      </c>
      <c r="T1447" s="5" t="s">
        <v>57</v>
      </c>
      <c r="U1447" s="5" t="s">
        <v>104</v>
      </c>
      <c r="V1447" s="5" t="s">
        <v>76</v>
      </c>
      <c r="W1447" s="5" t="s">
        <v>140</v>
      </c>
      <c r="X1447" s="5" t="s">
        <v>5693</v>
      </c>
      <c r="Y1447" s="5" t="s">
        <v>6031</v>
      </c>
      <c r="Z1447" s="9">
        <v>46003</v>
      </c>
      <c r="AA1447" s="8">
        <v>12</v>
      </c>
      <c r="AB1447" s="9">
        <f t="shared" si="67"/>
        <v>46368</v>
      </c>
      <c r="AC1447" s="10">
        <v>24</v>
      </c>
      <c r="AD1447" s="7">
        <f t="shared" si="68"/>
        <v>1738</v>
      </c>
      <c r="AE1447" s="7">
        <f>IF(F1447="Bullet",H1447*AD1447,MIN(MAX(I1447,1),Assumptions!$B$6)*AD1447)</f>
        <v>1738</v>
      </c>
      <c r="AF1447" s="8">
        <f>IF(F1447="Bullet",MAX(0,Assumptions!$B$4-AB1447),MAX(0,Assumptions!$B$4-L1447))</f>
        <v>21</v>
      </c>
      <c r="AG1447" s="9">
        <v>46248</v>
      </c>
      <c r="AH1447" s="8">
        <f>IF(AG1447="","",Assumptions!$B$4-AG1447)</f>
        <v>50</v>
      </c>
      <c r="AI1447" s="5" t="s">
        <v>63</v>
      </c>
      <c r="AJ1447" s="8">
        <v>2</v>
      </c>
      <c r="AK1447" s="8">
        <v>0</v>
      </c>
      <c r="AL1447" s="8">
        <v>750</v>
      </c>
      <c r="AM1447" s="8">
        <v>3</v>
      </c>
      <c r="AN1447" s="5" t="s">
        <v>63</v>
      </c>
      <c r="AO1447" s="10">
        <v>75.099999999999994</v>
      </c>
      <c r="AP1447" s="8">
        <v>25</v>
      </c>
      <c r="AQ1447" s="9"/>
      <c r="AR1447" s="5"/>
      <c r="AS1447" s="5" t="s">
        <v>159</v>
      </c>
    </row>
    <row r="1448" spans="1:45" x14ac:dyDescent="0.35">
      <c r="A1448" s="5" t="s">
        <v>6032</v>
      </c>
      <c r="B1448" s="5" t="s">
        <v>6033</v>
      </c>
      <c r="C1448" s="6" t="s">
        <v>6034</v>
      </c>
      <c r="D1448" s="7">
        <v>281800</v>
      </c>
      <c r="E1448" s="5" t="s">
        <v>48</v>
      </c>
      <c r="F1448" s="5" t="s">
        <v>49</v>
      </c>
      <c r="G1448" s="8"/>
      <c r="H1448" s="8" t="str">
        <f>IF(F1448="Bullet",MIN(G1448,Assumptions!$B$6),"")</f>
        <v/>
      </c>
      <c r="I1448" s="8">
        <v>1</v>
      </c>
      <c r="J1448" s="8">
        <f>IF(F1448="Monthly interest",MAX(0,Assumptions!$B$5-I1448),"")</f>
        <v>2</v>
      </c>
      <c r="K1448" s="7">
        <f t="shared" si="66"/>
        <v>4697</v>
      </c>
      <c r="L1448" s="9">
        <v>46270</v>
      </c>
      <c r="M1448" s="5" t="s">
        <v>116</v>
      </c>
      <c r="N1448" s="5" t="s">
        <v>117</v>
      </c>
      <c r="O1448" s="5" t="s">
        <v>118</v>
      </c>
      <c r="P1448" s="5" t="s">
        <v>72</v>
      </c>
      <c r="Q1448" s="5" t="s">
        <v>119</v>
      </c>
      <c r="R1448" s="5" t="s">
        <v>120</v>
      </c>
      <c r="S1448" s="5" t="s">
        <v>75</v>
      </c>
      <c r="T1448" s="5" t="s">
        <v>57</v>
      </c>
      <c r="U1448" s="5" t="s">
        <v>104</v>
      </c>
      <c r="V1448" s="5" t="s">
        <v>76</v>
      </c>
      <c r="W1448" s="5" t="s">
        <v>105</v>
      </c>
      <c r="X1448" s="5" t="s">
        <v>163</v>
      </c>
      <c r="Y1448" s="5" t="s">
        <v>6035</v>
      </c>
      <c r="Z1448" s="9">
        <v>46027</v>
      </c>
      <c r="AA1448" s="8">
        <v>24</v>
      </c>
      <c r="AB1448" s="9">
        <f t="shared" si="67"/>
        <v>46757</v>
      </c>
      <c r="AC1448" s="10">
        <v>20</v>
      </c>
      <c r="AD1448" s="7">
        <f t="shared" si="68"/>
        <v>4697</v>
      </c>
      <c r="AE1448" s="7">
        <f>IF(F1448="Bullet",H1448*AD1448,MIN(MAX(I1448,1),Assumptions!$B$6)*AD1448)</f>
        <v>4697</v>
      </c>
      <c r="AF1448" s="8">
        <f>IF(F1448="Bullet",MAX(0,Assumptions!$B$4-AB1448),MAX(0,Assumptions!$B$4-L1448))</f>
        <v>28</v>
      </c>
      <c r="AG1448" s="9">
        <v>46241</v>
      </c>
      <c r="AH1448" s="8">
        <f>IF(AG1448="","",Assumptions!$B$4-AG1448)</f>
        <v>57</v>
      </c>
      <c r="AI1448" s="5" t="s">
        <v>63</v>
      </c>
      <c r="AJ1448" s="8">
        <v>1</v>
      </c>
      <c r="AK1448" s="8">
        <v>0</v>
      </c>
      <c r="AL1448" s="8">
        <v>630</v>
      </c>
      <c r="AM1448" s="8">
        <v>4</v>
      </c>
      <c r="AN1448" s="5" t="s">
        <v>63</v>
      </c>
      <c r="AO1448" s="10">
        <v>86.3</v>
      </c>
      <c r="AP1448" s="8">
        <v>57</v>
      </c>
      <c r="AQ1448" s="9">
        <v>46293</v>
      </c>
      <c r="AR1448" s="5" t="s">
        <v>53</v>
      </c>
      <c r="AS1448" s="5" t="s">
        <v>81</v>
      </c>
    </row>
    <row r="1449" spans="1:45" x14ac:dyDescent="0.35">
      <c r="A1449" s="5" t="s">
        <v>6036</v>
      </c>
      <c r="B1449" s="5" t="s">
        <v>1700</v>
      </c>
      <c r="C1449" s="6" t="s">
        <v>6037</v>
      </c>
      <c r="D1449" s="7">
        <v>146300</v>
      </c>
      <c r="E1449" s="5" t="s">
        <v>48</v>
      </c>
      <c r="F1449" s="5" t="s">
        <v>68</v>
      </c>
      <c r="G1449" s="8">
        <v>3</v>
      </c>
      <c r="H1449" s="8">
        <f>IF(F1449="Bullet",MIN(G1449,Assumptions!$B$6),"")</f>
        <v>2</v>
      </c>
      <c r="I1449" s="8"/>
      <c r="J1449" s="8" t="str">
        <f>IF(F1449="Monthly interest",MAX(0,Assumptions!$B$5-I1449),"")</f>
        <v/>
      </c>
      <c r="K1449" s="7">
        <f t="shared" si="66"/>
        <v>4389</v>
      </c>
      <c r="L1449" s="9">
        <v>46201</v>
      </c>
      <c r="M1449" s="5" t="s">
        <v>116</v>
      </c>
      <c r="N1449" s="5" t="s">
        <v>117</v>
      </c>
      <c r="O1449" s="5" t="s">
        <v>207</v>
      </c>
      <c r="P1449" s="5" t="s">
        <v>72</v>
      </c>
      <c r="Q1449" s="5" t="s">
        <v>73</v>
      </c>
      <c r="R1449" s="5" t="s">
        <v>74</v>
      </c>
      <c r="S1449" s="5" t="s">
        <v>253</v>
      </c>
      <c r="T1449" s="5" t="s">
        <v>57</v>
      </c>
      <c r="U1449" s="5" t="s">
        <v>104</v>
      </c>
      <c r="V1449" s="5" t="s">
        <v>215</v>
      </c>
      <c r="W1449" s="5" t="s">
        <v>216</v>
      </c>
      <c r="X1449" s="5" t="s">
        <v>4579</v>
      </c>
      <c r="Y1449" s="5" t="s">
        <v>6038</v>
      </c>
      <c r="Z1449" s="9">
        <v>46201</v>
      </c>
      <c r="AA1449" s="8">
        <v>3</v>
      </c>
      <c r="AB1449" s="9">
        <f t="shared" si="67"/>
        <v>46293</v>
      </c>
      <c r="AC1449" s="10">
        <v>12</v>
      </c>
      <c r="AD1449" s="7">
        <f t="shared" si="68"/>
        <v>1463</v>
      </c>
      <c r="AE1449" s="7">
        <f>IF(F1449="Bullet",H1449*AD1449,MIN(MAX(I1449,1),Assumptions!$B$6)*AD1449)</f>
        <v>2926</v>
      </c>
      <c r="AF1449" s="8">
        <f>IF(F1449="Bullet",MAX(0,Assumptions!$B$4-AB1449),MAX(0,Assumptions!$B$4-L1449))</f>
        <v>5</v>
      </c>
      <c r="AG1449" s="9"/>
      <c r="AH1449" s="8" t="str">
        <f>IF(AG1449="","",Assumptions!$B$4-AG1449)</f>
        <v/>
      </c>
      <c r="AI1449" s="5" t="s">
        <v>80</v>
      </c>
      <c r="AJ1449" s="8"/>
      <c r="AK1449" s="8">
        <v>3</v>
      </c>
      <c r="AL1449" s="8">
        <v>601</v>
      </c>
      <c r="AM1449" s="8">
        <v>2</v>
      </c>
      <c r="AN1449" s="5" t="s">
        <v>63</v>
      </c>
      <c r="AO1449" s="10">
        <v>81.400000000000006</v>
      </c>
      <c r="AP1449" s="8">
        <v>73</v>
      </c>
      <c r="AQ1449" s="9"/>
      <c r="AR1449" s="5"/>
      <c r="AS1449" s="5" t="s">
        <v>159</v>
      </c>
    </row>
    <row r="1450" spans="1:45" x14ac:dyDescent="0.35">
      <c r="A1450" s="5" t="s">
        <v>6039</v>
      </c>
      <c r="B1450" s="5" t="s">
        <v>3711</v>
      </c>
      <c r="C1450" s="6" t="s">
        <v>6040</v>
      </c>
      <c r="D1450" s="7">
        <v>148400</v>
      </c>
      <c r="E1450" s="5" t="s">
        <v>48</v>
      </c>
      <c r="F1450" s="5" t="s">
        <v>49</v>
      </c>
      <c r="G1450" s="8"/>
      <c r="H1450" s="8" t="str">
        <f>IF(F1450="Bullet",MIN(G1450,Assumptions!$B$6),"")</f>
        <v/>
      </c>
      <c r="I1450" s="8">
        <v>2</v>
      </c>
      <c r="J1450" s="8">
        <f>IF(F1450="Monthly interest",MAX(0,Assumptions!$B$5-I1450),"")</f>
        <v>1</v>
      </c>
      <c r="K1450" s="7">
        <f t="shared" si="66"/>
        <v>5936</v>
      </c>
      <c r="L1450" s="9">
        <v>46249</v>
      </c>
      <c r="M1450" s="5" t="s">
        <v>116</v>
      </c>
      <c r="N1450" s="5" t="s">
        <v>117</v>
      </c>
      <c r="O1450" s="5" t="s">
        <v>118</v>
      </c>
      <c r="P1450" s="5" t="s">
        <v>72</v>
      </c>
      <c r="Q1450" s="5" t="s">
        <v>119</v>
      </c>
      <c r="R1450" s="5" t="s">
        <v>120</v>
      </c>
      <c r="S1450" s="5" t="s">
        <v>214</v>
      </c>
      <c r="T1450" s="5" t="s">
        <v>57</v>
      </c>
      <c r="U1450" s="5" t="s">
        <v>58</v>
      </c>
      <c r="V1450" s="5" t="s">
        <v>215</v>
      </c>
      <c r="W1450" s="5" t="s">
        <v>216</v>
      </c>
      <c r="X1450" s="5" t="s">
        <v>4579</v>
      </c>
      <c r="Y1450" s="5" t="s">
        <v>6041</v>
      </c>
      <c r="Z1450" s="9">
        <v>46037</v>
      </c>
      <c r="AA1450" s="8">
        <v>12</v>
      </c>
      <c r="AB1450" s="9">
        <f t="shared" si="67"/>
        <v>46402</v>
      </c>
      <c r="AC1450" s="10">
        <v>24</v>
      </c>
      <c r="AD1450" s="7">
        <f t="shared" si="68"/>
        <v>2968</v>
      </c>
      <c r="AE1450" s="7">
        <f>IF(F1450="Bullet",H1450*AD1450,MIN(MAX(I1450,1),Assumptions!$B$6)*AD1450)</f>
        <v>5936</v>
      </c>
      <c r="AF1450" s="8">
        <f>IF(F1450="Bullet",MAX(0,Assumptions!$B$4-AB1450),MAX(0,Assumptions!$B$4-L1450))</f>
        <v>49</v>
      </c>
      <c r="AG1450" s="9">
        <v>46218</v>
      </c>
      <c r="AH1450" s="8">
        <f>IF(AG1450="","",Assumptions!$B$4-AG1450)</f>
        <v>80</v>
      </c>
      <c r="AI1450" s="5" t="s">
        <v>57</v>
      </c>
      <c r="AJ1450" s="8">
        <v>2</v>
      </c>
      <c r="AK1450" s="8">
        <v>1</v>
      </c>
      <c r="AL1450" s="8">
        <v>641</v>
      </c>
      <c r="AM1450" s="8">
        <v>0</v>
      </c>
      <c r="AN1450" s="5" t="s">
        <v>63</v>
      </c>
      <c r="AO1450" s="10">
        <v>73.5</v>
      </c>
      <c r="AP1450" s="8">
        <v>49</v>
      </c>
      <c r="AQ1450" s="9">
        <v>46295</v>
      </c>
      <c r="AR1450" s="5" t="s">
        <v>70</v>
      </c>
      <c r="AS1450" s="5" t="s">
        <v>81</v>
      </c>
    </row>
    <row r="1451" spans="1:45" x14ac:dyDescent="0.35">
      <c r="A1451" s="5" t="s">
        <v>6042</v>
      </c>
      <c r="B1451" s="5" t="s">
        <v>6043</v>
      </c>
      <c r="C1451" s="6" t="s">
        <v>6044</v>
      </c>
      <c r="D1451" s="7">
        <v>42900</v>
      </c>
      <c r="E1451" s="5" t="s">
        <v>48</v>
      </c>
      <c r="F1451" s="5" t="s">
        <v>68</v>
      </c>
      <c r="G1451" s="8">
        <v>4</v>
      </c>
      <c r="H1451" s="8">
        <f>IF(F1451="Bullet",MIN(G1451,Assumptions!$B$6),"")</f>
        <v>2</v>
      </c>
      <c r="I1451" s="8"/>
      <c r="J1451" s="8" t="str">
        <f>IF(F1451="Monthly interest",MAX(0,Assumptions!$B$5-I1451),"")</f>
        <v/>
      </c>
      <c r="K1451" s="7">
        <f t="shared" si="66"/>
        <v>2288</v>
      </c>
      <c r="L1451" s="9">
        <v>46163</v>
      </c>
      <c r="M1451" s="5" t="s">
        <v>50</v>
      </c>
      <c r="N1451" s="5" t="s">
        <v>53</v>
      </c>
      <c r="O1451" s="5" t="s">
        <v>152</v>
      </c>
      <c r="P1451" s="5" t="s">
        <v>153</v>
      </c>
      <c r="Q1451" s="5" t="s">
        <v>154</v>
      </c>
      <c r="R1451" s="5" t="s">
        <v>155</v>
      </c>
      <c r="S1451" s="5" t="s">
        <v>214</v>
      </c>
      <c r="T1451" s="5" t="s">
        <v>57</v>
      </c>
      <c r="U1451" s="5" t="s">
        <v>86</v>
      </c>
      <c r="V1451" s="5" t="s">
        <v>215</v>
      </c>
      <c r="W1451" s="5" t="s">
        <v>242</v>
      </c>
      <c r="X1451" s="5" t="s">
        <v>3704</v>
      </c>
      <c r="Y1451" s="5" t="s">
        <v>6045</v>
      </c>
      <c r="Z1451" s="9">
        <v>46163</v>
      </c>
      <c r="AA1451" s="8">
        <v>6</v>
      </c>
      <c r="AB1451" s="9">
        <f t="shared" si="67"/>
        <v>46347</v>
      </c>
      <c r="AC1451" s="10">
        <v>16</v>
      </c>
      <c r="AD1451" s="7">
        <f t="shared" si="68"/>
        <v>572</v>
      </c>
      <c r="AE1451" s="7">
        <f>IF(F1451="Bullet",H1451*AD1451,MIN(MAX(I1451,1),Assumptions!$B$6)*AD1451)</f>
        <v>1144</v>
      </c>
      <c r="AF1451" s="8">
        <f>IF(F1451="Bullet",MAX(0,Assumptions!$B$4-AB1451),MAX(0,Assumptions!$B$4-L1451))</f>
        <v>0</v>
      </c>
      <c r="AG1451" s="9"/>
      <c r="AH1451" s="8" t="str">
        <f>IF(AG1451="","",Assumptions!$B$4-AG1451)</f>
        <v/>
      </c>
      <c r="AI1451" s="5" t="s">
        <v>80</v>
      </c>
      <c r="AJ1451" s="8"/>
      <c r="AK1451" s="8">
        <v>1</v>
      </c>
      <c r="AL1451" s="8">
        <v>793</v>
      </c>
      <c r="AM1451" s="8">
        <v>0</v>
      </c>
      <c r="AN1451" s="5" t="s">
        <v>63</v>
      </c>
      <c r="AO1451" s="10">
        <v>78.2</v>
      </c>
      <c r="AP1451" s="8">
        <v>26</v>
      </c>
      <c r="AQ1451" s="9">
        <v>46294</v>
      </c>
      <c r="AR1451" s="5" t="s">
        <v>72</v>
      </c>
      <c r="AS1451" s="5" t="s">
        <v>181</v>
      </c>
    </row>
    <row r="1452" spans="1:45" x14ac:dyDescent="0.35">
      <c r="A1452" s="5" t="s">
        <v>6046</v>
      </c>
      <c r="B1452" s="5" t="s">
        <v>718</v>
      </c>
      <c r="C1452" s="6" t="s">
        <v>6047</v>
      </c>
      <c r="D1452" s="7">
        <v>654600</v>
      </c>
      <c r="E1452" s="5" t="s">
        <v>48</v>
      </c>
      <c r="F1452" s="5" t="s">
        <v>68</v>
      </c>
      <c r="G1452" s="8">
        <v>3</v>
      </c>
      <c r="H1452" s="8">
        <f>IF(F1452="Bullet",MIN(G1452,Assumptions!$B$6),"")</f>
        <v>2</v>
      </c>
      <c r="I1452" s="8"/>
      <c r="J1452" s="8" t="str">
        <f>IF(F1452="Monthly interest",MAX(0,Assumptions!$B$5-I1452),"")</f>
        <v/>
      </c>
      <c r="K1452" s="7">
        <f t="shared" si="66"/>
        <v>21276</v>
      </c>
      <c r="L1452" s="9">
        <v>46206</v>
      </c>
      <c r="M1452" s="5" t="s">
        <v>69</v>
      </c>
      <c r="N1452" s="5" t="s">
        <v>70</v>
      </c>
      <c r="O1452" s="5" t="s">
        <v>71</v>
      </c>
      <c r="P1452" s="5" t="s">
        <v>72</v>
      </c>
      <c r="Q1452" s="5" t="s">
        <v>73</v>
      </c>
      <c r="R1452" s="5" t="s">
        <v>74</v>
      </c>
      <c r="S1452" s="5" t="s">
        <v>56</v>
      </c>
      <c r="T1452" s="5" t="s">
        <v>57</v>
      </c>
      <c r="U1452" s="5" t="s">
        <v>104</v>
      </c>
      <c r="V1452" s="5" t="s">
        <v>59</v>
      </c>
      <c r="W1452" s="5" t="s">
        <v>323</v>
      </c>
      <c r="X1452" s="5" t="s">
        <v>1923</v>
      </c>
      <c r="Y1452" s="5" t="s">
        <v>6048</v>
      </c>
      <c r="Z1452" s="9">
        <v>46206</v>
      </c>
      <c r="AA1452" s="8">
        <v>3</v>
      </c>
      <c r="AB1452" s="9">
        <f t="shared" si="67"/>
        <v>46298</v>
      </c>
      <c r="AC1452" s="10">
        <v>13</v>
      </c>
      <c r="AD1452" s="7">
        <f t="shared" si="68"/>
        <v>7092</v>
      </c>
      <c r="AE1452" s="7">
        <f>IF(F1452="Bullet",H1452*AD1452,MIN(MAX(I1452,1),Assumptions!$B$6)*AD1452)</f>
        <v>14184</v>
      </c>
      <c r="AF1452" s="8">
        <f>IF(F1452="Bullet",MAX(0,Assumptions!$B$4-AB1452),MAX(0,Assumptions!$B$4-L1452))</f>
        <v>0</v>
      </c>
      <c r="AG1452" s="9"/>
      <c r="AH1452" s="8" t="str">
        <f>IF(AG1452="","",Assumptions!$B$4-AG1452)</f>
        <v/>
      </c>
      <c r="AI1452" s="5" t="s">
        <v>80</v>
      </c>
      <c r="AJ1452" s="8"/>
      <c r="AK1452" s="8">
        <v>2</v>
      </c>
      <c r="AL1452" s="8">
        <v>748</v>
      </c>
      <c r="AM1452" s="8">
        <v>0</v>
      </c>
      <c r="AN1452" s="5" t="s">
        <v>63</v>
      </c>
      <c r="AO1452" s="10">
        <v>75.7</v>
      </c>
      <c r="AP1452" s="8">
        <v>33</v>
      </c>
      <c r="AQ1452" s="9">
        <v>46293</v>
      </c>
      <c r="AR1452" s="5" t="s">
        <v>70</v>
      </c>
      <c r="AS1452" s="5" t="s">
        <v>81</v>
      </c>
    </row>
    <row r="1453" spans="1:45" x14ac:dyDescent="0.35">
      <c r="A1453" s="5" t="s">
        <v>6049</v>
      </c>
      <c r="B1453" s="5" t="s">
        <v>6050</v>
      </c>
      <c r="C1453" s="6" t="s">
        <v>6051</v>
      </c>
      <c r="D1453" s="7">
        <v>66600</v>
      </c>
      <c r="E1453" s="5" t="s">
        <v>48</v>
      </c>
      <c r="F1453" s="5" t="s">
        <v>49</v>
      </c>
      <c r="G1453" s="8"/>
      <c r="H1453" s="8" t="str">
        <f>IF(F1453="Bullet",MIN(G1453,Assumptions!$B$6),"")</f>
        <v/>
      </c>
      <c r="I1453" s="8">
        <v>1</v>
      </c>
      <c r="J1453" s="8">
        <f>IF(F1453="Monthly interest",MAX(0,Assumptions!$B$5-I1453),"")</f>
        <v>2</v>
      </c>
      <c r="K1453" s="7">
        <f t="shared" si="66"/>
        <v>1110</v>
      </c>
      <c r="L1453" s="9">
        <v>46283</v>
      </c>
      <c r="M1453" s="5" t="s">
        <v>50</v>
      </c>
      <c r="N1453" s="5" t="s">
        <v>53</v>
      </c>
      <c r="O1453" s="5" t="s">
        <v>132</v>
      </c>
      <c r="P1453" s="5" t="s">
        <v>51</v>
      </c>
      <c r="Q1453" s="5" t="s">
        <v>54</v>
      </c>
      <c r="R1453" s="5" t="s">
        <v>55</v>
      </c>
      <c r="S1453" s="5" t="s">
        <v>185</v>
      </c>
      <c r="T1453" s="5" t="s">
        <v>57</v>
      </c>
      <c r="U1453" s="5" t="s">
        <v>86</v>
      </c>
      <c r="V1453" s="5" t="s">
        <v>186</v>
      </c>
      <c r="W1453" s="5" t="s">
        <v>694</v>
      </c>
      <c r="X1453" s="5" t="s">
        <v>695</v>
      </c>
      <c r="Y1453" s="5" t="s">
        <v>6052</v>
      </c>
      <c r="Z1453" s="9">
        <v>46040</v>
      </c>
      <c r="AA1453" s="8">
        <v>24</v>
      </c>
      <c r="AB1453" s="9">
        <f t="shared" si="67"/>
        <v>46770</v>
      </c>
      <c r="AC1453" s="10">
        <v>20</v>
      </c>
      <c r="AD1453" s="7">
        <f t="shared" si="68"/>
        <v>1110</v>
      </c>
      <c r="AE1453" s="7">
        <f>IF(F1453="Bullet",H1453*AD1453,MIN(MAX(I1453,1),Assumptions!$B$6)*AD1453)</f>
        <v>1110</v>
      </c>
      <c r="AF1453" s="8">
        <f>IF(F1453="Bullet",MAX(0,Assumptions!$B$4-AB1453),MAX(0,Assumptions!$B$4-L1453))</f>
        <v>15</v>
      </c>
      <c r="AG1453" s="9">
        <v>46257</v>
      </c>
      <c r="AH1453" s="8">
        <f>IF(AG1453="","",Assumptions!$B$4-AG1453)</f>
        <v>41</v>
      </c>
      <c r="AI1453" s="5" t="s">
        <v>63</v>
      </c>
      <c r="AJ1453" s="8">
        <v>3</v>
      </c>
      <c r="AK1453" s="8">
        <v>0</v>
      </c>
      <c r="AL1453" s="8">
        <v>760</v>
      </c>
      <c r="AM1453" s="8">
        <v>1</v>
      </c>
      <c r="AN1453" s="5" t="s">
        <v>63</v>
      </c>
      <c r="AO1453" s="10">
        <v>78.900000000000006</v>
      </c>
      <c r="AP1453" s="8">
        <v>27</v>
      </c>
      <c r="AQ1453" s="9">
        <v>46297</v>
      </c>
      <c r="AR1453" s="5" t="s">
        <v>51</v>
      </c>
      <c r="AS1453" s="5" t="s">
        <v>91</v>
      </c>
    </row>
    <row r="1454" spans="1:45" x14ac:dyDescent="0.35">
      <c r="A1454" s="5" t="s">
        <v>6053</v>
      </c>
      <c r="B1454" s="5" t="s">
        <v>6054</v>
      </c>
      <c r="C1454" s="6" t="s">
        <v>6055</v>
      </c>
      <c r="D1454" s="7">
        <v>125500</v>
      </c>
      <c r="E1454" s="5" t="s">
        <v>48</v>
      </c>
      <c r="F1454" s="5" t="s">
        <v>68</v>
      </c>
      <c r="G1454" s="8">
        <v>6</v>
      </c>
      <c r="H1454" s="8">
        <f>IF(F1454="Bullet",MIN(G1454,Assumptions!$B$6),"")</f>
        <v>2</v>
      </c>
      <c r="I1454" s="8"/>
      <c r="J1454" s="8" t="str">
        <f>IF(F1454="Monthly interest",MAX(0,Assumptions!$B$5-I1454),"")</f>
        <v/>
      </c>
      <c r="K1454" s="7">
        <f t="shared" si="66"/>
        <v>9414</v>
      </c>
      <c r="L1454" s="9">
        <v>46097</v>
      </c>
      <c r="M1454" s="5" t="s">
        <v>116</v>
      </c>
      <c r="N1454" s="5" t="s">
        <v>117</v>
      </c>
      <c r="O1454" s="5" t="s">
        <v>461</v>
      </c>
      <c r="P1454" s="5" t="s">
        <v>72</v>
      </c>
      <c r="Q1454" s="5" t="s">
        <v>169</v>
      </c>
      <c r="R1454" s="5" t="s">
        <v>170</v>
      </c>
      <c r="S1454" s="5" t="s">
        <v>75</v>
      </c>
      <c r="T1454" s="5" t="s">
        <v>57</v>
      </c>
      <c r="U1454" s="5" t="s">
        <v>104</v>
      </c>
      <c r="V1454" s="5" t="s">
        <v>76</v>
      </c>
      <c r="W1454" s="5" t="s">
        <v>105</v>
      </c>
      <c r="X1454" s="5" t="s">
        <v>1588</v>
      </c>
      <c r="Y1454" s="5" t="s">
        <v>6056</v>
      </c>
      <c r="Z1454" s="9">
        <v>46097</v>
      </c>
      <c r="AA1454" s="8">
        <v>12</v>
      </c>
      <c r="AB1454" s="9">
        <f t="shared" si="67"/>
        <v>46462</v>
      </c>
      <c r="AC1454" s="10">
        <v>15</v>
      </c>
      <c r="AD1454" s="7">
        <f t="shared" si="68"/>
        <v>1569</v>
      </c>
      <c r="AE1454" s="7">
        <f>IF(F1454="Bullet",H1454*AD1454,MIN(MAX(I1454,1),Assumptions!$B$6)*AD1454)</f>
        <v>3138</v>
      </c>
      <c r="AF1454" s="8">
        <f>IF(F1454="Bullet",MAX(0,Assumptions!$B$4-AB1454),MAX(0,Assumptions!$B$4-L1454))</f>
        <v>0</v>
      </c>
      <c r="AG1454" s="9"/>
      <c r="AH1454" s="8" t="str">
        <f>IF(AG1454="","",Assumptions!$B$4-AG1454)</f>
        <v/>
      </c>
      <c r="AI1454" s="5" t="s">
        <v>80</v>
      </c>
      <c r="AJ1454" s="8"/>
      <c r="AK1454" s="8">
        <v>1</v>
      </c>
      <c r="AL1454" s="8">
        <v>697</v>
      </c>
      <c r="AM1454" s="8">
        <v>0</v>
      </c>
      <c r="AN1454" s="5" t="s">
        <v>57</v>
      </c>
      <c r="AO1454" s="10">
        <v>78.2</v>
      </c>
      <c r="AP1454" s="8">
        <v>60</v>
      </c>
      <c r="AQ1454" s="9">
        <v>46297</v>
      </c>
      <c r="AR1454" s="5" t="s">
        <v>51</v>
      </c>
      <c r="AS1454" s="5" t="s">
        <v>81</v>
      </c>
    </row>
    <row r="1455" spans="1:45" x14ac:dyDescent="0.35">
      <c r="A1455" s="5" t="s">
        <v>6057</v>
      </c>
      <c r="B1455" s="5" t="s">
        <v>3638</v>
      </c>
      <c r="C1455" s="6" t="s">
        <v>6058</v>
      </c>
      <c r="D1455" s="7">
        <v>525700</v>
      </c>
      <c r="E1455" s="5" t="s">
        <v>48</v>
      </c>
      <c r="F1455" s="5" t="s">
        <v>68</v>
      </c>
      <c r="G1455" s="8">
        <v>2</v>
      </c>
      <c r="H1455" s="8">
        <f>IF(F1455="Bullet",MIN(G1455,Assumptions!$B$6),"")</f>
        <v>2</v>
      </c>
      <c r="I1455" s="8"/>
      <c r="J1455" s="8" t="str">
        <f>IF(F1455="Monthly interest",MAX(0,Assumptions!$B$5-I1455),"")</f>
        <v/>
      </c>
      <c r="K1455" s="7">
        <f t="shared" si="66"/>
        <v>13142</v>
      </c>
      <c r="L1455" s="9">
        <v>46222</v>
      </c>
      <c r="M1455" s="5" t="s">
        <v>69</v>
      </c>
      <c r="N1455" s="5" t="s">
        <v>53</v>
      </c>
      <c r="O1455" s="5" t="s">
        <v>71</v>
      </c>
      <c r="P1455" s="5" t="s">
        <v>70</v>
      </c>
      <c r="Q1455" s="5" t="s">
        <v>73</v>
      </c>
      <c r="R1455" s="5" t="s">
        <v>74</v>
      </c>
      <c r="S1455" s="5" t="s">
        <v>56</v>
      </c>
      <c r="T1455" s="5" t="s">
        <v>63</v>
      </c>
      <c r="U1455" s="5" t="s">
        <v>104</v>
      </c>
      <c r="V1455" s="5" t="s">
        <v>59</v>
      </c>
      <c r="W1455" s="5" t="s">
        <v>323</v>
      </c>
      <c r="X1455" s="5" t="s">
        <v>1485</v>
      </c>
      <c r="Y1455" s="5" t="s">
        <v>6059</v>
      </c>
      <c r="Z1455" s="9">
        <v>46222</v>
      </c>
      <c r="AA1455" s="8">
        <v>6</v>
      </c>
      <c r="AB1455" s="9">
        <f t="shared" si="67"/>
        <v>46406</v>
      </c>
      <c r="AC1455" s="10">
        <v>15</v>
      </c>
      <c r="AD1455" s="7">
        <f t="shared" si="68"/>
        <v>6571</v>
      </c>
      <c r="AE1455" s="7">
        <f>IF(F1455="Bullet",H1455*AD1455,MIN(MAX(I1455,1),Assumptions!$B$6)*AD1455)</f>
        <v>13142</v>
      </c>
      <c r="AF1455" s="8">
        <f>IF(F1455="Bullet",MAX(0,Assumptions!$B$4-AB1455),MAX(0,Assumptions!$B$4-L1455))</f>
        <v>0</v>
      </c>
      <c r="AG1455" s="9"/>
      <c r="AH1455" s="8" t="str">
        <f>IF(AG1455="","",Assumptions!$B$4-AG1455)</f>
        <v/>
      </c>
      <c r="AI1455" s="5" t="s">
        <v>80</v>
      </c>
      <c r="AJ1455" s="8"/>
      <c r="AK1455" s="8">
        <v>1</v>
      </c>
      <c r="AL1455" s="8">
        <v>702</v>
      </c>
      <c r="AM1455" s="8">
        <v>2</v>
      </c>
      <c r="AN1455" s="5" t="s">
        <v>57</v>
      </c>
      <c r="AO1455" s="10">
        <v>65.599999999999994</v>
      </c>
      <c r="AP1455" s="8">
        <v>33</v>
      </c>
      <c r="AQ1455" s="9">
        <v>46282</v>
      </c>
      <c r="AR1455" s="5" t="s">
        <v>70</v>
      </c>
      <c r="AS1455" s="5" t="s">
        <v>81</v>
      </c>
    </row>
    <row r="1456" spans="1:45" x14ac:dyDescent="0.35">
      <c r="A1456" s="5" t="s">
        <v>6060</v>
      </c>
      <c r="B1456" s="5" t="s">
        <v>3375</v>
      </c>
      <c r="C1456" s="6" t="s">
        <v>6061</v>
      </c>
      <c r="D1456" s="7">
        <v>60600</v>
      </c>
      <c r="E1456" s="5" t="s">
        <v>48</v>
      </c>
      <c r="F1456" s="5" t="s">
        <v>49</v>
      </c>
      <c r="G1456" s="8"/>
      <c r="H1456" s="8" t="str">
        <f>IF(F1456="Bullet",MIN(G1456,Assumptions!$B$6),"")</f>
        <v/>
      </c>
      <c r="I1456" s="8">
        <v>2</v>
      </c>
      <c r="J1456" s="8">
        <f>IF(F1456="Monthly interest",MAX(0,Assumptions!$B$5-I1456),"")</f>
        <v>1</v>
      </c>
      <c r="K1456" s="7">
        <f t="shared" si="66"/>
        <v>2222</v>
      </c>
      <c r="L1456" s="9">
        <v>46248</v>
      </c>
      <c r="M1456" s="5" t="s">
        <v>69</v>
      </c>
      <c r="N1456" s="5" t="s">
        <v>53</v>
      </c>
      <c r="O1456" s="5" t="s">
        <v>71</v>
      </c>
      <c r="P1456" s="5" t="s">
        <v>70</v>
      </c>
      <c r="Q1456" s="5" t="s">
        <v>73</v>
      </c>
      <c r="R1456" s="5" t="s">
        <v>74</v>
      </c>
      <c r="S1456" s="5" t="s">
        <v>56</v>
      </c>
      <c r="T1456" s="5" t="s">
        <v>63</v>
      </c>
      <c r="U1456" s="5" t="s">
        <v>58</v>
      </c>
      <c r="V1456" s="5" t="s">
        <v>59</v>
      </c>
      <c r="W1456" s="5" t="s">
        <v>60</v>
      </c>
      <c r="X1456" s="5" t="s">
        <v>335</v>
      </c>
      <c r="Y1456" s="5" t="s">
        <v>6062</v>
      </c>
      <c r="Z1456" s="9">
        <v>46095</v>
      </c>
      <c r="AA1456" s="8">
        <v>12</v>
      </c>
      <c r="AB1456" s="9">
        <f t="shared" si="67"/>
        <v>46460</v>
      </c>
      <c r="AC1456" s="10">
        <v>22</v>
      </c>
      <c r="AD1456" s="7">
        <f t="shared" si="68"/>
        <v>1111</v>
      </c>
      <c r="AE1456" s="7">
        <f>IF(F1456="Bullet",H1456*AD1456,MIN(MAX(I1456,1),Assumptions!$B$6)*AD1456)</f>
        <v>2222</v>
      </c>
      <c r="AF1456" s="8">
        <f>IF(F1456="Bullet",MAX(0,Assumptions!$B$4-AB1456),MAX(0,Assumptions!$B$4-L1456))</f>
        <v>50</v>
      </c>
      <c r="AG1456" s="9">
        <v>46218</v>
      </c>
      <c r="AH1456" s="8">
        <f>IF(AG1456="","",Assumptions!$B$4-AG1456)</f>
        <v>80</v>
      </c>
      <c r="AI1456" s="5" t="s">
        <v>63</v>
      </c>
      <c r="AJ1456" s="8">
        <v>2</v>
      </c>
      <c r="AK1456" s="8">
        <v>1</v>
      </c>
      <c r="AL1456" s="8">
        <v>701</v>
      </c>
      <c r="AM1456" s="8">
        <v>0</v>
      </c>
      <c r="AN1456" s="5" t="s">
        <v>63</v>
      </c>
      <c r="AO1456" s="10">
        <v>61.7</v>
      </c>
      <c r="AP1456" s="8">
        <v>44</v>
      </c>
      <c r="AQ1456" s="9">
        <v>46275</v>
      </c>
      <c r="AR1456" s="5" t="s">
        <v>70</v>
      </c>
      <c r="AS1456" s="5" t="s">
        <v>64</v>
      </c>
    </row>
    <row r="1457" spans="1:45" x14ac:dyDescent="0.35">
      <c r="A1457" s="5" t="s">
        <v>6063</v>
      </c>
      <c r="B1457" s="5" t="s">
        <v>5653</v>
      </c>
      <c r="C1457" s="6" t="s">
        <v>6064</v>
      </c>
      <c r="D1457" s="7">
        <v>100400</v>
      </c>
      <c r="E1457" s="5" t="s">
        <v>48</v>
      </c>
      <c r="F1457" s="5" t="s">
        <v>68</v>
      </c>
      <c r="G1457" s="8">
        <v>3</v>
      </c>
      <c r="H1457" s="8">
        <f>IF(F1457="Bullet",MIN(G1457,Assumptions!$B$6),"")</f>
        <v>2</v>
      </c>
      <c r="I1457" s="8"/>
      <c r="J1457" s="8" t="str">
        <f>IF(F1457="Monthly interest",MAX(0,Assumptions!$B$5-I1457),"")</f>
        <v/>
      </c>
      <c r="K1457" s="7">
        <f t="shared" si="66"/>
        <v>3513</v>
      </c>
      <c r="L1457" s="9">
        <v>46198</v>
      </c>
      <c r="M1457" s="5" t="s">
        <v>69</v>
      </c>
      <c r="N1457" s="5" t="s">
        <v>53</v>
      </c>
      <c r="O1457" s="5" t="s">
        <v>71</v>
      </c>
      <c r="P1457" s="5" t="s">
        <v>70</v>
      </c>
      <c r="Q1457" s="5" t="s">
        <v>73</v>
      </c>
      <c r="R1457" s="5" t="s">
        <v>74</v>
      </c>
      <c r="S1457" s="5" t="s">
        <v>75</v>
      </c>
      <c r="T1457" s="5" t="s">
        <v>57</v>
      </c>
      <c r="U1457" s="5" t="s">
        <v>58</v>
      </c>
      <c r="V1457" s="5" t="s">
        <v>76</v>
      </c>
      <c r="W1457" s="5" t="s">
        <v>140</v>
      </c>
      <c r="X1457" s="5" t="s">
        <v>3391</v>
      </c>
      <c r="Y1457" s="5" t="s">
        <v>6065</v>
      </c>
      <c r="Z1457" s="9">
        <v>46198</v>
      </c>
      <c r="AA1457" s="8">
        <v>6</v>
      </c>
      <c r="AB1457" s="9">
        <f t="shared" si="67"/>
        <v>46381</v>
      </c>
      <c r="AC1457" s="10">
        <v>14</v>
      </c>
      <c r="AD1457" s="7">
        <f t="shared" si="68"/>
        <v>1171</v>
      </c>
      <c r="AE1457" s="7">
        <f>IF(F1457="Bullet",H1457*AD1457,MIN(MAX(I1457,1),Assumptions!$B$6)*AD1457)</f>
        <v>2342</v>
      </c>
      <c r="AF1457" s="8">
        <f>IF(F1457="Bullet",MAX(0,Assumptions!$B$4-AB1457),MAX(0,Assumptions!$B$4-L1457))</f>
        <v>0</v>
      </c>
      <c r="AG1457" s="9"/>
      <c r="AH1457" s="8" t="str">
        <f>IF(AG1457="","",Assumptions!$B$4-AG1457)</f>
        <v/>
      </c>
      <c r="AI1457" s="5" t="s">
        <v>80</v>
      </c>
      <c r="AJ1457" s="8"/>
      <c r="AK1457" s="8">
        <v>2</v>
      </c>
      <c r="AL1457" s="8">
        <v>744</v>
      </c>
      <c r="AM1457" s="8">
        <v>2</v>
      </c>
      <c r="AN1457" s="5" t="s">
        <v>63</v>
      </c>
      <c r="AO1457" s="10">
        <v>84</v>
      </c>
      <c r="AP1457" s="8">
        <v>34</v>
      </c>
      <c r="AQ1457" s="9">
        <v>46293</v>
      </c>
      <c r="AR1457" s="5" t="s">
        <v>53</v>
      </c>
      <c r="AS1457" s="5" t="s">
        <v>64</v>
      </c>
    </row>
    <row r="1458" spans="1:45" x14ac:dyDescent="0.35">
      <c r="A1458" s="5" t="s">
        <v>6066</v>
      </c>
      <c r="B1458" s="5" t="s">
        <v>6067</v>
      </c>
      <c r="C1458" s="6" t="s">
        <v>6068</v>
      </c>
      <c r="D1458" s="7">
        <v>125700</v>
      </c>
      <c r="E1458" s="5" t="s">
        <v>48</v>
      </c>
      <c r="F1458" s="5" t="s">
        <v>49</v>
      </c>
      <c r="G1458" s="8"/>
      <c r="H1458" s="8" t="str">
        <f>IF(F1458="Bullet",MIN(G1458,Assumptions!$B$6),"")</f>
        <v/>
      </c>
      <c r="I1458" s="8">
        <v>2</v>
      </c>
      <c r="J1458" s="8">
        <f>IF(F1458="Monthly interest",MAX(0,Assumptions!$B$5-I1458),"")</f>
        <v>1</v>
      </c>
      <c r="K1458" s="7">
        <f t="shared" si="66"/>
        <v>3772</v>
      </c>
      <c r="L1458" s="9">
        <v>46243</v>
      </c>
      <c r="M1458" s="5" t="s">
        <v>116</v>
      </c>
      <c r="N1458" s="5" t="s">
        <v>117</v>
      </c>
      <c r="O1458" s="5" t="s">
        <v>118</v>
      </c>
      <c r="P1458" s="5" t="s">
        <v>72</v>
      </c>
      <c r="Q1458" s="5" t="s">
        <v>119</v>
      </c>
      <c r="R1458" s="5" t="s">
        <v>120</v>
      </c>
      <c r="S1458" s="5" t="s">
        <v>214</v>
      </c>
      <c r="T1458" s="5" t="s">
        <v>57</v>
      </c>
      <c r="U1458" s="5" t="s">
        <v>86</v>
      </c>
      <c r="V1458" s="5" t="s">
        <v>215</v>
      </c>
      <c r="W1458" s="5" t="s">
        <v>284</v>
      </c>
      <c r="X1458" s="5" t="s">
        <v>3331</v>
      </c>
      <c r="Y1458" s="5" t="s">
        <v>6069</v>
      </c>
      <c r="Z1458" s="9">
        <v>46121</v>
      </c>
      <c r="AA1458" s="8">
        <v>12</v>
      </c>
      <c r="AB1458" s="9">
        <f t="shared" si="67"/>
        <v>46486</v>
      </c>
      <c r="AC1458" s="10">
        <v>18</v>
      </c>
      <c r="AD1458" s="7">
        <f t="shared" si="68"/>
        <v>1886</v>
      </c>
      <c r="AE1458" s="7">
        <f>IF(F1458="Bullet",H1458*AD1458,MIN(MAX(I1458,1),Assumptions!$B$6)*AD1458)</f>
        <v>3772</v>
      </c>
      <c r="AF1458" s="8">
        <f>IF(F1458="Bullet",MAX(0,Assumptions!$B$4-AB1458),MAX(0,Assumptions!$B$4-L1458))</f>
        <v>55</v>
      </c>
      <c r="AG1458" s="9">
        <v>46217</v>
      </c>
      <c r="AH1458" s="8">
        <f>IF(AG1458="","",Assumptions!$B$4-AG1458)</f>
        <v>81</v>
      </c>
      <c r="AI1458" s="5" t="s">
        <v>63</v>
      </c>
      <c r="AJ1458" s="8">
        <v>2</v>
      </c>
      <c r="AK1458" s="8">
        <v>0</v>
      </c>
      <c r="AL1458" s="8" t="s">
        <v>80</v>
      </c>
      <c r="AM1458" s="8">
        <v>0</v>
      </c>
      <c r="AN1458" s="5" t="s">
        <v>63</v>
      </c>
      <c r="AO1458" s="10">
        <v>79.400000000000006</v>
      </c>
      <c r="AP1458" s="8">
        <v>54</v>
      </c>
      <c r="AQ1458" s="9"/>
      <c r="AR1458" s="5"/>
      <c r="AS1458" s="5" t="s">
        <v>159</v>
      </c>
    </row>
    <row r="1459" spans="1:45" x14ac:dyDescent="0.35">
      <c r="A1459" s="5" t="s">
        <v>6070</v>
      </c>
      <c r="B1459" s="5" t="s">
        <v>471</v>
      </c>
      <c r="C1459" s="6" t="s">
        <v>6071</v>
      </c>
      <c r="D1459" s="7">
        <v>74000</v>
      </c>
      <c r="E1459" s="5" t="s">
        <v>48</v>
      </c>
      <c r="F1459" s="5" t="s">
        <v>49</v>
      </c>
      <c r="G1459" s="8"/>
      <c r="H1459" s="8" t="str">
        <f>IF(F1459="Bullet",MIN(G1459,Assumptions!$B$6),"")</f>
        <v/>
      </c>
      <c r="I1459" s="8">
        <v>1</v>
      </c>
      <c r="J1459" s="8">
        <f>IF(F1459="Monthly interest",MAX(0,Assumptions!$B$5-I1459),"")</f>
        <v>2</v>
      </c>
      <c r="K1459" s="7">
        <f t="shared" si="66"/>
        <v>925</v>
      </c>
      <c r="L1459" s="9">
        <v>46293</v>
      </c>
      <c r="M1459" s="5" t="s">
        <v>69</v>
      </c>
      <c r="N1459" s="5" t="s">
        <v>51</v>
      </c>
      <c r="O1459" s="5" t="s">
        <v>52</v>
      </c>
      <c r="P1459" s="5" t="s">
        <v>53</v>
      </c>
      <c r="Q1459" s="5" t="s">
        <v>54</v>
      </c>
      <c r="R1459" s="5" t="s">
        <v>55</v>
      </c>
      <c r="S1459" s="5" t="s">
        <v>85</v>
      </c>
      <c r="T1459" s="5" t="s">
        <v>57</v>
      </c>
      <c r="U1459" s="5" t="s">
        <v>86</v>
      </c>
      <c r="V1459" s="5" t="s">
        <v>553</v>
      </c>
      <c r="W1459" s="5" t="s">
        <v>1029</v>
      </c>
      <c r="X1459" s="5" t="s">
        <v>6072</v>
      </c>
      <c r="Y1459" s="5" t="s">
        <v>6073</v>
      </c>
      <c r="Z1459" s="9">
        <v>46081</v>
      </c>
      <c r="AA1459" s="8">
        <v>12</v>
      </c>
      <c r="AB1459" s="9">
        <f t="shared" si="67"/>
        <v>46446</v>
      </c>
      <c r="AC1459" s="10">
        <v>15</v>
      </c>
      <c r="AD1459" s="7">
        <f t="shared" si="68"/>
        <v>925</v>
      </c>
      <c r="AE1459" s="7">
        <f>IF(F1459="Bullet",H1459*AD1459,MIN(MAX(I1459,1),Assumptions!$B$6)*AD1459)</f>
        <v>925</v>
      </c>
      <c r="AF1459" s="8">
        <f>IF(F1459="Bullet",MAX(0,Assumptions!$B$4-AB1459),MAX(0,Assumptions!$B$4-L1459))</f>
        <v>5</v>
      </c>
      <c r="AG1459" s="9">
        <v>46264</v>
      </c>
      <c r="AH1459" s="8">
        <f>IF(AG1459="","",Assumptions!$B$4-AG1459)</f>
        <v>34</v>
      </c>
      <c r="AI1459" s="5" t="s">
        <v>63</v>
      </c>
      <c r="AJ1459" s="8">
        <v>1</v>
      </c>
      <c r="AK1459" s="8">
        <v>0</v>
      </c>
      <c r="AL1459" s="8">
        <v>678</v>
      </c>
      <c r="AM1459" s="8">
        <v>2</v>
      </c>
      <c r="AN1459" s="5" t="s">
        <v>63</v>
      </c>
      <c r="AO1459" s="10">
        <v>78.2</v>
      </c>
      <c r="AP1459" s="8">
        <v>34</v>
      </c>
      <c r="AQ1459" s="9">
        <v>46293</v>
      </c>
      <c r="AR1459" s="5" t="s">
        <v>51</v>
      </c>
      <c r="AS1459" s="5" t="s">
        <v>64</v>
      </c>
    </row>
    <row r="1460" spans="1:45" x14ac:dyDescent="0.35">
      <c r="A1460" s="5" t="s">
        <v>6074</v>
      </c>
      <c r="B1460" s="5" t="s">
        <v>6075</v>
      </c>
      <c r="C1460" s="6" t="s">
        <v>6076</v>
      </c>
      <c r="D1460" s="7">
        <v>42300</v>
      </c>
      <c r="E1460" s="5" t="s">
        <v>48</v>
      </c>
      <c r="F1460" s="5" t="s">
        <v>49</v>
      </c>
      <c r="G1460" s="8"/>
      <c r="H1460" s="8" t="str">
        <f>IF(F1460="Bullet",MIN(G1460,Assumptions!$B$6),"")</f>
        <v/>
      </c>
      <c r="I1460" s="8">
        <v>1</v>
      </c>
      <c r="J1460" s="8">
        <f>IF(F1460="Monthly interest",MAX(0,Assumptions!$B$5-I1460),"")</f>
        <v>2</v>
      </c>
      <c r="K1460" s="7">
        <f t="shared" si="66"/>
        <v>776</v>
      </c>
      <c r="L1460" s="9">
        <v>46272</v>
      </c>
      <c r="M1460" s="5" t="s">
        <v>50</v>
      </c>
      <c r="N1460" s="5" t="s">
        <v>51</v>
      </c>
      <c r="O1460" s="5" t="s">
        <v>152</v>
      </c>
      <c r="P1460" s="5" t="s">
        <v>53</v>
      </c>
      <c r="Q1460" s="5" t="s">
        <v>154</v>
      </c>
      <c r="R1460" s="5" t="s">
        <v>155</v>
      </c>
      <c r="S1460" s="5" t="s">
        <v>56</v>
      </c>
      <c r="T1460" s="5" t="s">
        <v>57</v>
      </c>
      <c r="U1460" s="5" t="s">
        <v>86</v>
      </c>
      <c r="V1460" s="5" t="s">
        <v>59</v>
      </c>
      <c r="W1460" s="5" t="s">
        <v>418</v>
      </c>
      <c r="X1460" s="5" t="s">
        <v>743</v>
      </c>
      <c r="Y1460" s="5" t="s">
        <v>6077</v>
      </c>
      <c r="Z1460" s="9">
        <v>45998</v>
      </c>
      <c r="AA1460" s="8">
        <v>12</v>
      </c>
      <c r="AB1460" s="9">
        <f t="shared" si="67"/>
        <v>46363</v>
      </c>
      <c r="AC1460" s="10">
        <v>22</v>
      </c>
      <c r="AD1460" s="7">
        <f t="shared" si="68"/>
        <v>776</v>
      </c>
      <c r="AE1460" s="7">
        <f>IF(F1460="Bullet",H1460*AD1460,MIN(MAX(I1460,1),Assumptions!$B$6)*AD1460)</f>
        <v>776</v>
      </c>
      <c r="AF1460" s="8">
        <f>IF(F1460="Bullet",MAX(0,Assumptions!$B$4-AB1460),MAX(0,Assumptions!$B$4-L1460))</f>
        <v>26</v>
      </c>
      <c r="AG1460" s="9">
        <v>46245</v>
      </c>
      <c r="AH1460" s="8">
        <f>IF(AG1460="","",Assumptions!$B$4-AG1460)</f>
        <v>53</v>
      </c>
      <c r="AI1460" s="5" t="s">
        <v>57</v>
      </c>
      <c r="AJ1460" s="8">
        <v>1</v>
      </c>
      <c r="AK1460" s="8">
        <v>0</v>
      </c>
      <c r="AL1460" s="8">
        <v>789</v>
      </c>
      <c r="AM1460" s="8">
        <v>0</v>
      </c>
      <c r="AN1460" s="5" t="s">
        <v>63</v>
      </c>
      <c r="AO1460" s="10">
        <v>68.2</v>
      </c>
      <c r="AP1460" s="8">
        <v>10</v>
      </c>
      <c r="AQ1460" s="9">
        <v>46289</v>
      </c>
      <c r="AR1460" s="5" t="s">
        <v>70</v>
      </c>
      <c r="AS1460" s="5" t="s">
        <v>81</v>
      </c>
    </row>
    <row r="1461" spans="1:45" x14ac:dyDescent="0.35">
      <c r="A1461" s="5" t="s">
        <v>6078</v>
      </c>
      <c r="B1461" s="5" t="s">
        <v>6079</v>
      </c>
      <c r="C1461" s="6" t="s">
        <v>6080</v>
      </c>
      <c r="D1461" s="7">
        <v>77600</v>
      </c>
      <c r="E1461" s="5" t="s">
        <v>48</v>
      </c>
      <c r="F1461" s="5" t="s">
        <v>49</v>
      </c>
      <c r="G1461" s="8"/>
      <c r="H1461" s="8" t="str">
        <f>IF(F1461="Bullet",MIN(G1461,Assumptions!$B$6),"")</f>
        <v/>
      </c>
      <c r="I1461" s="8">
        <v>1</v>
      </c>
      <c r="J1461" s="8">
        <f>IF(F1461="Monthly interest",MAX(0,Assumptions!$B$5-I1461),"")</f>
        <v>2</v>
      </c>
      <c r="K1461" s="7">
        <f t="shared" si="66"/>
        <v>1293</v>
      </c>
      <c r="L1461" s="9">
        <v>46270</v>
      </c>
      <c r="M1461" s="5" t="s">
        <v>50</v>
      </c>
      <c r="N1461" s="5" t="s">
        <v>51</v>
      </c>
      <c r="O1461" s="5" t="s">
        <v>52</v>
      </c>
      <c r="P1461" s="5" t="s">
        <v>53</v>
      </c>
      <c r="Q1461" s="5" t="s">
        <v>54</v>
      </c>
      <c r="R1461" s="5" t="s">
        <v>55</v>
      </c>
      <c r="S1461" s="5" t="s">
        <v>56</v>
      </c>
      <c r="T1461" s="5" t="s">
        <v>57</v>
      </c>
      <c r="U1461" s="5" t="s">
        <v>58</v>
      </c>
      <c r="V1461" s="5" t="s">
        <v>59</v>
      </c>
      <c r="W1461" s="5" t="s">
        <v>467</v>
      </c>
      <c r="X1461" s="5" t="s">
        <v>3238</v>
      </c>
      <c r="Y1461" s="5" t="s">
        <v>6081</v>
      </c>
      <c r="Z1461" s="9">
        <v>46178</v>
      </c>
      <c r="AA1461" s="8">
        <v>12</v>
      </c>
      <c r="AB1461" s="9">
        <f t="shared" si="67"/>
        <v>46543</v>
      </c>
      <c r="AC1461" s="10">
        <v>20</v>
      </c>
      <c r="AD1461" s="7">
        <f t="shared" si="68"/>
        <v>1293</v>
      </c>
      <c r="AE1461" s="7">
        <f>IF(F1461="Bullet",H1461*AD1461,MIN(MAX(I1461,1),Assumptions!$B$6)*AD1461)</f>
        <v>1293</v>
      </c>
      <c r="AF1461" s="8">
        <f>IF(F1461="Bullet",MAX(0,Assumptions!$B$4-AB1461),MAX(0,Assumptions!$B$4-L1461))</f>
        <v>28</v>
      </c>
      <c r="AG1461" s="9">
        <v>46243</v>
      </c>
      <c r="AH1461" s="8">
        <f>IF(AG1461="","",Assumptions!$B$4-AG1461)</f>
        <v>55</v>
      </c>
      <c r="AI1461" s="5" t="s">
        <v>57</v>
      </c>
      <c r="AJ1461" s="8">
        <v>1</v>
      </c>
      <c r="AK1461" s="8">
        <v>0</v>
      </c>
      <c r="AL1461" s="8">
        <v>794</v>
      </c>
      <c r="AM1461" s="8">
        <v>2</v>
      </c>
      <c r="AN1461" s="5" t="s">
        <v>63</v>
      </c>
      <c r="AO1461" s="10">
        <v>64.900000000000006</v>
      </c>
      <c r="AP1461" s="8">
        <v>21</v>
      </c>
      <c r="AQ1461" s="9">
        <v>46296</v>
      </c>
      <c r="AR1461" s="5" t="s">
        <v>51</v>
      </c>
      <c r="AS1461" s="5" t="s">
        <v>181</v>
      </c>
    </row>
    <row r="1462" spans="1:45" x14ac:dyDescent="0.35">
      <c r="A1462" s="5" t="s">
        <v>6082</v>
      </c>
      <c r="B1462" s="5" t="s">
        <v>6083</v>
      </c>
      <c r="C1462" s="6" t="s">
        <v>6084</v>
      </c>
      <c r="D1462" s="7">
        <v>397600</v>
      </c>
      <c r="E1462" s="5" t="s">
        <v>48</v>
      </c>
      <c r="F1462" s="5" t="s">
        <v>49</v>
      </c>
      <c r="G1462" s="8"/>
      <c r="H1462" s="8" t="str">
        <f>IF(F1462="Bullet",MIN(G1462,Assumptions!$B$6),"")</f>
        <v/>
      </c>
      <c r="I1462" s="8">
        <v>1</v>
      </c>
      <c r="J1462" s="8">
        <f>IF(F1462="Monthly interest",MAX(0,Assumptions!$B$5-I1462),"")</f>
        <v>2</v>
      </c>
      <c r="K1462" s="7">
        <f t="shared" si="66"/>
        <v>5301</v>
      </c>
      <c r="L1462" s="9">
        <v>46292</v>
      </c>
      <c r="M1462" s="5" t="s">
        <v>69</v>
      </c>
      <c r="N1462" s="5" t="s">
        <v>51</v>
      </c>
      <c r="O1462" s="5" t="s">
        <v>52</v>
      </c>
      <c r="P1462" s="5" t="s">
        <v>53</v>
      </c>
      <c r="Q1462" s="5" t="s">
        <v>54</v>
      </c>
      <c r="R1462" s="5" t="s">
        <v>55</v>
      </c>
      <c r="S1462" s="5" t="s">
        <v>185</v>
      </c>
      <c r="T1462" s="5" t="s">
        <v>57</v>
      </c>
      <c r="U1462" s="5" t="s">
        <v>86</v>
      </c>
      <c r="V1462" s="5" t="s">
        <v>200</v>
      </c>
      <c r="W1462" s="5" t="s">
        <v>201</v>
      </c>
      <c r="X1462" s="5" t="s">
        <v>6085</v>
      </c>
      <c r="Y1462" s="5" t="s">
        <v>6086</v>
      </c>
      <c r="Z1462" s="9">
        <v>46200</v>
      </c>
      <c r="AA1462" s="8">
        <v>12</v>
      </c>
      <c r="AB1462" s="9">
        <f t="shared" si="67"/>
        <v>46565</v>
      </c>
      <c r="AC1462" s="10">
        <v>16</v>
      </c>
      <c r="AD1462" s="7">
        <f t="shared" si="68"/>
        <v>5301</v>
      </c>
      <c r="AE1462" s="7">
        <f>IF(F1462="Bullet",H1462*AD1462,MIN(MAX(I1462,1),Assumptions!$B$6)*AD1462)</f>
        <v>5301</v>
      </c>
      <c r="AF1462" s="8">
        <f>IF(F1462="Bullet",MAX(0,Assumptions!$B$4-AB1462),MAX(0,Assumptions!$B$4-L1462))</f>
        <v>6</v>
      </c>
      <c r="AG1462" s="9">
        <v>46265</v>
      </c>
      <c r="AH1462" s="8">
        <f>IF(AG1462="","",Assumptions!$B$4-AG1462)</f>
        <v>33</v>
      </c>
      <c r="AI1462" s="5" t="s">
        <v>57</v>
      </c>
      <c r="AJ1462" s="8">
        <v>1</v>
      </c>
      <c r="AK1462" s="8">
        <v>0</v>
      </c>
      <c r="AL1462" s="8">
        <v>668</v>
      </c>
      <c r="AM1462" s="8">
        <v>1</v>
      </c>
      <c r="AN1462" s="5" t="s">
        <v>63</v>
      </c>
      <c r="AO1462" s="10">
        <v>78.3</v>
      </c>
      <c r="AP1462" s="8">
        <v>37</v>
      </c>
      <c r="AQ1462" s="9">
        <v>46283</v>
      </c>
      <c r="AR1462" s="5" t="s">
        <v>53</v>
      </c>
      <c r="AS1462" s="5" t="s">
        <v>190</v>
      </c>
    </row>
    <row r="1463" spans="1:45" x14ac:dyDescent="0.35">
      <c r="A1463" s="5" t="s">
        <v>6087</v>
      </c>
      <c r="B1463" s="5" t="s">
        <v>1444</v>
      </c>
      <c r="C1463" s="6" t="s">
        <v>6088</v>
      </c>
      <c r="D1463" s="7">
        <v>77000</v>
      </c>
      <c r="E1463" s="5" t="s">
        <v>48</v>
      </c>
      <c r="F1463" s="5" t="s">
        <v>68</v>
      </c>
      <c r="G1463" s="8">
        <v>6</v>
      </c>
      <c r="H1463" s="8">
        <f>IF(F1463="Bullet",MIN(G1463,Assumptions!$B$6),"")</f>
        <v>2</v>
      </c>
      <c r="I1463" s="8"/>
      <c r="J1463" s="8" t="str">
        <f>IF(F1463="Monthly interest",MAX(0,Assumptions!$B$5-I1463),"")</f>
        <v/>
      </c>
      <c r="K1463" s="7">
        <f t="shared" si="66"/>
        <v>4620</v>
      </c>
      <c r="L1463" s="9">
        <v>46099</v>
      </c>
      <c r="M1463" s="5" t="s">
        <v>116</v>
      </c>
      <c r="N1463" s="5" t="s">
        <v>117</v>
      </c>
      <c r="O1463" s="5" t="s">
        <v>461</v>
      </c>
      <c r="P1463" s="5" t="s">
        <v>72</v>
      </c>
      <c r="Q1463" s="5" t="s">
        <v>169</v>
      </c>
      <c r="R1463" s="5" t="s">
        <v>170</v>
      </c>
      <c r="S1463" s="5" t="s">
        <v>185</v>
      </c>
      <c r="T1463" s="5" t="s">
        <v>57</v>
      </c>
      <c r="U1463" s="5" t="s">
        <v>104</v>
      </c>
      <c r="V1463" s="5" t="s">
        <v>186</v>
      </c>
      <c r="W1463" s="5" t="s">
        <v>376</v>
      </c>
      <c r="X1463" s="5" t="s">
        <v>5975</v>
      </c>
      <c r="Y1463" s="5" t="s">
        <v>6089</v>
      </c>
      <c r="Z1463" s="9">
        <v>46099</v>
      </c>
      <c r="AA1463" s="8">
        <v>6</v>
      </c>
      <c r="AB1463" s="9">
        <f t="shared" si="67"/>
        <v>46283</v>
      </c>
      <c r="AC1463" s="10">
        <v>12</v>
      </c>
      <c r="AD1463" s="7">
        <f t="shared" si="68"/>
        <v>770</v>
      </c>
      <c r="AE1463" s="7">
        <f>IF(F1463="Bullet",H1463*AD1463,MIN(MAX(I1463,1),Assumptions!$B$6)*AD1463)</f>
        <v>1540</v>
      </c>
      <c r="AF1463" s="8">
        <f>IF(F1463="Bullet",MAX(0,Assumptions!$B$4-AB1463),MAX(0,Assumptions!$B$4-L1463))</f>
        <v>15</v>
      </c>
      <c r="AG1463" s="9"/>
      <c r="AH1463" s="8" t="str">
        <f>IF(AG1463="","",Assumptions!$B$4-AG1463)</f>
        <v/>
      </c>
      <c r="AI1463" s="5" t="s">
        <v>80</v>
      </c>
      <c r="AJ1463" s="8"/>
      <c r="AK1463" s="8">
        <v>0</v>
      </c>
      <c r="AL1463" s="8">
        <v>726</v>
      </c>
      <c r="AM1463" s="8">
        <v>0</v>
      </c>
      <c r="AN1463" s="5" t="s">
        <v>63</v>
      </c>
      <c r="AO1463" s="10">
        <v>81.2</v>
      </c>
      <c r="AP1463" s="8">
        <v>50</v>
      </c>
      <c r="AQ1463" s="9">
        <v>46284</v>
      </c>
      <c r="AR1463" s="5" t="s">
        <v>70</v>
      </c>
      <c r="AS1463" s="5" t="s">
        <v>190</v>
      </c>
    </row>
    <row r="1464" spans="1:45" x14ac:dyDescent="0.35">
      <c r="A1464" s="5" t="s">
        <v>6090</v>
      </c>
      <c r="B1464" s="5" t="s">
        <v>3154</v>
      </c>
      <c r="C1464" s="6" t="s">
        <v>6091</v>
      </c>
      <c r="D1464" s="7">
        <v>36300</v>
      </c>
      <c r="E1464" s="5" t="s">
        <v>48</v>
      </c>
      <c r="F1464" s="5" t="s">
        <v>49</v>
      </c>
      <c r="G1464" s="8"/>
      <c r="H1464" s="8" t="str">
        <f>IF(F1464="Bullet",MIN(G1464,Assumptions!$B$6),"")</f>
        <v/>
      </c>
      <c r="I1464" s="8">
        <v>1</v>
      </c>
      <c r="J1464" s="8">
        <f>IF(F1464="Monthly interest",MAX(0,Assumptions!$B$5-I1464),"")</f>
        <v>2</v>
      </c>
      <c r="K1464" s="7">
        <f t="shared" si="66"/>
        <v>484</v>
      </c>
      <c r="L1464" s="9">
        <v>46292</v>
      </c>
      <c r="M1464" s="5" t="s">
        <v>69</v>
      </c>
      <c r="N1464" s="5" t="s">
        <v>51</v>
      </c>
      <c r="O1464" s="5" t="s">
        <v>152</v>
      </c>
      <c r="P1464" s="5" t="s">
        <v>53</v>
      </c>
      <c r="Q1464" s="5" t="s">
        <v>154</v>
      </c>
      <c r="R1464" s="5" t="s">
        <v>155</v>
      </c>
      <c r="S1464" s="5" t="s">
        <v>185</v>
      </c>
      <c r="T1464" s="5" t="s">
        <v>57</v>
      </c>
      <c r="U1464" s="5" t="s">
        <v>86</v>
      </c>
      <c r="V1464" s="5" t="s">
        <v>200</v>
      </c>
      <c r="W1464" s="5" t="s">
        <v>433</v>
      </c>
      <c r="X1464" s="5" t="s">
        <v>5770</v>
      </c>
      <c r="Y1464" s="5" t="s">
        <v>6092</v>
      </c>
      <c r="Z1464" s="9">
        <v>46169</v>
      </c>
      <c r="AA1464" s="8">
        <v>12</v>
      </c>
      <c r="AB1464" s="9">
        <f t="shared" si="67"/>
        <v>46534</v>
      </c>
      <c r="AC1464" s="10">
        <v>16</v>
      </c>
      <c r="AD1464" s="7">
        <f t="shared" si="68"/>
        <v>484</v>
      </c>
      <c r="AE1464" s="7">
        <f>IF(F1464="Bullet",H1464*AD1464,MIN(MAX(I1464,1),Assumptions!$B$6)*AD1464)</f>
        <v>484</v>
      </c>
      <c r="AF1464" s="8">
        <f>IF(F1464="Bullet",MAX(0,Assumptions!$B$4-AB1464),MAX(0,Assumptions!$B$4-L1464))</f>
        <v>6</v>
      </c>
      <c r="AG1464" s="9">
        <v>46262</v>
      </c>
      <c r="AH1464" s="8">
        <f>IF(AG1464="","",Assumptions!$B$4-AG1464)</f>
        <v>36</v>
      </c>
      <c r="AI1464" s="5" t="s">
        <v>63</v>
      </c>
      <c r="AJ1464" s="8">
        <v>1</v>
      </c>
      <c r="AK1464" s="8">
        <v>0</v>
      </c>
      <c r="AL1464" s="8">
        <v>663</v>
      </c>
      <c r="AM1464" s="8">
        <v>1</v>
      </c>
      <c r="AN1464" s="5" t="s">
        <v>57</v>
      </c>
      <c r="AO1464" s="10">
        <v>51.8</v>
      </c>
      <c r="AP1464" s="8">
        <v>41</v>
      </c>
      <c r="AQ1464" s="9"/>
      <c r="AR1464" s="5"/>
      <c r="AS1464" s="5" t="s">
        <v>159</v>
      </c>
    </row>
    <row r="1465" spans="1:45" x14ac:dyDescent="0.35">
      <c r="A1465" s="5" t="s">
        <v>6093</v>
      </c>
      <c r="B1465" s="5" t="s">
        <v>3943</v>
      </c>
      <c r="C1465" s="6" t="s">
        <v>6094</v>
      </c>
      <c r="D1465" s="7">
        <v>86900</v>
      </c>
      <c r="E1465" s="5" t="s">
        <v>48</v>
      </c>
      <c r="F1465" s="5" t="s">
        <v>68</v>
      </c>
      <c r="G1465" s="8">
        <v>1</v>
      </c>
      <c r="H1465" s="8">
        <f>IF(F1465="Bullet",MIN(G1465,Assumptions!$B$6),"")</f>
        <v>1</v>
      </c>
      <c r="I1465" s="8"/>
      <c r="J1465" s="8" t="str">
        <f>IF(F1465="Monthly interest",MAX(0,Assumptions!$B$5-I1465),"")</f>
        <v/>
      </c>
      <c r="K1465" s="7">
        <f t="shared" si="66"/>
        <v>1159</v>
      </c>
      <c r="L1465" s="9">
        <v>46253</v>
      </c>
      <c r="M1465" s="5" t="s">
        <v>50</v>
      </c>
      <c r="N1465" s="5" t="s">
        <v>51</v>
      </c>
      <c r="O1465" s="5" t="s">
        <v>71</v>
      </c>
      <c r="P1465" s="5" t="s">
        <v>53</v>
      </c>
      <c r="Q1465" s="5" t="s">
        <v>73</v>
      </c>
      <c r="R1465" s="5" t="s">
        <v>74</v>
      </c>
      <c r="S1465" s="5" t="s">
        <v>75</v>
      </c>
      <c r="T1465" s="5" t="s">
        <v>57</v>
      </c>
      <c r="U1465" s="5" t="s">
        <v>86</v>
      </c>
      <c r="V1465" s="5" t="s">
        <v>76</v>
      </c>
      <c r="W1465" s="5" t="s">
        <v>306</v>
      </c>
      <c r="X1465" s="5" t="s">
        <v>1094</v>
      </c>
      <c r="Y1465" s="5" t="s">
        <v>6095</v>
      </c>
      <c r="Z1465" s="9">
        <v>46253</v>
      </c>
      <c r="AA1465" s="8">
        <v>6</v>
      </c>
      <c r="AB1465" s="9">
        <f t="shared" si="67"/>
        <v>46437</v>
      </c>
      <c r="AC1465" s="10">
        <v>16</v>
      </c>
      <c r="AD1465" s="7">
        <f t="shared" si="68"/>
        <v>1159</v>
      </c>
      <c r="AE1465" s="7">
        <f>IF(F1465="Bullet",H1465*AD1465,MIN(MAX(I1465,1),Assumptions!$B$6)*AD1465)</f>
        <v>1159</v>
      </c>
      <c r="AF1465" s="8">
        <f>IF(F1465="Bullet",MAX(0,Assumptions!$B$4-AB1465),MAX(0,Assumptions!$B$4-L1465))</f>
        <v>0</v>
      </c>
      <c r="AG1465" s="9"/>
      <c r="AH1465" s="8" t="str">
        <f>IF(AG1465="","",Assumptions!$B$4-AG1465)</f>
        <v/>
      </c>
      <c r="AI1465" s="5" t="s">
        <v>80</v>
      </c>
      <c r="AJ1465" s="8"/>
      <c r="AK1465" s="8">
        <v>0</v>
      </c>
      <c r="AL1465" s="8">
        <v>687</v>
      </c>
      <c r="AM1465" s="8">
        <v>2</v>
      </c>
      <c r="AN1465" s="5" t="s">
        <v>63</v>
      </c>
      <c r="AO1465" s="10">
        <v>86.1</v>
      </c>
      <c r="AP1465" s="8">
        <v>28</v>
      </c>
      <c r="AQ1465" s="9">
        <v>46292</v>
      </c>
      <c r="AR1465" s="5" t="s">
        <v>70</v>
      </c>
      <c r="AS1465" s="5" t="s">
        <v>64</v>
      </c>
    </row>
    <row r="1466" spans="1:45" x14ac:dyDescent="0.35">
      <c r="A1466" s="5" t="s">
        <v>6096</v>
      </c>
      <c r="B1466" s="5" t="s">
        <v>5949</v>
      </c>
      <c r="C1466" s="6" t="s">
        <v>6097</v>
      </c>
      <c r="D1466" s="7">
        <v>294600</v>
      </c>
      <c r="E1466" s="5" t="s">
        <v>48</v>
      </c>
      <c r="F1466" s="5" t="s">
        <v>68</v>
      </c>
      <c r="G1466" s="8">
        <v>2</v>
      </c>
      <c r="H1466" s="8">
        <f>IF(F1466="Bullet",MIN(G1466,Assumptions!$B$6),"")</f>
        <v>2</v>
      </c>
      <c r="I1466" s="8"/>
      <c r="J1466" s="8" t="str">
        <f>IF(F1466="Monthly interest",MAX(0,Assumptions!$B$5-I1466),"")</f>
        <v/>
      </c>
      <c r="K1466" s="7">
        <f t="shared" si="66"/>
        <v>6874</v>
      </c>
      <c r="L1466" s="9">
        <v>46236</v>
      </c>
      <c r="M1466" s="5" t="s">
        <v>50</v>
      </c>
      <c r="N1466" s="5" t="s">
        <v>53</v>
      </c>
      <c r="O1466" s="5" t="s">
        <v>95</v>
      </c>
      <c r="P1466" s="5" t="s">
        <v>70</v>
      </c>
      <c r="Q1466" s="5" t="s">
        <v>73</v>
      </c>
      <c r="R1466" s="5" t="s">
        <v>74</v>
      </c>
      <c r="S1466" s="5" t="s">
        <v>185</v>
      </c>
      <c r="T1466" s="5" t="s">
        <v>63</v>
      </c>
      <c r="U1466" s="5" t="s">
        <v>104</v>
      </c>
      <c r="V1466" s="5" t="s">
        <v>186</v>
      </c>
      <c r="W1466" s="5" t="s">
        <v>694</v>
      </c>
      <c r="X1466" s="5" t="s">
        <v>843</v>
      </c>
      <c r="Y1466" s="5" t="s">
        <v>6098</v>
      </c>
      <c r="Z1466" s="9">
        <v>46236</v>
      </c>
      <c r="AA1466" s="8">
        <v>6</v>
      </c>
      <c r="AB1466" s="9">
        <f t="shared" si="67"/>
        <v>46420</v>
      </c>
      <c r="AC1466" s="10">
        <v>14</v>
      </c>
      <c r="AD1466" s="7">
        <f t="shared" si="68"/>
        <v>3437</v>
      </c>
      <c r="AE1466" s="7">
        <f>IF(F1466="Bullet",H1466*AD1466,MIN(MAX(I1466,1),Assumptions!$B$6)*AD1466)</f>
        <v>6874</v>
      </c>
      <c r="AF1466" s="8">
        <f>IF(F1466="Bullet",MAX(0,Assumptions!$B$4-AB1466),MAX(0,Assumptions!$B$4-L1466))</f>
        <v>0</v>
      </c>
      <c r="AG1466" s="9"/>
      <c r="AH1466" s="8" t="str">
        <f>IF(AG1466="","",Assumptions!$B$4-AG1466)</f>
        <v/>
      </c>
      <c r="AI1466" s="5" t="s">
        <v>80</v>
      </c>
      <c r="AJ1466" s="8"/>
      <c r="AK1466" s="8">
        <v>0</v>
      </c>
      <c r="AL1466" s="8">
        <v>782</v>
      </c>
      <c r="AM1466" s="8">
        <v>0</v>
      </c>
      <c r="AN1466" s="5" t="s">
        <v>63</v>
      </c>
      <c r="AO1466" s="10">
        <v>67.3</v>
      </c>
      <c r="AP1466" s="8">
        <v>9</v>
      </c>
      <c r="AQ1466" s="9">
        <v>46275</v>
      </c>
      <c r="AR1466" s="5" t="s">
        <v>70</v>
      </c>
      <c r="AS1466" s="5" t="s">
        <v>81</v>
      </c>
    </row>
    <row r="1467" spans="1:45" x14ac:dyDescent="0.35">
      <c r="A1467" s="5" t="s">
        <v>6099</v>
      </c>
      <c r="B1467" s="5" t="s">
        <v>6100</v>
      </c>
      <c r="C1467" s="6" t="s">
        <v>6101</v>
      </c>
      <c r="D1467" s="7">
        <v>128600</v>
      </c>
      <c r="E1467" s="5" t="s">
        <v>48</v>
      </c>
      <c r="F1467" s="5" t="s">
        <v>49</v>
      </c>
      <c r="G1467" s="8"/>
      <c r="H1467" s="8" t="str">
        <f>IF(F1467="Bullet",MIN(G1467,Assumptions!$B$6),"")</f>
        <v/>
      </c>
      <c r="I1467" s="8">
        <v>1</v>
      </c>
      <c r="J1467" s="8">
        <f>IF(F1467="Monthly interest",MAX(0,Assumptions!$B$5-I1467),"")</f>
        <v>2</v>
      </c>
      <c r="K1467" s="7">
        <f t="shared" si="66"/>
        <v>1500</v>
      </c>
      <c r="L1467" s="9">
        <v>46281</v>
      </c>
      <c r="M1467" s="5" t="s">
        <v>50</v>
      </c>
      <c r="N1467" s="5" t="s">
        <v>53</v>
      </c>
      <c r="O1467" s="5" t="s">
        <v>95</v>
      </c>
      <c r="P1467" s="5" t="s">
        <v>70</v>
      </c>
      <c r="Q1467" s="5" t="s">
        <v>54</v>
      </c>
      <c r="R1467" s="5" t="s">
        <v>55</v>
      </c>
      <c r="S1467" s="5" t="s">
        <v>85</v>
      </c>
      <c r="T1467" s="5" t="s">
        <v>63</v>
      </c>
      <c r="U1467" s="5" t="s">
        <v>86</v>
      </c>
      <c r="V1467" s="5" t="s">
        <v>96</v>
      </c>
      <c r="W1467" s="5" t="s">
        <v>819</v>
      </c>
      <c r="X1467" s="5" t="s">
        <v>2010</v>
      </c>
      <c r="Y1467" s="5" t="s">
        <v>6102</v>
      </c>
      <c r="Z1467" s="9">
        <v>46128</v>
      </c>
      <c r="AA1467" s="8">
        <v>18</v>
      </c>
      <c r="AB1467" s="9">
        <f t="shared" si="67"/>
        <v>46676</v>
      </c>
      <c r="AC1467" s="10">
        <v>14</v>
      </c>
      <c r="AD1467" s="7">
        <f t="shared" si="68"/>
        <v>1500</v>
      </c>
      <c r="AE1467" s="7">
        <f>IF(F1467="Bullet",H1467*AD1467,MIN(MAX(I1467,1),Assumptions!$B$6)*AD1467)</f>
        <v>1500</v>
      </c>
      <c r="AF1467" s="8">
        <f>IF(F1467="Bullet",MAX(0,Assumptions!$B$4-AB1467),MAX(0,Assumptions!$B$4-L1467))</f>
        <v>17</v>
      </c>
      <c r="AG1467" s="9">
        <v>46255</v>
      </c>
      <c r="AH1467" s="8">
        <f>IF(AG1467="","",Assumptions!$B$4-AG1467)</f>
        <v>43</v>
      </c>
      <c r="AI1467" s="5" t="s">
        <v>63</v>
      </c>
      <c r="AJ1467" s="8">
        <v>1</v>
      </c>
      <c r="AK1467" s="8">
        <v>0</v>
      </c>
      <c r="AL1467" s="8">
        <v>697</v>
      </c>
      <c r="AM1467" s="8">
        <v>0</v>
      </c>
      <c r="AN1467" s="5" t="s">
        <v>63</v>
      </c>
      <c r="AO1467" s="10">
        <v>72.2</v>
      </c>
      <c r="AP1467" s="8">
        <v>23</v>
      </c>
      <c r="AQ1467" s="9">
        <v>46285</v>
      </c>
      <c r="AR1467" s="5" t="s">
        <v>53</v>
      </c>
      <c r="AS1467" s="5" t="s">
        <v>81</v>
      </c>
    </row>
    <row r="1468" spans="1:45" x14ac:dyDescent="0.35">
      <c r="A1468" s="5" t="s">
        <v>6103</v>
      </c>
      <c r="B1468" s="5" t="s">
        <v>6104</v>
      </c>
      <c r="C1468" s="6" t="s">
        <v>6105</v>
      </c>
      <c r="D1468" s="7">
        <v>305300</v>
      </c>
      <c r="E1468" s="5" t="s">
        <v>48</v>
      </c>
      <c r="F1468" s="5" t="s">
        <v>49</v>
      </c>
      <c r="G1468" s="8"/>
      <c r="H1468" s="8" t="str">
        <f>IF(F1468="Bullet",MIN(G1468,Assumptions!$B$6),"")</f>
        <v/>
      </c>
      <c r="I1468" s="8">
        <v>2</v>
      </c>
      <c r="J1468" s="8">
        <f>IF(F1468="Monthly interest",MAX(0,Assumptions!$B$5-I1468),"")</f>
        <v>1</v>
      </c>
      <c r="K1468" s="7">
        <f t="shared" si="66"/>
        <v>9160</v>
      </c>
      <c r="L1468" s="9">
        <v>46240</v>
      </c>
      <c r="M1468" s="5" t="s">
        <v>69</v>
      </c>
      <c r="N1468" s="5" t="s">
        <v>70</v>
      </c>
      <c r="O1468" s="5" t="s">
        <v>71</v>
      </c>
      <c r="P1468" s="5" t="s">
        <v>72</v>
      </c>
      <c r="Q1468" s="5" t="s">
        <v>73</v>
      </c>
      <c r="R1468" s="5" t="s">
        <v>74</v>
      </c>
      <c r="S1468" s="5" t="s">
        <v>56</v>
      </c>
      <c r="T1468" s="5" t="s">
        <v>57</v>
      </c>
      <c r="U1468" s="5" t="s">
        <v>58</v>
      </c>
      <c r="V1468" s="5" t="s">
        <v>59</v>
      </c>
      <c r="W1468" s="5" t="s">
        <v>300</v>
      </c>
      <c r="X1468" s="5" t="s">
        <v>4483</v>
      </c>
      <c r="Y1468" s="5" t="s">
        <v>6106</v>
      </c>
      <c r="Z1468" s="9">
        <v>46059</v>
      </c>
      <c r="AA1468" s="8">
        <v>18</v>
      </c>
      <c r="AB1468" s="9">
        <f t="shared" si="67"/>
        <v>46605</v>
      </c>
      <c r="AC1468" s="10">
        <v>18</v>
      </c>
      <c r="AD1468" s="7">
        <f t="shared" si="68"/>
        <v>4580</v>
      </c>
      <c r="AE1468" s="7">
        <f>IF(F1468="Bullet",H1468*AD1468,MIN(MAX(I1468,1),Assumptions!$B$6)*AD1468)</f>
        <v>9160</v>
      </c>
      <c r="AF1468" s="8">
        <f>IF(F1468="Bullet",MAX(0,Assumptions!$B$4-AB1468),MAX(0,Assumptions!$B$4-L1468))</f>
        <v>58</v>
      </c>
      <c r="AG1468" s="9">
        <v>46213</v>
      </c>
      <c r="AH1468" s="8">
        <f>IF(AG1468="","",Assumptions!$B$4-AG1468)</f>
        <v>85</v>
      </c>
      <c r="AI1468" s="5" t="s">
        <v>63</v>
      </c>
      <c r="AJ1468" s="8">
        <v>3</v>
      </c>
      <c r="AK1468" s="8">
        <v>0</v>
      </c>
      <c r="AL1468" s="8">
        <v>700</v>
      </c>
      <c r="AM1468" s="8">
        <v>0</v>
      </c>
      <c r="AN1468" s="5" t="s">
        <v>63</v>
      </c>
      <c r="AO1468" s="10">
        <v>65.7</v>
      </c>
      <c r="AP1468" s="8">
        <v>39</v>
      </c>
      <c r="AQ1468" s="9">
        <v>46276</v>
      </c>
      <c r="AR1468" s="5" t="s">
        <v>51</v>
      </c>
      <c r="AS1468" s="5" t="s">
        <v>91</v>
      </c>
    </row>
    <row r="1469" spans="1:45" x14ac:dyDescent="0.35">
      <c r="A1469" s="5" t="s">
        <v>6107</v>
      </c>
      <c r="B1469" s="5" t="s">
        <v>6108</v>
      </c>
      <c r="C1469" s="6" t="s">
        <v>6109</v>
      </c>
      <c r="D1469" s="7">
        <v>127400</v>
      </c>
      <c r="E1469" s="5" t="s">
        <v>48</v>
      </c>
      <c r="F1469" s="5" t="s">
        <v>49</v>
      </c>
      <c r="G1469" s="8"/>
      <c r="H1469" s="8" t="str">
        <f>IF(F1469="Bullet",MIN(G1469,Assumptions!$B$6),"")</f>
        <v/>
      </c>
      <c r="I1469" s="8">
        <v>2</v>
      </c>
      <c r="J1469" s="8">
        <f>IF(F1469="Monthly interest",MAX(0,Assumptions!$B$5-I1469),"")</f>
        <v>1</v>
      </c>
      <c r="K1469" s="7">
        <f t="shared" si="66"/>
        <v>2972</v>
      </c>
      <c r="L1469" s="9">
        <v>46246</v>
      </c>
      <c r="M1469" s="5" t="s">
        <v>116</v>
      </c>
      <c r="N1469" s="5" t="s">
        <v>117</v>
      </c>
      <c r="O1469" s="5" t="s">
        <v>118</v>
      </c>
      <c r="P1469" s="5" t="s">
        <v>72</v>
      </c>
      <c r="Q1469" s="5" t="s">
        <v>119</v>
      </c>
      <c r="R1469" s="5" t="s">
        <v>120</v>
      </c>
      <c r="S1469" s="5" t="s">
        <v>56</v>
      </c>
      <c r="T1469" s="5" t="s">
        <v>57</v>
      </c>
      <c r="U1469" s="5" t="s">
        <v>104</v>
      </c>
      <c r="V1469" s="5" t="s">
        <v>59</v>
      </c>
      <c r="W1469" s="5" t="s">
        <v>60</v>
      </c>
      <c r="X1469" s="5" t="s">
        <v>61</v>
      </c>
      <c r="Y1469" s="5" t="s">
        <v>6110</v>
      </c>
      <c r="Z1469" s="9">
        <v>46124</v>
      </c>
      <c r="AA1469" s="8">
        <v>12</v>
      </c>
      <c r="AB1469" s="9">
        <f t="shared" si="67"/>
        <v>46489</v>
      </c>
      <c r="AC1469" s="10">
        <v>14</v>
      </c>
      <c r="AD1469" s="7">
        <f t="shared" si="68"/>
        <v>1486</v>
      </c>
      <c r="AE1469" s="7">
        <f>IF(F1469="Bullet",H1469*AD1469,MIN(MAX(I1469,1),Assumptions!$B$6)*AD1469)</f>
        <v>2972</v>
      </c>
      <c r="AF1469" s="8">
        <f>IF(F1469="Bullet",MAX(0,Assumptions!$B$4-AB1469),MAX(0,Assumptions!$B$4-L1469))</f>
        <v>52</v>
      </c>
      <c r="AG1469" s="9">
        <v>46220</v>
      </c>
      <c r="AH1469" s="8">
        <f>IF(AG1469="","",Assumptions!$B$4-AG1469)</f>
        <v>78</v>
      </c>
      <c r="AI1469" s="5" t="s">
        <v>63</v>
      </c>
      <c r="AJ1469" s="8">
        <v>3</v>
      </c>
      <c r="AK1469" s="8">
        <v>1</v>
      </c>
      <c r="AL1469" s="8" t="s">
        <v>80</v>
      </c>
      <c r="AM1469" s="8">
        <v>3</v>
      </c>
      <c r="AN1469" s="5" t="s">
        <v>63</v>
      </c>
      <c r="AO1469" s="10">
        <v>77.099999999999994</v>
      </c>
      <c r="AP1469" s="8">
        <v>59</v>
      </c>
      <c r="AQ1469" s="9">
        <v>46297</v>
      </c>
      <c r="AR1469" s="5" t="s">
        <v>53</v>
      </c>
      <c r="AS1469" s="5" t="s">
        <v>91</v>
      </c>
    </row>
    <row r="1470" spans="1:45" x14ac:dyDescent="0.35">
      <c r="A1470" s="5" t="s">
        <v>6111</v>
      </c>
      <c r="B1470" s="5" t="s">
        <v>1027</v>
      </c>
      <c r="C1470" s="6" t="s">
        <v>6112</v>
      </c>
      <c r="D1470" s="7">
        <v>131400</v>
      </c>
      <c r="E1470" s="5" t="s">
        <v>48</v>
      </c>
      <c r="F1470" s="5" t="s">
        <v>68</v>
      </c>
      <c r="G1470" s="8">
        <v>6</v>
      </c>
      <c r="H1470" s="8">
        <f>IF(F1470="Bullet",MIN(G1470,Assumptions!$B$6),"")</f>
        <v>2</v>
      </c>
      <c r="I1470" s="8"/>
      <c r="J1470" s="8" t="str">
        <f>IF(F1470="Monthly interest",MAX(0,Assumptions!$B$5-I1470),"")</f>
        <v/>
      </c>
      <c r="K1470" s="7">
        <f t="shared" si="66"/>
        <v>11826</v>
      </c>
      <c r="L1470" s="9">
        <v>46108</v>
      </c>
      <c r="M1470" s="5" t="s">
        <v>116</v>
      </c>
      <c r="N1470" s="5" t="s">
        <v>117</v>
      </c>
      <c r="O1470" s="5" t="s">
        <v>461</v>
      </c>
      <c r="P1470" s="5" t="s">
        <v>72</v>
      </c>
      <c r="Q1470" s="5" t="s">
        <v>169</v>
      </c>
      <c r="R1470" s="5" t="s">
        <v>170</v>
      </c>
      <c r="S1470" s="5" t="s">
        <v>85</v>
      </c>
      <c r="T1470" s="5" t="s">
        <v>57</v>
      </c>
      <c r="U1470" s="5" t="s">
        <v>58</v>
      </c>
      <c r="V1470" s="5" t="s">
        <v>96</v>
      </c>
      <c r="W1470" s="5" t="s">
        <v>97</v>
      </c>
      <c r="X1470" s="5" t="s">
        <v>6113</v>
      </c>
      <c r="Y1470" s="5" t="s">
        <v>6114</v>
      </c>
      <c r="Z1470" s="9">
        <v>46108</v>
      </c>
      <c r="AA1470" s="8">
        <v>6</v>
      </c>
      <c r="AB1470" s="9">
        <f t="shared" si="67"/>
        <v>46292</v>
      </c>
      <c r="AC1470" s="10">
        <v>18</v>
      </c>
      <c r="AD1470" s="7">
        <f t="shared" si="68"/>
        <v>1971</v>
      </c>
      <c r="AE1470" s="7">
        <f>IF(F1470="Bullet",H1470*AD1470,MIN(MAX(I1470,1),Assumptions!$B$6)*AD1470)</f>
        <v>3942</v>
      </c>
      <c r="AF1470" s="8">
        <f>IF(F1470="Bullet",MAX(0,Assumptions!$B$4-AB1470),MAX(0,Assumptions!$B$4-L1470))</f>
        <v>6</v>
      </c>
      <c r="AG1470" s="9"/>
      <c r="AH1470" s="8" t="str">
        <f>IF(AG1470="","",Assumptions!$B$4-AG1470)</f>
        <v/>
      </c>
      <c r="AI1470" s="5" t="s">
        <v>80</v>
      </c>
      <c r="AJ1470" s="8"/>
      <c r="AK1470" s="8">
        <v>3</v>
      </c>
      <c r="AL1470" s="8" t="s">
        <v>80</v>
      </c>
      <c r="AM1470" s="8">
        <v>2</v>
      </c>
      <c r="AN1470" s="5" t="s">
        <v>63</v>
      </c>
      <c r="AO1470" s="10">
        <v>59.6</v>
      </c>
      <c r="AP1470" s="8">
        <v>65</v>
      </c>
      <c r="AQ1470" s="9">
        <v>46279</v>
      </c>
      <c r="AR1470" s="5" t="s">
        <v>51</v>
      </c>
      <c r="AS1470" s="5" t="s">
        <v>81</v>
      </c>
    </row>
    <row r="1471" spans="1:45" x14ac:dyDescent="0.35">
      <c r="A1471" s="5" t="s">
        <v>6115</v>
      </c>
      <c r="B1471" s="5" t="s">
        <v>6116</v>
      </c>
      <c r="C1471" s="6" t="s">
        <v>6117</v>
      </c>
      <c r="D1471" s="7">
        <v>182200</v>
      </c>
      <c r="E1471" s="5" t="s">
        <v>48</v>
      </c>
      <c r="F1471" s="5" t="s">
        <v>68</v>
      </c>
      <c r="G1471" s="8">
        <v>6</v>
      </c>
      <c r="H1471" s="8">
        <f>IF(F1471="Bullet",MIN(G1471,Assumptions!$B$6),"")</f>
        <v>2</v>
      </c>
      <c r="I1471" s="8"/>
      <c r="J1471" s="8" t="str">
        <f>IF(F1471="Monthly interest",MAX(0,Assumptions!$B$5-I1471),"")</f>
        <v/>
      </c>
      <c r="K1471" s="7">
        <f t="shared" si="66"/>
        <v>13668</v>
      </c>
      <c r="L1471" s="9">
        <v>46111</v>
      </c>
      <c r="M1471" s="5" t="s">
        <v>50</v>
      </c>
      <c r="N1471" s="5" t="s">
        <v>53</v>
      </c>
      <c r="O1471" s="5" t="s">
        <v>168</v>
      </c>
      <c r="P1471" s="5" t="s">
        <v>51</v>
      </c>
      <c r="Q1471" s="5" t="s">
        <v>169</v>
      </c>
      <c r="R1471" s="5" t="s">
        <v>170</v>
      </c>
      <c r="S1471" s="5" t="s">
        <v>56</v>
      </c>
      <c r="T1471" s="5" t="s">
        <v>57</v>
      </c>
      <c r="U1471" s="5" t="s">
        <v>86</v>
      </c>
      <c r="V1471" s="5" t="s">
        <v>59</v>
      </c>
      <c r="W1471" s="5" t="s">
        <v>467</v>
      </c>
      <c r="X1471" s="5" t="s">
        <v>1047</v>
      </c>
      <c r="Y1471" s="5" t="s">
        <v>6118</v>
      </c>
      <c r="Z1471" s="9">
        <v>46111</v>
      </c>
      <c r="AA1471" s="8">
        <v>12</v>
      </c>
      <c r="AB1471" s="9">
        <f t="shared" si="67"/>
        <v>46476</v>
      </c>
      <c r="AC1471" s="10">
        <v>15</v>
      </c>
      <c r="AD1471" s="7">
        <f t="shared" si="68"/>
        <v>2278</v>
      </c>
      <c r="AE1471" s="7">
        <f>IF(F1471="Bullet",H1471*AD1471,MIN(MAX(I1471,1),Assumptions!$B$6)*AD1471)</f>
        <v>4556</v>
      </c>
      <c r="AF1471" s="8">
        <f>IF(F1471="Bullet",MAX(0,Assumptions!$B$4-AB1471),MAX(0,Assumptions!$B$4-L1471))</f>
        <v>0</v>
      </c>
      <c r="AG1471" s="9"/>
      <c r="AH1471" s="8" t="str">
        <f>IF(AG1471="","",Assumptions!$B$4-AG1471)</f>
        <v/>
      </c>
      <c r="AI1471" s="5" t="s">
        <v>80</v>
      </c>
      <c r="AJ1471" s="8"/>
      <c r="AK1471" s="8">
        <v>2</v>
      </c>
      <c r="AL1471" s="8">
        <v>819</v>
      </c>
      <c r="AM1471" s="8">
        <v>3</v>
      </c>
      <c r="AN1471" s="5" t="s">
        <v>63</v>
      </c>
      <c r="AO1471" s="10">
        <v>76.400000000000006</v>
      </c>
      <c r="AP1471" s="8">
        <v>29</v>
      </c>
      <c r="AQ1471" s="9"/>
      <c r="AR1471" s="5"/>
      <c r="AS1471" s="5" t="s">
        <v>159</v>
      </c>
    </row>
    <row r="1472" spans="1:45" x14ac:dyDescent="0.35">
      <c r="A1472" s="5" t="s">
        <v>6119</v>
      </c>
      <c r="B1472" s="5" t="s">
        <v>2045</v>
      </c>
      <c r="C1472" s="6" t="s">
        <v>6120</v>
      </c>
      <c r="D1472" s="7">
        <v>93000</v>
      </c>
      <c r="E1472" s="5" t="s">
        <v>48</v>
      </c>
      <c r="F1472" s="5" t="s">
        <v>68</v>
      </c>
      <c r="G1472" s="8">
        <v>4</v>
      </c>
      <c r="H1472" s="8">
        <f>IF(F1472="Bullet",MIN(G1472,Assumptions!$B$6),"")</f>
        <v>2</v>
      </c>
      <c r="I1472" s="8"/>
      <c r="J1472" s="8" t="str">
        <f>IF(F1472="Monthly interest",MAX(0,Assumptions!$B$5-I1472),"")</f>
        <v/>
      </c>
      <c r="K1472" s="7">
        <f t="shared" si="66"/>
        <v>4340</v>
      </c>
      <c r="L1472" s="9">
        <v>46156</v>
      </c>
      <c r="M1472" s="5" t="s">
        <v>69</v>
      </c>
      <c r="N1472" s="5" t="s">
        <v>53</v>
      </c>
      <c r="O1472" s="5" t="s">
        <v>71</v>
      </c>
      <c r="P1472" s="5" t="s">
        <v>70</v>
      </c>
      <c r="Q1472" s="5" t="s">
        <v>73</v>
      </c>
      <c r="R1472" s="5" t="s">
        <v>74</v>
      </c>
      <c r="S1472" s="5" t="s">
        <v>253</v>
      </c>
      <c r="T1472" s="5" t="s">
        <v>57</v>
      </c>
      <c r="U1472" s="5" t="s">
        <v>86</v>
      </c>
      <c r="V1472" s="5" t="s">
        <v>87</v>
      </c>
      <c r="W1472" s="5" t="s">
        <v>88</v>
      </c>
      <c r="X1472" s="5" t="s">
        <v>6121</v>
      </c>
      <c r="Y1472" s="5" t="s">
        <v>6122</v>
      </c>
      <c r="Z1472" s="9">
        <v>46156</v>
      </c>
      <c r="AA1472" s="8">
        <v>6</v>
      </c>
      <c r="AB1472" s="9">
        <f t="shared" si="67"/>
        <v>46340</v>
      </c>
      <c r="AC1472" s="10">
        <v>14</v>
      </c>
      <c r="AD1472" s="7">
        <f t="shared" si="68"/>
        <v>1085</v>
      </c>
      <c r="AE1472" s="7">
        <f>IF(F1472="Bullet",H1472*AD1472,MIN(MAX(I1472,1),Assumptions!$B$6)*AD1472)</f>
        <v>2170</v>
      </c>
      <c r="AF1472" s="8">
        <f>IF(F1472="Bullet",MAX(0,Assumptions!$B$4-AB1472),MAX(0,Assumptions!$B$4-L1472))</f>
        <v>0</v>
      </c>
      <c r="AG1472" s="9"/>
      <c r="AH1472" s="8" t="str">
        <f>IF(AG1472="","",Assumptions!$B$4-AG1472)</f>
        <v/>
      </c>
      <c r="AI1472" s="5" t="s">
        <v>80</v>
      </c>
      <c r="AJ1472" s="8"/>
      <c r="AK1472" s="8">
        <v>1</v>
      </c>
      <c r="AL1472" s="8">
        <v>670</v>
      </c>
      <c r="AM1472" s="8">
        <v>0</v>
      </c>
      <c r="AN1472" s="5" t="s">
        <v>63</v>
      </c>
      <c r="AO1472" s="10">
        <v>56.3</v>
      </c>
      <c r="AP1472" s="8">
        <v>34</v>
      </c>
      <c r="AQ1472" s="9">
        <v>46295</v>
      </c>
      <c r="AR1472" s="5" t="s">
        <v>70</v>
      </c>
      <c r="AS1472" s="5" t="s">
        <v>91</v>
      </c>
    </row>
    <row r="1473" spans="1:45" x14ac:dyDescent="0.35">
      <c r="A1473" s="5" t="s">
        <v>6123</v>
      </c>
      <c r="B1473" s="5" t="s">
        <v>1155</v>
      </c>
      <c r="C1473" s="6" t="s">
        <v>6124</v>
      </c>
      <c r="D1473" s="7">
        <v>69200</v>
      </c>
      <c r="E1473" s="5" t="s">
        <v>48</v>
      </c>
      <c r="F1473" s="5" t="s">
        <v>49</v>
      </c>
      <c r="G1473" s="8"/>
      <c r="H1473" s="8" t="str">
        <f>IF(F1473="Bullet",MIN(G1473,Assumptions!$B$6),"")</f>
        <v/>
      </c>
      <c r="I1473" s="8">
        <v>2</v>
      </c>
      <c r="J1473" s="8">
        <f>IF(F1473="Monthly interest",MAX(0,Assumptions!$B$5-I1473),"")</f>
        <v>1</v>
      </c>
      <c r="K1473" s="7">
        <f t="shared" si="66"/>
        <v>1614</v>
      </c>
      <c r="L1473" s="9">
        <v>46260</v>
      </c>
      <c r="M1473" s="5" t="s">
        <v>69</v>
      </c>
      <c r="N1473" s="5" t="s">
        <v>53</v>
      </c>
      <c r="O1473" s="5" t="s">
        <v>71</v>
      </c>
      <c r="P1473" s="5" t="s">
        <v>70</v>
      </c>
      <c r="Q1473" s="5" t="s">
        <v>73</v>
      </c>
      <c r="R1473" s="5" t="s">
        <v>74</v>
      </c>
      <c r="S1473" s="5" t="s">
        <v>85</v>
      </c>
      <c r="T1473" s="5" t="s">
        <v>57</v>
      </c>
      <c r="U1473" s="5" t="s">
        <v>86</v>
      </c>
      <c r="V1473" s="5" t="s">
        <v>96</v>
      </c>
      <c r="W1473" s="5" t="s">
        <v>819</v>
      </c>
      <c r="X1473" s="5" t="s">
        <v>2797</v>
      </c>
      <c r="Y1473" s="5" t="s">
        <v>6125</v>
      </c>
      <c r="Z1473" s="9">
        <v>46079</v>
      </c>
      <c r="AA1473" s="8">
        <v>12</v>
      </c>
      <c r="AB1473" s="9">
        <f t="shared" si="67"/>
        <v>46444</v>
      </c>
      <c r="AC1473" s="10">
        <v>14</v>
      </c>
      <c r="AD1473" s="7">
        <f t="shared" si="68"/>
        <v>807</v>
      </c>
      <c r="AE1473" s="7">
        <f>IF(F1473="Bullet",H1473*AD1473,MIN(MAX(I1473,1),Assumptions!$B$6)*AD1473)</f>
        <v>1614</v>
      </c>
      <c r="AF1473" s="8">
        <f>IF(F1473="Bullet",MAX(0,Assumptions!$B$4-AB1473),MAX(0,Assumptions!$B$4-L1473))</f>
        <v>38</v>
      </c>
      <c r="AG1473" s="9">
        <v>46229</v>
      </c>
      <c r="AH1473" s="8">
        <f>IF(AG1473="","",Assumptions!$B$4-AG1473)</f>
        <v>69</v>
      </c>
      <c r="AI1473" s="5" t="s">
        <v>63</v>
      </c>
      <c r="AJ1473" s="8">
        <v>2</v>
      </c>
      <c r="AK1473" s="8">
        <v>0</v>
      </c>
      <c r="AL1473" s="8">
        <v>811</v>
      </c>
      <c r="AM1473" s="8">
        <v>2</v>
      </c>
      <c r="AN1473" s="5" t="s">
        <v>63</v>
      </c>
      <c r="AO1473" s="10">
        <v>76.400000000000006</v>
      </c>
      <c r="AP1473" s="8">
        <v>41</v>
      </c>
      <c r="AQ1473" s="9"/>
      <c r="AR1473" s="5"/>
      <c r="AS1473" s="5" t="s">
        <v>159</v>
      </c>
    </row>
    <row r="1474" spans="1:45" x14ac:dyDescent="0.35">
      <c r="A1474" s="5" t="s">
        <v>6126</v>
      </c>
      <c r="B1474" s="5" t="s">
        <v>5887</v>
      </c>
      <c r="C1474" s="6" t="s">
        <v>6127</v>
      </c>
      <c r="D1474" s="7">
        <v>154800</v>
      </c>
      <c r="E1474" s="5" t="s">
        <v>48</v>
      </c>
      <c r="F1474" s="5" t="s">
        <v>49</v>
      </c>
      <c r="G1474" s="8"/>
      <c r="H1474" s="8" t="str">
        <f>IF(F1474="Bullet",MIN(G1474,Assumptions!$B$6),"")</f>
        <v/>
      </c>
      <c r="I1474" s="8">
        <v>2</v>
      </c>
      <c r="J1474" s="8">
        <f>IF(F1474="Monthly interest",MAX(0,Assumptions!$B$5-I1474),"")</f>
        <v>1</v>
      </c>
      <c r="K1474" s="7">
        <f t="shared" ref="K1474:K1537" si="69">IF(F1474="Bullet",G1474*AD1474,MAX(I1474,1)*AD1474)</f>
        <v>6192</v>
      </c>
      <c r="L1474" s="9">
        <v>46246</v>
      </c>
      <c r="M1474" s="5" t="s">
        <v>116</v>
      </c>
      <c r="N1474" s="5" t="s">
        <v>117</v>
      </c>
      <c r="O1474" s="5" t="s">
        <v>118</v>
      </c>
      <c r="P1474" s="5" t="s">
        <v>72</v>
      </c>
      <c r="Q1474" s="5" t="s">
        <v>119</v>
      </c>
      <c r="R1474" s="5" t="s">
        <v>120</v>
      </c>
      <c r="S1474" s="5" t="s">
        <v>85</v>
      </c>
      <c r="T1474" s="5" t="s">
        <v>57</v>
      </c>
      <c r="U1474" s="5" t="s">
        <v>104</v>
      </c>
      <c r="V1474" s="5" t="s">
        <v>177</v>
      </c>
      <c r="W1474" s="5" t="s">
        <v>178</v>
      </c>
      <c r="X1474" s="5" t="s">
        <v>179</v>
      </c>
      <c r="Y1474" s="5" t="s">
        <v>6128</v>
      </c>
      <c r="Z1474" s="9">
        <v>46034</v>
      </c>
      <c r="AA1474" s="8">
        <v>12</v>
      </c>
      <c r="AB1474" s="9">
        <f t="shared" ref="AB1474:AB1537" si="70">EDATE(Z1474,AA1474)</f>
        <v>46399</v>
      </c>
      <c r="AC1474" s="10">
        <v>24</v>
      </c>
      <c r="AD1474" s="7">
        <f t="shared" ref="AD1474:AD1537" si="71">ROUND(D1474*AC1474/100/12,0)</f>
        <v>3096</v>
      </c>
      <c r="AE1474" s="7">
        <f>IF(F1474="Bullet",H1474*AD1474,MIN(MAX(I1474,1),Assumptions!$B$6)*AD1474)</f>
        <v>6192</v>
      </c>
      <c r="AF1474" s="8">
        <f>IF(F1474="Bullet",MAX(0,Assumptions!$B$4-AB1474),MAX(0,Assumptions!$B$4-L1474))</f>
        <v>52</v>
      </c>
      <c r="AG1474" s="9">
        <v>46216</v>
      </c>
      <c r="AH1474" s="8">
        <f>IF(AG1474="","",Assumptions!$B$4-AG1474)</f>
        <v>82</v>
      </c>
      <c r="AI1474" s="5" t="s">
        <v>63</v>
      </c>
      <c r="AJ1474" s="8">
        <v>4</v>
      </c>
      <c r="AK1474" s="8">
        <v>0</v>
      </c>
      <c r="AL1474" s="8">
        <v>626</v>
      </c>
      <c r="AM1474" s="8">
        <v>2</v>
      </c>
      <c r="AN1474" s="5" t="s">
        <v>63</v>
      </c>
      <c r="AO1474" s="10">
        <v>58.6</v>
      </c>
      <c r="AP1474" s="8">
        <v>59</v>
      </c>
      <c r="AQ1474" s="9">
        <v>46293</v>
      </c>
      <c r="AR1474" s="5" t="s">
        <v>51</v>
      </c>
      <c r="AS1474" s="5" t="s">
        <v>64</v>
      </c>
    </row>
    <row r="1475" spans="1:45" x14ac:dyDescent="0.35">
      <c r="A1475" s="5" t="s">
        <v>6129</v>
      </c>
      <c r="B1475" s="5" t="s">
        <v>6130</v>
      </c>
      <c r="C1475" s="6" t="s">
        <v>6131</v>
      </c>
      <c r="D1475" s="7">
        <v>101800</v>
      </c>
      <c r="E1475" s="5" t="s">
        <v>48</v>
      </c>
      <c r="F1475" s="5" t="s">
        <v>68</v>
      </c>
      <c r="G1475" s="8">
        <v>4</v>
      </c>
      <c r="H1475" s="8">
        <f>IF(F1475="Bullet",MIN(G1475,Assumptions!$B$6),"")</f>
        <v>2</v>
      </c>
      <c r="I1475" s="8"/>
      <c r="J1475" s="8" t="str">
        <f>IF(F1475="Monthly interest",MAX(0,Assumptions!$B$5-I1475),"")</f>
        <v/>
      </c>
      <c r="K1475" s="7">
        <f t="shared" si="69"/>
        <v>5092</v>
      </c>
      <c r="L1475" s="9">
        <v>46172</v>
      </c>
      <c r="M1475" s="5" t="s">
        <v>69</v>
      </c>
      <c r="N1475" s="5" t="s">
        <v>53</v>
      </c>
      <c r="O1475" s="5" t="s">
        <v>71</v>
      </c>
      <c r="P1475" s="5" t="s">
        <v>70</v>
      </c>
      <c r="Q1475" s="5" t="s">
        <v>73</v>
      </c>
      <c r="R1475" s="5" t="s">
        <v>74</v>
      </c>
      <c r="S1475" s="5" t="s">
        <v>75</v>
      </c>
      <c r="T1475" s="5" t="s">
        <v>63</v>
      </c>
      <c r="U1475" s="5" t="s">
        <v>86</v>
      </c>
      <c r="V1475" s="5" t="s">
        <v>76</v>
      </c>
      <c r="W1475" s="5" t="s">
        <v>77</v>
      </c>
      <c r="X1475" s="5" t="s">
        <v>1565</v>
      </c>
      <c r="Y1475" s="5" t="s">
        <v>6132</v>
      </c>
      <c r="Z1475" s="9">
        <v>46172</v>
      </c>
      <c r="AA1475" s="8">
        <v>3</v>
      </c>
      <c r="AB1475" s="9">
        <f t="shared" si="70"/>
        <v>46264</v>
      </c>
      <c r="AC1475" s="10">
        <v>15</v>
      </c>
      <c r="AD1475" s="7">
        <f t="shared" si="71"/>
        <v>1273</v>
      </c>
      <c r="AE1475" s="7">
        <f>IF(F1475="Bullet",H1475*AD1475,MIN(MAX(I1475,1),Assumptions!$B$6)*AD1475)</f>
        <v>2546</v>
      </c>
      <c r="AF1475" s="8">
        <f>IF(F1475="Bullet",MAX(0,Assumptions!$B$4-AB1475),MAX(0,Assumptions!$B$4-L1475))</f>
        <v>34</v>
      </c>
      <c r="AG1475" s="9"/>
      <c r="AH1475" s="8" t="str">
        <f>IF(AG1475="","",Assumptions!$B$4-AG1475)</f>
        <v/>
      </c>
      <c r="AI1475" s="5" t="s">
        <v>80</v>
      </c>
      <c r="AJ1475" s="8"/>
      <c r="AK1475" s="8">
        <v>1</v>
      </c>
      <c r="AL1475" s="8">
        <v>730</v>
      </c>
      <c r="AM1475" s="8">
        <v>1</v>
      </c>
      <c r="AN1475" s="5" t="s">
        <v>63</v>
      </c>
      <c r="AO1475" s="10">
        <v>77</v>
      </c>
      <c r="AP1475" s="8">
        <v>42</v>
      </c>
      <c r="AQ1475" s="9">
        <v>46276</v>
      </c>
      <c r="AR1475" s="5" t="s">
        <v>51</v>
      </c>
      <c r="AS1475" s="5" t="s">
        <v>81</v>
      </c>
    </row>
    <row r="1476" spans="1:45" x14ac:dyDescent="0.35">
      <c r="A1476" s="5" t="s">
        <v>6133</v>
      </c>
      <c r="B1476" s="5" t="s">
        <v>722</v>
      </c>
      <c r="C1476" s="6" t="s">
        <v>6134</v>
      </c>
      <c r="D1476" s="7">
        <v>56500</v>
      </c>
      <c r="E1476" s="5" t="s">
        <v>48</v>
      </c>
      <c r="F1476" s="5" t="s">
        <v>68</v>
      </c>
      <c r="G1476" s="8">
        <v>3</v>
      </c>
      <c r="H1476" s="8">
        <f>IF(F1476="Bullet",MIN(G1476,Assumptions!$B$6),"")</f>
        <v>2</v>
      </c>
      <c r="I1476" s="8"/>
      <c r="J1476" s="8" t="str">
        <f>IF(F1476="Monthly interest",MAX(0,Assumptions!$B$5-I1476),"")</f>
        <v/>
      </c>
      <c r="K1476" s="7">
        <f t="shared" si="69"/>
        <v>1836</v>
      </c>
      <c r="L1476" s="9">
        <v>46206</v>
      </c>
      <c r="M1476" s="5" t="s">
        <v>50</v>
      </c>
      <c r="N1476" s="5" t="s">
        <v>53</v>
      </c>
      <c r="O1476" s="5" t="s">
        <v>71</v>
      </c>
      <c r="P1476" s="5" t="s">
        <v>51</v>
      </c>
      <c r="Q1476" s="5" t="s">
        <v>73</v>
      </c>
      <c r="R1476" s="5" t="s">
        <v>74</v>
      </c>
      <c r="S1476" s="5" t="s">
        <v>85</v>
      </c>
      <c r="T1476" s="5" t="s">
        <v>57</v>
      </c>
      <c r="U1476" s="5" t="s">
        <v>86</v>
      </c>
      <c r="V1476" s="5" t="s">
        <v>553</v>
      </c>
      <c r="W1476" s="5" t="s">
        <v>554</v>
      </c>
      <c r="X1476" s="5" t="s">
        <v>4931</v>
      </c>
      <c r="Y1476" s="5" t="s">
        <v>6135</v>
      </c>
      <c r="Z1476" s="9">
        <v>46206</v>
      </c>
      <c r="AA1476" s="8">
        <v>6</v>
      </c>
      <c r="AB1476" s="9">
        <f t="shared" si="70"/>
        <v>46390</v>
      </c>
      <c r="AC1476" s="10">
        <v>13</v>
      </c>
      <c r="AD1476" s="7">
        <f t="shared" si="71"/>
        <v>612</v>
      </c>
      <c r="AE1476" s="7">
        <f>IF(F1476="Bullet",H1476*AD1476,MIN(MAX(I1476,1),Assumptions!$B$6)*AD1476)</f>
        <v>1224</v>
      </c>
      <c r="AF1476" s="8">
        <f>IF(F1476="Bullet",MAX(0,Assumptions!$B$4-AB1476),MAX(0,Assumptions!$B$4-L1476))</f>
        <v>0</v>
      </c>
      <c r="AG1476" s="9"/>
      <c r="AH1476" s="8" t="str">
        <f>IF(AG1476="","",Assumptions!$B$4-AG1476)</f>
        <v/>
      </c>
      <c r="AI1476" s="5" t="s">
        <v>80</v>
      </c>
      <c r="AJ1476" s="8"/>
      <c r="AK1476" s="8">
        <v>0</v>
      </c>
      <c r="AL1476" s="8">
        <v>734</v>
      </c>
      <c r="AM1476" s="8">
        <v>3</v>
      </c>
      <c r="AN1476" s="5" t="s">
        <v>63</v>
      </c>
      <c r="AO1476" s="10">
        <v>74.099999999999994</v>
      </c>
      <c r="AP1476" s="8">
        <v>21</v>
      </c>
      <c r="AQ1476" s="9">
        <v>46274</v>
      </c>
      <c r="AR1476" s="5" t="s">
        <v>70</v>
      </c>
      <c r="AS1476" s="5" t="s">
        <v>190</v>
      </c>
    </row>
    <row r="1477" spans="1:45" x14ac:dyDescent="0.35">
      <c r="A1477" s="5" t="s">
        <v>6136</v>
      </c>
      <c r="B1477" s="5" t="s">
        <v>3288</v>
      </c>
      <c r="C1477" s="6" t="s">
        <v>6137</v>
      </c>
      <c r="D1477" s="7">
        <v>1871300</v>
      </c>
      <c r="E1477" s="5" t="s">
        <v>48</v>
      </c>
      <c r="F1477" s="5" t="s">
        <v>49</v>
      </c>
      <c r="G1477" s="8"/>
      <c r="H1477" s="8" t="str">
        <f>IF(F1477="Bullet",MIN(G1477,Assumptions!$B$6),"")</f>
        <v/>
      </c>
      <c r="I1477" s="8">
        <v>2</v>
      </c>
      <c r="J1477" s="8">
        <f>IF(F1477="Monthly interest",MAX(0,Assumptions!$B$5-I1477),"")</f>
        <v>1</v>
      </c>
      <c r="K1477" s="7">
        <f t="shared" si="69"/>
        <v>46782</v>
      </c>
      <c r="L1477" s="9">
        <v>46267</v>
      </c>
      <c r="M1477" s="5" t="s">
        <v>116</v>
      </c>
      <c r="N1477" s="5" t="s">
        <v>117</v>
      </c>
      <c r="O1477" s="5" t="s">
        <v>118</v>
      </c>
      <c r="P1477" s="5" t="s">
        <v>72</v>
      </c>
      <c r="Q1477" s="5" t="s">
        <v>119</v>
      </c>
      <c r="R1477" s="5" t="s">
        <v>120</v>
      </c>
      <c r="S1477" s="5" t="s">
        <v>185</v>
      </c>
      <c r="T1477" s="5" t="s">
        <v>57</v>
      </c>
      <c r="U1477" s="5" t="s">
        <v>58</v>
      </c>
      <c r="V1477" s="5" t="s">
        <v>200</v>
      </c>
      <c r="W1477" s="5" t="s">
        <v>201</v>
      </c>
      <c r="X1477" s="5" t="s">
        <v>4662</v>
      </c>
      <c r="Y1477" s="5" t="s">
        <v>6138</v>
      </c>
      <c r="Z1477" s="9">
        <v>46055</v>
      </c>
      <c r="AA1477" s="8">
        <v>18</v>
      </c>
      <c r="AB1477" s="9">
        <f t="shared" si="70"/>
        <v>46601</v>
      </c>
      <c r="AC1477" s="10">
        <v>15</v>
      </c>
      <c r="AD1477" s="7">
        <f t="shared" si="71"/>
        <v>23391</v>
      </c>
      <c r="AE1477" s="7">
        <f>IF(F1477="Bullet",H1477*AD1477,MIN(MAX(I1477,1),Assumptions!$B$6)*AD1477)</f>
        <v>46782</v>
      </c>
      <c r="AF1477" s="8">
        <f>IF(F1477="Bullet",MAX(0,Assumptions!$B$4-AB1477),MAX(0,Assumptions!$B$4-L1477))</f>
        <v>31</v>
      </c>
      <c r="AG1477" s="9">
        <v>46236</v>
      </c>
      <c r="AH1477" s="8">
        <f>IF(AG1477="","",Assumptions!$B$4-AG1477)</f>
        <v>62</v>
      </c>
      <c r="AI1477" s="5" t="s">
        <v>63</v>
      </c>
      <c r="AJ1477" s="8">
        <v>3</v>
      </c>
      <c r="AK1477" s="8">
        <v>0</v>
      </c>
      <c r="AL1477" s="8">
        <v>687</v>
      </c>
      <c r="AM1477" s="8">
        <v>0</v>
      </c>
      <c r="AN1477" s="5" t="s">
        <v>63</v>
      </c>
      <c r="AO1477" s="10">
        <v>70.7</v>
      </c>
      <c r="AP1477" s="8">
        <v>53</v>
      </c>
      <c r="AQ1477" s="9">
        <v>46295</v>
      </c>
      <c r="AR1477" s="5" t="s">
        <v>70</v>
      </c>
      <c r="AS1477" s="5" t="s">
        <v>91</v>
      </c>
    </row>
    <row r="1478" spans="1:45" x14ac:dyDescent="0.35">
      <c r="A1478" s="5" t="s">
        <v>6139</v>
      </c>
      <c r="B1478" s="5" t="s">
        <v>6140</v>
      </c>
      <c r="C1478" s="6" t="s">
        <v>6141</v>
      </c>
      <c r="D1478" s="7">
        <v>43600</v>
      </c>
      <c r="E1478" s="5" t="s">
        <v>48</v>
      </c>
      <c r="F1478" s="5" t="s">
        <v>49</v>
      </c>
      <c r="G1478" s="8"/>
      <c r="H1478" s="8" t="str">
        <f>IF(F1478="Bullet",MIN(G1478,Assumptions!$B$6),"")</f>
        <v/>
      </c>
      <c r="I1478" s="8">
        <v>2</v>
      </c>
      <c r="J1478" s="8">
        <f>IF(F1478="Monthly interest",MAX(0,Assumptions!$B$5-I1478),"")</f>
        <v>1</v>
      </c>
      <c r="K1478" s="7">
        <f t="shared" si="69"/>
        <v>1598</v>
      </c>
      <c r="L1478" s="9">
        <v>46257</v>
      </c>
      <c r="M1478" s="5" t="s">
        <v>69</v>
      </c>
      <c r="N1478" s="5" t="s">
        <v>53</v>
      </c>
      <c r="O1478" s="5" t="s">
        <v>152</v>
      </c>
      <c r="P1478" s="5" t="s">
        <v>153</v>
      </c>
      <c r="Q1478" s="5" t="s">
        <v>154</v>
      </c>
      <c r="R1478" s="5" t="s">
        <v>155</v>
      </c>
      <c r="S1478" s="5" t="s">
        <v>253</v>
      </c>
      <c r="T1478" s="5" t="s">
        <v>57</v>
      </c>
      <c r="U1478" s="5" t="s">
        <v>104</v>
      </c>
      <c r="V1478" s="5" t="s">
        <v>59</v>
      </c>
      <c r="W1478" s="5" t="s">
        <v>60</v>
      </c>
      <c r="X1478" s="5" t="s">
        <v>335</v>
      </c>
      <c r="Y1478" s="5" t="s">
        <v>6142</v>
      </c>
      <c r="Z1478" s="9">
        <v>46014</v>
      </c>
      <c r="AA1478" s="8">
        <v>24</v>
      </c>
      <c r="AB1478" s="9">
        <f t="shared" si="70"/>
        <v>46744</v>
      </c>
      <c r="AC1478" s="10">
        <v>22</v>
      </c>
      <c r="AD1478" s="7">
        <f t="shared" si="71"/>
        <v>799</v>
      </c>
      <c r="AE1478" s="7">
        <f>IF(F1478="Bullet",H1478*AD1478,MIN(MAX(I1478,1),Assumptions!$B$6)*AD1478)</f>
        <v>1598</v>
      </c>
      <c r="AF1478" s="8">
        <f>IF(F1478="Bullet",MAX(0,Assumptions!$B$4-AB1478),MAX(0,Assumptions!$B$4-L1478))</f>
        <v>41</v>
      </c>
      <c r="AG1478" s="9">
        <v>46226</v>
      </c>
      <c r="AH1478" s="8">
        <f>IF(AG1478="","",Assumptions!$B$4-AG1478)</f>
        <v>72</v>
      </c>
      <c r="AI1478" s="5" t="s">
        <v>57</v>
      </c>
      <c r="AJ1478" s="8">
        <v>2</v>
      </c>
      <c r="AK1478" s="8">
        <v>0</v>
      </c>
      <c r="AL1478" s="8" t="s">
        <v>80</v>
      </c>
      <c r="AM1478" s="8">
        <v>1</v>
      </c>
      <c r="AN1478" s="5" t="s">
        <v>63</v>
      </c>
      <c r="AO1478" s="10">
        <v>66.599999999999994</v>
      </c>
      <c r="AP1478" s="8">
        <v>46</v>
      </c>
      <c r="AQ1478" s="9">
        <v>46296</v>
      </c>
      <c r="AR1478" s="5" t="s">
        <v>51</v>
      </c>
      <c r="AS1478" s="5" t="s">
        <v>64</v>
      </c>
    </row>
    <row r="1479" spans="1:45" x14ac:dyDescent="0.35">
      <c r="A1479" s="5" t="s">
        <v>6143</v>
      </c>
      <c r="B1479" s="5" t="s">
        <v>4523</v>
      </c>
      <c r="C1479" s="6" t="s">
        <v>6144</v>
      </c>
      <c r="D1479" s="7">
        <v>46400</v>
      </c>
      <c r="E1479" s="5" t="s">
        <v>48</v>
      </c>
      <c r="F1479" s="5" t="s">
        <v>49</v>
      </c>
      <c r="G1479" s="8"/>
      <c r="H1479" s="8" t="str">
        <f>IF(F1479="Bullet",MIN(G1479,Assumptions!$B$6),"")</f>
        <v/>
      </c>
      <c r="I1479" s="8">
        <v>1</v>
      </c>
      <c r="J1479" s="8">
        <f>IF(F1479="Monthly interest",MAX(0,Assumptions!$B$5-I1479),"")</f>
        <v>2</v>
      </c>
      <c r="K1479" s="7">
        <f t="shared" si="69"/>
        <v>580</v>
      </c>
      <c r="L1479" s="9">
        <v>46278</v>
      </c>
      <c r="M1479" s="5" t="s">
        <v>50</v>
      </c>
      <c r="N1479" s="5" t="s">
        <v>51</v>
      </c>
      <c r="O1479" s="5" t="s">
        <v>152</v>
      </c>
      <c r="P1479" s="5" t="s">
        <v>53</v>
      </c>
      <c r="Q1479" s="5" t="s">
        <v>154</v>
      </c>
      <c r="R1479" s="5" t="s">
        <v>155</v>
      </c>
      <c r="S1479" s="5" t="s">
        <v>85</v>
      </c>
      <c r="T1479" s="5" t="s">
        <v>57</v>
      </c>
      <c r="U1479" s="5" t="s">
        <v>86</v>
      </c>
      <c r="V1479" s="5" t="s">
        <v>177</v>
      </c>
      <c r="W1479" s="5" t="s">
        <v>345</v>
      </c>
      <c r="X1479" s="5" t="s">
        <v>388</v>
      </c>
      <c r="Y1479" s="5" t="s">
        <v>6145</v>
      </c>
      <c r="Z1479" s="9">
        <v>46186</v>
      </c>
      <c r="AA1479" s="8">
        <v>12</v>
      </c>
      <c r="AB1479" s="9">
        <f t="shared" si="70"/>
        <v>46551</v>
      </c>
      <c r="AC1479" s="10">
        <v>15</v>
      </c>
      <c r="AD1479" s="7">
        <f t="shared" si="71"/>
        <v>580</v>
      </c>
      <c r="AE1479" s="7">
        <f>IF(F1479="Bullet",H1479*AD1479,MIN(MAX(I1479,1),Assumptions!$B$6)*AD1479)</f>
        <v>580</v>
      </c>
      <c r="AF1479" s="8">
        <f>IF(F1479="Bullet",MAX(0,Assumptions!$B$4-AB1479),MAX(0,Assumptions!$B$4-L1479))</f>
        <v>20</v>
      </c>
      <c r="AG1479" s="9">
        <v>46252</v>
      </c>
      <c r="AH1479" s="8">
        <f>IF(AG1479="","",Assumptions!$B$4-AG1479)</f>
        <v>46</v>
      </c>
      <c r="AI1479" s="5" t="s">
        <v>63</v>
      </c>
      <c r="AJ1479" s="8">
        <v>2</v>
      </c>
      <c r="AK1479" s="8">
        <v>1</v>
      </c>
      <c r="AL1479" s="8">
        <v>736</v>
      </c>
      <c r="AM1479" s="8">
        <v>1</v>
      </c>
      <c r="AN1479" s="5" t="s">
        <v>63</v>
      </c>
      <c r="AO1479" s="10">
        <v>53.8</v>
      </c>
      <c r="AP1479" s="8">
        <v>25</v>
      </c>
      <c r="AQ1479" s="9">
        <v>46288</v>
      </c>
      <c r="AR1479" s="5" t="s">
        <v>53</v>
      </c>
      <c r="AS1479" s="5" t="s">
        <v>91</v>
      </c>
    </row>
    <row r="1480" spans="1:45" x14ac:dyDescent="0.35">
      <c r="A1480" s="5" t="s">
        <v>6146</v>
      </c>
      <c r="B1480" s="5" t="s">
        <v>6147</v>
      </c>
      <c r="C1480" s="6" t="s">
        <v>6148</v>
      </c>
      <c r="D1480" s="7">
        <v>123800</v>
      </c>
      <c r="E1480" s="5" t="s">
        <v>48</v>
      </c>
      <c r="F1480" s="5" t="s">
        <v>49</v>
      </c>
      <c r="G1480" s="8"/>
      <c r="H1480" s="8" t="str">
        <f>IF(F1480="Bullet",MIN(G1480,Assumptions!$B$6),"")</f>
        <v/>
      </c>
      <c r="I1480" s="8">
        <v>1</v>
      </c>
      <c r="J1480" s="8">
        <f>IF(F1480="Monthly interest",MAX(0,Assumptions!$B$5-I1480),"")</f>
        <v>2</v>
      </c>
      <c r="K1480" s="7">
        <f t="shared" si="69"/>
        <v>1857</v>
      </c>
      <c r="L1480" s="9">
        <v>46284</v>
      </c>
      <c r="M1480" s="5" t="s">
        <v>50</v>
      </c>
      <c r="N1480" s="5" t="s">
        <v>51</v>
      </c>
      <c r="O1480" s="5" t="s">
        <v>52</v>
      </c>
      <c r="P1480" s="5" t="s">
        <v>53</v>
      </c>
      <c r="Q1480" s="5" t="s">
        <v>54</v>
      </c>
      <c r="R1480" s="5" t="s">
        <v>55</v>
      </c>
      <c r="S1480" s="5" t="s">
        <v>85</v>
      </c>
      <c r="T1480" s="5" t="s">
        <v>57</v>
      </c>
      <c r="U1480" s="5" t="s">
        <v>104</v>
      </c>
      <c r="V1480" s="5" t="s">
        <v>133</v>
      </c>
      <c r="W1480" s="5" t="s">
        <v>594</v>
      </c>
      <c r="X1480" s="5" t="s">
        <v>4684</v>
      </c>
      <c r="Y1480" s="5" t="s">
        <v>6149</v>
      </c>
      <c r="Z1480" s="9">
        <v>46222</v>
      </c>
      <c r="AA1480" s="8">
        <v>12</v>
      </c>
      <c r="AB1480" s="9">
        <f t="shared" si="70"/>
        <v>46587</v>
      </c>
      <c r="AC1480" s="10">
        <v>18</v>
      </c>
      <c r="AD1480" s="7">
        <f t="shared" si="71"/>
        <v>1857</v>
      </c>
      <c r="AE1480" s="7">
        <f>IF(F1480="Bullet",H1480*AD1480,MIN(MAX(I1480,1),Assumptions!$B$6)*AD1480)</f>
        <v>1857</v>
      </c>
      <c r="AF1480" s="8">
        <f>IF(F1480="Bullet",MAX(0,Assumptions!$B$4-AB1480),MAX(0,Assumptions!$B$4-L1480))</f>
        <v>14</v>
      </c>
      <c r="AG1480" s="9">
        <v>46255</v>
      </c>
      <c r="AH1480" s="8">
        <f>IF(AG1480="","",Assumptions!$B$4-AG1480)</f>
        <v>43</v>
      </c>
      <c r="AI1480" s="5" t="s">
        <v>63</v>
      </c>
      <c r="AJ1480" s="8">
        <v>2</v>
      </c>
      <c r="AK1480" s="8">
        <v>0</v>
      </c>
      <c r="AL1480" s="8">
        <v>757</v>
      </c>
      <c r="AM1480" s="8">
        <v>2</v>
      </c>
      <c r="AN1480" s="5" t="s">
        <v>63</v>
      </c>
      <c r="AO1480" s="10">
        <v>77.2</v>
      </c>
      <c r="AP1480" s="8">
        <v>29</v>
      </c>
      <c r="AQ1480" s="9">
        <v>46285</v>
      </c>
      <c r="AR1480" s="5" t="s">
        <v>51</v>
      </c>
      <c r="AS1480" s="5" t="s">
        <v>64</v>
      </c>
    </row>
    <row r="1481" spans="1:45" x14ac:dyDescent="0.35">
      <c r="A1481" s="5" t="s">
        <v>6150</v>
      </c>
      <c r="B1481" s="5" t="s">
        <v>391</v>
      </c>
      <c r="C1481" s="6" t="s">
        <v>6151</v>
      </c>
      <c r="D1481" s="7">
        <v>42000</v>
      </c>
      <c r="E1481" s="5" t="s">
        <v>48</v>
      </c>
      <c r="F1481" s="5" t="s">
        <v>68</v>
      </c>
      <c r="G1481" s="8">
        <v>2</v>
      </c>
      <c r="H1481" s="8">
        <f>IF(F1481="Bullet",MIN(G1481,Assumptions!$B$6),"")</f>
        <v>2</v>
      </c>
      <c r="I1481" s="8"/>
      <c r="J1481" s="8" t="str">
        <f>IF(F1481="Monthly interest",MAX(0,Assumptions!$B$5-I1481),"")</f>
        <v/>
      </c>
      <c r="K1481" s="7">
        <f t="shared" si="69"/>
        <v>910</v>
      </c>
      <c r="L1481" s="9">
        <v>46228</v>
      </c>
      <c r="M1481" s="5" t="s">
        <v>50</v>
      </c>
      <c r="N1481" s="5" t="s">
        <v>53</v>
      </c>
      <c r="O1481" s="5" t="s">
        <v>152</v>
      </c>
      <c r="P1481" s="5" t="s">
        <v>153</v>
      </c>
      <c r="Q1481" s="5" t="s">
        <v>154</v>
      </c>
      <c r="R1481" s="5" t="s">
        <v>155</v>
      </c>
      <c r="S1481" s="5" t="s">
        <v>75</v>
      </c>
      <c r="T1481" s="5" t="s">
        <v>57</v>
      </c>
      <c r="U1481" s="5" t="s">
        <v>58</v>
      </c>
      <c r="V1481" s="5" t="s">
        <v>76</v>
      </c>
      <c r="W1481" s="5" t="s">
        <v>105</v>
      </c>
      <c r="X1481" s="5" t="s">
        <v>565</v>
      </c>
      <c r="Y1481" s="5" t="s">
        <v>6152</v>
      </c>
      <c r="Z1481" s="9">
        <v>46228</v>
      </c>
      <c r="AA1481" s="8">
        <v>6</v>
      </c>
      <c r="AB1481" s="9">
        <f t="shared" si="70"/>
        <v>46412</v>
      </c>
      <c r="AC1481" s="10">
        <v>13</v>
      </c>
      <c r="AD1481" s="7">
        <f t="shared" si="71"/>
        <v>455</v>
      </c>
      <c r="AE1481" s="7">
        <f>IF(F1481="Bullet",H1481*AD1481,MIN(MAX(I1481,1),Assumptions!$B$6)*AD1481)</f>
        <v>910</v>
      </c>
      <c r="AF1481" s="8">
        <f>IF(F1481="Bullet",MAX(0,Assumptions!$B$4-AB1481),MAX(0,Assumptions!$B$4-L1481))</f>
        <v>0</v>
      </c>
      <c r="AG1481" s="9"/>
      <c r="AH1481" s="8" t="str">
        <f>IF(AG1481="","",Assumptions!$B$4-AG1481)</f>
        <v/>
      </c>
      <c r="AI1481" s="5" t="s">
        <v>80</v>
      </c>
      <c r="AJ1481" s="8"/>
      <c r="AK1481" s="8">
        <v>0</v>
      </c>
      <c r="AL1481" s="8">
        <v>791</v>
      </c>
      <c r="AM1481" s="8">
        <v>0</v>
      </c>
      <c r="AN1481" s="5" t="s">
        <v>63</v>
      </c>
      <c r="AO1481" s="10">
        <v>65</v>
      </c>
      <c r="AP1481" s="8">
        <v>4</v>
      </c>
      <c r="AQ1481" s="9">
        <v>46291</v>
      </c>
      <c r="AR1481" s="5" t="s">
        <v>51</v>
      </c>
      <c r="AS1481" s="5" t="s">
        <v>81</v>
      </c>
    </row>
    <row r="1482" spans="1:45" x14ac:dyDescent="0.35">
      <c r="A1482" s="5" t="s">
        <v>6153</v>
      </c>
      <c r="B1482" s="5" t="s">
        <v>1027</v>
      </c>
      <c r="C1482" s="6" t="s">
        <v>6154</v>
      </c>
      <c r="D1482" s="7">
        <v>272800</v>
      </c>
      <c r="E1482" s="5" t="s">
        <v>48</v>
      </c>
      <c r="F1482" s="5" t="s">
        <v>68</v>
      </c>
      <c r="G1482" s="8">
        <v>2</v>
      </c>
      <c r="H1482" s="8">
        <f>IF(F1482="Bullet",MIN(G1482,Assumptions!$B$6),"")</f>
        <v>2</v>
      </c>
      <c r="I1482" s="8"/>
      <c r="J1482" s="8" t="str">
        <f>IF(F1482="Monthly interest",MAX(0,Assumptions!$B$5-I1482),"")</f>
        <v/>
      </c>
      <c r="K1482" s="7">
        <f t="shared" si="69"/>
        <v>6366</v>
      </c>
      <c r="L1482" s="9">
        <v>46233</v>
      </c>
      <c r="M1482" s="5" t="s">
        <v>50</v>
      </c>
      <c r="N1482" s="5" t="s">
        <v>51</v>
      </c>
      <c r="O1482" s="5" t="s">
        <v>71</v>
      </c>
      <c r="P1482" s="5" t="s">
        <v>53</v>
      </c>
      <c r="Q1482" s="5" t="s">
        <v>73</v>
      </c>
      <c r="R1482" s="5" t="s">
        <v>74</v>
      </c>
      <c r="S1482" s="5" t="s">
        <v>85</v>
      </c>
      <c r="T1482" s="5" t="s">
        <v>57</v>
      </c>
      <c r="U1482" s="5" t="s">
        <v>104</v>
      </c>
      <c r="V1482" s="5" t="s">
        <v>133</v>
      </c>
      <c r="W1482" s="5" t="s">
        <v>594</v>
      </c>
      <c r="X1482" s="5" t="s">
        <v>4650</v>
      </c>
      <c r="Y1482" s="5" t="s">
        <v>6155</v>
      </c>
      <c r="Z1482" s="9">
        <v>46233</v>
      </c>
      <c r="AA1482" s="8">
        <v>12</v>
      </c>
      <c r="AB1482" s="9">
        <f t="shared" si="70"/>
        <v>46598</v>
      </c>
      <c r="AC1482" s="10">
        <v>14</v>
      </c>
      <c r="AD1482" s="7">
        <f t="shared" si="71"/>
        <v>3183</v>
      </c>
      <c r="AE1482" s="7">
        <f>IF(F1482="Bullet",H1482*AD1482,MIN(MAX(I1482,1),Assumptions!$B$6)*AD1482)</f>
        <v>6366</v>
      </c>
      <c r="AF1482" s="8">
        <f>IF(F1482="Bullet",MAX(0,Assumptions!$B$4-AB1482),MAX(0,Assumptions!$B$4-L1482))</f>
        <v>0</v>
      </c>
      <c r="AG1482" s="9"/>
      <c r="AH1482" s="8" t="str">
        <f>IF(AG1482="","",Assumptions!$B$4-AG1482)</f>
        <v/>
      </c>
      <c r="AI1482" s="5" t="s">
        <v>80</v>
      </c>
      <c r="AJ1482" s="8"/>
      <c r="AK1482" s="8">
        <v>1</v>
      </c>
      <c r="AL1482" s="8">
        <v>719</v>
      </c>
      <c r="AM1482" s="8">
        <v>0</v>
      </c>
      <c r="AN1482" s="5" t="s">
        <v>63</v>
      </c>
      <c r="AO1482" s="10">
        <v>73.3</v>
      </c>
      <c r="AP1482" s="8">
        <v>13</v>
      </c>
      <c r="AQ1482" s="9">
        <v>46280</v>
      </c>
      <c r="AR1482" s="5" t="s">
        <v>70</v>
      </c>
      <c r="AS1482" s="5" t="s">
        <v>81</v>
      </c>
    </row>
    <row r="1483" spans="1:45" x14ac:dyDescent="0.35">
      <c r="A1483" s="5" t="s">
        <v>6156</v>
      </c>
      <c r="B1483" s="5" t="s">
        <v>4577</v>
      </c>
      <c r="C1483" s="6" t="s">
        <v>6157</v>
      </c>
      <c r="D1483" s="7">
        <v>30000</v>
      </c>
      <c r="E1483" s="5" t="s">
        <v>48</v>
      </c>
      <c r="F1483" s="5" t="s">
        <v>49</v>
      </c>
      <c r="G1483" s="8"/>
      <c r="H1483" s="8" t="str">
        <f>IF(F1483="Bullet",MIN(G1483,Assumptions!$B$6),"")</f>
        <v/>
      </c>
      <c r="I1483" s="8">
        <v>1</v>
      </c>
      <c r="J1483" s="8">
        <f>IF(F1483="Monthly interest",MAX(0,Assumptions!$B$5-I1483),"")</f>
        <v>2</v>
      </c>
      <c r="K1483" s="7">
        <f t="shared" si="69"/>
        <v>500</v>
      </c>
      <c r="L1483" s="9">
        <v>46276</v>
      </c>
      <c r="M1483" s="5" t="s">
        <v>69</v>
      </c>
      <c r="N1483" s="5" t="s">
        <v>51</v>
      </c>
      <c r="O1483" s="5" t="s">
        <v>152</v>
      </c>
      <c r="P1483" s="5" t="s">
        <v>53</v>
      </c>
      <c r="Q1483" s="5" t="s">
        <v>154</v>
      </c>
      <c r="R1483" s="5" t="s">
        <v>155</v>
      </c>
      <c r="S1483" s="5" t="s">
        <v>214</v>
      </c>
      <c r="T1483" s="5" t="s">
        <v>57</v>
      </c>
      <c r="U1483" s="5" t="s">
        <v>58</v>
      </c>
      <c r="V1483" s="5" t="s">
        <v>215</v>
      </c>
      <c r="W1483" s="5" t="s">
        <v>600</v>
      </c>
      <c r="X1483" s="5" t="s">
        <v>1166</v>
      </c>
      <c r="Y1483" s="5" t="s">
        <v>6158</v>
      </c>
      <c r="Z1483" s="9">
        <v>46214</v>
      </c>
      <c r="AA1483" s="8">
        <v>24</v>
      </c>
      <c r="AB1483" s="9">
        <f t="shared" si="70"/>
        <v>46945</v>
      </c>
      <c r="AC1483" s="10">
        <v>20</v>
      </c>
      <c r="AD1483" s="7">
        <f t="shared" si="71"/>
        <v>500</v>
      </c>
      <c r="AE1483" s="7">
        <f>IF(F1483="Bullet",H1483*AD1483,MIN(MAX(I1483,1),Assumptions!$B$6)*AD1483)</f>
        <v>500</v>
      </c>
      <c r="AF1483" s="8">
        <f>IF(F1483="Bullet",MAX(0,Assumptions!$B$4-AB1483),MAX(0,Assumptions!$B$4-L1483))</f>
        <v>22</v>
      </c>
      <c r="AG1483" s="9">
        <v>46247</v>
      </c>
      <c r="AH1483" s="8">
        <f>IF(AG1483="","",Assumptions!$B$4-AG1483)</f>
        <v>51</v>
      </c>
      <c r="AI1483" s="5" t="s">
        <v>57</v>
      </c>
      <c r="AJ1483" s="8">
        <v>2</v>
      </c>
      <c r="AK1483" s="8">
        <v>0</v>
      </c>
      <c r="AL1483" s="8" t="s">
        <v>80</v>
      </c>
      <c r="AM1483" s="8">
        <v>1</v>
      </c>
      <c r="AN1483" s="5" t="s">
        <v>63</v>
      </c>
      <c r="AO1483" s="10">
        <v>70.599999999999994</v>
      </c>
      <c r="AP1483" s="8">
        <v>31</v>
      </c>
      <c r="AQ1483" s="9">
        <v>46280</v>
      </c>
      <c r="AR1483" s="5" t="s">
        <v>51</v>
      </c>
      <c r="AS1483" s="5" t="s">
        <v>274</v>
      </c>
    </row>
    <row r="1484" spans="1:45" x14ac:dyDescent="0.35">
      <c r="A1484" s="5" t="s">
        <v>6159</v>
      </c>
      <c r="B1484" s="5" t="s">
        <v>6160</v>
      </c>
      <c r="C1484" s="6" t="s">
        <v>6161</v>
      </c>
      <c r="D1484" s="7">
        <v>277100</v>
      </c>
      <c r="E1484" s="5" t="s">
        <v>48</v>
      </c>
      <c r="F1484" s="5" t="s">
        <v>49</v>
      </c>
      <c r="G1484" s="8"/>
      <c r="H1484" s="8" t="str">
        <f>IF(F1484="Bullet",MIN(G1484,Assumptions!$B$6),"")</f>
        <v/>
      </c>
      <c r="I1484" s="8">
        <v>1</v>
      </c>
      <c r="J1484" s="8">
        <f>IF(F1484="Monthly interest",MAX(0,Assumptions!$B$5-I1484),"")</f>
        <v>2</v>
      </c>
      <c r="K1484" s="7">
        <f t="shared" si="69"/>
        <v>5542</v>
      </c>
      <c r="L1484" s="9">
        <v>46282</v>
      </c>
      <c r="M1484" s="5" t="s">
        <v>69</v>
      </c>
      <c r="N1484" s="5" t="s">
        <v>51</v>
      </c>
      <c r="O1484" s="5" t="s">
        <v>52</v>
      </c>
      <c r="P1484" s="5" t="s">
        <v>53</v>
      </c>
      <c r="Q1484" s="5" t="s">
        <v>54</v>
      </c>
      <c r="R1484" s="5" t="s">
        <v>55</v>
      </c>
      <c r="S1484" s="5" t="s">
        <v>85</v>
      </c>
      <c r="T1484" s="5" t="s">
        <v>57</v>
      </c>
      <c r="U1484" s="5" t="s">
        <v>58</v>
      </c>
      <c r="V1484" s="5" t="s">
        <v>96</v>
      </c>
      <c r="W1484" s="5" t="s">
        <v>819</v>
      </c>
      <c r="X1484" s="5" t="s">
        <v>1939</v>
      </c>
      <c r="Y1484" s="5" t="s">
        <v>6162</v>
      </c>
      <c r="Z1484" s="9">
        <v>46220</v>
      </c>
      <c r="AA1484" s="8">
        <v>12</v>
      </c>
      <c r="AB1484" s="9">
        <f t="shared" si="70"/>
        <v>46585</v>
      </c>
      <c r="AC1484" s="10">
        <v>24</v>
      </c>
      <c r="AD1484" s="7">
        <f t="shared" si="71"/>
        <v>5542</v>
      </c>
      <c r="AE1484" s="7">
        <f>IF(F1484="Bullet",H1484*AD1484,MIN(MAX(I1484,1),Assumptions!$B$6)*AD1484)</f>
        <v>5542</v>
      </c>
      <c r="AF1484" s="8">
        <f>IF(F1484="Bullet",MAX(0,Assumptions!$B$4-AB1484),MAX(0,Assumptions!$B$4-L1484))</f>
        <v>16</v>
      </c>
      <c r="AG1484" s="9">
        <v>46253</v>
      </c>
      <c r="AH1484" s="8">
        <f>IF(AG1484="","",Assumptions!$B$4-AG1484)</f>
        <v>45</v>
      </c>
      <c r="AI1484" s="5" t="s">
        <v>57</v>
      </c>
      <c r="AJ1484" s="8">
        <v>2</v>
      </c>
      <c r="AK1484" s="8">
        <v>0</v>
      </c>
      <c r="AL1484" s="8">
        <v>734</v>
      </c>
      <c r="AM1484" s="8">
        <v>1</v>
      </c>
      <c r="AN1484" s="5" t="s">
        <v>63</v>
      </c>
      <c r="AO1484" s="10">
        <v>88</v>
      </c>
      <c r="AP1484" s="8">
        <v>37</v>
      </c>
      <c r="AQ1484" s="9"/>
      <c r="AR1484" s="5"/>
      <c r="AS1484" s="5" t="s">
        <v>159</v>
      </c>
    </row>
    <row r="1485" spans="1:45" x14ac:dyDescent="0.35">
      <c r="A1485" s="5" t="s">
        <v>6163</v>
      </c>
      <c r="B1485" s="5" t="s">
        <v>6164</v>
      </c>
      <c r="C1485" s="6" t="s">
        <v>6165</v>
      </c>
      <c r="D1485" s="7">
        <v>211000</v>
      </c>
      <c r="E1485" s="5" t="s">
        <v>48</v>
      </c>
      <c r="F1485" s="5" t="s">
        <v>68</v>
      </c>
      <c r="G1485" s="8">
        <v>5</v>
      </c>
      <c r="H1485" s="8">
        <f>IF(F1485="Bullet",MIN(G1485,Assumptions!$B$6),"")</f>
        <v>2</v>
      </c>
      <c r="I1485" s="8"/>
      <c r="J1485" s="8" t="str">
        <f>IF(F1485="Monthly interest",MAX(0,Assumptions!$B$5-I1485),"")</f>
        <v/>
      </c>
      <c r="K1485" s="7">
        <f t="shared" si="69"/>
        <v>15825</v>
      </c>
      <c r="L1485" s="9">
        <v>46127</v>
      </c>
      <c r="M1485" s="5" t="s">
        <v>69</v>
      </c>
      <c r="N1485" s="5" t="s">
        <v>53</v>
      </c>
      <c r="O1485" s="5" t="s">
        <v>168</v>
      </c>
      <c r="P1485" s="5" t="s">
        <v>70</v>
      </c>
      <c r="Q1485" s="5" t="s">
        <v>169</v>
      </c>
      <c r="R1485" s="5" t="s">
        <v>170</v>
      </c>
      <c r="S1485" s="5" t="s">
        <v>85</v>
      </c>
      <c r="T1485" s="5" t="s">
        <v>63</v>
      </c>
      <c r="U1485" s="5" t="s">
        <v>86</v>
      </c>
      <c r="V1485" s="5" t="s">
        <v>177</v>
      </c>
      <c r="W1485" s="5" t="s">
        <v>345</v>
      </c>
      <c r="X1485" s="5" t="s">
        <v>2535</v>
      </c>
      <c r="Y1485" s="5" t="s">
        <v>6166</v>
      </c>
      <c r="Z1485" s="9">
        <v>46127</v>
      </c>
      <c r="AA1485" s="8">
        <v>6</v>
      </c>
      <c r="AB1485" s="9">
        <f t="shared" si="70"/>
        <v>46310</v>
      </c>
      <c r="AC1485" s="10">
        <v>18</v>
      </c>
      <c r="AD1485" s="7">
        <f t="shared" si="71"/>
        <v>3165</v>
      </c>
      <c r="AE1485" s="7">
        <f>IF(F1485="Bullet",H1485*AD1485,MIN(MAX(I1485,1),Assumptions!$B$6)*AD1485)</f>
        <v>6330</v>
      </c>
      <c r="AF1485" s="8">
        <f>IF(F1485="Bullet",MAX(0,Assumptions!$B$4-AB1485),MAX(0,Assumptions!$B$4-L1485))</f>
        <v>0</v>
      </c>
      <c r="AG1485" s="9"/>
      <c r="AH1485" s="8" t="str">
        <f>IF(AG1485="","",Assumptions!$B$4-AG1485)</f>
        <v/>
      </c>
      <c r="AI1485" s="5" t="s">
        <v>80</v>
      </c>
      <c r="AJ1485" s="8"/>
      <c r="AK1485" s="8">
        <v>1</v>
      </c>
      <c r="AL1485" s="8">
        <v>702</v>
      </c>
      <c r="AM1485" s="8">
        <v>1</v>
      </c>
      <c r="AN1485" s="5" t="s">
        <v>63</v>
      </c>
      <c r="AO1485" s="10">
        <v>66.599999999999994</v>
      </c>
      <c r="AP1485" s="8">
        <v>39</v>
      </c>
      <c r="AQ1485" s="9">
        <v>46293</v>
      </c>
      <c r="AR1485" s="5" t="s">
        <v>53</v>
      </c>
      <c r="AS1485" s="5" t="s">
        <v>190</v>
      </c>
    </row>
    <row r="1486" spans="1:45" x14ac:dyDescent="0.35">
      <c r="A1486" s="5" t="s">
        <v>6167</v>
      </c>
      <c r="B1486" s="5" t="s">
        <v>6168</v>
      </c>
      <c r="C1486" s="6" t="s">
        <v>6169</v>
      </c>
      <c r="D1486" s="7">
        <v>83000</v>
      </c>
      <c r="E1486" s="5" t="s">
        <v>48</v>
      </c>
      <c r="F1486" s="5" t="s">
        <v>68</v>
      </c>
      <c r="G1486" s="8">
        <v>4</v>
      </c>
      <c r="H1486" s="8">
        <f>IF(F1486="Bullet",MIN(G1486,Assumptions!$B$6),"")</f>
        <v>2</v>
      </c>
      <c r="I1486" s="8"/>
      <c r="J1486" s="8" t="str">
        <f>IF(F1486="Monthly interest",MAX(0,Assumptions!$B$5-I1486),"")</f>
        <v/>
      </c>
      <c r="K1486" s="7">
        <f t="shared" si="69"/>
        <v>3320</v>
      </c>
      <c r="L1486" s="9">
        <v>46161</v>
      </c>
      <c r="M1486" s="5" t="s">
        <v>116</v>
      </c>
      <c r="N1486" s="5" t="s">
        <v>117</v>
      </c>
      <c r="O1486" s="5" t="s">
        <v>207</v>
      </c>
      <c r="P1486" s="5" t="s">
        <v>72</v>
      </c>
      <c r="Q1486" s="5" t="s">
        <v>73</v>
      </c>
      <c r="R1486" s="5" t="s">
        <v>74</v>
      </c>
      <c r="S1486" s="5" t="s">
        <v>56</v>
      </c>
      <c r="T1486" s="5" t="s">
        <v>57</v>
      </c>
      <c r="U1486" s="5" t="s">
        <v>58</v>
      </c>
      <c r="V1486" s="5" t="s">
        <v>59</v>
      </c>
      <c r="W1486" s="5" t="s">
        <v>323</v>
      </c>
      <c r="X1486" s="5" t="s">
        <v>2471</v>
      </c>
      <c r="Y1486" s="5" t="s">
        <v>6170</v>
      </c>
      <c r="Z1486" s="9">
        <v>46161</v>
      </c>
      <c r="AA1486" s="8">
        <v>3</v>
      </c>
      <c r="AB1486" s="9">
        <f t="shared" si="70"/>
        <v>46253</v>
      </c>
      <c r="AC1486" s="10">
        <v>12</v>
      </c>
      <c r="AD1486" s="7">
        <f t="shared" si="71"/>
        <v>830</v>
      </c>
      <c r="AE1486" s="7">
        <f>IF(F1486="Bullet",H1486*AD1486,MIN(MAX(I1486,1),Assumptions!$B$6)*AD1486)</f>
        <v>1660</v>
      </c>
      <c r="AF1486" s="8">
        <f>IF(F1486="Bullet",MAX(0,Assumptions!$B$4-AB1486),MAX(0,Assumptions!$B$4-L1486))</f>
        <v>45</v>
      </c>
      <c r="AG1486" s="9"/>
      <c r="AH1486" s="8" t="str">
        <f>IF(AG1486="","",Assumptions!$B$4-AG1486)</f>
        <v/>
      </c>
      <c r="AI1486" s="5" t="s">
        <v>80</v>
      </c>
      <c r="AJ1486" s="8"/>
      <c r="AK1486" s="8">
        <v>1</v>
      </c>
      <c r="AL1486" s="8">
        <v>698</v>
      </c>
      <c r="AM1486" s="8">
        <v>2</v>
      </c>
      <c r="AN1486" s="5" t="s">
        <v>63</v>
      </c>
      <c r="AO1486" s="10">
        <v>73.599999999999994</v>
      </c>
      <c r="AP1486" s="8">
        <v>50</v>
      </c>
      <c r="AQ1486" s="9">
        <v>46297</v>
      </c>
      <c r="AR1486" s="5" t="s">
        <v>51</v>
      </c>
      <c r="AS1486" s="5" t="s">
        <v>64</v>
      </c>
    </row>
    <row r="1487" spans="1:45" x14ac:dyDescent="0.35">
      <c r="A1487" s="5" t="s">
        <v>6171</v>
      </c>
      <c r="B1487" s="5" t="s">
        <v>4077</v>
      </c>
      <c r="C1487" s="6" t="s">
        <v>6172</v>
      </c>
      <c r="D1487" s="7">
        <v>55800</v>
      </c>
      <c r="E1487" s="5" t="s">
        <v>48</v>
      </c>
      <c r="F1487" s="5" t="s">
        <v>49</v>
      </c>
      <c r="G1487" s="8"/>
      <c r="H1487" s="8" t="str">
        <f>IF(F1487="Bullet",MIN(G1487,Assumptions!$B$6),"")</f>
        <v/>
      </c>
      <c r="I1487" s="8">
        <v>1</v>
      </c>
      <c r="J1487" s="8">
        <f>IF(F1487="Monthly interest",MAX(0,Assumptions!$B$5-I1487),"")</f>
        <v>2</v>
      </c>
      <c r="K1487" s="7">
        <f t="shared" si="69"/>
        <v>744</v>
      </c>
      <c r="L1487" s="9">
        <v>46275</v>
      </c>
      <c r="M1487" s="5" t="s">
        <v>69</v>
      </c>
      <c r="N1487" s="5" t="s">
        <v>51</v>
      </c>
      <c r="O1487" s="5" t="s">
        <v>52</v>
      </c>
      <c r="P1487" s="5" t="s">
        <v>53</v>
      </c>
      <c r="Q1487" s="5" t="s">
        <v>54</v>
      </c>
      <c r="R1487" s="5" t="s">
        <v>55</v>
      </c>
      <c r="S1487" s="5" t="s">
        <v>75</v>
      </c>
      <c r="T1487" s="5" t="s">
        <v>57</v>
      </c>
      <c r="U1487" s="5" t="s">
        <v>86</v>
      </c>
      <c r="V1487" s="5" t="s">
        <v>76</v>
      </c>
      <c r="W1487" s="5" t="s">
        <v>382</v>
      </c>
      <c r="X1487" s="5" t="s">
        <v>4446</v>
      </c>
      <c r="Y1487" s="5" t="s">
        <v>6173</v>
      </c>
      <c r="Z1487" s="9">
        <v>46183</v>
      </c>
      <c r="AA1487" s="8">
        <v>12</v>
      </c>
      <c r="AB1487" s="9">
        <f t="shared" si="70"/>
        <v>46548</v>
      </c>
      <c r="AC1487" s="10">
        <v>16</v>
      </c>
      <c r="AD1487" s="7">
        <f t="shared" si="71"/>
        <v>744</v>
      </c>
      <c r="AE1487" s="7">
        <f>IF(F1487="Bullet",H1487*AD1487,MIN(MAX(I1487,1),Assumptions!$B$6)*AD1487)</f>
        <v>744</v>
      </c>
      <c r="AF1487" s="8">
        <f>IF(F1487="Bullet",MAX(0,Assumptions!$B$4-AB1487),MAX(0,Assumptions!$B$4-L1487))</f>
        <v>23</v>
      </c>
      <c r="AG1487" s="9">
        <v>46245</v>
      </c>
      <c r="AH1487" s="8">
        <f>IF(AG1487="","",Assumptions!$B$4-AG1487)</f>
        <v>53</v>
      </c>
      <c r="AI1487" s="5" t="s">
        <v>63</v>
      </c>
      <c r="AJ1487" s="8">
        <v>2</v>
      </c>
      <c r="AK1487" s="8">
        <v>0</v>
      </c>
      <c r="AL1487" s="8">
        <v>653</v>
      </c>
      <c r="AM1487" s="8">
        <v>1</v>
      </c>
      <c r="AN1487" s="5" t="s">
        <v>63</v>
      </c>
      <c r="AO1487" s="10">
        <v>56.4</v>
      </c>
      <c r="AP1487" s="8">
        <v>40</v>
      </c>
      <c r="AQ1487" s="9">
        <v>46274</v>
      </c>
      <c r="AR1487" s="5" t="s">
        <v>53</v>
      </c>
      <c r="AS1487" s="5" t="s">
        <v>274</v>
      </c>
    </row>
    <row r="1488" spans="1:45" x14ac:dyDescent="0.35">
      <c r="A1488" s="5" t="s">
        <v>6174</v>
      </c>
      <c r="B1488" s="5" t="s">
        <v>6175</v>
      </c>
      <c r="C1488" s="6" t="s">
        <v>6176</v>
      </c>
      <c r="D1488" s="7">
        <v>619900</v>
      </c>
      <c r="E1488" s="5" t="s">
        <v>48</v>
      </c>
      <c r="F1488" s="5" t="s">
        <v>49</v>
      </c>
      <c r="G1488" s="8"/>
      <c r="H1488" s="8" t="str">
        <f>IF(F1488="Bullet",MIN(G1488,Assumptions!$B$6),"")</f>
        <v/>
      </c>
      <c r="I1488" s="8">
        <v>1</v>
      </c>
      <c r="J1488" s="8">
        <f>IF(F1488="Monthly interest",MAX(0,Assumptions!$B$5-I1488),"")</f>
        <v>2</v>
      </c>
      <c r="K1488" s="7">
        <f t="shared" si="69"/>
        <v>9299</v>
      </c>
      <c r="L1488" s="9">
        <v>46296</v>
      </c>
      <c r="M1488" s="5" t="s">
        <v>69</v>
      </c>
      <c r="N1488" s="5" t="s">
        <v>51</v>
      </c>
      <c r="O1488" s="5" t="s">
        <v>52</v>
      </c>
      <c r="P1488" s="5" t="s">
        <v>53</v>
      </c>
      <c r="Q1488" s="5" t="s">
        <v>54</v>
      </c>
      <c r="R1488" s="5" t="s">
        <v>55</v>
      </c>
      <c r="S1488" s="5" t="s">
        <v>75</v>
      </c>
      <c r="T1488" s="5" t="s">
        <v>57</v>
      </c>
      <c r="U1488" s="5" t="s">
        <v>104</v>
      </c>
      <c r="V1488" s="5" t="s">
        <v>76</v>
      </c>
      <c r="W1488" s="5" t="s">
        <v>146</v>
      </c>
      <c r="X1488" s="5" t="s">
        <v>1546</v>
      </c>
      <c r="Y1488" s="5" t="s">
        <v>6177</v>
      </c>
      <c r="Z1488" s="9">
        <v>46082</v>
      </c>
      <c r="AA1488" s="8">
        <v>12</v>
      </c>
      <c r="AB1488" s="9">
        <f t="shared" si="70"/>
        <v>46447</v>
      </c>
      <c r="AC1488" s="10">
        <v>18</v>
      </c>
      <c r="AD1488" s="7">
        <f t="shared" si="71"/>
        <v>9299</v>
      </c>
      <c r="AE1488" s="7">
        <f>IF(F1488="Bullet",H1488*AD1488,MIN(MAX(I1488,1),Assumptions!$B$6)*AD1488)</f>
        <v>9299</v>
      </c>
      <c r="AF1488" s="8">
        <f>IF(F1488="Bullet",MAX(0,Assumptions!$B$4-AB1488),MAX(0,Assumptions!$B$4-L1488))</f>
        <v>2</v>
      </c>
      <c r="AG1488" s="9">
        <v>46271</v>
      </c>
      <c r="AH1488" s="8">
        <f>IF(AG1488="","",Assumptions!$B$4-AG1488)</f>
        <v>27</v>
      </c>
      <c r="AI1488" s="5" t="s">
        <v>63</v>
      </c>
      <c r="AJ1488" s="8">
        <v>2</v>
      </c>
      <c r="AK1488" s="8">
        <v>1</v>
      </c>
      <c r="AL1488" s="8" t="s">
        <v>80</v>
      </c>
      <c r="AM1488" s="8">
        <v>0</v>
      </c>
      <c r="AN1488" s="5" t="s">
        <v>63</v>
      </c>
      <c r="AO1488" s="10">
        <v>67</v>
      </c>
      <c r="AP1488" s="8">
        <v>34</v>
      </c>
      <c r="AQ1488" s="9">
        <v>46276</v>
      </c>
      <c r="AR1488" s="5" t="s">
        <v>51</v>
      </c>
      <c r="AS1488" s="5" t="s">
        <v>274</v>
      </c>
    </row>
    <row r="1489" spans="1:45" x14ac:dyDescent="0.35">
      <c r="A1489" s="5" t="s">
        <v>6178</v>
      </c>
      <c r="B1489" s="5" t="s">
        <v>1906</v>
      </c>
      <c r="C1489" s="6" t="s">
        <v>6179</v>
      </c>
      <c r="D1489" s="7">
        <v>187400</v>
      </c>
      <c r="E1489" s="5" t="s">
        <v>48</v>
      </c>
      <c r="F1489" s="5" t="s">
        <v>49</v>
      </c>
      <c r="G1489" s="8"/>
      <c r="H1489" s="8" t="str">
        <f>IF(F1489="Bullet",MIN(G1489,Assumptions!$B$6),"")</f>
        <v/>
      </c>
      <c r="I1489" s="8">
        <v>1</v>
      </c>
      <c r="J1489" s="8">
        <f>IF(F1489="Monthly interest",MAX(0,Assumptions!$B$5-I1489),"")</f>
        <v>2</v>
      </c>
      <c r="K1489" s="7">
        <f t="shared" si="69"/>
        <v>2499</v>
      </c>
      <c r="L1489" s="9">
        <v>46292</v>
      </c>
      <c r="M1489" s="5" t="s">
        <v>50</v>
      </c>
      <c r="N1489" s="5" t="s">
        <v>51</v>
      </c>
      <c r="O1489" s="5" t="s">
        <v>52</v>
      </c>
      <c r="P1489" s="5" t="s">
        <v>53</v>
      </c>
      <c r="Q1489" s="5" t="s">
        <v>54</v>
      </c>
      <c r="R1489" s="5" t="s">
        <v>55</v>
      </c>
      <c r="S1489" s="5" t="s">
        <v>56</v>
      </c>
      <c r="T1489" s="5" t="s">
        <v>57</v>
      </c>
      <c r="U1489" s="5" t="s">
        <v>86</v>
      </c>
      <c r="V1489" s="5" t="s">
        <v>59</v>
      </c>
      <c r="W1489" s="5" t="s">
        <v>60</v>
      </c>
      <c r="X1489" s="5" t="s">
        <v>1136</v>
      </c>
      <c r="Y1489" s="5" t="s">
        <v>6180</v>
      </c>
      <c r="Z1489" s="9">
        <v>46049</v>
      </c>
      <c r="AA1489" s="8">
        <v>18</v>
      </c>
      <c r="AB1489" s="9">
        <f t="shared" si="70"/>
        <v>46595</v>
      </c>
      <c r="AC1489" s="10">
        <v>16</v>
      </c>
      <c r="AD1489" s="7">
        <f t="shared" si="71"/>
        <v>2499</v>
      </c>
      <c r="AE1489" s="7">
        <f>IF(F1489="Bullet",H1489*AD1489,MIN(MAX(I1489,1),Assumptions!$B$6)*AD1489)</f>
        <v>2499</v>
      </c>
      <c r="AF1489" s="8">
        <f>IF(F1489="Bullet",MAX(0,Assumptions!$B$4-AB1489),MAX(0,Assumptions!$B$4-L1489))</f>
        <v>6</v>
      </c>
      <c r="AG1489" s="9">
        <v>46263</v>
      </c>
      <c r="AH1489" s="8">
        <f>IF(AG1489="","",Assumptions!$B$4-AG1489)</f>
        <v>35</v>
      </c>
      <c r="AI1489" s="5" t="s">
        <v>63</v>
      </c>
      <c r="AJ1489" s="8">
        <v>2</v>
      </c>
      <c r="AK1489" s="8">
        <v>0</v>
      </c>
      <c r="AL1489" s="8">
        <v>721</v>
      </c>
      <c r="AM1489" s="8">
        <v>0</v>
      </c>
      <c r="AN1489" s="5" t="s">
        <v>63</v>
      </c>
      <c r="AO1489" s="10">
        <v>45.9</v>
      </c>
      <c r="AP1489" s="8">
        <v>29</v>
      </c>
      <c r="AQ1489" s="9">
        <v>46293</v>
      </c>
      <c r="AR1489" s="5" t="s">
        <v>51</v>
      </c>
      <c r="AS1489" s="5" t="s">
        <v>64</v>
      </c>
    </row>
    <row r="1490" spans="1:45" x14ac:dyDescent="0.35">
      <c r="A1490" s="5" t="s">
        <v>6181</v>
      </c>
      <c r="B1490" s="5" t="s">
        <v>6182</v>
      </c>
      <c r="C1490" s="6" t="s">
        <v>6183</v>
      </c>
      <c r="D1490" s="7">
        <v>70600</v>
      </c>
      <c r="E1490" s="5" t="s">
        <v>48</v>
      </c>
      <c r="F1490" s="5" t="s">
        <v>68</v>
      </c>
      <c r="G1490" s="8">
        <v>6</v>
      </c>
      <c r="H1490" s="8">
        <f>IF(F1490="Bullet",MIN(G1490,Assumptions!$B$6),"")</f>
        <v>2</v>
      </c>
      <c r="I1490" s="8"/>
      <c r="J1490" s="8" t="str">
        <f>IF(F1490="Monthly interest",MAX(0,Assumptions!$B$5-I1490),"")</f>
        <v/>
      </c>
      <c r="K1490" s="7">
        <f t="shared" si="69"/>
        <v>5646</v>
      </c>
      <c r="L1490" s="9">
        <v>46113</v>
      </c>
      <c r="M1490" s="5" t="s">
        <v>116</v>
      </c>
      <c r="N1490" s="5" t="s">
        <v>117</v>
      </c>
      <c r="O1490" s="5" t="s">
        <v>461</v>
      </c>
      <c r="P1490" s="5" t="s">
        <v>72</v>
      </c>
      <c r="Q1490" s="5" t="s">
        <v>169</v>
      </c>
      <c r="R1490" s="5" t="s">
        <v>170</v>
      </c>
      <c r="S1490" s="5" t="s">
        <v>253</v>
      </c>
      <c r="T1490" s="5" t="s">
        <v>57</v>
      </c>
      <c r="U1490" s="5" t="s">
        <v>58</v>
      </c>
      <c r="V1490" s="5" t="s">
        <v>76</v>
      </c>
      <c r="W1490" s="5" t="s">
        <v>140</v>
      </c>
      <c r="X1490" s="5" t="s">
        <v>3198</v>
      </c>
      <c r="Y1490" s="5" t="s">
        <v>6184</v>
      </c>
      <c r="Z1490" s="9">
        <v>46113</v>
      </c>
      <c r="AA1490" s="8">
        <v>6</v>
      </c>
      <c r="AB1490" s="9">
        <f t="shared" si="70"/>
        <v>46296</v>
      </c>
      <c r="AC1490" s="10">
        <v>16</v>
      </c>
      <c r="AD1490" s="7">
        <f t="shared" si="71"/>
        <v>941</v>
      </c>
      <c r="AE1490" s="7">
        <f>IF(F1490="Bullet",H1490*AD1490,MIN(MAX(I1490,1),Assumptions!$B$6)*AD1490)</f>
        <v>1882</v>
      </c>
      <c r="AF1490" s="8">
        <f>IF(F1490="Bullet",MAX(0,Assumptions!$B$4-AB1490),MAX(0,Assumptions!$B$4-L1490))</f>
        <v>2</v>
      </c>
      <c r="AG1490" s="9"/>
      <c r="AH1490" s="8" t="str">
        <f>IF(AG1490="","",Assumptions!$B$4-AG1490)</f>
        <v/>
      </c>
      <c r="AI1490" s="5" t="s">
        <v>80</v>
      </c>
      <c r="AJ1490" s="8"/>
      <c r="AK1490" s="8">
        <v>3</v>
      </c>
      <c r="AL1490" s="8">
        <v>688</v>
      </c>
      <c r="AM1490" s="8">
        <v>0</v>
      </c>
      <c r="AN1490" s="5" t="s">
        <v>63</v>
      </c>
      <c r="AO1490" s="10">
        <v>76.7</v>
      </c>
      <c r="AP1490" s="8">
        <v>69</v>
      </c>
      <c r="AQ1490" s="9">
        <v>46291</v>
      </c>
      <c r="AR1490" s="5" t="s">
        <v>51</v>
      </c>
      <c r="AS1490" s="5" t="s">
        <v>190</v>
      </c>
    </row>
    <row r="1491" spans="1:45" x14ac:dyDescent="0.35">
      <c r="A1491" s="5" t="s">
        <v>6185</v>
      </c>
      <c r="B1491" s="5" t="s">
        <v>6186</v>
      </c>
      <c r="C1491" s="6" t="s">
        <v>6187</v>
      </c>
      <c r="D1491" s="7">
        <v>76600</v>
      </c>
      <c r="E1491" s="5" t="s">
        <v>48</v>
      </c>
      <c r="F1491" s="5" t="s">
        <v>68</v>
      </c>
      <c r="G1491" s="8">
        <v>4</v>
      </c>
      <c r="H1491" s="8">
        <f>IF(F1491="Bullet",MIN(G1491,Assumptions!$B$6),"")</f>
        <v>2</v>
      </c>
      <c r="I1491" s="8"/>
      <c r="J1491" s="8" t="str">
        <f>IF(F1491="Monthly interest",MAX(0,Assumptions!$B$5-I1491),"")</f>
        <v/>
      </c>
      <c r="K1491" s="7">
        <f t="shared" si="69"/>
        <v>3832</v>
      </c>
      <c r="L1491" s="9">
        <v>46175</v>
      </c>
      <c r="M1491" s="5" t="s">
        <v>69</v>
      </c>
      <c r="N1491" s="5" t="s">
        <v>53</v>
      </c>
      <c r="O1491" s="5" t="s">
        <v>71</v>
      </c>
      <c r="P1491" s="5" t="s">
        <v>70</v>
      </c>
      <c r="Q1491" s="5" t="s">
        <v>73</v>
      </c>
      <c r="R1491" s="5" t="s">
        <v>74</v>
      </c>
      <c r="S1491" s="5" t="s">
        <v>56</v>
      </c>
      <c r="T1491" s="5" t="s">
        <v>57</v>
      </c>
      <c r="U1491" s="5" t="s">
        <v>104</v>
      </c>
      <c r="V1491" s="5" t="s">
        <v>59</v>
      </c>
      <c r="W1491" s="5" t="s">
        <v>194</v>
      </c>
      <c r="X1491" s="5" t="s">
        <v>195</v>
      </c>
      <c r="Y1491" s="5" t="s">
        <v>6188</v>
      </c>
      <c r="Z1491" s="9">
        <v>46175</v>
      </c>
      <c r="AA1491" s="8">
        <v>12</v>
      </c>
      <c r="AB1491" s="9">
        <f t="shared" si="70"/>
        <v>46540</v>
      </c>
      <c r="AC1491" s="10">
        <v>15</v>
      </c>
      <c r="AD1491" s="7">
        <f t="shared" si="71"/>
        <v>958</v>
      </c>
      <c r="AE1491" s="7">
        <f>IF(F1491="Bullet",H1491*AD1491,MIN(MAX(I1491,1),Assumptions!$B$6)*AD1491)</f>
        <v>1916</v>
      </c>
      <c r="AF1491" s="8">
        <f>IF(F1491="Bullet",MAX(0,Assumptions!$B$4-AB1491),MAX(0,Assumptions!$B$4-L1491))</f>
        <v>0</v>
      </c>
      <c r="AG1491" s="9"/>
      <c r="AH1491" s="8" t="str">
        <f>IF(AG1491="","",Assumptions!$B$4-AG1491)</f>
        <v/>
      </c>
      <c r="AI1491" s="5" t="s">
        <v>80</v>
      </c>
      <c r="AJ1491" s="8"/>
      <c r="AK1491" s="8">
        <v>0</v>
      </c>
      <c r="AL1491" s="8">
        <v>679</v>
      </c>
      <c r="AM1491" s="8">
        <v>1</v>
      </c>
      <c r="AN1491" s="5" t="s">
        <v>63</v>
      </c>
      <c r="AO1491" s="10">
        <v>75.099999999999994</v>
      </c>
      <c r="AP1491" s="8">
        <v>32</v>
      </c>
      <c r="AQ1491" s="9">
        <v>46275</v>
      </c>
      <c r="AR1491" s="5" t="s">
        <v>51</v>
      </c>
      <c r="AS1491" s="5" t="s">
        <v>64</v>
      </c>
    </row>
    <row r="1492" spans="1:45" x14ac:dyDescent="0.35">
      <c r="A1492" s="5" t="s">
        <v>6189</v>
      </c>
      <c r="B1492" s="5" t="s">
        <v>6190</v>
      </c>
      <c r="C1492" s="6" t="s">
        <v>6191</v>
      </c>
      <c r="D1492" s="7">
        <v>93400</v>
      </c>
      <c r="E1492" s="5" t="s">
        <v>48</v>
      </c>
      <c r="F1492" s="5" t="s">
        <v>49</v>
      </c>
      <c r="G1492" s="8"/>
      <c r="H1492" s="8" t="str">
        <f>IF(F1492="Bullet",MIN(G1492,Assumptions!$B$6),"")</f>
        <v/>
      </c>
      <c r="I1492" s="8">
        <v>1</v>
      </c>
      <c r="J1492" s="8">
        <f>IF(F1492="Monthly interest",MAX(0,Assumptions!$B$5-I1492),"")</f>
        <v>2</v>
      </c>
      <c r="K1492" s="7">
        <f t="shared" si="69"/>
        <v>1090</v>
      </c>
      <c r="L1492" s="9">
        <v>46290</v>
      </c>
      <c r="M1492" s="5" t="s">
        <v>50</v>
      </c>
      <c r="N1492" s="5" t="s">
        <v>51</v>
      </c>
      <c r="O1492" s="5" t="s">
        <v>52</v>
      </c>
      <c r="P1492" s="5" t="s">
        <v>53</v>
      </c>
      <c r="Q1492" s="5" t="s">
        <v>54</v>
      </c>
      <c r="R1492" s="5" t="s">
        <v>55</v>
      </c>
      <c r="S1492" s="5" t="s">
        <v>85</v>
      </c>
      <c r="T1492" s="5" t="s">
        <v>57</v>
      </c>
      <c r="U1492" s="5" t="s">
        <v>86</v>
      </c>
      <c r="V1492" s="5" t="s">
        <v>87</v>
      </c>
      <c r="W1492" s="5" t="s">
        <v>254</v>
      </c>
      <c r="X1492" s="5" t="s">
        <v>6192</v>
      </c>
      <c r="Y1492" s="5" t="s">
        <v>6193</v>
      </c>
      <c r="Z1492" s="9">
        <v>46228</v>
      </c>
      <c r="AA1492" s="8">
        <v>18</v>
      </c>
      <c r="AB1492" s="9">
        <f t="shared" si="70"/>
        <v>46777</v>
      </c>
      <c r="AC1492" s="10">
        <v>14</v>
      </c>
      <c r="AD1492" s="7">
        <f t="shared" si="71"/>
        <v>1090</v>
      </c>
      <c r="AE1492" s="7">
        <f>IF(F1492="Bullet",H1492*AD1492,MIN(MAX(I1492,1),Assumptions!$B$6)*AD1492)</f>
        <v>1090</v>
      </c>
      <c r="AF1492" s="8">
        <f>IF(F1492="Bullet",MAX(0,Assumptions!$B$4-AB1492),MAX(0,Assumptions!$B$4-L1492))</f>
        <v>8</v>
      </c>
      <c r="AG1492" s="9">
        <v>46264</v>
      </c>
      <c r="AH1492" s="8">
        <f>IF(AG1492="","",Assumptions!$B$4-AG1492)</f>
        <v>34</v>
      </c>
      <c r="AI1492" s="5" t="s">
        <v>63</v>
      </c>
      <c r="AJ1492" s="8">
        <v>1</v>
      </c>
      <c r="AK1492" s="8">
        <v>0</v>
      </c>
      <c r="AL1492" s="8">
        <v>695</v>
      </c>
      <c r="AM1492" s="8">
        <v>2</v>
      </c>
      <c r="AN1492" s="5" t="s">
        <v>63</v>
      </c>
      <c r="AO1492" s="10">
        <v>65.8</v>
      </c>
      <c r="AP1492" s="8">
        <v>28</v>
      </c>
      <c r="AQ1492" s="9">
        <v>46284</v>
      </c>
      <c r="AR1492" s="5" t="s">
        <v>51</v>
      </c>
      <c r="AS1492" s="5" t="s">
        <v>64</v>
      </c>
    </row>
    <row r="1493" spans="1:45" x14ac:dyDescent="0.35">
      <c r="A1493" s="5" t="s">
        <v>6194</v>
      </c>
      <c r="B1493" s="5" t="s">
        <v>6195</v>
      </c>
      <c r="C1493" s="6" t="s">
        <v>6196</v>
      </c>
      <c r="D1493" s="7">
        <v>50400</v>
      </c>
      <c r="E1493" s="5" t="s">
        <v>48</v>
      </c>
      <c r="F1493" s="5" t="s">
        <v>49</v>
      </c>
      <c r="G1493" s="8"/>
      <c r="H1493" s="8" t="str">
        <f>IF(F1493="Bullet",MIN(G1493,Assumptions!$B$6),"")</f>
        <v/>
      </c>
      <c r="I1493" s="8">
        <v>1</v>
      </c>
      <c r="J1493" s="8">
        <f>IF(F1493="Monthly interest",MAX(0,Assumptions!$B$5-I1493),"")</f>
        <v>2</v>
      </c>
      <c r="K1493" s="7">
        <f t="shared" si="69"/>
        <v>756</v>
      </c>
      <c r="L1493" s="9">
        <v>46280</v>
      </c>
      <c r="M1493" s="5" t="s">
        <v>116</v>
      </c>
      <c r="N1493" s="5" t="s">
        <v>117</v>
      </c>
      <c r="O1493" s="5" t="s">
        <v>118</v>
      </c>
      <c r="P1493" s="5" t="s">
        <v>72</v>
      </c>
      <c r="Q1493" s="5" t="s">
        <v>119</v>
      </c>
      <c r="R1493" s="5" t="s">
        <v>120</v>
      </c>
      <c r="S1493" s="5" t="s">
        <v>75</v>
      </c>
      <c r="T1493" s="5" t="s">
        <v>57</v>
      </c>
      <c r="U1493" s="5" t="s">
        <v>58</v>
      </c>
      <c r="V1493" s="5" t="s">
        <v>76</v>
      </c>
      <c r="W1493" s="5" t="s">
        <v>77</v>
      </c>
      <c r="X1493" s="5" t="s">
        <v>2899</v>
      </c>
      <c r="Y1493" s="5" t="s">
        <v>6197</v>
      </c>
      <c r="Z1493" s="9">
        <v>46068</v>
      </c>
      <c r="AA1493" s="8">
        <v>12</v>
      </c>
      <c r="AB1493" s="9">
        <f t="shared" si="70"/>
        <v>46433</v>
      </c>
      <c r="AC1493" s="10">
        <v>18</v>
      </c>
      <c r="AD1493" s="7">
        <f t="shared" si="71"/>
        <v>756</v>
      </c>
      <c r="AE1493" s="7">
        <f>IF(F1493="Bullet",H1493*AD1493,MIN(MAX(I1493,1),Assumptions!$B$6)*AD1493)</f>
        <v>756</v>
      </c>
      <c r="AF1493" s="8">
        <f>IF(F1493="Bullet",MAX(0,Assumptions!$B$4-AB1493),MAX(0,Assumptions!$B$4-L1493))</f>
        <v>18</v>
      </c>
      <c r="AG1493" s="9">
        <v>46252</v>
      </c>
      <c r="AH1493" s="8">
        <f>IF(AG1493="","",Assumptions!$B$4-AG1493)</f>
        <v>46</v>
      </c>
      <c r="AI1493" s="5" t="s">
        <v>57</v>
      </c>
      <c r="AJ1493" s="8">
        <v>2</v>
      </c>
      <c r="AK1493" s="8">
        <v>0</v>
      </c>
      <c r="AL1493" s="8">
        <v>636</v>
      </c>
      <c r="AM1493" s="8">
        <v>4</v>
      </c>
      <c r="AN1493" s="5" t="s">
        <v>63</v>
      </c>
      <c r="AO1493" s="10">
        <v>72.900000000000006</v>
      </c>
      <c r="AP1493" s="8">
        <v>49</v>
      </c>
      <c r="AQ1493" s="9">
        <v>46290</v>
      </c>
      <c r="AR1493" s="5" t="s">
        <v>51</v>
      </c>
      <c r="AS1493" s="5" t="s">
        <v>64</v>
      </c>
    </row>
    <row r="1494" spans="1:45" x14ac:dyDescent="0.35">
      <c r="A1494" s="5" t="s">
        <v>6198</v>
      </c>
      <c r="B1494" s="5" t="s">
        <v>6199</v>
      </c>
      <c r="C1494" s="6" t="s">
        <v>6200</v>
      </c>
      <c r="D1494" s="7">
        <v>195200</v>
      </c>
      <c r="E1494" s="5" t="s">
        <v>48</v>
      </c>
      <c r="F1494" s="5" t="s">
        <v>49</v>
      </c>
      <c r="G1494" s="8"/>
      <c r="H1494" s="8" t="str">
        <f>IF(F1494="Bullet",MIN(G1494,Assumptions!$B$6),"")</f>
        <v/>
      </c>
      <c r="I1494" s="8">
        <v>2</v>
      </c>
      <c r="J1494" s="8">
        <f>IF(F1494="Monthly interest",MAX(0,Assumptions!$B$5-I1494),"")</f>
        <v>1</v>
      </c>
      <c r="K1494" s="7">
        <f t="shared" si="69"/>
        <v>7808</v>
      </c>
      <c r="L1494" s="9">
        <v>46253</v>
      </c>
      <c r="M1494" s="5" t="s">
        <v>50</v>
      </c>
      <c r="N1494" s="5" t="s">
        <v>51</v>
      </c>
      <c r="O1494" s="5" t="s">
        <v>71</v>
      </c>
      <c r="P1494" s="5" t="s">
        <v>53</v>
      </c>
      <c r="Q1494" s="5" t="s">
        <v>73</v>
      </c>
      <c r="R1494" s="5" t="s">
        <v>74</v>
      </c>
      <c r="S1494" s="5" t="s">
        <v>56</v>
      </c>
      <c r="T1494" s="5" t="s">
        <v>57</v>
      </c>
      <c r="U1494" s="5" t="s">
        <v>86</v>
      </c>
      <c r="V1494" s="5" t="s">
        <v>59</v>
      </c>
      <c r="W1494" s="5" t="s">
        <v>323</v>
      </c>
      <c r="X1494" s="5" t="s">
        <v>3834</v>
      </c>
      <c r="Y1494" s="5" t="s">
        <v>6201</v>
      </c>
      <c r="Z1494" s="9">
        <v>46041</v>
      </c>
      <c r="AA1494" s="8">
        <v>12</v>
      </c>
      <c r="AB1494" s="9">
        <f t="shared" si="70"/>
        <v>46406</v>
      </c>
      <c r="AC1494" s="10">
        <v>24</v>
      </c>
      <c r="AD1494" s="7">
        <f t="shared" si="71"/>
        <v>3904</v>
      </c>
      <c r="AE1494" s="7">
        <f>IF(F1494="Bullet",H1494*AD1494,MIN(MAX(I1494,1),Assumptions!$B$6)*AD1494)</f>
        <v>7808</v>
      </c>
      <c r="AF1494" s="8">
        <f>IF(F1494="Bullet",MAX(0,Assumptions!$B$4-AB1494),MAX(0,Assumptions!$B$4-L1494))</f>
        <v>45</v>
      </c>
      <c r="AG1494" s="9">
        <v>46223</v>
      </c>
      <c r="AH1494" s="8">
        <f>IF(AG1494="","",Assumptions!$B$4-AG1494)</f>
        <v>75</v>
      </c>
      <c r="AI1494" s="5" t="s">
        <v>63</v>
      </c>
      <c r="AJ1494" s="8">
        <v>2</v>
      </c>
      <c r="AK1494" s="8">
        <v>0</v>
      </c>
      <c r="AL1494" s="8">
        <v>809</v>
      </c>
      <c r="AM1494" s="8">
        <v>0</v>
      </c>
      <c r="AN1494" s="5" t="s">
        <v>63</v>
      </c>
      <c r="AO1494" s="10">
        <v>74.5</v>
      </c>
      <c r="AP1494" s="8">
        <v>28</v>
      </c>
      <c r="AQ1494" s="9"/>
      <c r="AR1494" s="5"/>
      <c r="AS1494" s="5" t="s">
        <v>159</v>
      </c>
    </row>
    <row r="1495" spans="1:45" x14ac:dyDescent="0.35">
      <c r="A1495" s="5" t="s">
        <v>6202</v>
      </c>
      <c r="B1495" s="5" t="s">
        <v>6203</v>
      </c>
      <c r="C1495" s="6" t="s">
        <v>6204</v>
      </c>
      <c r="D1495" s="7">
        <v>116900</v>
      </c>
      <c r="E1495" s="5" t="s">
        <v>48</v>
      </c>
      <c r="F1495" s="5" t="s">
        <v>68</v>
      </c>
      <c r="G1495" s="8">
        <v>4</v>
      </c>
      <c r="H1495" s="8">
        <f>IF(F1495="Bullet",MIN(G1495,Assumptions!$B$6),"")</f>
        <v>2</v>
      </c>
      <c r="I1495" s="8"/>
      <c r="J1495" s="8" t="str">
        <f>IF(F1495="Monthly interest",MAX(0,Assumptions!$B$5-I1495),"")</f>
        <v/>
      </c>
      <c r="K1495" s="7">
        <f t="shared" si="69"/>
        <v>5844</v>
      </c>
      <c r="L1495" s="9">
        <v>46154</v>
      </c>
      <c r="M1495" s="5" t="s">
        <v>116</v>
      </c>
      <c r="N1495" s="5" t="s">
        <v>117</v>
      </c>
      <c r="O1495" s="5" t="s">
        <v>207</v>
      </c>
      <c r="P1495" s="5" t="s">
        <v>72</v>
      </c>
      <c r="Q1495" s="5" t="s">
        <v>73</v>
      </c>
      <c r="R1495" s="5" t="s">
        <v>74</v>
      </c>
      <c r="S1495" s="5" t="s">
        <v>85</v>
      </c>
      <c r="T1495" s="5" t="s">
        <v>57</v>
      </c>
      <c r="U1495" s="5" t="s">
        <v>86</v>
      </c>
      <c r="V1495" s="5" t="s">
        <v>177</v>
      </c>
      <c r="W1495" s="5" t="s">
        <v>178</v>
      </c>
      <c r="X1495" s="5" t="s">
        <v>4993</v>
      </c>
      <c r="Y1495" s="5" t="s">
        <v>6205</v>
      </c>
      <c r="Z1495" s="9">
        <v>46154</v>
      </c>
      <c r="AA1495" s="8">
        <v>3</v>
      </c>
      <c r="AB1495" s="9">
        <f t="shared" si="70"/>
        <v>46246</v>
      </c>
      <c r="AC1495" s="10">
        <v>15</v>
      </c>
      <c r="AD1495" s="7">
        <f t="shared" si="71"/>
        <v>1461</v>
      </c>
      <c r="AE1495" s="7">
        <f>IF(F1495="Bullet",H1495*AD1495,MIN(MAX(I1495,1),Assumptions!$B$6)*AD1495)</f>
        <v>2922</v>
      </c>
      <c r="AF1495" s="8">
        <f>IF(F1495="Bullet",MAX(0,Assumptions!$B$4-AB1495),MAX(0,Assumptions!$B$4-L1495))</f>
        <v>52</v>
      </c>
      <c r="AG1495" s="9"/>
      <c r="AH1495" s="8" t="str">
        <f>IF(AG1495="","",Assumptions!$B$4-AG1495)</f>
        <v/>
      </c>
      <c r="AI1495" s="5" t="s">
        <v>80</v>
      </c>
      <c r="AJ1495" s="8"/>
      <c r="AK1495" s="8">
        <v>2</v>
      </c>
      <c r="AL1495" s="8">
        <v>701</v>
      </c>
      <c r="AM1495" s="8">
        <v>3</v>
      </c>
      <c r="AN1495" s="5" t="s">
        <v>63</v>
      </c>
      <c r="AO1495" s="10">
        <v>68.400000000000006</v>
      </c>
      <c r="AP1495" s="8">
        <v>52</v>
      </c>
      <c r="AQ1495" s="9">
        <v>46280</v>
      </c>
      <c r="AR1495" s="5" t="s">
        <v>70</v>
      </c>
      <c r="AS1495" s="5" t="s">
        <v>91</v>
      </c>
    </row>
    <row r="1496" spans="1:45" x14ac:dyDescent="0.35">
      <c r="A1496" s="5" t="s">
        <v>6206</v>
      </c>
      <c r="B1496" s="5" t="s">
        <v>6207</v>
      </c>
      <c r="C1496" s="6" t="s">
        <v>6208</v>
      </c>
      <c r="D1496" s="7">
        <v>118400</v>
      </c>
      <c r="E1496" s="5" t="s">
        <v>48</v>
      </c>
      <c r="F1496" s="5" t="s">
        <v>49</v>
      </c>
      <c r="G1496" s="8"/>
      <c r="H1496" s="8" t="str">
        <f>IF(F1496="Bullet",MIN(G1496,Assumptions!$B$6),"")</f>
        <v/>
      </c>
      <c r="I1496" s="8">
        <v>1</v>
      </c>
      <c r="J1496" s="8">
        <f>IF(F1496="Monthly interest",MAX(0,Assumptions!$B$5-I1496),"")</f>
        <v>2</v>
      </c>
      <c r="K1496" s="7">
        <f t="shared" si="69"/>
        <v>2368</v>
      </c>
      <c r="L1496" s="9">
        <v>46275</v>
      </c>
      <c r="M1496" s="5" t="s">
        <v>69</v>
      </c>
      <c r="N1496" s="5" t="s">
        <v>53</v>
      </c>
      <c r="O1496" s="5" t="s">
        <v>95</v>
      </c>
      <c r="P1496" s="5" t="s">
        <v>70</v>
      </c>
      <c r="Q1496" s="5" t="s">
        <v>54</v>
      </c>
      <c r="R1496" s="5" t="s">
        <v>55</v>
      </c>
      <c r="S1496" s="5" t="s">
        <v>75</v>
      </c>
      <c r="T1496" s="5" t="s">
        <v>63</v>
      </c>
      <c r="U1496" s="5" t="s">
        <v>104</v>
      </c>
      <c r="V1496" s="5" t="s">
        <v>76</v>
      </c>
      <c r="W1496" s="5" t="s">
        <v>547</v>
      </c>
      <c r="X1496" s="5" t="s">
        <v>2409</v>
      </c>
      <c r="Y1496" s="5" t="s">
        <v>6209</v>
      </c>
      <c r="Z1496" s="9">
        <v>46001</v>
      </c>
      <c r="AA1496" s="8">
        <v>12</v>
      </c>
      <c r="AB1496" s="9">
        <f t="shared" si="70"/>
        <v>46366</v>
      </c>
      <c r="AC1496" s="10">
        <v>24</v>
      </c>
      <c r="AD1496" s="7">
        <f t="shared" si="71"/>
        <v>2368</v>
      </c>
      <c r="AE1496" s="7">
        <f>IF(F1496="Bullet",H1496*AD1496,MIN(MAX(I1496,1),Assumptions!$B$6)*AD1496)</f>
        <v>2368</v>
      </c>
      <c r="AF1496" s="8">
        <f>IF(F1496="Bullet",MAX(0,Assumptions!$B$4-AB1496),MAX(0,Assumptions!$B$4-L1496))</f>
        <v>23</v>
      </c>
      <c r="AG1496" s="9">
        <v>46245</v>
      </c>
      <c r="AH1496" s="8">
        <f>IF(AG1496="","",Assumptions!$B$4-AG1496)</f>
        <v>53</v>
      </c>
      <c r="AI1496" s="5" t="s">
        <v>63</v>
      </c>
      <c r="AJ1496" s="8">
        <v>1</v>
      </c>
      <c r="AK1496" s="8">
        <v>0</v>
      </c>
      <c r="AL1496" s="8">
        <v>677</v>
      </c>
      <c r="AM1496" s="8">
        <v>3</v>
      </c>
      <c r="AN1496" s="5" t="s">
        <v>63</v>
      </c>
      <c r="AO1496" s="10">
        <v>55.4</v>
      </c>
      <c r="AP1496" s="8">
        <v>31</v>
      </c>
      <c r="AQ1496" s="9"/>
      <c r="AR1496" s="5"/>
      <c r="AS1496" s="5" t="s">
        <v>159</v>
      </c>
    </row>
    <row r="1497" spans="1:45" x14ac:dyDescent="0.35">
      <c r="A1497" s="5" t="s">
        <v>6210</v>
      </c>
      <c r="B1497" s="5" t="s">
        <v>6211</v>
      </c>
      <c r="C1497" s="6" t="s">
        <v>6212</v>
      </c>
      <c r="D1497" s="7">
        <v>153000</v>
      </c>
      <c r="E1497" s="5" t="s">
        <v>48</v>
      </c>
      <c r="F1497" s="5" t="s">
        <v>68</v>
      </c>
      <c r="G1497" s="8">
        <v>6</v>
      </c>
      <c r="H1497" s="8">
        <f>IF(F1497="Bullet",MIN(G1497,Assumptions!$B$6),"")</f>
        <v>2</v>
      </c>
      <c r="I1497" s="8"/>
      <c r="J1497" s="8" t="str">
        <f>IF(F1497="Monthly interest",MAX(0,Assumptions!$B$5-I1497),"")</f>
        <v/>
      </c>
      <c r="K1497" s="7">
        <f t="shared" si="69"/>
        <v>11478</v>
      </c>
      <c r="L1497" s="9">
        <v>46100</v>
      </c>
      <c r="M1497" s="5" t="s">
        <v>116</v>
      </c>
      <c r="N1497" s="5" t="s">
        <v>117</v>
      </c>
      <c r="O1497" s="5" t="s">
        <v>461</v>
      </c>
      <c r="P1497" s="5" t="s">
        <v>72</v>
      </c>
      <c r="Q1497" s="5" t="s">
        <v>169</v>
      </c>
      <c r="R1497" s="5" t="s">
        <v>170</v>
      </c>
      <c r="S1497" s="5" t="s">
        <v>214</v>
      </c>
      <c r="T1497" s="5" t="s">
        <v>57</v>
      </c>
      <c r="U1497" s="5" t="s">
        <v>104</v>
      </c>
      <c r="V1497" s="5" t="s">
        <v>215</v>
      </c>
      <c r="W1497" s="5" t="s">
        <v>216</v>
      </c>
      <c r="X1497" s="5" t="s">
        <v>710</v>
      </c>
      <c r="Y1497" s="5" t="s">
        <v>6213</v>
      </c>
      <c r="Z1497" s="9">
        <v>46100</v>
      </c>
      <c r="AA1497" s="8">
        <v>6</v>
      </c>
      <c r="AB1497" s="9">
        <f t="shared" si="70"/>
        <v>46284</v>
      </c>
      <c r="AC1497" s="10">
        <v>15</v>
      </c>
      <c r="AD1497" s="7">
        <f t="shared" si="71"/>
        <v>1913</v>
      </c>
      <c r="AE1497" s="7">
        <f>IF(F1497="Bullet",H1497*AD1497,MIN(MAX(I1497,1),Assumptions!$B$6)*AD1497)</f>
        <v>3826</v>
      </c>
      <c r="AF1497" s="8">
        <f>IF(F1497="Bullet",MAX(0,Assumptions!$B$4-AB1497),MAX(0,Assumptions!$B$4-L1497))</f>
        <v>14</v>
      </c>
      <c r="AG1497" s="9"/>
      <c r="AH1497" s="8" t="str">
        <f>IF(AG1497="","",Assumptions!$B$4-AG1497)</f>
        <v/>
      </c>
      <c r="AI1497" s="5" t="s">
        <v>80</v>
      </c>
      <c r="AJ1497" s="8"/>
      <c r="AK1497" s="8">
        <v>0</v>
      </c>
      <c r="AL1497" s="8">
        <v>604</v>
      </c>
      <c r="AM1497" s="8">
        <v>3</v>
      </c>
      <c r="AN1497" s="5" t="s">
        <v>63</v>
      </c>
      <c r="AO1497" s="10">
        <v>71.3</v>
      </c>
      <c r="AP1497" s="8">
        <v>60</v>
      </c>
      <c r="AQ1497" s="9">
        <v>46290</v>
      </c>
      <c r="AR1497" s="5" t="s">
        <v>70</v>
      </c>
      <c r="AS1497" s="5" t="s">
        <v>190</v>
      </c>
    </row>
    <row r="1498" spans="1:45" x14ac:dyDescent="0.35">
      <c r="A1498" s="5" t="s">
        <v>6214</v>
      </c>
      <c r="B1498" s="5" t="s">
        <v>6215</v>
      </c>
      <c r="C1498" s="6" t="s">
        <v>6216</v>
      </c>
      <c r="D1498" s="7">
        <v>1040500</v>
      </c>
      <c r="E1498" s="5" t="s">
        <v>48</v>
      </c>
      <c r="F1498" s="5" t="s">
        <v>68</v>
      </c>
      <c r="G1498" s="8">
        <v>3</v>
      </c>
      <c r="H1498" s="8">
        <f>IF(F1498="Bullet",MIN(G1498,Assumptions!$B$6),"")</f>
        <v>2</v>
      </c>
      <c r="I1498" s="8"/>
      <c r="J1498" s="8" t="str">
        <f>IF(F1498="Monthly interest",MAX(0,Assumptions!$B$5-I1498),"")</f>
        <v/>
      </c>
      <c r="K1498" s="7">
        <f t="shared" si="69"/>
        <v>36417</v>
      </c>
      <c r="L1498" s="9">
        <v>46194</v>
      </c>
      <c r="M1498" s="5" t="s">
        <v>69</v>
      </c>
      <c r="N1498" s="5" t="s">
        <v>70</v>
      </c>
      <c r="O1498" s="5" t="s">
        <v>71</v>
      </c>
      <c r="P1498" s="5" t="s">
        <v>72</v>
      </c>
      <c r="Q1498" s="5" t="s">
        <v>73</v>
      </c>
      <c r="R1498" s="5" t="s">
        <v>74</v>
      </c>
      <c r="S1498" s="5" t="s">
        <v>56</v>
      </c>
      <c r="T1498" s="5" t="s">
        <v>57</v>
      </c>
      <c r="U1498" s="5" t="s">
        <v>58</v>
      </c>
      <c r="V1498" s="5" t="s">
        <v>59</v>
      </c>
      <c r="W1498" s="5" t="s">
        <v>126</v>
      </c>
      <c r="X1498" s="5" t="s">
        <v>2161</v>
      </c>
      <c r="Y1498" s="5" t="s">
        <v>6217</v>
      </c>
      <c r="Z1498" s="9">
        <v>46194</v>
      </c>
      <c r="AA1498" s="8">
        <v>6</v>
      </c>
      <c r="AB1498" s="9">
        <f t="shared" si="70"/>
        <v>46377</v>
      </c>
      <c r="AC1498" s="10">
        <v>14</v>
      </c>
      <c r="AD1498" s="7">
        <f t="shared" si="71"/>
        <v>12139</v>
      </c>
      <c r="AE1498" s="7">
        <f>IF(F1498="Bullet",H1498*AD1498,MIN(MAX(I1498,1),Assumptions!$B$6)*AD1498)</f>
        <v>24278</v>
      </c>
      <c r="AF1498" s="8">
        <f>IF(F1498="Bullet",MAX(0,Assumptions!$B$4-AB1498),MAX(0,Assumptions!$B$4-L1498))</f>
        <v>0</v>
      </c>
      <c r="AG1498" s="9"/>
      <c r="AH1498" s="8" t="str">
        <f>IF(AG1498="","",Assumptions!$B$4-AG1498)</f>
        <v/>
      </c>
      <c r="AI1498" s="5" t="s">
        <v>80</v>
      </c>
      <c r="AJ1498" s="8"/>
      <c r="AK1498" s="8">
        <v>1</v>
      </c>
      <c r="AL1498" s="8">
        <v>651</v>
      </c>
      <c r="AM1498" s="8">
        <v>0</v>
      </c>
      <c r="AN1498" s="5" t="s">
        <v>63</v>
      </c>
      <c r="AO1498" s="10">
        <v>66.5</v>
      </c>
      <c r="AP1498" s="8">
        <v>39</v>
      </c>
      <c r="AQ1498" s="9">
        <v>46294</v>
      </c>
      <c r="AR1498" s="5" t="s">
        <v>70</v>
      </c>
      <c r="AS1498" s="5" t="s">
        <v>64</v>
      </c>
    </row>
    <row r="1499" spans="1:45" x14ac:dyDescent="0.35">
      <c r="A1499" s="5" t="s">
        <v>6218</v>
      </c>
      <c r="B1499" s="5" t="s">
        <v>2490</v>
      </c>
      <c r="C1499" s="6" t="s">
        <v>6219</v>
      </c>
      <c r="D1499" s="7">
        <v>124500</v>
      </c>
      <c r="E1499" s="5" t="s">
        <v>48</v>
      </c>
      <c r="F1499" s="5" t="s">
        <v>49</v>
      </c>
      <c r="G1499" s="8"/>
      <c r="H1499" s="8" t="str">
        <f>IF(F1499="Bullet",MIN(G1499,Assumptions!$B$6),"")</f>
        <v/>
      </c>
      <c r="I1499" s="8">
        <v>2</v>
      </c>
      <c r="J1499" s="8">
        <f>IF(F1499="Monthly interest",MAX(0,Assumptions!$B$5-I1499),"")</f>
        <v>1</v>
      </c>
      <c r="K1499" s="7">
        <f t="shared" si="69"/>
        <v>4566</v>
      </c>
      <c r="L1499" s="9">
        <v>46256</v>
      </c>
      <c r="M1499" s="5" t="s">
        <v>69</v>
      </c>
      <c r="N1499" s="5" t="s">
        <v>53</v>
      </c>
      <c r="O1499" s="5" t="s">
        <v>71</v>
      </c>
      <c r="P1499" s="5" t="s">
        <v>70</v>
      </c>
      <c r="Q1499" s="5" t="s">
        <v>73</v>
      </c>
      <c r="R1499" s="5" t="s">
        <v>74</v>
      </c>
      <c r="S1499" s="5" t="s">
        <v>85</v>
      </c>
      <c r="T1499" s="5" t="s">
        <v>57</v>
      </c>
      <c r="U1499" s="5" t="s">
        <v>58</v>
      </c>
      <c r="V1499" s="5" t="s">
        <v>87</v>
      </c>
      <c r="W1499" s="5" t="s">
        <v>254</v>
      </c>
      <c r="X1499" s="5" t="s">
        <v>2395</v>
      </c>
      <c r="Y1499" s="5" t="s">
        <v>6220</v>
      </c>
      <c r="Z1499" s="9">
        <v>45983</v>
      </c>
      <c r="AA1499" s="8">
        <v>24</v>
      </c>
      <c r="AB1499" s="9">
        <f t="shared" si="70"/>
        <v>46713</v>
      </c>
      <c r="AC1499" s="10">
        <v>22</v>
      </c>
      <c r="AD1499" s="7">
        <f t="shared" si="71"/>
        <v>2283</v>
      </c>
      <c r="AE1499" s="7">
        <f>IF(F1499="Bullet",H1499*AD1499,MIN(MAX(I1499,1),Assumptions!$B$6)*AD1499)</f>
        <v>4566</v>
      </c>
      <c r="AF1499" s="8">
        <f>IF(F1499="Bullet",MAX(0,Assumptions!$B$4-AB1499),MAX(0,Assumptions!$B$4-L1499))</f>
        <v>42</v>
      </c>
      <c r="AG1499" s="9">
        <v>46229</v>
      </c>
      <c r="AH1499" s="8">
        <f>IF(AG1499="","",Assumptions!$B$4-AG1499)</f>
        <v>69</v>
      </c>
      <c r="AI1499" s="5" t="s">
        <v>57</v>
      </c>
      <c r="AJ1499" s="8">
        <v>3</v>
      </c>
      <c r="AK1499" s="8">
        <v>0</v>
      </c>
      <c r="AL1499" s="8">
        <v>739</v>
      </c>
      <c r="AM1499" s="8">
        <v>0</v>
      </c>
      <c r="AN1499" s="5" t="s">
        <v>63</v>
      </c>
      <c r="AO1499" s="10">
        <v>71.7</v>
      </c>
      <c r="AP1499" s="8">
        <v>39</v>
      </c>
      <c r="AQ1499" s="9">
        <v>46286</v>
      </c>
      <c r="AR1499" s="5" t="s">
        <v>51</v>
      </c>
      <c r="AS1499" s="5" t="s">
        <v>81</v>
      </c>
    </row>
    <row r="1500" spans="1:45" x14ac:dyDescent="0.35">
      <c r="A1500" s="5" t="s">
        <v>6221</v>
      </c>
      <c r="B1500" s="5" t="s">
        <v>6222</v>
      </c>
      <c r="C1500" s="6" t="s">
        <v>6223</v>
      </c>
      <c r="D1500" s="7">
        <v>17200</v>
      </c>
      <c r="E1500" s="5" t="s">
        <v>48</v>
      </c>
      <c r="F1500" s="5" t="s">
        <v>68</v>
      </c>
      <c r="G1500" s="8">
        <v>3</v>
      </c>
      <c r="H1500" s="8">
        <f>IF(F1500="Bullet",MIN(G1500,Assumptions!$B$6),"")</f>
        <v>2</v>
      </c>
      <c r="I1500" s="8"/>
      <c r="J1500" s="8" t="str">
        <f>IF(F1500="Monthly interest",MAX(0,Assumptions!$B$5-I1500),"")</f>
        <v/>
      </c>
      <c r="K1500" s="7">
        <f t="shared" si="69"/>
        <v>774</v>
      </c>
      <c r="L1500" s="9">
        <v>46199</v>
      </c>
      <c r="M1500" s="5" t="s">
        <v>50</v>
      </c>
      <c r="N1500" s="5" t="s">
        <v>53</v>
      </c>
      <c r="O1500" s="5" t="s">
        <v>152</v>
      </c>
      <c r="P1500" s="5" t="s">
        <v>153</v>
      </c>
      <c r="Q1500" s="5" t="s">
        <v>154</v>
      </c>
      <c r="R1500" s="5" t="s">
        <v>155</v>
      </c>
      <c r="S1500" s="5" t="s">
        <v>85</v>
      </c>
      <c r="T1500" s="5" t="s">
        <v>57</v>
      </c>
      <c r="U1500" s="5" t="s">
        <v>104</v>
      </c>
      <c r="V1500" s="5" t="s">
        <v>177</v>
      </c>
      <c r="W1500" s="5" t="s">
        <v>345</v>
      </c>
      <c r="X1500" s="5" t="s">
        <v>6224</v>
      </c>
      <c r="Y1500" s="5" t="s">
        <v>6225</v>
      </c>
      <c r="Z1500" s="9">
        <v>46199</v>
      </c>
      <c r="AA1500" s="8">
        <v>6</v>
      </c>
      <c r="AB1500" s="9">
        <f t="shared" si="70"/>
        <v>46382</v>
      </c>
      <c r="AC1500" s="10">
        <v>18</v>
      </c>
      <c r="AD1500" s="7">
        <f t="shared" si="71"/>
        <v>258</v>
      </c>
      <c r="AE1500" s="7">
        <f>IF(F1500="Bullet",H1500*AD1500,MIN(MAX(I1500,1),Assumptions!$B$6)*AD1500)</f>
        <v>516</v>
      </c>
      <c r="AF1500" s="8">
        <f>IF(F1500="Bullet",MAX(0,Assumptions!$B$4-AB1500),MAX(0,Assumptions!$B$4-L1500))</f>
        <v>0</v>
      </c>
      <c r="AG1500" s="9"/>
      <c r="AH1500" s="8" t="str">
        <f>IF(AG1500="","",Assumptions!$B$4-AG1500)</f>
        <v/>
      </c>
      <c r="AI1500" s="5" t="s">
        <v>80</v>
      </c>
      <c r="AJ1500" s="8"/>
      <c r="AK1500" s="8">
        <v>1</v>
      </c>
      <c r="AL1500" s="8">
        <v>694</v>
      </c>
      <c r="AM1500" s="8">
        <v>1</v>
      </c>
      <c r="AN1500" s="5" t="s">
        <v>63</v>
      </c>
      <c r="AO1500" s="10">
        <v>60.4</v>
      </c>
      <c r="AP1500" s="8">
        <v>22</v>
      </c>
      <c r="AQ1500" s="9"/>
      <c r="AR1500" s="5"/>
      <c r="AS1500" s="5" t="s">
        <v>159</v>
      </c>
    </row>
    <row r="1501" spans="1:45" x14ac:dyDescent="0.35">
      <c r="A1501" s="5" t="s">
        <v>6226</v>
      </c>
      <c r="B1501" s="5" t="s">
        <v>6227</v>
      </c>
      <c r="C1501" s="6" t="s">
        <v>6228</v>
      </c>
      <c r="D1501" s="7">
        <v>163900</v>
      </c>
      <c r="E1501" s="5" t="s">
        <v>48</v>
      </c>
      <c r="F1501" s="5" t="s">
        <v>68</v>
      </c>
      <c r="G1501" s="8">
        <v>3</v>
      </c>
      <c r="H1501" s="8">
        <f>IF(F1501="Bullet",MIN(G1501,Assumptions!$B$6),"")</f>
        <v>2</v>
      </c>
      <c r="I1501" s="8"/>
      <c r="J1501" s="8" t="str">
        <f>IF(F1501="Monthly interest",MAX(0,Assumptions!$B$5-I1501),"")</f>
        <v/>
      </c>
      <c r="K1501" s="7">
        <f t="shared" si="69"/>
        <v>6147</v>
      </c>
      <c r="L1501" s="9">
        <v>46191</v>
      </c>
      <c r="M1501" s="5" t="s">
        <v>69</v>
      </c>
      <c r="N1501" s="5" t="s">
        <v>53</v>
      </c>
      <c r="O1501" s="5" t="s">
        <v>71</v>
      </c>
      <c r="P1501" s="5" t="s">
        <v>70</v>
      </c>
      <c r="Q1501" s="5" t="s">
        <v>73</v>
      </c>
      <c r="R1501" s="5" t="s">
        <v>74</v>
      </c>
      <c r="S1501" s="5" t="s">
        <v>56</v>
      </c>
      <c r="T1501" s="5" t="s">
        <v>57</v>
      </c>
      <c r="U1501" s="5" t="s">
        <v>104</v>
      </c>
      <c r="V1501" s="5" t="s">
        <v>59</v>
      </c>
      <c r="W1501" s="5" t="s">
        <v>60</v>
      </c>
      <c r="X1501" s="5" t="s">
        <v>61</v>
      </c>
      <c r="Y1501" s="5" t="s">
        <v>6229</v>
      </c>
      <c r="Z1501" s="9">
        <v>46191</v>
      </c>
      <c r="AA1501" s="8">
        <v>6</v>
      </c>
      <c r="AB1501" s="9">
        <f t="shared" si="70"/>
        <v>46374</v>
      </c>
      <c r="AC1501" s="10">
        <v>15</v>
      </c>
      <c r="AD1501" s="7">
        <f t="shared" si="71"/>
        <v>2049</v>
      </c>
      <c r="AE1501" s="7">
        <f>IF(F1501="Bullet",H1501*AD1501,MIN(MAX(I1501,1),Assumptions!$B$6)*AD1501)</f>
        <v>4098</v>
      </c>
      <c r="AF1501" s="8">
        <f>IF(F1501="Bullet",MAX(0,Assumptions!$B$4-AB1501),MAX(0,Assumptions!$B$4-L1501))</f>
        <v>0</v>
      </c>
      <c r="AG1501" s="9"/>
      <c r="AH1501" s="8" t="str">
        <f>IF(AG1501="","",Assumptions!$B$4-AG1501)</f>
        <v/>
      </c>
      <c r="AI1501" s="5" t="s">
        <v>80</v>
      </c>
      <c r="AJ1501" s="8"/>
      <c r="AK1501" s="8">
        <v>4</v>
      </c>
      <c r="AL1501" s="8">
        <v>708</v>
      </c>
      <c r="AM1501" s="8">
        <v>1</v>
      </c>
      <c r="AN1501" s="5" t="s">
        <v>63</v>
      </c>
      <c r="AO1501" s="10">
        <v>76.900000000000006</v>
      </c>
      <c r="AP1501" s="8">
        <v>43</v>
      </c>
      <c r="AQ1501" s="9">
        <v>46288</v>
      </c>
      <c r="AR1501" s="5" t="s">
        <v>72</v>
      </c>
      <c r="AS1501" s="5" t="s">
        <v>64</v>
      </c>
    </row>
    <row r="1502" spans="1:45" x14ac:dyDescent="0.35">
      <c r="A1502" s="5" t="s">
        <v>6230</v>
      </c>
      <c r="B1502" s="5" t="s">
        <v>3955</v>
      </c>
      <c r="C1502" s="6" t="s">
        <v>6231</v>
      </c>
      <c r="D1502" s="7">
        <v>59800</v>
      </c>
      <c r="E1502" s="5" t="s">
        <v>48</v>
      </c>
      <c r="F1502" s="5" t="s">
        <v>49</v>
      </c>
      <c r="G1502" s="8"/>
      <c r="H1502" s="8" t="str">
        <f>IF(F1502="Bullet",MIN(G1502,Assumptions!$B$6),"")</f>
        <v/>
      </c>
      <c r="I1502" s="8">
        <v>1</v>
      </c>
      <c r="J1502" s="8">
        <f>IF(F1502="Monthly interest",MAX(0,Assumptions!$B$5-I1502),"")</f>
        <v>2</v>
      </c>
      <c r="K1502" s="7">
        <f t="shared" si="69"/>
        <v>997</v>
      </c>
      <c r="L1502" s="9">
        <v>46278</v>
      </c>
      <c r="M1502" s="5" t="s">
        <v>50</v>
      </c>
      <c r="N1502" s="5" t="s">
        <v>51</v>
      </c>
      <c r="O1502" s="5" t="s">
        <v>52</v>
      </c>
      <c r="P1502" s="5" t="s">
        <v>53</v>
      </c>
      <c r="Q1502" s="5" t="s">
        <v>54</v>
      </c>
      <c r="R1502" s="5" t="s">
        <v>55</v>
      </c>
      <c r="S1502" s="5" t="s">
        <v>56</v>
      </c>
      <c r="T1502" s="5" t="s">
        <v>57</v>
      </c>
      <c r="U1502" s="5" t="s">
        <v>86</v>
      </c>
      <c r="V1502" s="5" t="s">
        <v>59</v>
      </c>
      <c r="W1502" s="5" t="s">
        <v>323</v>
      </c>
      <c r="X1502" s="5" t="s">
        <v>324</v>
      </c>
      <c r="Y1502" s="5" t="s">
        <v>6232</v>
      </c>
      <c r="Z1502" s="9">
        <v>46066</v>
      </c>
      <c r="AA1502" s="8">
        <v>12</v>
      </c>
      <c r="AB1502" s="9">
        <f t="shared" si="70"/>
        <v>46431</v>
      </c>
      <c r="AC1502" s="10">
        <v>20</v>
      </c>
      <c r="AD1502" s="7">
        <f t="shared" si="71"/>
        <v>997</v>
      </c>
      <c r="AE1502" s="7">
        <f>IF(F1502="Bullet",H1502*AD1502,MIN(MAX(I1502,1),Assumptions!$B$6)*AD1502)</f>
        <v>997</v>
      </c>
      <c r="AF1502" s="8">
        <f>IF(F1502="Bullet",MAX(0,Assumptions!$B$4-AB1502),MAX(0,Assumptions!$B$4-L1502))</f>
        <v>20</v>
      </c>
      <c r="AG1502" s="9">
        <v>46250</v>
      </c>
      <c r="AH1502" s="8">
        <f>IF(AG1502="","",Assumptions!$B$4-AG1502)</f>
        <v>48</v>
      </c>
      <c r="AI1502" s="5" t="s">
        <v>63</v>
      </c>
      <c r="AJ1502" s="8">
        <v>2</v>
      </c>
      <c r="AK1502" s="8">
        <v>1</v>
      </c>
      <c r="AL1502" s="8">
        <v>799</v>
      </c>
      <c r="AM1502" s="8">
        <v>1</v>
      </c>
      <c r="AN1502" s="5" t="s">
        <v>63</v>
      </c>
      <c r="AO1502" s="10">
        <v>65.400000000000006</v>
      </c>
      <c r="AP1502" s="8">
        <v>23</v>
      </c>
      <c r="AQ1502" s="9">
        <v>46284</v>
      </c>
      <c r="AR1502" s="5" t="s">
        <v>53</v>
      </c>
      <c r="AS1502" s="5" t="s">
        <v>81</v>
      </c>
    </row>
    <row r="1503" spans="1:45" x14ac:dyDescent="0.35">
      <c r="A1503" s="5" t="s">
        <v>6233</v>
      </c>
      <c r="B1503" s="5" t="s">
        <v>5421</v>
      </c>
      <c r="C1503" s="6" t="s">
        <v>6234</v>
      </c>
      <c r="D1503" s="7">
        <v>66800</v>
      </c>
      <c r="E1503" s="5" t="s">
        <v>48</v>
      </c>
      <c r="F1503" s="5" t="s">
        <v>68</v>
      </c>
      <c r="G1503" s="8">
        <v>2</v>
      </c>
      <c r="H1503" s="8">
        <f>IF(F1503="Bullet",MIN(G1503,Assumptions!$B$6),"")</f>
        <v>2</v>
      </c>
      <c r="I1503" s="8"/>
      <c r="J1503" s="8" t="str">
        <f>IF(F1503="Monthly interest",MAX(0,Assumptions!$B$5-I1503),"")</f>
        <v/>
      </c>
      <c r="K1503" s="7">
        <f t="shared" si="69"/>
        <v>2004</v>
      </c>
      <c r="L1503" s="9">
        <v>46225</v>
      </c>
      <c r="M1503" s="5" t="s">
        <v>50</v>
      </c>
      <c r="N1503" s="5" t="s">
        <v>51</v>
      </c>
      <c r="O1503" s="5" t="s">
        <v>71</v>
      </c>
      <c r="P1503" s="5" t="s">
        <v>53</v>
      </c>
      <c r="Q1503" s="5" t="s">
        <v>73</v>
      </c>
      <c r="R1503" s="5" t="s">
        <v>74</v>
      </c>
      <c r="S1503" s="5" t="s">
        <v>214</v>
      </c>
      <c r="T1503" s="5" t="s">
        <v>57</v>
      </c>
      <c r="U1503" s="5" t="s">
        <v>58</v>
      </c>
      <c r="V1503" s="5" t="s">
        <v>215</v>
      </c>
      <c r="W1503" s="5" t="s">
        <v>278</v>
      </c>
      <c r="X1503" s="5" t="s">
        <v>1783</v>
      </c>
      <c r="Y1503" s="5" t="s">
        <v>6235</v>
      </c>
      <c r="Z1503" s="9">
        <v>46225</v>
      </c>
      <c r="AA1503" s="8">
        <v>6</v>
      </c>
      <c r="AB1503" s="9">
        <f t="shared" si="70"/>
        <v>46409</v>
      </c>
      <c r="AC1503" s="10">
        <v>18</v>
      </c>
      <c r="AD1503" s="7">
        <f t="shared" si="71"/>
        <v>1002</v>
      </c>
      <c r="AE1503" s="7">
        <f>IF(F1503="Bullet",H1503*AD1503,MIN(MAX(I1503,1),Assumptions!$B$6)*AD1503)</f>
        <v>2004</v>
      </c>
      <c r="AF1503" s="8">
        <f>IF(F1503="Bullet",MAX(0,Assumptions!$B$4-AB1503),MAX(0,Assumptions!$B$4-L1503))</f>
        <v>0</v>
      </c>
      <c r="AG1503" s="9"/>
      <c r="AH1503" s="8" t="str">
        <f>IF(AG1503="","",Assumptions!$B$4-AG1503)</f>
        <v/>
      </c>
      <c r="AI1503" s="5" t="s">
        <v>80</v>
      </c>
      <c r="AJ1503" s="8"/>
      <c r="AK1503" s="8">
        <v>0</v>
      </c>
      <c r="AL1503" s="8">
        <v>679</v>
      </c>
      <c r="AM1503" s="8">
        <v>1</v>
      </c>
      <c r="AN1503" s="5" t="s">
        <v>63</v>
      </c>
      <c r="AO1503" s="10">
        <v>63.7</v>
      </c>
      <c r="AP1503" s="8">
        <v>20</v>
      </c>
      <c r="AQ1503" s="9">
        <v>46283</v>
      </c>
      <c r="AR1503" s="5" t="s">
        <v>51</v>
      </c>
      <c r="AS1503" s="5" t="s">
        <v>64</v>
      </c>
    </row>
    <row r="1504" spans="1:45" x14ac:dyDescent="0.35">
      <c r="A1504" s="5" t="s">
        <v>6236</v>
      </c>
      <c r="B1504" s="5" t="s">
        <v>1155</v>
      </c>
      <c r="C1504" s="6" t="s">
        <v>6237</v>
      </c>
      <c r="D1504" s="7">
        <v>78700</v>
      </c>
      <c r="E1504" s="5" t="s">
        <v>48</v>
      </c>
      <c r="F1504" s="5" t="s">
        <v>68</v>
      </c>
      <c r="G1504" s="8">
        <v>3</v>
      </c>
      <c r="H1504" s="8">
        <f>IF(F1504="Bullet",MIN(G1504,Assumptions!$B$6),"")</f>
        <v>2</v>
      </c>
      <c r="I1504" s="8"/>
      <c r="J1504" s="8" t="str">
        <f>IF(F1504="Monthly interest",MAX(0,Assumptions!$B$5-I1504),"")</f>
        <v/>
      </c>
      <c r="K1504" s="7">
        <f t="shared" si="69"/>
        <v>2361</v>
      </c>
      <c r="L1504" s="9">
        <v>46200</v>
      </c>
      <c r="M1504" s="5" t="s">
        <v>50</v>
      </c>
      <c r="N1504" s="5" t="s">
        <v>53</v>
      </c>
      <c r="O1504" s="5" t="s">
        <v>71</v>
      </c>
      <c r="P1504" s="5" t="s">
        <v>51</v>
      </c>
      <c r="Q1504" s="5" t="s">
        <v>73</v>
      </c>
      <c r="R1504" s="5" t="s">
        <v>74</v>
      </c>
      <c r="S1504" s="5" t="s">
        <v>85</v>
      </c>
      <c r="T1504" s="5" t="s">
        <v>57</v>
      </c>
      <c r="U1504" s="5" t="s">
        <v>86</v>
      </c>
      <c r="V1504" s="5" t="s">
        <v>177</v>
      </c>
      <c r="W1504" s="5" t="s">
        <v>208</v>
      </c>
      <c r="X1504" s="5" t="s">
        <v>6238</v>
      </c>
      <c r="Y1504" s="5" t="s">
        <v>6239</v>
      </c>
      <c r="Z1504" s="9">
        <v>46200</v>
      </c>
      <c r="AA1504" s="8">
        <v>12</v>
      </c>
      <c r="AB1504" s="9">
        <f t="shared" si="70"/>
        <v>46565</v>
      </c>
      <c r="AC1504" s="10">
        <v>12</v>
      </c>
      <c r="AD1504" s="7">
        <f t="shared" si="71"/>
        <v>787</v>
      </c>
      <c r="AE1504" s="7">
        <f>IF(F1504="Bullet",H1504*AD1504,MIN(MAX(I1504,1),Assumptions!$B$6)*AD1504)</f>
        <v>1574</v>
      </c>
      <c r="AF1504" s="8">
        <f>IF(F1504="Bullet",MAX(0,Assumptions!$B$4-AB1504),MAX(0,Assumptions!$B$4-L1504))</f>
        <v>0</v>
      </c>
      <c r="AG1504" s="9"/>
      <c r="AH1504" s="8" t="str">
        <f>IF(AG1504="","",Assumptions!$B$4-AG1504)</f>
        <v/>
      </c>
      <c r="AI1504" s="5" t="s">
        <v>80</v>
      </c>
      <c r="AJ1504" s="8"/>
      <c r="AK1504" s="8">
        <v>0</v>
      </c>
      <c r="AL1504" s="8">
        <v>766</v>
      </c>
      <c r="AM1504" s="8">
        <v>4</v>
      </c>
      <c r="AN1504" s="5" t="s">
        <v>63</v>
      </c>
      <c r="AO1504" s="10">
        <v>67.400000000000006</v>
      </c>
      <c r="AP1504" s="8">
        <v>17</v>
      </c>
      <c r="AQ1504" s="9">
        <v>46280</v>
      </c>
      <c r="AR1504" s="5" t="s">
        <v>53</v>
      </c>
      <c r="AS1504" s="5" t="s">
        <v>64</v>
      </c>
    </row>
    <row r="1505" spans="1:45" x14ac:dyDescent="0.35">
      <c r="A1505" s="5" t="s">
        <v>6240</v>
      </c>
      <c r="B1505" s="5" t="s">
        <v>6241</v>
      </c>
      <c r="C1505" s="6" t="s">
        <v>6242</v>
      </c>
      <c r="D1505" s="7">
        <v>133400</v>
      </c>
      <c r="E1505" s="5" t="s">
        <v>48</v>
      </c>
      <c r="F1505" s="5" t="s">
        <v>49</v>
      </c>
      <c r="G1505" s="8"/>
      <c r="H1505" s="8" t="str">
        <f>IF(F1505="Bullet",MIN(G1505,Assumptions!$B$6),"")</f>
        <v/>
      </c>
      <c r="I1505" s="8">
        <v>2</v>
      </c>
      <c r="J1505" s="8">
        <f>IF(F1505="Monthly interest",MAX(0,Assumptions!$B$5-I1505),"")</f>
        <v>1</v>
      </c>
      <c r="K1505" s="7">
        <f t="shared" si="69"/>
        <v>4446</v>
      </c>
      <c r="L1505" s="9">
        <v>46244</v>
      </c>
      <c r="M1505" s="5" t="s">
        <v>116</v>
      </c>
      <c r="N1505" s="5" t="s">
        <v>117</v>
      </c>
      <c r="O1505" s="5" t="s">
        <v>118</v>
      </c>
      <c r="P1505" s="5" t="s">
        <v>72</v>
      </c>
      <c r="Q1505" s="5" t="s">
        <v>119</v>
      </c>
      <c r="R1505" s="5" t="s">
        <v>120</v>
      </c>
      <c r="S1505" s="5" t="s">
        <v>75</v>
      </c>
      <c r="T1505" s="5" t="s">
        <v>57</v>
      </c>
      <c r="U1505" s="5" t="s">
        <v>58</v>
      </c>
      <c r="V1505" s="5" t="s">
        <v>76</v>
      </c>
      <c r="W1505" s="5" t="s">
        <v>105</v>
      </c>
      <c r="X1505" s="5" t="s">
        <v>585</v>
      </c>
      <c r="Y1505" s="5" t="s">
        <v>6243</v>
      </c>
      <c r="Z1505" s="9">
        <v>46001</v>
      </c>
      <c r="AA1505" s="8">
        <v>12</v>
      </c>
      <c r="AB1505" s="9">
        <f t="shared" si="70"/>
        <v>46366</v>
      </c>
      <c r="AC1505" s="10">
        <v>20</v>
      </c>
      <c r="AD1505" s="7">
        <f t="shared" si="71"/>
        <v>2223</v>
      </c>
      <c r="AE1505" s="7">
        <f>IF(F1505="Bullet",H1505*AD1505,MIN(MAX(I1505,1),Assumptions!$B$6)*AD1505)</f>
        <v>4446</v>
      </c>
      <c r="AF1505" s="8">
        <f>IF(F1505="Bullet",MAX(0,Assumptions!$B$4-AB1505),MAX(0,Assumptions!$B$4-L1505))</f>
        <v>54</v>
      </c>
      <c r="AG1505" s="9">
        <v>46213</v>
      </c>
      <c r="AH1505" s="8">
        <f>IF(AG1505="","",Assumptions!$B$4-AG1505)</f>
        <v>85</v>
      </c>
      <c r="AI1505" s="5" t="s">
        <v>63</v>
      </c>
      <c r="AJ1505" s="8">
        <v>4</v>
      </c>
      <c r="AK1505" s="8">
        <v>0</v>
      </c>
      <c r="AL1505" s="8" t="s">
        <v>80</v>
      </c>
      <c r="AM1505" s="8">
        <v>1</v>
      </c>
      <c r="AN1505" s="5" t="s">
        <v>63</v>
      </c>
      <c r="AO1505" s="10">
        <v>72.400000000000006</v>
      </c>
      <c r="AP1505" s="8">
        <v>48</v>
      </c>
      <c r="AQ1505" s="9">
        <v>46273</v>
      </c>
      <c r="AR1505" s="5" t="s">
        <v>70</v>
      </c>
      <c r="AS1505" s="5" t="s">
        <v>190</v>
      </c>
    </row>
    <row r="1506" spans="1:45" x14ac:dyDescent="0.35">
      <c r="A1506" s="5" t="s">
        <v>6244</v>
      </c>
      <c r="B1506" s="5" t="s">
        <v>4322</v>
      </c>
      <c r="C1506" s="6" t="s">
        <v>6245</v>
      </c>
      <c r="D1506" s="7">
        <v>61500</v>
      </c>
      <c r="E1506" s="5" t="s">
        <v>48</v>
      </c>
      <c r="F1506" s="5" t="s">
        <v>49</v>
      </c>
      <c r="G1506" s="8"/>
      <c r="H1506" s="8" t="str">
        <f>IF(F1506="Bullet",MIN(G1506,Assumptions!$B$6),"")</f>
        <v/>
      </c>
      <c r="I1506" s="8">
        <v>2</v>
      </c>
      <c r="J1506" s="8">
        <f>IF(F1506="Monthly interest",MAX(0,Assumptions!$B$5-I1506),"")</f>
        <v>1</v>
      </c>
      <c r="K1506" s="7">
        <f t="shared" si="69"/>
        <v>2460</v>
      </c>
      <c r="L1506" s="9">
        <v>46267</v>
      </c>
      <c r="M1506" s="5" t="s">
        <v>69</v>
      </c>
      <c r="N1506" s="5" t="s">
        <v>53</v>
      </c>
      <c r="O1506" s="5" t="s">
        <v>71</v>
      </c>
      <c r="P1506" s="5" t="s">
        <v>70</v>
      </c>
      <c r="Q1506" s="5" t="s">
        <v>73</v>
      </c>
      <c r="R1506" s="5" t="s">
        <v>74</v>
      </c>
      <c r="S1506" s="5" t="s">
        <v>75</v>
      </c>
      <c r="T1506" s="5" t="s">
        <v>57</v>
      </c>
      <c r="U1506" s="5" t="s">
        <v>58</v>
      </c>
      <c r="V1506" s="5" t="s">
        <v>76</v>
      </c>
      <c r="W1506" s="5" t="s">
        <v>444</v>
      </c>
      <c r="X1506" s="5" t="s">
        <v>4220</v>
      </c>
      <c r="Y1506" s="5" t="s">
        <v>6246</v>
      </c>
      <c r="Z1506" s="9">
        <v>46144</v>
      </c>
      <c r="AA1506" s="8">
        <v>12</v>
      </c>
      <c r="AB1506" s="9">
        <f t="shared" si="70"/>
        <v>46509</v>
      </c>
      <c r="AC1506" s="10">
        <v>24</v>
      </c>
      <c r="AD1506" s="7">
        <f t="shared" si="71"/>
        <v>1230</v>
      </c>
      <c r="AE1506" s="7">
        <f>IF(F1506="Bullet",H1506*AD1506,MIN(MAX(I1506,1),Assumptions!$B$6)*AD1506)</f>
        <v>2460</v>
      </c>
      <c r="AF1506" s="8">
        <f>IF(F1506="Bullet",MAX(0,Assumptions!$B$4-AB1506),MAX(0,Assumptions!$B$4-L1506))</f>
        <v>31</v>
      </c>
      <c r="AG1506" s="9">
        <v>46240</v>
      </c>
      <c r="AH1506" s="8">
        <f>IF(AG1506="","",Assumptions!$B$4-AG1506)</f>
        <v>58</v>
      </c>
      <c r="AI1506" s="5" t="s">
        <v>57</v>
      </c>
      <c r="AJ1506" s="8">
        <v>2</v>
      </c>
      <c r="AK1506" s="8">
        <v>0</v>
      </c>
      <c r="AL1506" s="8">
        <v>721</v>
      </c>
      <c r="AM1506" s="8">
        <v>2</v>
      </c>
      <c r="AN1506" s="5" t="s">
        <v>63</v>
      </c>
      <c r="AO1506" s="10">
        <v>67</v>
      </c>
      <c r="AP1506" s="8">
        <v>42</v>
      </c>
      <c r="AQ1506" s="9">
        <v>46289</v>
      </c>
      <c r="AR1506" s="5" t="s">
        <v>51</v>
      </c>
      <c r="AS1506" s="5" t="s">
        <v>81</v>
      </c>
    </row>
    <row r="1507" spans="1:45" x14ac:dyDescent="0.35">
      <c r="A1507" s="5" t="s">
        <v>6247</v>
      </c>
      <c r="B1507" s="5" t="s">
        <v>6248</v>
      </c>
      <c r="C1507" s="6" t="s">
        <v>6249</v>
      </c>
      <c r="D1507" s="7">
        <v>117900</v>
      </c>
      <c r="E1507" s="5" t="s">
        <v>48</v>
      </c>
      <c r="F1507" s="5" t="s">
        <v>49</v>
      </c>
      <c r="G1507" s="8"/>
      <c r="H1507" s="8" t="str">
        <f>IF(F1507="Bullet",MIN(G1507,Assumptions!$B$6),"")</f>
        <v/>
      </c>
      <c r="I1507" s="8">
        <v>2</v>
      </c>
      <c r="J1507" s="8">
        <f>IF(F1507="Monthly interest",MAX(0,Assumptions!$B$5-I1507),"")</f>
        <v>1</v>
      </c>
      <c r="K1507" s="7">
        <f t="shared" si="69"/>
        <v>4716</v>
      </c>
      <c r="L1507" s="9">
        <v>46259</v>
      </c>
      <c r="M1507" s="5" t="s">
        <v>69</v>
      </c>
      <c r="N1507" s="5" t="s">
        <v>53</v>
      </c>
      <c r="O1507" s="5" t="s">
        <v>71</v>
      </c>
      <c r="P1507" s="5" t="s">
        <v>70</v>
      </c>
      <c r="Q1507" s="5" t="s">
        <v>73</v>
      </c>
      <c r="R1507" s="5" t="s">
        <v>74</v>
      </c>
      <c r="S1507" s="5" t="s">
        <v>56</v>
      </c>
      <c r="T1507" s="5" t="s">
        <v>57</v>
      </c>
      <c r="U1507" s="5" t="s">
        <v>104</v>
      </c>
      <c r="V1507" s="5" t="s">
        <v>59</v>
      </c>
      <c r="W1507" s="5" t="s">
        <v>156</v>
      </c>
      <c r="X1507" s="5" t="s">
        <v>670</v>
      </c>
      <c r="Y1507" s="5" t="s">
        <v>6250</v>
      </c>
      <c r="Z1507" s="9">
        <v>46106</v>
      </c>
      <c r="AA1507" s="8">
        <v>12</v>
      </c>
      <c r="AB1507" s="9">
        <f t="shared" si="70"/>
        <v>46471</v>
      </c>
      <c r="AC1507" s="10">
        <v>24</v>
      </c>
      <c r="AD1507" s="7">
        <f t="shared" si="71"/>
        <v>2358</v>
      </c>
      <c r="AE1507" s="7">
        <f>IF(F1507="Bullet",H1507*AD1507,MIN(MAX(I1507,1),Assumptions!$B$6)*AD1507)</f>
        <v>4716</v>
      </c>
      <c r="AF1507" s="8">
        <f>IF(F1507="Bullet",MAX(0,Assumptions!$B$4-AB1507),MAX(0,Assumptions!$B$4-L1507))</f>
        <v>39</v>
      </c>
      <c r="AG1507" s="9">
        <v>46229</v>
      </c>
      <c r="AH1507" s="8">
        <f>IF(AG1507="","",Assumptions!$B$4-AG1507)</f>
        <v>69</v>
      </c>
      <c r="AI1507" s="5" t="s">
        <v>57</v>
      </c>
      <c r="AJ1507" s="8">
        <v>2</v>
      </c>
      <c r="AK1507" s="8">
        <v>0</v>
      </c>
      <c r="AL1507" s="8">
        <v>661</v>
      </c>
      <c r="AM1507" s="8">
        <v>0</v>
      </c>
      <c r="AN1507" s="5" t="s">
        <v>63</v>
      </c>
      <c r="AO1507" s="10">
        <v>59.8</v>
      </c>
      <c r="AP1507" s="8">
        <v>36</v>
      </c>
      <c r="AQ1507" s="9">
        <v>46287</v>
      </c>
      <c r="AR1507" s="5" t="s">
        <v>70</v>
      </c>
      <c r="AS1507" s="5" t="s">
        <v>181</v>
      </c>
    </row>
    <row r="1508" spans="1:45" x14ac:dyDescent="0.35">
      <c r="A1508" s="5" t="s">
        <v>6251</v>
      </c>
      <c r="B1508" s="5" t="s">
        <v>6252</v>
      </c>
      <c r="C1508" s="6" t="s">
        <v>6253</v>
      </c>
      <c r="D1508" s="7">
        <v>165300</v>
      </c>
      <c r="E1508" s="5" t="s">
        <v>48</v>
      </c>
      <c r="F1508" s="5" t="s">
        <v>49</v>
      </c>
      <c r="G1508" s="8"/>
      <c r="H1508" s="8" t="str">
        <f>IF(F1508="Bullet",MIN(G1508,Assumptions!$B$6),"")</f>
        <v/>
      </c>
      <c r="I1508" s="8">
        <v>2</v>
      </c>
      <c r="J1508" s="8">
        <f>IF(F1508="Monthly interest",MAX(0,Assumptions!$B$5-I1508),"")</f>
        <v>1</v>
      </c>
      <c r="K1508" s="7">
        <f t="shared" si="69"/>
        <v>6612</v>
      </c>
      <c r="L1508" s="9">
        <v>46253</v>
      </c>
      <c r="M1508" s="5" t="s">
        <v>116</v>
      </c>
      <c r="N1508" s="5" t="s">
        <v>117</v>
      </c>
      <c r="O1508" s="5" t="s">
        <v>118</v>
      </c>
      <c r="P1508" s="5" t="s">
        <v>72</v>
      </c>
      <c r="Q1508" s="5" t="s">
        <v>119</v>
      </c>
      <c r="R1508" s="5" t="s">
        <v>120</v>
      </c>
      <c r="S1508" s="5" t="s">
        <v>185</v>
      </c>
      <c r="T1508" s="5" t="s">
        <v>57</v>
      </c>
      <c r="U1508" s="5" t="s">
        <v>58</v>
      </c>
      <c r="V1508" s="5" t="s">
        <v>200</v>
      </c>
      <c r="W1508" s="5" t="s">
        <v>433</v>
      </c>
      <c r="X1508" s="5" t="s">
        <v>3246</v>
      </c>
      <c r="Y1508" s="5" t="s">
        <v>6254</v>
      </c>
      <c r="Z1508" s="9">
        <v>46192</v>
      </c>
      <c r="AA1508" s="8">
        <v>24</v>
      </c>
      <c r="AB1508" s="9">
        <f t="shared" si="70"/>
        <v>46923</v>
      </c>
      <c r="AC1508" s="10">
        <v>24</v>
      </c>
      <c r="AD1508" s="7">
        <f t="shared" si="71"/>
        <v>3306</v>
      </c>
      <c r="AE1508" s="7">
        <f>IF(F1508="Bullet",H1508*AD1508,MIN(MAX(I1508,1),Assumptions!$B$6)*AD1508)</f>
        <v>6612</v>
      </c>
      <c r="AF1508" s="8">
        <f>IF(F1508="Bullet",MAX(0,Assumptions!$B$4-AB1508),MAX(0,Assumptions!$B$4-L1508))</f>
        <v>45</v>
      </c>
      <c r="AG1508" s="9">
        <v>46227</v>
      </c>
      <c r="AH1508" s="8">
        <f>IF(AG1508="","",Assumptions!$B$4-AG1508)</f>
        <v>71</v>
      </c>
      <c r="AI1508" s="5" t="s">
        <v>63</v>
      </c>
      <c r="AJ1508" s="8">
        <v>2</v>
      </c>
      <c r="AK1508" s="8">
        <v>1</v>
      </c>
      <c r="AL1508" s="8">
        <v>756</v>
      </c>
      <c r="AM1508" s="8">
        <v>0</v>
      </c>
      <c r="AN1508" s="5" t="s">
        <v>63</v>
      </c>
      <c r="AO1508" s="10">
        <v>86.1</v>
      </c>
      <c r="AP1508" s="8">
        <v>60</v>
      </c>
      <c r="AQ1508" s="9"/>
      <c r="AR1508" s="5"/>
      <c r="AS1508" s="5" t="s">
        <v>159</v>
      </c>
    </row>
    <row r="1509" spans="1:45" x14ac:dyDescent="0.35">
      <c r="A1509" s="5" t="s">
        <v>6255</v>
      </c>
      <c r="B1509" s="5" t="s">
        <v>6256</v>
      </c>
      <c r="C1509" s="6" t="s">
        <v>6257</v>
      </c>
      <c r="D1509" s="7">
        <v>82300</v>
      </c>
      <c r="E1509" s="5" t="s">
        <v>48</v>
      </c>
      <c r="F1509" s="5" t="s">
        <v>49</v>
      </c>
      <c r="G1509" s="8"/>
      <c r="H1509" s="8" t="str">
        <f>IF(F1509="Bullet",MIN(G1509,Assumptions!$B$6),"")</f>
        <v/>
      </c>
      <c r="I1509" s="8">
        <v>1</v>
      </c>
      <c r="J1509" s="8">
        <f>IF(F1509="Monthly interest",MAX(0,Assumptions!$B$5-I1509),"")</f>
        <v>2</v>
      </c>
      <c r="K1509" s="7">
        <f t="shared" si="69"/>
        <v>1372</v>
      </c>
      <c r="L1509" s="9">
        <v>46269</v>
      </c>
      <c r="M1509" s="5" t="s">
        <v>50</v>
      </c>
      <c r="N1509" s="5" t="s">
        <v>51</v>
      </c>
      <c r="O1509" s="5" t="s">
        <v>52</v>
      </c>
      <c r="P1509" s="5" t="s">
        <v>53</v>
      </c>
      <c r="Q1509" s="5" t="s">
        <v>54</v>
      </c>
      <c r="R1509" s="5" t="s">
        <v>55</v>
      </c>
      <c r="S1509" s="5" t="s">
        <v>56</v>
      </c>
      <c r="T1509" s="5" t="s">
        <v>57</v>
      </c>
      <c r="U1509" s="5" t="s">
        <v>58</v>
      </c>
      <c r="V1509" s="5" t="s">
        <v>59</v>
      </c>
      <c r="W1509" s="5" t="s">
        <v>194</v>
      </c>
      <c r="X1509" s="5" t="s">
        <v>521</v>
      </c>
      <c r="Y1509" s="5" t="s">
        <v>6258</v>
      </c>
      <c r="Z1509" s="9">
        <v>46026</v>
      </c>
      <c r="AA1509" s="8">
        <v>24</v>
      </c>
      <c r="AB1509" s="9">
        <f t="shared" si="70"/>
        <v>46756</v>
      </c>
      <c r="AC1509" s="10">
        <v>20</v>
      </c>
      <c r="AD1509" s="7">
        <f t="shared" si="71"/>
        <v>1372</v>
      </c>
      <c r="AE1509" s="7">
        <f>IF(F1509="Bullet",H1509*AD1509,MIN(MAX(I1509,1),Assumptions!$B$6)*AD1509)</f>
        <v>1372</v>
      </c>
      <c r="AF1509" s="8">
        <f>IF(F1509="Bullet",MAX(0,Assumptions!$B$4-AB1509),MAX(0,Assumptions!$B$4-L1509))</f>
        <v>29</v>
      </c>
      <c r="AG1509" s="9">
        <v>46243</v>
      </c>
      <c r="AH1509" s="8">
        <f>IF(AG1509="","",Assumptions!$B$4-AG1509)</f>
        <v>55</v>
      </c>
      <c r="AI1509" s="5" t="s">
        <v>57</v>
      </c>
      <c r="AJ1509" s="8">
        <v>2</v>
      </c>
      <c r="AK1509" s="8">
        <v>0</v>
      </c>
      <c r="AL1509" s="8">
        <v>744</v>
      </c>
      <c r="AM1509" s="8">
        <v>2</v>
      </c>
      <c r="AN1509" s="5" t="s">
        <v>63</v>
      </c>
      <c r="AO1509" s="10">
        <v>59.8</v>
      </c>
      <c r="AP1509" s="8">
        <v>27</v>
      </c>
      <c r="AQ1509" s="9"/>
      <c r="AR1509" s="5"/>
      <c r="AS1509" s="5" t="s">
        <v>159</v>
      </c>
    </row>
    <row r="1510" spans="1:45" x14ac:dyDescent="0.35">
      <c r="A1510" s="5" t="s">
        <v>6259</v>
      </c>
      <c r="B1510" s="5" t="s">
        <v>5741</v>
      </c>
      <c r="C1510" s="6" t="s">
        <v>6260</v>
      </c>
      <c r="D1510" s="7">
        <v>225200</v>
      </c>
      <c r="E1510" s="5" t="s">
        <v>48</v>
      </c>
      <c r="F1510" s="5" t="s">
        <v>49</v>
      </c>
      <c r="G1510" s="8"/>
      <c r="H1510" s="8" t="str">
        <f>IF(F1510="Bullet",MIN(G1510,Assumptions!$B$6),"")</f>
        <v/>
      </c>
      <c r="I1510" s="8">
        <v>1</v>
      </c>
      <c r="J1510" s="8">
        <f>IF(F1510="Monthly interest",MAX(0,Assumptions!$B$5-I1510),"")</f>
        <v>2</v>
      </c>
      <c r="K1510" s="7">
        <f t="shared" si="69"/>
        <v>4129</v>
      </c>
      <c r="L1510" s="9">
        <v>46278</v>
      </c>
      <c r="M1510" s="5" t="s">
        <v>50</v>
      </c>
      <c r="N1510" s="5" t="s">
        <v>51</v>
      </c>
      <c r="O1510" s="5" t="s">
        <v>52</v>
      </c>
      <c r="P1510" s="5" t="s">
        <v>53</v>
      </c>
      <c r="Q1510" s="5" t="s">
        <v>54</v>
      </c>
      <c r="R1510" s="5" t="s">
        <v>55</v>
      </c>
      <c r="S1510" s="5" t="s">
        <v>56</v>
      </c>
      <c r="T1510" s="5" t="s">
        <v>57</v>
      </c>
      <c r="U1510" s="5" t="s">
        <v>104</v>
      </c>
      <c r="V1510" s="5" t="s">
        <v>59</v>
      </c>
      <c r="W1510" s="5" t="s">
        <v>156</v>
      </c>
      <c r="X1510" s="5" t="s">
        <v>451</v>
      </c>
      <c r="Y1510" s="5" t="s">
        <v>6261</v>
      </c>
      <c r="Z1510" s="9">
        <v>46066</v>
      </c>
      <c r="AA1510" s="8">
        <v>18</v>
      </c>
      <c r="AB1510" s="9">
        <f t="shared" si="70"/>
        <v>46612</v>
      </c>
      <c r="AC1510" s="10">
        <v>22</v>
      </c>
      <c r="AD1510" s="7">
        <f t="shared" si="71"/>
        <v>4129</v>
      </c>
      <c r="AE1510" s="7">
        <f>IF(F1510="Bullet",H1510*AD1510,MIN(MAX(I1510,1),Assumptions!$B$6)*AD1510)</f>
        <v>4129</v>
      </c>
      <c r="AF1510" s="8">
        <f>IF(F1510="Bullet",MAX(0,Assumptions!$B$4-AB1510),MAX(0,Assumptions!$B$4-L1510))</f>
        <v>20</v>
      </c>
      <c r="AG1510" s="9">
        <v>46248</v>
      </c>
      <c r="AH1510" s="8">
        <f>IF(AG1510="","",Assumptions!$B$4-AG1510)</f>
        <v>50</v>
      </c>
      <c r="AI1510" s="5" t="s">
        <v>63</v>
      </c>
      <c r="AJ1510" s="8">
        <v>1</v>
      </c>
      <c r="AK1510" s="8">
        <v>0</v>
      </c>
      <c r="AL1510" s="8">
        <v>756</v>
      </c>
      <c r="AM1510" s="8">
        <v>2</v>
      </c>
      <c r="AN1510" s="5" t="s">
        <v>63</v>
      </c>
      <c r="AO1510" s="10">
        <v>74</v>
      </c>
      <c r="AP1510" s="8">
        <v>19</v>
      </c>
      <c r="AQ1510" s="9">
        <v>46292</v>
      </c>
      <c r="AR1510" s="5" t="s">
        <v>70</v>
      </c>
      <c r="AS1510" s="5" t="s">
        <v>81</v>
      </c>
    </row>
    <row r="1511" spans="1:45" x14ac:dyDescent="0.35">
      <c r="A1511" s="5" t="s">
        <v>6262</v>
      </c>
      <c r="B1511" s="5" t="s">
        <v>6263</v>
      </c>
      <c r="C1511" s="6" t="s">
        <v>6264</v>
      </c>
      <c r="D1511" s="7">
        <v>343400</v>
      </c>
      <c r="E1511" s="5" t="s">
        <v>48</v>
      </c>
      <c r="F1511" s="5" t="s">
        <v>68</v>
      </c>
      <c r="G1511" s="8">
        <v>2</v>
      </c>
      <c r="H1511" s="8">
        <f>IF(F1511="Bullet",MIN(G1511,Assumptions!$B$6),"")</f>
        <v>2</v>
      </c>
      <c r="I1511" s="8"/>
      <c r="J1511" s="8" t="str">
        <f>IF(F1511="Monthly interest",MAX(0,Assumptions!$B$5-I1511),"")</f>
        <v/>
      </c>
      <c r="K1511" s="7">
        <f t="shared" si="69"/>
        <v>6868</v>
      </c>
      <c r="L1511" s="9">
        <v>46215</v>
      </c>
      <c r="M1511" s="5" t="s">
        <v>50</v>
      </c>
      <c r="N1511" s="5" t="s">
        <v>53</v>
      </c>
      <c r="O1511" s="5" t="s">
        <v>95</v>
      </c>
      <c r="P1511" s="5" t="s">
        <v>70</v>
      </c>
      <c r="Q1511" s="5" t="s">
        <v>73</v>
      </c>
      <c r="R1511" s="5" t="s">
        <v>74</v>
      </c>
      <c r="S1511" s="5" t="s">
        <v>56</v>
      </c>
      <c r="T1511" s="5" t="s">
        <v>63</v>
      </c>
      <c r="U1511" s="5" t="s">
        <v>104</v>
      </c>
      <c r="V1511" s="5" t="s">
        <v>59</v>
      </c>
      <c r="W1511" s="5" t="s">
        <v>323</v>
      </c>
      <c r="X1511" s="5" t="s">
        <v>611</v>
      </c>
      <c r="Y1511" s="5" t="s">
        <v>6265</v>
      </c>
      <c r="Z1511" s="9">
        <v>46215</v>
      </c>
      <c r="AA1511" s="8">
        <v>12</v>
      </c>
      <c r="AB1511" s="9">
        <f t="shared" si="70"/>
        <v>46580</v>
      </c>
      <c r="AC1511" s="10">
        <v>12</v>
      </c>
      <c r="AD1511" s="7">
        <f t="shared" si="71"/>
        <v>3434</v>
      </c>
      <c r="AE1511" s="7">
        <f>IF(F1511="Bullet",H1511*AD1511,MIN(MAX(I1511,1),Assumptions!$B$6)*AD1511)</f>
        <v>6868</v>
      </c>
      <c r="AF1511" s="8">
        <f>IF(F1511="Bullet",MAX(0,Assumptions!$B$4-AB1511),MAX(0,Assumptions!$B$4-L1511))</f>
        <v>0</v>
      </c>
      <c r="AG1511" s="9"/>
      <c r="AH1511" s="8" t="str">
        <f>IF(AG1511="","",Assumptions!$B$4-AG1511)</f>
        <v/>
      </c>
      <c r="AI1511" s="5" t="s">
        <v>80</v>
      </c>
      <c r="AJ1511" s="8"/>
      <c r="AK1511" s="8">
        <v>0</v>
      </c>
      <c r="AL1511" s="8">
        <v>729</v>
      </c>
      <c r="AM1511" s="8">
        <v>2</v>
      </c>
      <c r="AN1511" s="5" t="s">
        <v>57</v>
      </c>
      <c r="AO1511" s="10">
        <v>68.400000000000006</v>
      </c>
      <c r="AP1511" s="8">
        <v>20</v>
      </c>
      <c r="AQ1511" s="9">
        <v>46276</v>
      </c>
      <c r="AR1511" s="5" t="s">
        <v>51</v>
      </c>
      <c r="AS1511" s="5" t="s">
        <v>181</v>
      </c>
    </row>
    <row r="1512" spans="1:45" x14ac:dyDescent="0.35">
      <c r="A1512" s="5" t="s">
        <v>6266</v>
      </c>
      <c r="B1512" s="5" t="s">
        <v>5816</v>
      </c>
      <c r="C1512" s="6" t="s">
        <v>6267</v>
      </c>
      <c r="D1512" s="7">
        <v>71700</v>
      </c>
      <c r="E1512" s="5" t="s">
        <v>48</v>
      </c>
      <c r="F1512" s="5" t="s">
        <v>68</v>
      </c>
      <c r="G1512" s="8">
        <v>5</v>
      </c>
      <c r="H1512" s="8">
        <f>IF(F1512="Bullet",MIN(G1512,Assumptions!$B$6),"")</f>
        <v>2</v>
      </c>
      <c r="I1512" s="8"/>
      <c r="J1512" s="8" t="str">
        <f>IF(F1512="Monthly interest",MAX(0,Assumptions!$B$5-I1512),"")</f>
        <v/>
      </c>
      <c r="K1512" s="7">
        <f t="shared" si="69"/>
        <v>4185</v>
      </c>
      <c r="L1512" s="9">
        <v>46140</v>
      </c>
      <c r="M1512" s="5" t="s">
        <v>116</v>
      </c>
      <c r="N1512" s="5" t="s">
        <v>117</v>
      </c>
      <c r="O1512" s="5" t="s">
        <v>461</v>
      </c>
      <c r="P1512" s="5" t="s">
        <v>72</v>
      </c>
      <c r="Q1512" s="5" t="s">
        <v>169</v>
      </c>
      <c r="R1512" s="5" t="s">
        <v>170</v>
      </c>
      <c r="S1512" s="5" t="s">
        <v>185</v>
      </c>
      <c r="T1512" s="5" t="s">
        <v>57</v>
      </c>
      <c r="U1512" s="5" t="s">
        <v>86</v>
      </c>
      <c r="V1512" s="5" t="s">
        <v>186</v>
      </c>
      <c r="W1512" s="5" t="s">
        <v>329</v>
      </c>
      <c r="X1512" s="5" t="s">
        <v>2343</v>
      </c>
      <c r="Y1512" s="5" t="s">
        <v>6268</v>
      </c>
      <c r="Z1512" s="9">
        <v>46140</v>
      </c>
      <c r="AA1512" s="8">
        <v>12</v>
      </c>
      <c r="AB1512" s="9">
        <f t="shared" si="70"/>
        <v>46505</v>
      </c>
      <c r="AC1512" s="10">
        <v>14</v>
      </c>
      <c r="AD1512" s="7">
        <f t="shared" si="71"/>
        <v>837</v>
      </c>
      <c r="AE1512" s="7">
        <f>IF(F1512="Bullet",H1512*AD1512,MIN(MAX(I1512,1),Assumptions!$B$6)*AD1512)</f>
        <v>1674</v>
      </c>
      <c r="AF1512" s="8">
        <f>IF(F1512="Bullet",MAX(0,Assumptions!$B$4-AB1512),MAX(0,Assumptions!$B$4-L1512))</f>
        <v>0</v>
      </c>
      <c r="AG1512" s="9"/>
      <c r="AH1512" s="8" t="str">
        <f>IF(AG1512="","",Assumptions!$B$4-AG1512)</f>
        <v/>
      </c>
      <c r="AI1512" s="5" t="s">
        <v>80</v>
      </c>
      <c r="AJ1512" s="8"/>
      <c r="AK1512" s="8">
        <v>1</v>
      </c>
      <c r="AL1512" s="8">
        <v>703</v>
      </c>
      <c r="AM1512" s="8">
        <v>2</v>
      </c>
      <c r="AN1512" s="5" t="s">
        <v>63</v>
      </c>
      <c r="AO1512" s="10">
        <v>88</v>
      </c>
      <c r="AP1512" s="8">
        <v>57</v>
      </c>
      <c r="AQ1512" s="9"/>
      <c r="AR1512" s="5"/>
      <c r="AS1512" s="5" t="s">
        <v>159</v>
      </c>
    </row>
    <row r="1513" spans="1:45" x14ac:dyDescent="0.35">
      <c r="A1513" s="5" t="s">
        <v>6269</v>
      </c>
      <c r="B1513" s="5" t="s">
        <v>6270</v>
      </c>
      <c r="C1513" s="6" t="s">
        <v>6271</v>
      </c>
      <c r="D1513" s="7">
        <v>122300</v>
      </c>
      <c r="E1513" s="5" t="s">
        <v>48</v>
      </c>
      <c r="F1513" s="5" t="s">
        <v>49</v>
      </c>
      <c r="G1513" s="8"/>
      <c r="H1513" s="8" t="str">
        <f>IF(F1513="Bullet",MIN(G1513,Assumptions!$B$6),"")</f>
        <v/>
      </c>
      <c r="I1513" s="8">
        <v>1</v>
      </c>
      <c r="J1513" s="8">
        <f>IF(F1513="Monthly interest",MAX(0,Assumptions!$B$5-I1513),"")</f>
        <v>2</v>
      </c>
      <c r="K1513" s="7">
        <f t="shared" si="69"/>
        <v>1427</v>
      </c>
      <c r="L1513" s="9">
        <v>46282</v>
      </c>
      <c r="M1513" s="5" t="s">
        <v>69</v>
      </c>
      <c r="N1513" s="5" t="s">
        <v>51</v>
      </c>
      <c r="O1513" s="5" t="s">
        <v>52</v>
      </c>
      <c r="P1513" s="5" t="s">
        <v>53</v>
      </c>
      <c r="Q1513" s="5" t="s">
        <v>54</v>
      </c>
      <c r="R1513" s="5" t="s">
        <v>55</v>
      </c>
      <c r="S1513" s="5" t="s">
        <v>85</v>
      </c>
      <c r="T1513" s="5" t="s">
        <v>57</v>
      </c>
      <c r="U1513" s="5" t="s">
        <v>104</v>
      </c>
      <c r="V1513" s="5" t="s">
        <v>87</v>
      </c>
      <c r="W1513" s="5" t="s">
        <v>254</v>
      </c>
      <c r="X1513" s="5" t="s">
        <v>255</v>
      </c>
      <c r="Y1513" s="5" t="s">
        <v>6272</v>
      </c>
      <c r="Z1513" s="9">
        <v>46190</v>
      </c>
      <c r="AA1513" s="8">
        <v>24</v>
      </c>
      <c r="AB1513" s="9">
        <f t="shared" si="70"/>
        <v>46921</v>
      </c>
      <c r="AC1513" s="10">
        <v>14</v>
      </c>
      <c r="AD1513" s="7">
        <f t="shared" si="71"/>
        <v>1427</v>
      </c>
      <c r="AE1513" s="7">
        <f>IF(F1513="Bullet",H1513*AD1513,MIN(MAX(I1513,1),Assumptions!$B$6)*AD1513)</f>
        <v>1427</v>
      </c>
      <c r="AF1513" s="8">
        <f>IF(F1513="Bullet",MAX(0,Assumptions!$B$4-AB1513),MAX(0,Assumptions!$B$4-L1513))</f>
        <v>16</v>
      </c>
      <c r="AG1513" s="9">
        <v>46255</v>
      </c>
      <c r="AH1513" s="8">
        <f>IF(AG1513="","",Assumptions!$B$4-AG1513)</f>
        <v>43</v>
      </c>
      <c r="AI1513" s="5" t="s">
        <v>63</v>
      </c>
      <c r="AJ1513" s="8">
        <v>2</v>
      </c>
      <c r="AK1513" s="8">
        <v>0</v>
      </c>
      <c r="AL1513" s="8" t="s">
        <v>80</v>
      </c>
      <c r="AM1513" s="8">
        <v>2</v>
      </c>
      <c r="AN1513" s="5" t="s">
        <v>63</v>
      </c>
      <c r="AO1513" s="10">
        <v>66.3</v>
      </c>
      <c r="AP1513" s="8">
        <v>32</v>
      </c>
      <c r="AQ1513" s="9"/>
      <c r="AR1513" s="5"/>
      <c r="AS1513" s="5" t="s">
        <v>159</v>
      </c>
    </row>
    <row r="1514" spans="1:45" x14ac:dyDescent="0.35">
      <c r="A1514" s="5" t="s">
        <v>6273</v>
      </c>
      <c r="B1514" s="5" t="s">
        <v>1635</v>
      </c>
      <c r="C1514" s="6" t="s">
        <v>6274</v>
      </c>
      <c r="D1514" s="7">
        <v>23800</v>
      </c>
      <c r="E1514" s="5" t="s">
        <v>48</v>
      </c>
      <c r="F1514" s="5" t="s">
        <v>49</v>
      </c>
      <c r="G1514" s="8"/>
      <c r="H1514" s="8" t="str">
        <f>IF(F1514="Bullet",MIN(G1514,Assumptions!$B$6),"")</f>
        <v/>
      </c>
      <c r="I1514" s="8">
        <v>1</v>
      </c>
      <c r="J1514" s="8">
        <f>IF(F1514="Monthly interest",MAX(0,Assumptions!$B$5-I1514),"")</f>
        <v>2</v>
      </c>
      <c r="K1514" s="7">
        <f t="shared" si="69"/>
        <v>397</v>
      </c>
      <c r="L1514" s="9">
        <v>46292</v>
      </c>
      <c r="M1514" s="5" t="s">
        <v>50</v>
      </c>
      <c r="N1514" s="5" t="s">
        <v>51</v>
      </c>
      <c r="O1514" s="5" t="s">
        <v>152</v>
      </c>
      <c r="P1514" s="5" t="s">
        <v>53</v>
      </c>
      <c r="Q1514" s="5" t="s">
        <v>154</v>
      </c>
      <c r="R1514" s="5" t="s">
        <v>155</v>
      </c>
      <c r="S1514" s="5" t="s">
        <v>85</v>
      </c>
      <c r="T1514" s="5" t="s">
        <v>57</v>
      </c>
      <c r="U1514" s="5" t="s">
        <v>86</v>
      </c>
      <c r="V1514" s="5" t="s">
        <v>177</v>
      </c>
      <c r="W1514" s="5" t="s">
        <v>345</v>
      </c>
      <c r="X1514" s="5" t="s">
        <v>4091</v>
      </c>
      <c r="Y1514" s="5" t="s">
        <v>6275</v>
      </c>
      <c r="Z1514" s="9">
        <v>46108</v>
      </c>
      <c r="AA1514" s="8">
        <v>12</v>
      </c>
      <c r="AB1514" s="9">
        <f t="shared" si="70"/>
        <v>46473</v>
      </c>
      <c r="AC1514" s="10">
        <v>20</v>
      </c>
      <c r="AD1514" s="7">
        <f t="shared" si="71"/>
        <v>397</v>
      </c>
      <c r="AE1514" s="7">
        <f>IF(F1514="Bullet",H1514*AD1514,MIN(MAX(I1514,1),Assumptions!$B$6)*AD1514)</f>
        <v>397</v>
      </c>
      <c r="AF1514" s="8">
        <f>IF(F1514="Bullet",MAX(0,Assumptions!$B$4-AB1514),MAX(0,Assumptions!$B$4-L1514))</f>
        <v>6</v>
      </c>
      <c r="AG1514" s="9">
        <v>46263</v>
      </c>
      <c r="AH1514" s="8">
        <f>IF(AG1514="","",Assumptions!$B$4-AG1514)</f>
        <v>35</v>
      </c>
      <c r="AI1514" s="5" t="s">
        <v>63</v>
      </c>
      <c r="AJ1514" s="8">
        <v>1</v>
      </c>
      <c r="AK1514" s="8">
        <v>0</v>
      </c>
      <c r="AL1514" s="8">
        <v>762</v>
      </c>
      <c r="AM1514" s="8">
        <v>0</v>
      </c>
      <c r="AN1514" s="5" t="s">
        <v>63</v>
      </c>
      <c r="AO1514" s="10">
        <v>76.8</v>
      </c>
      <c r="AP1514" s="8">
        <v>19</v>
      </c>
      <c r="AQ1514" s="9">
        <v>46284</v>
      </c>
      <c r="AR1514" s="5" t="s">
        <v>53</v>
      </c>
      <c r="AS1514" s="5" t="s">
        <v>81</v>
      </c>
    </row>
    <row r="1515" spans="1:45" x14ac:dyDescent="0.35">
      <c r="A1515" s="5" t="s">
        <v>6276</v>
      </c>
      <c r="B1515" s="5" t="s">
        <v>5482</v>
      </c>
      <c r="C1515" s="6" t="s">
        <v>6277</v>
      </c>
      <c r="D1515" s="7">
        <v>153800</v>
      </c>
      <c r="E1515" s="5" t="s">
        <v>48</v>
      </c>
      <c r="F1515" s="5" t="s">
        <v>68</v>
      </c>
      <c r="G1515" s="8">
        <v>2</v>
      </c>
      <c r="H1515" s="8">
        <f>IF(F1515="Bullet",MIN(G1515,Assumptions!$B$6),"")</f>
        <v>2</v>
      </c>
      <c r="I1515" s="8"/>
      <c r="J1515" s="8" t="str">
        <f>IF(F1515="Monthly interest",MAX(0,Assumptions!$B$5-I1515),"")</f>
        <v/>
      </c>
      <c r="K1515" s="7">
        <f t="shared" si="69"/>
        <v>3332</v>
      </c>
      <c r="L1515" s="9">
        <v>46230</v>
      </c>
      <c r="M1515" s="5" t="s">
        <v>69</v>
      </c>
      <c r="N1515" s="5" t="s">
        <v>53</v>
      </c>
      <c r="O1515" s="5" t="s">
        <v>71</v>
      </c>
      <c r="P1515" s="5" t="s">
        <v>70</v>
      </c>
      <c r="Q1515" s="5" t="s">
        <v>73</v>
      </c>
      <c r="R1515" s="5" t="s">
        <v>74</v>
      </c>
      <c r="S1515" s="5" t="s">
        <v>56</v>
      </c>
      <c r="T1515" s="5" t="s">
        <v>63</v>
      </c>
      <c r="U1515" s="5" t="s">
        <v>58</v>
      </c>
      <c r="V1515" s="5" t="s">
        <v>59</v>
      </c>
      <c r="W1515" s="5" t="s">
        <v>300</v>
      </c>
      <c r="X1515" s="5" t="s">
        <v>6278</v>
      </c>
      <c r="Y1515" s="5" t="s">
        <v>6279</v>
      </c>
      <c r="Z1515" s="9">
        <v>46230</v>
      </c>
      <c r="AA1515" s="8">
        <v>12</v>
      </c>
      <c r="AB1515" s="9">
        <f t="shared" si="70"/>
        <v>46595</v>
      </c>
      <c r="AC1515" s="10">
        <v>13</v>
      </c>
      <c r="AD1515" s="7">
        <f t="shared" si="71"/>
        <v>1666</v>
      </c>
      <c r="AE1515" s="7">
        <f>IF(F1515="Bullet",H1515*AD1515,MIN(MAX(I1515,1),Assumptions!$B$6)*AD1515)</f>
        <v>3332</v>
      </c>
      <c r="AF1515" s="8">
        <f>IF(F1515="Bullet",MAX(0,Assumptions!$B$4-AB1515),MAX(0,Assumptions!$B$4-L1515))</f>
        <v>0</v>
      </c>
      <c r="AG1515" s="9"/>
      <c r="AH1515" s="8" t="str">
        <f>IF(AG1515="","",Assumptions!$B$4-AG1515)</f>
        <v/>
      </c>
      <c r="AI1515" s="5" t="s">
        <v>80</v>
      </c>
      <c r="AJ1515" s="8"/>
      <c r="AK1515" s="8">
        <v>2</v>
      </c>
      <c r="AL1515" s="8">
        <v>742</v>
      </c>
      <c r="AM1515" s="8">
        <v>3</v>
      </c>
      <c r="AN1515" s="5" t="s">
        <v>63</v>
      </c>
      <c r="AO1515" s="10">
        <v>86.1</v>
      </c>
      <c r="AP1515" s="8">
        <v>34</v>
      </c>
      <c r="AQ1515" s="9">
        <v>46297</v>
      </c>
      <c r="AR1515" s="5" t="s">
        <v>53</v>
      </c>
      <c r="AS1515" s="5" t="s">
        <v>64</v>
      </c>
    </row>
    <row r="1516" spans="1:45" x14ac:dyDescent="0.35">
      <c r="A1516" s="5" t="s">
        <v>6280</v>
      </c>
      <c r="B1516" s="5" t="s">
        <v>5649</v>
      </c>
      <c r="C1516" s="6" t="s">
        <v>6281</v>
      </c>
      <c r="D1516" s="7">
        <v>350500</v>
      </c>
      <c r="E1516" s="5" t="s">
        <v>48</v>
      </c>
      <c r="F1516" s="5" t="s">
        <v>68</v>
      </c>
      <c r="G1516" s="8">
        <v>3</v>
      </c>
      <c r="H1516" s="8">
        <f>IF(F1516="Bullet",MIN(G1516,Assumptions!$B$6),"")</f>
        <v>2</v>
      </c>
      <c r="I1516" s="8"/>
      <c r="J1516" s="8" t="str">
        <f>IF(F1516="Monthly interest",MAX(0,Assumptions!$B$5-I1516),"")</f>
        <v/>
      </c>
      <c r="K1516" s="7">
        <f t="shared" si="69"/>
        <v>14019</v>
      </c>
      <c r="L1516" s="9">
        <v>46186</v>
      </c>
      <c r="M1516" s="5" t="s">
        <v>69</v>
      </c>
      <c r="N1516" s="5" t="s">
        <v>70</v>
      </c>
      <c r="O1516" s="5" t="s">
        <v>71</v>
      </c>
      <c r="P1516" s="5" t="s">
        <v>72</v>
      </c>
      <c r="Q1516" s="5" t="s">
        <v>73</v>
      </c>
      <c r="R1516" s="5" t="s">
        <v>74</v>
      </c>
      <c r="S1516" s="5" t="s">
        <v>253</v>
      </c>
      <c r="T1516" s="5" t="s">
        <v>57</v>
      </c>
      <c r="U1516" s="5" t="s">
        <v>104</v>
      </c>
      <c r="V1516" s="5" t="s">
        <v>59</v>
      </c>
      <c r="W1516" s="5" t="s">
        <v>418</v>
      </c>
      <c r="X1516" s="5" t="s">
        <v>1184</v>
      </c>
      <c r="Y1516" s="5" t="s">
        <v>6282</v>
      </c>
      <c r="Z1516" s="9">
        <v>46186</v>
      </c>
      <c r="AA1516" s="8">
        <v>6</v>
      </c>
      <c r="AB1516" s="9">
        <f t="shared" si="70"/>
        <v>46369</v>
      </c>
      <c r="AC1516" s="10">
        <v>16</v>
      </c>
      <c r="AD1516" s="7">
        <f t="shared" si="71"/>
        <v>4673</v>
      </c>
      <c r="AE1516" s="7">
        <f>IF(F1516="Bullet",H1516*AD1516,MIN(MAX(I1516,1),Assumptions!$B$6)*AD1516)</f>
        <v>9346</v>
      </c>
      <c r="AF1516" s="8">
        <f>IF(F1516="Bullet",MAX(0,Assumptions!$B$4-AB1516),MAX(0,Assumptions!$B$4-L1516))</f>
        <v>0</v>
      </c>
      <c r="AG1516" s="9"/>
      <c r="AH1516" s="8" t="str">
        <f>IF(AG1516="","",Assumptions!$B$4-AG1516)</f>
        <v/>
      </c>
      <c r="AI1516" s="5" t="s">
        <v>80</v>
      </c>
      <c r="AJ1516" s="8"/>
      <c r="AK1516" s="8">
        <v>0</v>
      </c>
      <c r="AL1516" s="8" t="s">
        <v>80</v>
      </c>
      <c r="AM1516" s="8">
        <v>2</v>
      </c>
      <c r="AN1516" s="5" t="s">
        <v>57</v>
      </c>
      <c r="AO1516" s="10">
        <v>67.7</v>
      </c>
      <c r="AP1516" s="8">
        <v>31</v>
      </c>
      <c r="AQ1516" s="9">
        <v>46292</v>
      </c>
      <c r="AR1516" s="5" t="s">
        <v>70</v>
      </c>
      <c r="AS1516" s="5" t="s">
        <v>190</v>
      </c>
    </row>
    <row r="1517" spans="1:45" x14ac:dyDescent="0.35">
      <c r="A1517" s="5" t="s">
        <v>6283</v>
      </c>
      <c r="B1517" s="5" t="s">
        <v>2198</v>
      </c>
      <c r="C1517" s="6" t="s">
        <v>6284</v>
      </c>
      <c r="D1517" s="7">
        <v>132100</v>
      </c>
      <c r="E1517" s="5" t="s">
        <v>48</v>
      </c>
      <c r="F1517" s="5" t="s">
        <v>49</v>
      </c>
      <c r="G1517" s="8"/>
      <c r="H1517" s="8" t="str">
        <f>IF(F1517="Bullet",MIN(G1517,Assumptions!$B$6),"")</f>
        <v/>
      </c>
      <c r="I1517" s="8">
        <v>1</v>
      </c>
      <c r="J1517" s="8">
        <f>IF(F1517="Monthly interest",MAX(0,Assumptions!$B$5-I1517),"")</f>
        <v>2</v>
      </c>
      <c r="K1517" s="7">
        <f t="shared" si="69"/>
        <v>1651</v>
      </c>
      <c r="L1517" s="9">
        <v>46297</v>
      </c>
      <c r="M1517" s="5" t="s">
        <v>69</v>
      </c>
      <c r="N1517" s="5" t="s">
        <v>53</v>
      </c>
      <c r="O1517" s="5" t="s">
        <v>103</v>
      </c>
      <c r="P1517" s="5" t="s">
        <v>70</v>
      </c>
      <c r="Q1517" s="5" t="s">
        <v>54</v>
      </c>
      <c r="R1517" s="5" t="s">
        <v>55</v>
      </c>
      <c r="S1517" s="5" t="s">
        <v>75</v>
      </c>
      <c r="T1517" s="5" t="s">
        <v>57</v>
      </c>
      <c r="U1517" s="5" t="s">
        <v>58</v>
      </c>
      <c r="V1517" s="5" t="s">
        <v>76</v>
      </c>
      <c r="W1517" s="5" t="s">
        <v>306</v>
      </c>
      <c r="X1517" s="5" t="s">
        <v>371</v>
      </c>
      <c r="Y1517" s="5" t="s">
        <v>6285</v>
      </c>
      <c r="Z1517" s="9">
        <v>46236</v>
      </c>
      <c r="AA1517" s="8">
        <v>12</v>
      </c>
      <c r="AB1517" s="9">
        <f t="shared" si="70"/>
        <v>46601</v>
      </c>
      <c r="AC1517" s="10">
        <v>15</v>
      </c>
      <c r="AD1517" s="7">
        <f t="shared" si="71"/>
        <v>1651</v>
      </c>
      <c r="AE1517" s="7">
        <f>IF(F1517="Bullet",H1517*AD1517,MIN(MAX(I1517,1),Assumptions!$B$6)*AD1517)</f>
        <v>1651</v>
      </c>
      <c r="AF1517" s="8">
        <f>IF(F1517="Bullet",MAX(0,Assumptions!$B$4-AB1517),MAX(0,Assumptions!$B$4-L1517))</f>
        <v>1</v>
      </c>
      <c r="AG1517" s="9">
        <v>46272</v>
      </c>
      <c r="AH1517" s="8">
        <f>IF(AG1517="","",Assumptions!$B$4-AG1517)</f>
        <v>26</v>
      </c>
      <c r="AI1517" s="5" t="s">
        <v>63</v>
      </c>
      <c r="AJ1517" s="8">
        <v>2</v>
      </c>
      <c r="AK1517" s="8">
        <v>0</v>
      </c>
      <c r="AL1517" s="8">
        <v>647</v>
      </c>
      <c r="AM1517" s="8">
        <v>0</v>
      </c>
      <c r="AN1517" s="5" t="s">
        <v>63</v>
      </c>
      <c r="AO1517" s="10">
        <v>58.4</v>
      </c>
      <c r="AP1517" s="8">
        <v>36</v>
      </c>
      <c r="AQ1517" s="9">
        <v>46293</v>
      </c>
      <c r="AR1517" s="5" t="s">
        <v>51</v>
      </c>
      <c r="AS1517" s="5" t="s">
        <v>81</v>
      </c>
    </row>
    <row r="1518" spans="1:45" x14ac:dyDescent="0.35">
      <c r="A1518" s="5" t="s">
        <v>6286</v>
      </c>
      <c r="B1518" s="5" t="s">
        <v>6195</v>
      </c>
      <c r="C1518" s="6" t="s">
        <v>6287</v>
      </c>
      <c r="D1518" s="7">
        <v>224500</v>
      </c>
      <c r="E1518" s="5" t="s">
        <v>48</v>
      </c>
      <c r="F1518" s="5" t="s">
        <v>49</v>
      </c>
      <c r="G1518" s="8"/>
      <c r="H1518" s="8" t="str">
        <f>IF(F1518="Bullet",MIN(G1518,Assumptions!$B$6),"")</f>
        <v/>
      </c>
      <c r="I1518" s="8">
        <v>1</v>
      </c>
      <c r="J1518" s="8">
        <f>IF(F1518="Monthly interest",MAX(0,Assumptions!$B$5-I1518),"")</f>
        <v>2</v>
      </c>
      <c r="K1518" s="7">
        <f t="shared" si="69"/>
        <v>2619</v>
      </c>
      <c r="L1518" s="9">
        <v>46270</v>
      </c>
      <c r="M1518" s="5" t="s">
        <v>50</v>
      </c>
      <c r="N1518" s="5" t="s">
        <v>53</v>
      </c>
      <c r="O1518" s="5" t="s">
        <v>95</v>
      </c>
      <c r="P1518" s="5" t="s">
        <v>70</v>
      </c>
      <c r="Q1518" s="5" t="s">
        <v>54</v>
      </c>
      <c r="R1518" s="5" t="s">
        <v>55</v>
      </c>
      <c r="S1518" s="5" t="s">
        <v>75</v>
      </c>
      <c r="T1518" s="5" t="s">
        <v>63</v>
      </c>
      <c r="U1518" s="5" t="s">
        <v>104</v>
      </c>
      <c r="V1518" s="5" t="s">
        <v>76</v>
      </c>
      <c r="W1518" s="5" t="s">
        <v>146</v>
      </c>
      <c r="X1518" s="5" t="s">
        <v>147</v>
      </c>
      <c r="Y1518" s="5" t="s">
        <v>6288</v>
      </c>
      <c r="Z1518" s="9">
        <v>46117</v>
      </c>
      <c r="AA1518" s="8">
        <v>18</v>
      </c>
      <c r="AB1518" s="9">
        <f t="shared" si="70"/>
        <v>46665</v>
      </c>
      <c r="AC1518" s="10">
        <v>14</v>
      </c>
      <c r="AD1518" s="7">
        <f t="shared" si="71"/>
        <v>2619</v>
      </c>
      <c r="AE1518" s="7">
        <f>IF(F1518="Bullet",H1518*AD1518,MIN(MAX(I1518,1),Assumptions!$B$6)*AD1518)</f>
        <v>2619</v>
      </c>
      <c r="AF1518" s="8">
        <f>IF(F1518="Bullet",MAX(0,Assumptions!$B$4-AB1518),MAX(0,Assumptions!$B$4-L1518))</f>
        <v>28</v>
      </c>
      <c r="AG1518" s="9">
        <v>46241</v>
      </c>
      <c r="AH1518" s="8">
        <f>IF(AG1518="","",Assumptions!$B$4-AG1518)</f>
        <v>57</v>
      </c>
      <c r="AI1518" s="5" t="s">
        <v>63</v>
      </c>
      <c r="AJ1518" s="8">
        <v>1</v>
      </c>
      <c r="AK1518" s="8">
        <v>1</v>
      </c>
      <c r="AL1518" s="8">
        <v>703</v>
      </c>
      <c r="AM1518" s="8">
        <v>1</v>
      </c>
      <c r="AN1518" s="5" t="s">
        <v>63</v>
      </c>
      <c r="AO1518" s="10">
        <v>72.099999999999994</v>
      </c>
      <c r="AP1518" s="8">
        <v>24</v>
      </c>
      <c r="AQ1518" s="9">
        <v>46277</v>
      </c>
      <c r="AR1518" s="5" t="s">
        <v>53</v>
      </c>
      <c r="AS1518" s="5" t="s">
        <v>81</v>
      </c>
    </row>
    <row r="1519" spans="1:45" x14ac:dyDescent="0.35">
      <c r="A1519" s="5" t="s">
        <v>6289</v>
      </c>
      <c r="B1519" s="5" t="s">
        <v>2841</v>
      </c>
      <c r="C1519" s="6" t="s">
        <v>6290</v>
      </c>
      <c r="D1519" s="7">
        <v>134700</v>
      </c>
      <c r="E1519" s="5" t="s">
        <v>48</v>
      </c>
      <c r="F1519" s="5" t="s">
        <v>49</v>
      </c>
      <c r="G1519" s="8"/>
      <c r="H1519" s="8" t="str">
        <f>IF(F1519="Bullet",MIN(G1519,Assumptions!$B$6),"")</f>
        <v/>
      </c>
      <c r="I1519" s="8">
        <v>1</v>
      </c>
      <c r="J1519" s="8">
        <f>IF(F1519="Monthly interest",MAX(0,Assumptions!$B$5-I1519),"")</f>
        <v>2</v>
      </c>
      <c r="K1519" s="7">
        <f t="shared" si="69"/>
        <v>1684</v>
      </c>
      <c r="L1519" s="9">
        <v>46289</v>
      </c>
      <c r="M1519" s="5" t="s">
        <v>116</v>
      </c>
      <c r="N1519" s="5" t="s">
        <v>117</v>
      </c>
      <c r="O1519" s="5" t="s">
        <v>118</v>
      </c>
      <c r="P1519" s="5" t="s">
        <v>72</v>
      </c>
      <c r="Q1519" s="5" t="s">
        <v>119</v>
      </c>
      <c r="R1519" s="5" t="s">
        <v>120</v>
      </c>
      <c r="S1519" s="5" t="s">
        <v>56</v>
      </c>
      <c r="T1519" s="5" t="s">
        <v>57</v>
      </c>
      <c r="U1519" s="5" t="s">
        <v>58</v>
      </c>
      <c r="V1519" s="5" t="s">
        <v>59</v>
      </c>
      <c r="W1519" s="5" t="s">
        <v>467</v>
      </c>
      <c r="X1519" s="5" t="s">
        <v>3431</v>
      </c>
      <c r="Y1519" s="5" t="s">
        <v>6291</v>
      </c>
      <c r="Z1519" s="9">
        <v>46015</v>
      </c>
      <c r="AA1519" s="8">
        <v>24</v>
      </c>
      <c r="AB1519" s="9">
        <f t="shared" si="70"/>
        <v>46745</v>
      </c>
      <c r="AC1519" s="10">
        <v>15</v>
      </c>
      <c r="AD1519" s="7">
        <f t="shared" si="71"/>
        <v>1684</v>
      </c>
      <c r="AE1519" s="7">
        <f>IF(F1519="Bullet",H1519*AD1519,MIN(MAX(I1519,1),Assumptions!$B$6)*AD1519)</f>
        <v>1684</v>
      </c>
      <c r="AF1519" s="8">
        <f>IF(F1519="Bullet",MAX(0,Assumptions!$B$4-AB1519),MAX(0,Assumptions!$B$4-L1519))</f>
        <v>9</v>
      </c>
      <c r="AG1519" s="9">
        <v>46263</v>
      </c>
      <c r="AH1519" s="8">
        <f>IF(AG1519="","",Assumptions!$B$4-AG1519)</f>
        <v>35</v>
      </c>
      <c r="AI1519" s="5" t="s">
        <v>63</v>
      </c>
      <c r="AJ1519" s="8">
        <v>1</v>
      </c>
      <c r="AK1519" s="8">
        <v>0</v>
      </c>
      <c r="AL1519" s="8">
        <v>613</v>
      </c>
      <c r="AM1519" s="8">
        <v>0</v>
      </c>
      <c r="AN1519" s="5" t="s">
        <v>57</v>
      </c>
      <c r="AO1519" s="10">
        <v>57.8</v>
      </c>
      <c r="AP1519" s="8">
        <v>48</v>
      </c>
      <c r="AQ1519" s="9">
        <v>46289</v>
      </c>
      <c r="AR1519" s="5" t="s">
        <v>51</v>
      </c>
      <c r="AS1519" s="5" t="s">
        <v>81</v>
      </c>
    </row>
    <row r="1520" spans="1:45" x14ac:dyDescent="0.35">
      <c r="A1520" s="5" t="s">
        <v>6292</v>
      </c>
      <c r="B1520" s="5" t="s">
        <v>6293</v>
      </c>
      <c r="C1520" s="6" t="s">
        <v>6294</v>
      </c>
      <c r="D1520" s="7">
        <v>133900</v>
      </c>
      <c r="E1520" s="5" t="s">
        <v>48</v>
      </c>
      <c r="F1520" s="5" t="s">
        <v>68</v>
      </c>
      <c r="G1520" s="8">
        <v>5</v>
      </c>
      <c r="H1520" s="8">
        <f>IF(F1520="Bullet",MIN(G1520,Assumptions!$B$6),"")</f>
        <v>2</v>
      </c>
      <c r="I1520" s="8"/>
      <c r="J1520" s="8" t="str">
        <f>IF(F1520="Monthly interest",MAX(0,Assumptions!$B$5-I1520),"")</f>
        <v/>
      </c>
      <c r="K1520" s="7">
        <f t="shared" si="69"/>
        <v>7810</v>
      </c>
      <c r="L1520" s="9">
        <v>46138</v>
      </c>
      <c r="M1520" s="5" t="s">
        <v>69</v>
      </c>
      <c r="N1520" s="5" t="s">
        <v>53</v>
      </c>
      <c r="O1520" s="5" t="s">
        <v>168</v>
      </c>
      <c r="P1520" s="5" t="s">
        <v>70</v>
      </c>
      <c r="Q1520" s="5" t="s">
        <v>169</v>
      </c>
      <c r="R1520" s="5" t="s">
        <v>170</v>
      </c>
      <c r="S1520" s="5" t="s">
        <v>85</v>
      </c>
      <c r="T1520" s="5" t="s">
        <v>63</v>
      </c>
      <c r="U1520" s="5" t="s">
        <v>86</v>
      </c>
      <c r="V1520" s="5" t="s">
        <v>96</v>
      </c>
      <c r="W1520" s="5" t="s">
        <v>171</v>
      </c>
      <c r="X1520" s="5" t="s">
        <v>2174</v>
      </c>
      <c r="Y1520" s="5" t="s">
        <v>6295</v>
      </c>
      <c r="Z1520" s="9">
        <v>46138</v>
      </c>
      <c r="AA1520" s="8">
        <v>6</v>
      </c>
      <c r="AB1520" s="9">
        <f t="shared" si="70"/>
        <v>46321</v>
      </c>
      <c r="AC1520" s="10">
        <v>14</v>
      </c>
      <c r="AD1520" s="7">
        <f t="shared" si="71"/>
        <v>1562</v>
      </c>
      <c r="AE1520" s="7">
        <f>IF(F1520="Bullet",H1520*AD1520,MIN(MAX(I1520,1),Assumptions!$B$6)*AD1520)</f>
        <v>3124</v>
      </c>
      <c r="AF1520" s="8">
        <f>IF(F1520="Bullet",MAX(0,Assumptions!$B$4-AB1520),MAX(0,Assumptions!$B$4-L1520))</f>
        <v>0</v>
      </c>
      <c r="AG1520" s="9"/>
      <c r="AH1520" s="8" t="str">
        <f>IF(AG1520="","",Assumptions!$B$4-AG1520)</f>
        <v/>
      </c>
      <c r="AI1520" s="5" t="s">
        <v>80</v>
      </c>
      <c r="AJ1520" s="8"/>
      <c r="AK1520" s="8">
        <v>1</v>
      </c>
      <c r="AL1520" s="8">
        <v>709</v>
      </c>
      <c r="AM1520" s="8">
        <v>2</v>
      </c>
      <c r="AN1520" s="5" t="s">
        <v>63</v>
      </c>
      <c r="AO1520" s="10">
        <v>64.3</v>
      </c>
      <c r="AP1520" s="8">
        <v>42</v>
      </c>
      <c r="AQ1520" s="9">
        <v>46275</v>
      </c>
      <c r="AR1520" s="5" t="s">
        <v>70</v>
      </c>
      <c r="AS1520" s="5" t="s">
        <v>64</v>
      </c>
    </row>
    <row r="1521" spans="1:45" x14ac:dyDescent="0.35">
      <c r="A1521" s="5" t="s">
        <v>6296</v>
      </c>
      <c r="B1521" s="5" t="s">
        <v>3816</v>
      </c>
      <c r="C1521" s="6" t="s">
        <v>6297</v>
      </c>
      <c r="D1521" s="7">
        <v>58300</v>
      </c>
      <c r="E1521" s="5" t="s">
        <v>48</v>
      </c>
      <c r="F1521" s="5" t="s">
        <v>49</v>
      </c>
      <c r="G1521" s="8"/>
      <c r="H1521" s="8" t="str">
        <f>IF(F1521="Bullet",MIN(G1521,Assumptions!$B$6),"")</f>
        <v/>
      </c>
      <c r="I1521" s="8">
        <v>2</v>
      </c>
      <c r="J1521" s="8">
        <f>IF(F1521="Monthly interest",MAX(0,Assumptions!$B$5-I1521),"")</f>
        <v>1</v>
      </c>
      <c r="K1521" s="7">
        <f t="shared" si="69"/>
        <v>2332</v>
      </c>
      <c r="L1521" s="9">
        <v>46256</v>
      </c>
      <c r="M1521" s="5" t="s">
        <v>69</v>
      </c>
      <c r="N1521" s="5" t="s">
        <v>70</v>
      </c>
      <c r="O1521" s="5" t="s">
        <v>271</v>
      </c>
      <c r="P1521" s="5" t="s">
        <v>72</v>
      </c>
      <c r="Q1521" s="5" t="s">
        <v>73</v>
      </c>
      <c r="R1521" s="5" t="s">
        <v>74</v>
      </c>
      <c r="S1521" s="5" t="s">
        <v>75</v>
      </c>
      <c r="T1521" s="5" t="s">
        <v>57</v>
      </c>
      <c r="U1521" s="5" t="s">
        <v>104</v>
      </c>
      <c r="V1521" s="5" t="s">
        <v>76</v>
      </c>
      <c r="W1521" s="5" t="s">
        <v>105</v>
      </c>
      <c r="X1521" s="5" t="s">
        <v>585</v>
      </c>
      <c r="Y1521" s="5" t="s">
        <v>6298</v>
      </c>
      <c r="Z1521" s="9">
        <v>46134</v>
      </c>
      <c r="AA1521" s="8">
        <v>12</v>
      </c>
      <c r="AB1521" s="9">
        <f t="shared" si="70"/>
        <v>46499</v>
      </c>
      <c r="AC1521" s="10">
        <v>24</v>
      </c>
      <c r="AD1521" s="7">
        <f t="shared" si="71"/>
        <v>1166</v>
      </c>
      <c r="AE1521" s="7">
        <f>IF(F1521="Bullet",H1521*AD1521,MIN(MAX(I1521,1),Assumptions!$B$6)*AD1521)</f>
        <v>2332</v>
      </c>
      <c r="AF1521" s="8">
        <f>IF(F1521="Bullet",MAX(0,Assumptions!$B$4-AB1521),MAX(0,Assumptions!$B$4-L1521))</f>
        <v>42</v>
      </c>
      <c r="AG1521" s="9">
        <v>46227</v>
      </c>
      <c r="AH1521" s="8">
        <f>IF(AG1521="","",Assumptions!$B$4-AG1521)</f>
        <v>71</v>
      </c>
      <c r="AI1521" s="5" t="s">
        <v>63</v>
      </c>
      <c r="AJ1521" s="8">
        <v>2</v>
      </c>
      <c r="AK1521" s="8">
        <v>0</v>
      </c>
      <c r="AL1521" s="8">
        <v>744</v>
      </c>
      <c r="AM1521" s="8">
        <v>0</v>
      </c>
      <c r="AN1521" s="5" t="s">
        <v>63</v>
      </c>
      <c r="AO1521" s="10">
        <v>54</v>
      </c>
      <c r="AP1521" s="8">
        <v>33</v>
      </c>
      <c r="AQ1521" s="9">
        <v>46296</v>
      </c>
      <c r="AR1521" s="5" t="s">
        <v>70</v>
      </c>
      <c r="AS1521" s="5" t="s">
        <v>274</v>
      </c>
    </row>
    <row r="1522" spans="1:45" x14ac:dyDescent="0.35">
      <c r="A1522" s="5" t="s">
        <v>6299</v>
      </c>
      <c r="B1522" s="5" t="s">
        <v>1942</v>
      </c>
      <c r="C1522" s="6" t="s">
        <v>6300</v>
      </c>
      <c r="D1522" s="7">
        <v>66500</v>
      </c>
      <c r="E1522" s="5" t="s">
        <v>48</v>
      </c>
      <c r="F1522" s="5" t="s">
        <v>49</v>
      </c>
      <c r="G1522" s="8"/>
      <c r="H1522" s="8" t="str">
        <f>IF(F1522="Bullet",MIN(G1522,Assumptions!$B$6),"")</f>
        <v/>
      </c>
      <c r="I1522" s="8">
        <v>2</v>
      </c>
      <c r="J1522" s="8">
        <f>IF(F1522="Monthly interest",MAX(0,Assumptions!$B$5-I1522),"")</f>
        <v>1</v>
      </c>
      <c r="K1522" s="7">
        <f t="shared" si="69"/>
        <v>1552</v>
      </c>
      <c r="L1522" s="9">
        <v>46258</v>
      </c>
      <c r="M1522" s="5" t="s">
        <v>69</v>
      </c>
      <c r="N1522" s="5" t="s">
        <v>53</v>
      </c>
      <c r="O1522" s="5" t="s">
        <v>71</v>
      </c>
      <c r="P1522" s="5" t="s">
        <v>70</v>
      </c>
      <c r="Q1522" s="5" t="s">
        <v>73</v>
      </c>
      <c r="R1522" s="5" t="s">
        <v>74</v>
      </c>
      <c r="S1522" s="5" t="s">
        <v>85</v>
      </c>
      <c r="T1522" s="5" t="s">
        <v>57</v>
      </c>
      <c r="U1522" s="5" t="s">
        <v>86</v>
      </c>
      <c r="V1522" s="5" t="s">
        <v>133</v>
      </c>
      <c r="W1522" s="5" t="s">
        <v>134</v>
      </c>
      <c r="X1522" s="5" t="s">
        <v>1551</v>
      </c>
      <c r="Y1522" s="5" t="s">
        <v>6301</v>
      </c>
      <c r="Z1522" s="9">
        <v>46136</v>
      </c>
      <c r="AA1522" s="8">
        <v>12</v>
      </c>
      <c r="AB1522" s="9">
        <f t="shared" si="70"/>
        <v>46501</v>
      </c>
      <c r="AC1522" s="10">
        <v>14</v>
      </c>
      <c r="AD1522" s="7">
        <f t="shared" si="71"/>
        <v>776</v>
      </c>
      <c r="AE1522" s="7">
        <f>IF(F1522="Bullet",H1522*AD1522,MIN(MAX(I1522,1),Assumptions!$B$6)*AD1522)</f>
        <v>1552</v>
      </c>
      <c r="AF1522" s="8">
        <f>IF(F1522="Bullet",MAX(0,Assumptions!$B$4-AB1522),MAX(0,Assumptions!$B$4-L1522))</f>
        <v>40</v>
      </c>
      <c r="AG1522" s="9">
        <v>46230</v>
      </c>
      <c r="AH1522" s="8">
        <f>IF(AG1522="","",Assumptions!$B$4-AG1522)</f>
        <v>68</v>
      </c>
      <c r="AI1522" s="5" t="s">
        <v>63</v>
      </c>
      <c r="AJ1522" s="8">
        <v>2</v>
      </c>
      <c r="AK1522" s="8">
        <v>0</v>
      </c>
      <c r="AL1522" s="8" t="s">
        <v>80</v>
      </c>
      <c r="AM1522" s="8">
        <v>0</v>
      </c>
      <c r="AN1522" s="5" t="s">
        <v>63</v>
      </c>
      <c r="AO1522" s="10">
        <v>67.099999999999994</v>
      </c>
      <c r="AP1522" s="8">
        <v>38</v>
      </c>
      <c r="AQ1522" s="9">
        <v>46290</v>
      </c>
      <c r="AR1522" s="5" t="s">
        <v>72</v>
      </c>
      <c r="AS1522" s="5" t="s">
        <v>64</v>
      </c>
    </row>
    <row r="1523" spans="1:45" x14ac:dyDescent="0.35">
      <c r="A1523" s="5" t="s">
        <v>6302</v>
      </c>
      <c r="B1523" s="5" t="s">
        <v>1369</v>
      </c>
      <c r="C1523" s="6" t="s">
        <v>6303</v>
      </c>
      <c r="D1523" s="7">
        <v>46000</v>
      </c>
      <c r="E1523" s="5" t="s">
        <v>48</v>
      </c>
      <c r="F1523" s="5" t="s">
        <v>49</v>
      </c>
      <c r="G1523" s="8"/>
      <c r="H1523" s="8" t="str">
        <f>IF(F1523="Bullet",MIN(G1523,Assumptions!$B$6),"")</f>
        <v/>
      </c>
      <c r="I1523" s="8">
        <v>1</v>
      </c>
      <c r="J1523" s="8">
        <f>IF(F1523="Monthly interest",MAX(0,Assumptions!$B$5-I1523),"")</f>
        <v>2</v>
      </c>
      <c r="K1523" s="7">
        <f t="shared" si="69"/>
        <v>767</v>
      </c>
      <c r="L1523" s="9">
        <v>46298</v>
      </c>
      <c r="M1523" s="5" t="s">
        <v>116</v>
      </c>
      <c r="N1523" s="5" t="s">
        <v>117</v>
      </c>
      <c r="O1523" s="5" t="s">
        <v>450</v>
      </c>
      <c r="P1523" s="5" t="s">
        <v>72</v>
      </c>
      <c r="Q1523" s="5" t="s">
        <v>154</v>
      </c>
      <c r="R1523" s="5" t="s">
        <v>155</v>
      </c>
      <c r="S1523" s="5" t="s">
        <v>56</v>
      </c>
      <c r="T1523" s="5" t="s">
        <v>57</v>
      </c>
      <c r="U1523" s="5" t="s">
        <v>104</v>
      </c>
      <c r="V1523" s="5" t="s">
        <v>59</v>
      </c>
      <c r="W1523" s="5" t="s">
        <v>156</v>
      </c>
      <c r="X1523" s="5" t="s">
        <v>506</v>
      </c>
      <c r="Y1523" s="5" t="s">
        <v>6304</v>
      </c>
      <c r="Z1523" s="9">
        <v>46056</v>
      </c>
      <c r="AA1523" s="8">
        <v>18</v>
      </c>
      <c r="AB1523" s="9">
        <f t="shared" si="70"/>
        <v>46602</v>
      </c>
      <c r="AC1523" s="10">
        <v>20</v>
      </c>
      <c r="AD1523" s="7">
        <f t="shared" si="71"/>
        <v>767</v>
      </c>
      <c r="AE1523" s="7">
        <f>IF(F1523="Bullet",H1523*AD1523,MIN(MAX(I1523,1),Assumptions!$B$6)*AD1523)</f>
        <v>767</v>
      </c>
      <c r="AF1523" s="8">
        <f>IF(F1523="Bullet",MAX(0,Assumptions!$B$4-AB1523),MAX(0,Assumptions!$B$4-L1523))</f>
        <v>0</v>
      </c>
      <c r="AG1523" s="9">
        <v>46270</v>
      </c>
      <c r="AH1523" s="8">
        <f>IF(AG1523="","",Assumptions!$B$4-AG1523)</f>
        <v>28</v>
      </c>
      <c r="AI1523" s="5" t="s">
        <v>63</v>
      </c>
      <c r="AJ1523" s="8">
        <v>1</v>
      </c>
      <c r="AK1523" s="8">
        <v>0</v>
      </c>
      <c r="AL1523" s="8">
        <v>583</v>
      </c>
      <c r="AM1523" s="8">
        <v>1</v>
      </c>
      <c r="AN1523" s="5" t="s">
        <v>57</v>
      </c>
      <c r="AO1523" s="10">
        <v>67.400000000000006</v>
      </c>
      <c r="AP1523" s="8">
        <v>51</v>
      </c>
      <c r="AQ1523" s="9">
        <v>46292</v>
      </c>
      <c r="AR1523" s="5" t="s">
        <v>53</v>
      </c>
      <c r="AS1523" s="5" t="s">
        <v>91</v>
      </c>
    </row>
    <row r="1524" spans="1:45" x14ac:dyDescent="0.35">
      <c r="A1524" s="5" t="s">
        <v>6305</v>
      </c>
      <c r="B1524" s="5" t="s">
        <v>6306</v>
      </c>
      <c r="C1524" s="6" t="s">
        <v>6307</v>
      </c>
      <c r="D1524" s="7">
        <v>410400</v>
      </c>
      <c r="E1524" s="5" t="s">
        <v>48</v>
      </c>
      <c r="F1524" s="5" t="s">
        <v>49</v>
      </c>
      <c r="G1524" s="8"/>
      <c r="H1524" s="8" t="str">
        <f>IF(F1524="Bullet",MIN(G1524,Assumptions!$B$6),"")</f>
        <v/>
      </c>
      <c r="I1524" s="8">
        <v>1</v>
      </c>
      <c r="J1524" s="8">
        <f>IF(F1524="Monthly interest",MAX(0,Assumptions!$B$5-I1524),"")</f>
        <v>2</v>
      </c>
      <c r="K1524" s="7">
        <f t="shared" si="69"/>
        <v>6840</v>
      </c>
      <c r="L1524" s="9">
        <v>46279</v>
      </c>
      <c r="M1524" s="5" t="s">
        <v>69</v>
      </c>
      <c r="N1524" s="5" t="s">
        <v>51</v>
      </c>
      <c r="O1524" s="5" t="s">
        <v>52</v>
      </c>
      <c r="P1524" s="5" t="s">
        <v>53</v>
      </c>
      <c r="Q1524" s="5" t="s">
        <v>54</v>
      </c>
      <c r="R1524" s="5" t="s">
        <v>55</v>
      </c>
      <c r="S1524" s="5" t="s">
        <v>85</v>
      </c>
      <c r="T1524" s="5" t="s">
        <v>57</v>
      </c>
      <c r="U1524" s="5" t="s">
        <v>86</v>
      </c>
      <c r="V1524" s="5" t="s">
        <v>96</v>
      </c>
      <c r="W1524" s="5" t="s">
        <v>819</v>
      </c>
      <c r="X1524" s="5" t="s">
        <v>2590</v>
      </c>
      <c r="Y1524" s="5" t="s">
        <v>6308</v>
      </c>
      <c r="Z1524" s="9">
        <v>46187</v>
      </c>
      <c r="AA1524" s="8">
        <v>12</v>
      </c>
      <c r="AB1524" s="9">
        <f t="shared" si="70"/>
        <v>46552</v>
      </c>
      <c r="AC1524" s="10">
        <v>20</v>
      </c>
      <c r="AD1524" s="7">
        <f t="shared" si="71"/>
        <v>6840</v>
      </c>
      <c r="AE1524" s="7">
        <f>IF(F1524="Bullet",H1524*AD1524,MIN(MAX(I1524,1),Assumptions!$B$6)*AD1524)</f>
        <v>6840</v>
      </c>
      <c r="AF1524" s="8">
        <f>IF(F1524="Bullet",MAX(0,Assumptions!$B$4-AB1524),MAX(0,Assumptions!$B$4-L1524))</f>
        <v>19</v>
      </c>
      <c r="AG1524" s="9">
        <v>46251</v>
      </c>
      <c r="AH1524" s="8">
        <f>IF(AG1524="","",Assumptions!$B$4-AG1524)</f>
        <v>47</v>
      </c>
      <c r="AI1524" s="5" t="s">
        <v>63</v>
      </c>
      <c r="AJ1524" s="8">
        <v>1</v>
      </c>
      <c r="AK1524" s="8">
        <v>1</v>
      </c>
      <c r="AL1524" s="8">
        <v>619</v>
      </c>
      <c r="AM1524" s="8">
        <v>1</v>
      </c>
      <c r="AN1524" s="5" t="s">
        <v>63</v>
      </c>
      <c r="AO1524" s="10">
        <v>68</v>
      </c>
      <c r="AP1524" s="8">
        <v>42</v>
      </c>
      <c r="AQ1524" s="9">
        <v>46289</v>
      </c>
      <c r="AR1524" s="5" t="s">
        <v>53</v>
      </c>
      <c r="AS1524" s="5" t="s">
        <v>190</v>
      </c>
    </row>
    <row r="1525" spans="1:45" x14ac:dyDescent="0.35">
      <c r="A1525" s="5" t="s">
        <v>6309</v>
      </c>
      <c r="B1525" s="5" t="s">
        <v>1321</v>
      </c>
      <c r="C1525" s="6" t="s">
        <v>6310</v>
      </c>
      <c r="D1525" s="7">
        <v>216500</v>
      </c>
      <c r="E1525" s="5" t="s">
        <v>48</v>
      </c>
      <c r="F1525" s="5" t="s">
        <v>49</v>
      </c>
      <c r="G1525" s="8"/>
      <c r="H1525" s="8" t="str">
        <f>IF(F1525="Bullet",MIN(G1525,Assumptions!$B$6),"")</f>
        <v/>
      </c>
      <c r="I1525" s="8">
        <v>1</v>
      </c>
      <c r="J1525" s="8">
        <f>IF(F1525="Monthly interest",MAX(0,Assumptions!$B$5-I1525),"")</f>
        <v>2</v>
      </c>
      <c r="K1525" s="7">
        <f t="shared" si="69"/>
        <v>2887</v>
      </c>
      <c r="L1525" s="9">
        <v>46277</v>
      </c>
      <c r="M1525" s="5" t="s">
        <v>50</v>
      </c>
      <c r="N1525" s="5" t="s">
        <v>51</v>
      </c>
      <c r="O1525" s="5" t="s">
        <v>52</v>
      </c>
      <c r="P1525" s="5" t="s">
        <v>53</v>
      </c>
      <c r="Q1525" s="5" t="s">
        <v>54</v>
      </c>
      <c r="R1525" s="5" t="s">
        <v>55</v>
      </c>
      <c r="S1525" s="5" t="s">
        <v>214</v>
      </c>
      <c r="T1525" s="5" t="s">
        <v>57</v>
      </c>
      <c r="U1525" s="5" t="s">
        <v>86</v>
      </c>
      <c r="V1525" s="5" t="s">
        <v>215</v>
      </c>
      <c r="W1525" s="5" t="s">
        <v>232</v>
      </c>
      <c r="X1525" s="5" t="s">
        <v>3242</v>
      </c>
      <c r="Y1525" s="5" t="s">
        <v>6311</v>
      </c>
      <c r="Z1525" s="9">
        <v>46215</v>
      </c>
      <c r="AA1525" s="8">
        <v>12</v>
      </c>
      <c r="AB1525" s="9">
        <f t="shared" si="70"/>
        <v>46580</v>
      </c>
      <c r="AC1525" s="10">
        <v>16</v>
      </c>
      <c r="AD1525" s="7">
        <f t="shared" si="71"/>
        <v>2887</v>
      </c>
      <c r="AE1525" s="7">
        <f>IF(F1525="Bullet",H1525*AD1525,MIN(MAX(I1525,1),Assumptions!$B$6)*AD1525)</f>
        <v>2887</v>
      </c>
      <c r="AF1525" s="8">
        <f>IF(F1525="Bullet",MAX(0,Assumptions!$B$4-AB1525),MAX(0,Assumptions!$B$4-L1525))</f>
        <v>21</v>
      </c>
      <c r="AG1525" s="9">
        <v>46249</v>
      </c>
      <c r="AH1525" s="8">
        <f>IF(AG1525="","",Assumptions!$B$4-AG1525)</f>
        <v>49</v>
      </c>
      <c r="AI1525" s="5" t="s">
        <v>57</v>
      </c>
      <c r="AJ1525" s="8">
        <v>1</v>
      </c>
      <c r="AK1525" s="8">
        <v>1</v>
      </c>
      <c r="AL1525" s="8">
        <v>786</v>
      </c>
      <c r="AM1525" s="8">
        <v>1</v>
      </c>
      <c r="AN1525" s="5" t="s">
        <v>63</v>
      </c>
      <c r="AO1525" s="10">
        <v>82.8</v>
      </c>
      <c r="AP1525" s="8">
        <v>30</v>
      </c>
      <c r="AQ1525" s="9">
        <v>46279</v>
      </c>
      <c r="AR1525" s="5" t="s">
        <v>51</v>
      </c>
      <c r="AS1525" s="5" t="s">
        <v>181</v>
      </c>
    </row>
    <row r="1526" spans="1:45" x14ac:dyDescent="0.35">
      <c r="A1526" s="5" t="s">
        <v>6312</v>
      </c>
      <c r="B1526" s="5" t="s">
        <v>5391</v>
      </c>
      <c r="C1526" s="6" t="s">
        <v>6313</v>
      </c>
      <c r="D1526" s="7">
        <v>47400</v>
      </c>
      <c r="E1526" s="5" t="s">
        <v>48</v>
      </c>
      <c r="F1526" s="5" t="s">
        <v>68</v>
      </c>
      <c r="G1526" s="8">
        <v>1</v>
      </c>
      <c r="H1526" s="8">
        <f>IF(F1526="Bullet",MIN(G1526,Assumptions!$B$6),"")</f>
        <v>1</v>
      </c>
      <c r="I1526" s="8"/>
      <c r="J1526" s="8" t="str">
        <f>IF(F1526="Monthly interest",MAX(0,Assumptions!$B$5-I1526),"")</f>
        <v/>
      </c>
      <c r="K1526" s="7">
        <f t="shared" si="69"/>
        <v>553</v>
      </c>
      <c r="L1526" s="9">
        <v>46262</v>
      </c>
      <c r="M1526" s="5" t="s">
        <v>50</v>
      </c>
      <c r="N1526" s="5" t="s">
        <v>51</v>
      </c>
      <c r="O1526" s="5" t="s">
        <v>152</v>
      </c>
      <c r="P1526" s="5" t="s">
        <v>53</v>
      </c>
      <c r="Q1526" s="5" t="s">
        <v>154</v>
      </c>
      <c r="R1526" s="5" t="s">
        <v>155</v>
      </c>
      <c r="S1526" s="5" t="s">
        <v>253</v>
      </c>
      <c r="T1526" s="5" t="s">
        <v>57</v>
      </c>
      <c r="U1526" s="5" t="s">
        <v>104</v>
      </c>
      <c r="V1526" s="5" t="s">
        <v>186</v>
      </c>
      <c r="W1526" s="5" t="s">
        <v>187</v>
      </c>
      <c r="X1526" s="5" t="s">
        <v>867</v>
      </c>
      <c r="Y1526" s="5" t="s">
        <v>6314</v>
      </c>
      <c r="Z1526" s="9">
        <v>46262</v>
      </c>
      <c r="AA1526" s="8">
        <v>6</v>
      </c>
      <c r="AB1526" s="9">
        <f t="shared" si="70"/>
        <v>46446</v>
      </c>
      <c r="AC1526" s="10">
        <v>14</v>
      </c>
      <c r="AD1526" s="7">
        <f t="shared" si="71"/>
        <v>553</v>
      </c>
      <c r="AE1526" s="7">
        <f>IF(F1526="Bullet",H1526*AD1526,MIN(MAX(I1526,1),Assumptions!$B$6)*AD1526)</f>
        <v>553</v>
      </c>
      <c r="AF1526" s="8">
        <f>IF(F1526="Bullet",MAX(0,Assumptions!$B$4-AB1526),MAX(0,Assumptions!$B$4-L1526))</f>
        <v>0</v>
      </c>
      <c r="AG1526" s="9"/>
      <c r="AH1526" s="8" t="str">
        <f>IF(AG1526="","",Assumptions!$B$4-AG1526)</f>
        <v/>
      </c>
      <c r="AI1526" s="5" t="s">
        <v>80</v>
      </c>
      <c r="AJ1526" s="8"/>
      <c r="AK1526" s="8">
        <v>0</v>
      </c>
      <c r="AL1526" s="8">
        <v>728</v>
      </c>
      <c r="AM1526" s="8">
        <v>1</v>
      </c>
      <c r="AN1526" s="5" t="s">
        <v>63</v>
      </c>
      <c r="AO1526" s="10">
        <v>62.5</v>
      </c>
      <c r="AP1526" s="8">
        <v>3</v>
      </c>
      <c r="AQ1526" s="9">
        <v>46278</v>
      </c>
      <c r="AR1526" s="5" t="s">
        <v>53</v>
      </c>
      <c r="AS1526" s="5" t="s">
        <v>181</v>
      </c>
    </row>
    <row r="1527" spans="1:45" x14ac:dyDescent="0.35">
      <c r="A1527" s="5" t="s">
        <v>6315</v>
      </c>
      <c r="B1527" s="5" t="s">
        <v>1795</v>
      </c>
      <c r="C1527" s="6" t="s">
        <v>6316</v>
      </c>
      <c r="D1527" s="7">
        <v>392500</v>
      </c>
      <c r="E1527" s="5" t="s">
        <v>48</v>
      </c>
      <c r="F1527" s="5" t="s">
        <v>49</v>
      </c>
      <c r="G1527" s="8"/>
      <c r="H1527" s="8" t="str">
        <f>IF(F1527="Bullet",MIN(G1527,Assumptions!$B$6),"")</f>
        <v/>
      </c>
      <c r="I1527" s="8">
        <v>1</v>
      </c>
      <c r="J1527" s="8">
        <f>IF(F1527="Monthly interest",MAX(0,Assumptions!$B$5-I1527),"")</f>
        <v>2</v>
      </c>
      <c r="K1527" s="7">
        <f t="shared" si="69"/>
        <v>4906</v>
      </c>
      <c r="L1527" s="9">
        <v>46293</v>
      </c>
      <c r="M1527" s="5" t="s">
        <v>69</v>
      </c>
      <c r="N1527" s="5" t="s">
        <v>53</v>
      </c>
      <c r="O1527" s="5" t="s">
        <v>103</v>
      </c>
      <c r="P1527" s="5" t="s">
        <v>70</v>
      </c>
      <c r="Q1527" s="5" t="s">
        <v>54</v>
      </c>
      <c r="R1527" s="5" t="s">
        <v>55</v>
      </c>
      <c r="S1527" s="5" t="s">
        <v>214</v>
      </c>
      <c r="T1527" s="5" t="s">
        <v>57</v>
      </c>
      <c r="U1527" s="5" t="s">
        <v>58</v>
      </c>
      <c r="V1527" s="5" t="s">
        <v>215</v>
      </c>
      <c r="W1527" s="5" t="s">
        <v>278</v>
      </c>
      <c r="X1527" s="5" t="s">
        <v>490</v>
      </c>
      <c r="Y1527" s="5" t="s">
        <v>6317</v>
      </c>
      <c r="Z1527" s="9">
        <v>46170</v>
      </c>
      <c r="AA1527" s="8">
        <v>24</v>
      </c>
      <c r="AB1527" s="9">
        <f t="shared" si="70"/>
        <v>46901</v>
      </c>
      <c r="AC1527" s="10">
        <v>15</v>
      </c>
      <c r="AD1527" s="7">
        <f t="shared" si="71"/>
        <v>4906</v>
      </c>
      <c r="AE1527" s="7">
        <f>IF(F1527="Bullet",H1527*AD1527,MIN(MAX(I1527,1),Assumptions!$B$6)*AD1527)</f>
        <v>4906</v>
      </c>
      <c r="AF1527" s="8">
        <f>IF(F1527="Bullet",MAX(0,Assumptions!$B$4-AB1527),MAX(0,Assumptions!$B$4-L1527))</f>
        <v>5</v>
      </c>
      <c r="AG1527" s="9">
        <v>46262</v>
      </c>
      <c r="AH1527" s="8">
        <f>IF(AG1527="","",Assumptions!$B$4-AG1527)</f>
        <v>36</v>
      </c>
      <c r="AI1527" s="5" t="s">
        <v>57</v>
      </c>
      <c r="AJ1527" s="8">
        <v>2</v>
      </c>
      <c r="AK1527" s="8">
        <v>0</v>
      </c>
      <c r="AL1527" s="8">
        <v>731</v>
      </c>
      <c r="AM1527" s="8">
        <v>3</v>
      </c>
      <c r="AN1527" s="5" t="s">
        <v>63</v>
      </c>
      <c r="AO1527" s="10">
        <v>60.5</v>
      </c>
      <c r="AP1527" s="8">
        <v>31</v>
      </c>
      <c r="AQ1527" s="9">
        <v>46275</v>
      </c>
      <c r="AR1527" s="5" t="s">
        <v>51</v>
      </c>
      <c r="AS1527" s="5" t="s">
        <v>81</v>
      </c>
    </row>
    <row r="1528" spans="1:45" x14ac:dyDescent="0.35">
      <c r="A1528" s="5" t="s">
        <v>6318</v>
      </c>
      <c r="B1528" s="5" t="s">
        <v>4970</v>
      </c>
      <c r="C1528" s="6" t="s">
        <v>6319</v>
      </c>
      <c r="D1528" s="7">
        <v>99500</v>
      </c>
      <c r="E1528" s="5" t="s">
        <v>48</v>
      </c>
      <c r="F1528" s="5" t="s">
        <v>49</v>
      </c>
      <c r="G1528" s="8"/>
      <c r="H1528" s="8" t="str">
        <f>IF(F1528="Bullet",MIN(G1528,Assumptions!$B$6),"")</f>
        <v/>
      </c>
      <c r="I1528" s="8">
        <v>1</v>
      </c>
      <c r="J1528" s="8">
        <f>IF(F1528="Monthly interest",MAX(0,Assumptions!$B$5-I1528),"")</f>
        <v>2</v>
      </c>
      <c r="K1528" s="7">
        <f t="shared" si="69"/>
        <v>1493</v>
      </c>
      <c r="L1528" s="9">
        <v>46284</v>
      </c>
      <c r="M1528" s="5" t="s">
        <v>50</v>
      </c>
      <c r="N1528" s="5" t="s">
        <v>53</v>
      </c>
      <c r="O1528" s="5" t="s">
        <v>95</v>
      </c>
      <c r="P1528" s="5" t="s">
        <v>70</v>
      </c>
      <c r="Q1528" s="5" t="s">
        <v>54</v>
      </c>
      <c r="R1528" s="5" t="s">
        <v>55</v>
      </c>
      <c r="S1528" s="5" t="s">
        <v>56</v>
      </c>
      <c r="T1528" s="5" t="s">
        <v>63</v>
      </c>
      <c r="U1528" s="5" t="s">
        <v>104</v>
      </c>
      <c r="V1528" s="5" t="s">
        <v>59</v>
      </c>
      <c r="W1528" s="5" t="s">
        <v>323</v>
      </c>
      <c r="X1528" s="5" t="s">
        <v>5901</v>
      </c>
      <c r="Y1528" s="5" t="s">
        <v>6320</v>
      </c>
      <c r="Z1528" s="9">
        <v>46010</v>
      </c>
      <c r="AA1528" s="8">
        <v>18</v>
      </c>
      <c r="AB1528" s="9">
        <f t="shared" si="70"/>
        <v>46557</v>
      </c>
      <c r="AC1528" s="10">
        <v>18</v>
      </c>
      <c r="AD1528" s="7">
        <f t="shared" si="71"/>
        <v>1493</v>
      </c>
      <c r="AE1528" s="7">
        <f>IF(F1528="Bullet",H1528*AD1528,MIN(MAX(I1528,1),Assumptions!$B$6)*AD1528)</f>
        <v>1493</v>
      </c>
      <c r="AF1528" s="8">
        <f>IF(F1528="Bullet",MAX(0,Assumptions!$B$4-AB1528),MAX(0,Assumptions!$B$4-L1528))</f>
        <v>14</v>
      </c>
      <c r="AG1528" s="9">
        <v>46255</v>
      </c>
      <c r="AH1528" s="8">
        <f>IF(AG1528="","",Assumptions!$B$4-AG1528)</f>
        <v>43</v>
      </c>
      <c r="AI1528" s="5" t="s">
        <v>63</v>
      </c>
      <c r="AJ1528" s="8">
        <v>2</v>
      </c>
      <c r="AK1528" s="8">
        <v>0</v>
      </c>
      <c r="AL1528" s="8" t="s">
        <v>80</v>
      </c>
      <c r="AM1528" s="8">
        <v>1</v>
      </c>
      <c r="AN1528" s="5" t="s">
        <v>63</v>
      </c>
      <c r="AO1528" s="10">
        <v>64.7</v>
      </c>
      <c r="AP1528" s="8">
        <v>28</v>
      </c>
      <c r="AQ1528" s="9">
        <v>46295</v>
      </c>
      <c r="AR1528" s="5" t="s">
        <v>70</v>
      </c>
      <c r="AS1528" s="5" t="s">
        <v>181</v>
      </c>
    </row>
    <row r="1529" spans="1:45" x14ac:dyDescent="0.35">
      <c r="A1529" s="5" t="s">
        <v>6321</v>
      </c>
      <c r="B1529" s="5" t="s">
        <v>6322</v>
      </c>
      <c r="C1529" s="6" t="s">
        <v>6323</v>
      </c>
      <c r="D1529" s="7">
        <v>108900</v>
      </c>
      <c r="E1529" s="5" t="s">
        <v>48</v>
      </c>
      <c r="F1529" s="5" t="s">
        <v>49</v>
      </c>
      <c r="G1529" s="8"/>
      <c r="H1529" s="8" t="str">
        <f>IF(F1529="Bullet",MIN(G1529,Assumptions!$B$6),"")</f>
        <v/>
      </c>
      <c r="I1529" s="8">
        <v>2</v>
      </c>
      <c r="J1529" s="8">
        <f>IF(F1529="Monthly interest",MAX(0,Assumptions!$B$5-I1529),"")</f>
        <v>1</v>
      </c>
      <c r="K1529" s="7">
        <f t="shared" si="69"/>
        <v>2722</v>
      </c>
      <c r="L1529" s="9">
        <v>46240</v>
      </c>
      <c r="M1529" s="5" t="s">
        <v>116</v>
      </c>
      <c r="N1529" s="5" t="s">
        <v>117</v>
      </c>
      <c r="O1529" s="5" t="s">
        <v>118</v>
      </c>
      <c r="P1529" s="5" t="s">
        <v>72</v>
      </c>
      <c r="Q1529" s="5" t="s">
        <v>119</v>
      </c>
      <c r="R1529" s="5" t="s">
        <v>120</v>
      </c>
      <c r="S1529" s="5" t="s">
        <v>56</v>
      </c>
      <c r="T1529" s="5" t="s">
        <v>63</v>
      </c>
      <c r="U1529" s="5" t="s">
        <v>86</v>
      </c>
      <c r="V1529" s="5" t="s">
        <v>59</v>
      </c>
      <c r="W1529" s="5" t="s">
        <v>467</v>
      </c>
      <c r="X1529" s="5" t="s">
        <v>1047</v>
      </c>
      <c r="Y1529" s="5" t="s">
        <v>6324</v>
      </c>
      <c r="Z1529" s="9">
        <v>46148</v>
      </c>
      <c r="AA1529" s="8">
        <v>12</v>
      </c>
      <c r="AB1529" s="9">
        <f t="shared" si="70"/>
        <v>46513</v>
      </c>
      <c r="AC1529" s="10">
        <v>15</v>
      </c>
      <c r="AD1529" s="7">
        <f t="shared" si="71"/>
        <v>1361</v>
      </c>
      <c r="AE1529" s="7">
        <f>IF(F1529="Bullet",H1529*AD1529,MIN(MAX(I1529,1),Assumptions!$B$6)*AD1529)</f>
        <v>2722</v>
      </c>
      <c r="AF1529" s="8">
        <f>IF(F1529="Bullet",MAX(0,Assumptions!$B$4-AB1529),MAX(0,Assumptions!$B$4-L1529))</f>
        <v>58</v>
      </c>
      <c r="AG1529" s="9">
        <v>46210</v>
      </c>
      <c r="AH1529" s="8">
        <f>IF(AG1529="","",Assumptions!$B$4-AG1529)</f>
        <v>88</v>
      </c>
      <c r="AI1529" s="5" t="s">
        <v>57</v>
      </c>
      <c r="AJ1529" s="8">
        <v>2</v>
      </c>
      <c r="AK1529" s="8">
        <v>0</v>
      </c>
      <c r="AL1529" s="8">
        <v>594</v>
      </c>
      <c r="AM1529" s="8">
        <v>0</v>
      </c>
      <c r="AN1529" s="5" t="s">
        <v>63</v>
      </c>
      <c r="AO1529" s="10">
        <v>72.599999999999994</v>
      </c>
      <c r="AP1529" s="8">
        <v>50</v>
      </c>
      <c r="AQ1529" s="9">
        <v>46295</v>
      </c>
      <c r="AR1529" s="5" t="s">
        <v>70</v>
      </c>
      <c r="AS1529" s="5" t="s">
        <v>81</v>
      </c>
    </row>
    <row r="1530" spans="1:45" x14ac:dyDescent="0.35">
      <c r="A1530" s="5" t="s">
        <v>6325</v>
      </c>
      <c r="B1530" s="5" t="s">
        <v>6326</v>
      </c>
      <c r="C1530" s="6" t="s">
        <v>6327</v>
      </c>
      <c r="D1530" s="7">
        <v>577200</v>
      </c>
      <c r="E1530" s="5" t="s">
        <v>48</v>
      </c>
      <c r="F1530" s="5" t="s">
        <v>68</v>
      </c>
      <c r="G1530" s="8">
        <v>6</v>
      </c>
      <c r="H1530" s="8">
        <f>IF(F1530="Bullet",MIN(G1530,Assumptions!$B$6),"")</f>
        <v>2</v>
      </c>
      <c r="I1530" s="8"/>
      <c r="J1530" s="8" t="str">
        <f>IF(F1530="Monthly interest",MAX(0,Assumptions!$B$5-I1530),"")</f>
        <v/>
      </c>
      <c r="K1530" s="7">
        <f t="shared" si="69"/>
        <v>43290</v>
      </c>
      <c r="L1530" s="9">
        <v>46094</v>
      </c>
      <c r="M1530" s="5" t="s">
        <v>116</v>
      </c>
      <c r="N1530" s="5" t="s">
        <v>117</v>
      </c>
      <c r="O1530" s="5" t="s">
        <v>461</v>
      </c>
      <c r="P1530" s="5" t="s">
        <v>72</v>
      </c>
      <c r="Q1530" s="5" t="s">
        <v>169</v>
      </c>
      <c r="R1530" s="5" t="s">
        <v>170</v>
      </c>
      <c r="S1530" s="5" t="s">
        <v>85</v>
      </c>
      <c r="T1530" s="5" t="s">
        <v>57</v>
      </c>
      <c r="U1530" s="5" t="s">
        <v>86</v>
      </c>
      <c r="V1530" s="5" t="s">
        <v>87</v>
      </c>
      <c r="W1530" s="5" t="s">
        <v>361</v>
      </c>
      <c r="X1530" s="5" t="s">
        <v>2031</v>
      </c>
      <c r="Y1530" s="5" t="s">
        <v>6328</v>
      </c>
      <c r="Z1530" s="9">
        <v>46094</v>
      </c>
      <c r="AA1530" s="8">
        <v>6</v>
      </c>
      <c r="AB1530" s="9">
        <f t="shared" si="70"/>
        <v>46278</v>
      </c>
      <c r="AC1530" s="10">
        <v>15</v>
      </c>
      <c r="AD1530" s="7">
        <f t="shared" si="71"/>
        <v>7215</v>
      </c>
      <c r="AE1530" s="7">
        <f>IF(F1530="Bullet",H1530*AD1530,MIN(MAX(I1530,1),Assumptions!$B$6)*AD1530)</f>
        <v>14430</v>
      </c>
      <c r="AF1530" s="8">
        <f>IF(F1530="Bullet",MAX(0,Assumptions!$B$4-AB1530),MAX(0,Assumptions!$B$4-L1530))</f>
        <v>20</v>
      </c>
      <c r="AG1530" s="9"/>
      <c r="AH1530" s="8" t="str">
        <f>IF(AG1530="","",Assumptions!$B$4-AG1530)</f>
        <v/>
      </c>
      <c r="AI1530" s="5" t="s">
        <v>80</v>
      </c>
      <c r="AJ1530" s="8"/>
      <c r="AK1530" s="8">
        <v>4</v>
      </c>
      <c r="AL1530" s="8">
        <v>649</v>
      </c>
      <c r="AM1530" s="8">
        <v>3</v>
      </c>
      <c r="AN1530" s="5" t="s">
        <v>63</v>
      </c>
      <c r="AO1530" s="10">
        <v>66.8</v>
      </c>
      <c r="AP1530" s="8">
        <v>79</v>
      </c>
      <c r="AQ1530" s="9">
        <v>46295</v>
      </c>
      <c r="AR1530" s="5" t="s">
        <v>70</v>
      </c>
      <c r="AS1530" s="5" t="s">
        <v>64</v>
      </c>
    </row>
    <row r="1531" spans="1:45" x14ac:dyDescent="0.35">
      <c r="A1531" s="5" t="s">
        <v>6329</v>
      </c>
      <c r="B1531" s="5" t="s">
        <v>6330</v>
      </c>
      <c r="C1531" s="6" t="s">
        <v>6331</v>
      </c>
      <c r="D1531" s="7">
        <v>276200</v>
      </c>
      <c r="E1531" s="5" t="s">
        <v>48</v>
      </c>
      <c r="F1531" s="5" t="s">
        <v>49</v>
      </c>
      <c r="G1531" s="8"/>
      <c r="H1531" s="8" t="str">
        <f>IF(F1531="Bullet",MIN(G1531,Assumptions!$B$6),"")</f>
        <v/>
      </c>
      <c r="I1531" s="8">
        <v>1</v>
      </c>
      <c r="J1531" s="8">
        <f>IF(F1531="Monthly interest",MAX(0,Assumptions!$B$5-I1531),"")</f>
        <v>2</v>
      </c>
      <c r="K1531" s="7">
        <f t="shared" si="69"/>
        <v>4143</v>
      </c>
      <c r="L1531" s="9">
        <v>46287</v>
      </c>
      <c r="M1531" s="5" t="s">
        <v>50</v>
      </c>
      <c r="N1531" s="5" t="s">
        <v>53</v>
      </c>
      <c r="O1531" s="5" t="s">
        <v>103</v>
      </c>
      <c r="P1531" s="5" t="s">
        <v>51</v>
      </c>
      <c r="Q1531" s="5" t="s">
        <v>54</v>
      </c>
      <c r="R1531" s="5" t="s">
        <v>55</v>
      </c>
      <c r="S1531" s="5" t="s">
        <v>56</v>
      </c>
      <c r="T1531" s="5" t="s">
        <v>57</v>
      </c>
      <c r="U1531" s="5" t="s">
        <v>104</v>
      </c>
      <c r="V1531" s="5" t="s">
        <v>59</v>
      </c>
      <c r="W1531" s="5" t="s">
        <v>300</v>
      </c>
      <c r="X1531" s="5" t="s">
        <v>301</v>
      </c>
      <c r="Y1531" s="5" t="s">
        <v>6332</v>
      </c>
      <c r="Z1531" s="9">
        <v>46013</v>
      </c>
      <c r="AA1531" s="8">
        <v>12</v>
      </c>
      <c r="AB1531" s="9">
        <f t="shared" si="70"/>
        <v>46378</v>
      </c>
      <c r="AC1531" s="10">
        <v>18</v>
      </c>
      <c r="AD1531" s="7">
        <f t="shared" si="71"/>
        <v>4143</v>
      </c>
      <c r="AE1531" s="7">
        <f>IF(F1531="Bullet",H1531*AD1531,MIN(MAX(I1531,1),Assumptions!$B$6)*AD1531)</f>
        <v>4143</v>
      </c>
      <c r="AF1531" s="8">
        <f>IF(F1531="Bullet",MAX(0,Assumptions!$B$4-AB1531),MAX(0,Assumptions!$B$4-L1531))</f>
        <v>11</v>
      </c>
      <c r="AG1531" s="9">
        <v>46259</v>
      </c>
      <c r="AH1531" s="8">
        <f>IF(AG1531="","",Assumptions!$B$4-AG1531)</f>
        <v>39</v>
      </c>
      <c r="AI1531" s="5" t="s">
        <v>63</v>
      </c>
      <c r="AJ1531" s="8">
        <v>1</v>
      </c>
      <c r="AK1531" s="8">
        <v>0</v>
      </c>
      <c r="AL1531" s="8">
        <v>793</v>
      </c>
      <c r="AM1531" s="8">
        <v>0</v>
      </c>
      <c r="AN1531" s="5" t="s">
        <v>63</v>
      </c>
      <c r="AO1531" s="10">
        <v>60.1</v>
      </c>
      <c r="AP1531" s="8">
        <v>8</v>
      </c>
      <c r="AQ1531" s="9">
        <v>46274</v>
      </c>
      <c r="AR1531" s="5" t="s">
        <v>51</v>
      </c>
      <c r="AS1531" s="5" t="s">
        <v>81</v>
      </c>
    </row>
    <row r="1532" spans="1:45" x14ac:dyDescent="0.35">
      <c r="A1532" s="5" t="s">
        <v>6333</v>
      </c>
      <c r="B1532" s="5" t="s">
        <v>6334</v>
      </c>
      <c r="C1532" s="6" t="s">
        <v>6335</v>
      </c>
      <c r="D1532" s="7">
        <v>298400</v>
      </c>
      <c r="E1532" s="5" t="s">
        <v>48</v>
      </c>
      <c r="F1532" s="5" t="s">
        <v>49</v>
      </c>
      <c r="G1532" s="8"/>
      <c r="H1532" s="8" t="str">
        <f>IF(F1532="Bullet",MIN(G1532,Assumptions!$B$6),"")</f>
        <v/>
      </c>
      <c r="I1532" s="8">
        <v>2</v>
      </c>
      <c r="J1532" s="8">
        <f>IF(F1532="Monthly interest",MAX(0,Assumptions!$B$5-I1532),"")</f>
        <v>1</v>
      </c>
      <c r="K1532" s="7">
        <f t="shared" si="69"/>
        <v>10942</v>
      </c>
      <c r="L1532" s="9">
        <v>46260</v>
      </c>
      <c r="M1532" s="5" t="s">
        <v>69</v>
      </c>
      <c r="N1532" s="5" t="s">
        <v>70</v>
      </c>
      <c r="O1532" s="5" t="s">
        <v>71</v>
      </c>
      <c r="P1532" s="5" t="s">
        <v>72</v>
      </c>
      <c r="Q1532" s="5" t="s">
        <v>73</v>
      </c>
      <c r="R1532" s="5" t="s">
        <v>74</v>
      </c>
      <c r="S1532" s="5" t="s">
        <v>185</v>
      </c>
      <c r="T1532" s="5" t="s">
        <v>57</v>
      </c>
      <c r="U1532" s="5" t="s">
        <v>58</v>
      </c>
      <c r="V1532" s="5" t="s">
        <v>186</v>
      </c>
      <c r="W1532" s="5" t="s">
        <v>329</v>
      </c>
      <c r="X1532" s="5" t="s">
        <v>3313</v>
      </c>
      <c r="Y1532" s="5" t="s">
        <v>6336</v>
      </c>
      <c r="Z1532" s="9">
        <v>46168</v>
      </c>
      <c r="AA1532" s="8">
        <v>18</v>
      </c>
      <c r="AB1532" s="9">
        <f t="shared" si="70"/>
        <v>46717</v>
      </c>
      <c r="AC1532" s="10">
        <v>22</v>
      </c>
      <c r="AD1532" s="7">
        <f t="shared" si="71"/>
        <v>5471</v>
      </c>
      <c r="AE1532" s="7">
        <f>IF(F1532="Bullet",H1532*AD1532,MIN(MAX(I1532,1),Assumptions!$B$6)*AD1532)</f>
        <v>10942</v>
      </c>
      <c r="AF1532" s="8">
        <f>IF(F1532="Bullet",MAX(0,Assumptions!$B$4-AB1532),MAX(0,Assumptions!$B$4-L1532))</f>
        <v>38</v>
      </c>
      <c r="AG1532" s="9">
        <v>46229</v>
      </c>
      <c r="AH1532" s="8">
        <f>IF(AG1532="","",Assumptions!$B$4-AG1532)</f>
        <v>69</v>
      </c>
      <c r="AI1532" s="5" t="s">
        <v>63</v>
      </c>
      <c r="AJ1532" s="8">
        <v>2</v>
      </c>
      <c r="AK1532" s="8">
        <v>0</v>
      </c>
      <c r="AL1532" s="8">
        <v>759</v>
      </c>
      <c r="AM1532" s="8">
        <v>1</v>
      </c>
      <c r="AN1532" s="5" t="s">
        <v>63</v>
      </c>
      <c r="AO1532" s="10">
        <v>74.5</v>
      </c>
      <c r="AP1532" s="8">
        <v>43</v>
      </c>
      <c r="AQ1532" s="9"/>
      <c r="AR1532" s="5"/>
      <c r="AS1532" s="5" t="s">
        <v>159</v>
      </c>
    </row>
    <row r="1533" spans="1:45" x14ac:dyDescent="0.35">
      <c r="A1533" s="5" t="s">
        <v>6337</v>
      </c>
      <c r="B1533" s="5" t="s">
        <v>6338</v>
      </c>
      <c r="C1533" s="6" t="s">
        <v>6339</v>
      </c>
      <c r="D1533" s="7">
        <v>374200</v>
      </c>
      <c r="E1533" s="5" t="s">
        <v>48</v>
      </c>
      <c r="F1533" s="5" t="s">
        <v>49</v>
      </c>
      <c r="G1533" s="8"/>
      <c r="H1533" s="8" t="str">
        <f>IF(F1533="Bullet",MIN(G1533,Assumptions!$B$6),"")</f>
        <v/>
      </c>
      <c r="I1533" s="8">
        <v>2</v>
      </c>
      <c r="J1533" s="8">
        <f>IF(F1533="Monthly interest",MAX(0,Assumptions!$B$5-I1533),"")</f>
        <v>1</v>
      </c>
      <c r="K1533" s="7">
        <f t="shared" si="69"/>
        <v>9356</v>
      </c>
      <c r="L1533" s="9">
        <v>46247</v>
      </c>
      <c r="M1533" s="5" t="s">
        <v>69</v>
      </c>
      <c r="N1533" s="5" t="s">
        <v>70</v>
      </c>
      <c r="O1533" s="5" t="s">
        <v>71</v>
      </c>
      <c r="P1533" s="5" t="s">
        <v>72</v>
      </c>
      <c r="Q1533" s="5" t="s">
        <v>73</v>
      </c>
      <c r="R1533" s="5" t="s">
        <v>74</v>
      </c>
      <c r="S1533" s="5" t="s">
        <v>56</v>
      </c>
      <c r="T1533" s="5" t="s">
        <v>57</v>
      </c>
      <c r="U1533" s="5" t="s">
        <v>86</v>
      </c>
      <c r="V1533" s="5" t="s">
        <v>59</v>
      </c>
      <c r="W1533" s="5" t="s">
        <v>60</v>
      </c>
      <c r="X1533" s="5" t="s">
        <v>938</v>
      </c>
      <c r="Y1533" s="5" t="s">
        <v>6340</v>
      </c>
      <c r="Z1533" s="9">
        <v>45974</v>
      </c>
      <c r="AA1533" s="8">
        <v>18</v>
      </c>
      <c r="AB1533" s="9">
        <f t="shared" si="70"/>
        <v>46520</v>
      </c>
      <c r="AC1533" s="10">
        <v>15</v>
      </c>
      <c r="AD1533" s="7">
        <f t="shared" si="71"/>
        <v>4678</v>
      </c>
      <c r="AE1533" s="7">
        <f>IF(F1533="Bullet",H1533*AD1533,MIN(MAX(I1533,1),Assumptions!$B$6)*AD1533)</f>
        <v>9356</v>
      </c>
      <c r="AF1533" s="8">
        <f>IF(F1533="Bullet",MAX(0,Assumptions!$B$4-AB1533),MAX(0,Assumptions!$B$4-L1533))</f>
        <v>51</v>
      </c>
      <c r="AG1533" s="9">
        <v>46217</v>
      </c>
      <c r="AH1533" s="8">
        <f>IF(AG1533="","",Assumptions!$B$4-AG1533)</f>
        <v>81</v>
      </c>
      <c r="AI1533" s="5" t="s">
        <v>63</v>
      </c>
      <c r="AJ1533" s="8">
        <v>2</v>
      </c>
      <c r="AK1533" s="8">
        <v>1</v>
      </c>
      <c r="AL1533" s="8">
        <v>782</v>
      </c>
      <c r="AM1533" s="8">
        <v>1</v>
      </c>
      <c r="AN1533" s="5" t="s">
        <v>63</v>
      </c>
      <c r="AO1533" s="10">
        <v>65.3</v>
      </c>
      <c r="AP1533" s="8">
        <v>36</v>
      </c>
      <c r="AQ1533" s="9">
        <v>46292</v>
      </c>
      <c r="AR1533" s="5" t="s">
        <v>70</v>
      </c>
      <c r="AS1533" s="5" t="s">
        <v>91</v>
      </c>
    </row>
    <row r="1534" spans="1:45" x14ac:dyDescent="0.35">
      <c r="A1534" s="5" t="s">
        <v>6341</v>
      </c>
      <c r="B1534" s="5" t="s">
        <v>2442</v>
      </c>
      <c r="C1534" s="6" t="s">
        <v>6342</v>
      </c>
      <c r="D1534" s="7">
        <v>69100</v>
      </c>
      <c r="E1534" s="5" t="s">
        <v>48</v>
      </c>
      <c r="F1534" s="5" t="s">
        <v>49</v>
      </c>
      <c r="G1534" s="8"/>
      <c r="H1534" s="8" t="str">
        <f>IF(F1534="Bullet",MIN(G1534,Assumptions!$B$6),"")</f>
        <v/>
      </c>
      <c r="I1534" s="8">
        <v>2</v>
      </c>
      <c r="J1534" s="8">
        <f>IF(F1534="Monthly interest",MAX(0,Assumptions!$B$5-I1534),"")</f>
        <v>1</v>
      </c>
      <c r="K1534" s="7">
        <f t="shared" si="69"/>
        <v>1612</v>
      </c>
      <c r="L1534" s="9">
        <v>46250</v>
      </c>
      <c r="M1534" s="5" t="s">
        <v>116</v>
      </c>
      <c r="N1534" s="5" t="s">
        <v>117</v>
      </c>
      <c r="O1534" s="5" t="s">
        <v>118</v>
      </c>
      <c r="P1534" s="5" t="s">
        <v>72</v>
      </c>
      <c r="Q1534" s="5" t="s">
        <v>119</v>
      </c>
      <c r="R1534" s="5" t="s">
        <v>120</v>
      </c>
      <c r="S1534" s="5" t="s">
        <v>85</v>
      </c>
      <c r="T1534" s="5" t="s">
        <v>57</v>
      </c>
      <c r="U1534" s="5" t="s">
        <v>104</v>
      </c>
      <c r="V1534" s="5" t="s">
        <v>177</v>
      </c>
      <c r="W1534" s="5" t="s">
        <v>208</v>
      </c>
      <c r="X1534" s="5" t="s">
        <v>312</v>
      </c>
      <c r="Y1534" s="5" t="s">
        <v>6343</v>
      </c>
      <c r="Z1534" s="9">
        <v>46038</v>
      </c>
      <c r="AA1534" s="8">
        <v>12</v>
      </c>
      <c r="AB1534" s="9">
        <f t="shared" si="70"/>
        <v>46403</v>
      </c>
      <c r="AC1534" s="10">
        <v>14</v>
      </c>
      <c r="AD1534" s="7">
        <f t="shared" si="71"/>
        <v>806</v>
      </c>
      <c r="AE1534" s="7">
        <f>IF(F1534="Bullet",H1534*AD1534,MIN(MAX(I1534,1),Assumptions!$B$6)*AD1534)</f>
        <v>1612</v>
      </c>
      <c r="AF1534" s="8">
        <f>IF(F1534="Bullet",MAX(0,Assumptions!$B$4-AB1534),MAX(0,Assumptions!$B$4-L1534))</f>
        <v>48</v>
      </c>
      <c r="AG1534" s="9">
        <v>46219</v>
      </c>
      <c r="AH1534" s="8">
        <f>IF(AG1534="","",Assumptions!$B$4-AG1534)</f>
        <v>79</v>
      </c>
      <c r="AI1534" s="5" t="s">
        <v>63</v>
      </c>
      <c r="AJ1534" s="8">
        <v>3</v>
      </c>
      <c r="AK1534" s="8">
        <v>1</v>
      </c>
      <c r="AL1534" s="8">
        <v>678</v>
      </c>
      <c r="AM1534" s="8">
        <v>0</v>
      </c>
      <c r="AN1534" s="5" t="s">
        <v>57</v>
      </c>
      <c r="AO1534" s="10">
        <v>82.5</v>
      </c>
      <c r="AP1534" s="8">
        <v>74</v>
      </c>
      <c r="AQ1534" s="9">
        <v>46294</v>
      </c>
      <c r="AR1534" s="5" t="s">
        <v>70</v>
      </c>
      <c r="AS1534" s="5" t="s">
        <v>64</v>
      </c>
    </row>
    <row r="1535" spans="1:45" x14ac:dyDescent="0.35">
      <c r="A1535" s="5" t="s">
        <v>6344</v>
      </c>
      <c r="B1535" s="5" t="s">
        <v>5302</v>
      </c>
      <c r="C1535" s="6" t="s">
        <v>6345</v>
      </c>
      <c r="D1535" s="7">
        <v>367400</v>
      </c>
      <c r="E1535" s="5" t="s">
        <v>48</v>
      </c>
      <c r="F1535" s="5" t="s">
        <v>49</v>
      </c>
      <c r="G1535" s="8"/>
      <c r="H1535" s="8" t="str">
        <f>IF(F1535="Bullet",MIN(G1535,Assumptions!$B$6),"")</f>
        <v/>
      </c>
      <c r="I1535" s="8">
        <v>1</v>
      </c>
      <c r="J1535" s="8">
        <f>IF(F1535="Monthly interest",MAX(0,Assumptions!$B$5-I1535),"")</f>
        <v>2</v>
      </c>
      <c r="K1535" s="7">
        <f t="shared" si="69"/>
        <v>7348</v>
      </c>
      <c r="L1535" s="9">
        <v>46288</v>
      </c>
      <c r="M1535" s="5" t="s">
        <v>50</v>
      </c>
      <c r="N1535" s="5" t="s">
        <v>51</v>
      </c>
      <c r="O1535" s="5" t="s">
        <v>52</v>
      </c>
      <c r="P1535" s="5" t="s">
        <v>53</v>
      </c>
      <c r="Q1535" s="5" t="s">
        <v>54</v>
      </c>
      <c r="R1535" s="5" t="s">
        <v>55</v>
      </c>
      <c r="S1535" s="5" t="s">
        <v>56</v>
      </c>
      <c r="T1535" s="5" t="s">
        <v>57</v>
      </c>
      <c r="U1535" s="5" t="s">
        <v>104</v>
      </c>
      <c r="V1535" s="5" t="s">
        <v>59</v>
      </c>
      <c r="W1535" s="5" t="s">
        <v>60</v>
      </c>
      <c r="X1535" s="5" t="s">
        <v>1076</v>
      </c>
      <c r="Y1535" s="5" t="s">
        <v>6346</v>
      </c>
      <c r="Z1535" s="9">
        <v>46196</v>
      </c>
      <c r="AA1535" s="8">
        <v>12</v>
      </c>
      <c r="AB1535" s="9">
        <f t="shared" si="70"/>
        <v>46561</v>
      </c>
      <c r="AC1535" s="10">
        <v>24</v>
      </c>
      <c r="AD1535" s="7">
        <f t="shared" si="71"/>
        <v>7348</v>
      </c>
      <c r="AE1535" s="7">
        <f>IF(F1535="Bullet",H1535*AD1535,MIN(MAX(I1535,1),Assumptions!$B$6)*AD1535)</f>
        <v>7348</v>
      </c>
      <c r="AF1535" s="8">
        <f>IF(F1535="Bullet",MAX(0,Assumptions!$B$4-AB1535),MAX(0,Assumptions!$B$4-L1535))</f>
        <v>10</v>
      </c>
      <c r="AG1535" s="9">
        <v>46257</v>
      </c>
      <c r="AH1535" s="8">
        <f>IF(AG1535="","",Assumptions!$B$4-AG1535)</f>
        <v>41</v>
      </c>
      <c r="AI1535" s="5" t="s">
        <v>63</v>
      </c>
      <c r="AJ1535" s="8">
        <v>1</v>
      </c>
      <c r="AK1535" s="8">
        <v>0</v>
      </c>
      <c r="AL1535" s="8" t="s">
        <v>80</v>
      </c>
      <c r="AM1535" s="8">
        <v>2</v>
      </c>
      <c r="AN1535" s="5" t="s">
        <v>63</v>
      </c>
      <c r="AO1535" s="10">
        <v>72</v>
      </c>
      <c r="AP1535" s="8">
        <v>26</v>
      </c>
      <c r="AQ1535" s="9">
        <v>46285</v>
      </c>
      <c r="AR1535" s="5" t="s">
        <v>53</v>
      </c>
      <c r="AS1535" s="5" t="s">
        <v>274</v>
      </c>
    </row>
    <row r="1536" spans="1:45" x14ac:dyDescent="0.35">
      <c r="A1536" s="5" t="s">
        <v>6347</v>
      </c>
      <c r="B1536" s="5" t="s">
        <v>5535</v>
      </c>
      <c r="C1536" s="6" t="s">
        <v>6348</v>
      </c>
      <c r="D1536" s="7">
        <v>186800</v>
      </c>
      <c r="E1536" s="5" t="s">
        <v>48</v>
      </c>
      <c r="F1536" s="5" t="s">
        <v>49</v>
      </c>
      <c r="G1536" s="8"/>
      <c r="H1536" s="8" t="str">
        <f>IF(F1536="Bullet",MIN(G1536,Assumptions!$B$6),"")</f>
        <v/>
      </c>
      <c r="I1536" s="8">
        <v>2</v>
      </c>
      <c r="J1536" s="8">
        <f>IF(F1536="Monthly interest",MAX(0,Assumptions!$B$5-I1536),"")</f>
        <v>1</v>
      </c>
      <c r="K1536" s="7">
        <f t="shared" si="69"/>
        <v>7472</v>
      </c>
      <c r="L1536" s="9">
        <v>46241</v>
      </c>
      <c r="M1536" s="5" t="s">
        <v>69</v>
      </c>
      <c r="N1536" s="5" t="s">
        <v>53</v>
      </c>
      <c r="O1536" s="5" t="s">
        <v>71</v>
      </c>
      <c r="P1536" s="5" t="s">
        <v>70</v>
      </c>
      <c r="Q1536" s="5" t="s">
        <v>73</v>
      </c>
      <c r="R1536" s="5" t="s">
        <v>74</v>
      </c>
      <c r="S1536" s="5" t="s">
        <v>56</v>
      </c>
      <c r="T1536" s="5" t="s">
        <v>57</v>
      </c>
      <c r="U1536" s="5" t="s">
        <v>104</v>
      </c>
      <c r="V1536" s="5" t="s">
        <v>59</v>
      </c>
      <c r="W1536" s="5" t="s">
        <v>126</v>
      </c>
      <c r="X1536" s="5" t="s">
        <v>4836</v>
      </c>
      <c r="Y1536" s="5" t="s">
        <v>6349</v>
      </c>
      <c r="Z1536" s="9">
        <v>45998</v>
      </c>
      <c r="AA1536" s="8">
        <v>18</v>
      </c>
      <c r="AB1536" s="9">
        <f t="shared" si="70"/>
        <v>46545</v>
      </c>
      <c r="AC1536" s="10">
        <v>24</v>
      </c>
      <c r="AD1536" s="7">
        <f t="shared" si="71"/>
        <v>3736</v>
      </c>
      <c r="AE1536" s="7">
        <f>IF(F1536="Bullet",H1536*AD1536,MIN(MAX(I1536,1),Assumptions!$B$6)*AD1536)</f>
        <v>7472</v>
      </c>
      <c r="AF1536" s="8">
        <f>IF(F1536="Bullet",MAX(0,Assumptions!$B$4-AB1536),MAX(0,Assumptions!$B$4-L1536))</f>
        <v>57</v>
      </c>
      <c r="AG1536" s="9">
        <v>46214</v>
      </c>
      <c r="AH1536" s="8">
        <f>IF(AG1536="","",Assumptions!$B$4-AG1536)</f>
        <v>84</v>
      </c>
      <c r="AI1536" s="5" t="s">
        <v>63</v>
      </c>
      <c r="AJ1536" s="8">
        <v>2</v>
      </c>
      <c r="AK1536" s="8">
        <v>0</v>
      </c>
      <c r="AL1536" s="8">
        <v>692</v>
      </c>
      <c r="AM1536" s="8">
        <v>1</v>
      </c>
      <c r="AN1536" s="5" t="s">
        <v>63</v>
      </c>
      <c r="AO1536" s="10">
        <v>55.5</v>
      </c>
      <c r="AP1536" s="8">
        <v>40</v>
      </c>
      <c r="AQ1536" s="9">
        <v>46276</v>
      </c>
      <c r="AR1536" s="5" t="s">
        <v>51</v>
      </c>
      <c r="AS1536" s="5" t="s">
        <v>81</v>
      </c>
    </row>
    <row r="1537" spans="1:45" x14ac:dyDescent="0.35">
      <c r="A1537" s="5" t="s">
        <v>6350</v>
      </c>
      <c r="B1537" s="5" t="s">
        <v>5064</v>
      </c>
      <c r="C1537" s="6" t="s">
        <v>6351</v>
      </c>
      <c r="D1537" s="7">
        <v>15000</v>
      </c>
      <c r="E1537" s="5" t="s">
        <v>48</v>
      </c>
      <c r="F1537" s="5" t="s">
        <v>49</v>
      </c>
      <c r="G1537" s="8"/>
      <c r="H1537" s="8" t="str">
        <f>IF(F1537="Bullet",MIN(G1537,Assumptions!$B$6),"")</f>
        <v/>
      </c>
      <c r="I1537" s="8">
        <v>1</v>
      </c>
      <c r="J1537" s="8">
        <f>IF(F1537="Monthly interest",MAX(0,Assumptions!$B$5-I1537),"")</f>
        <v>2</v>
      </c>
      <c r="K1537" s="7">
        <f t="shared" si="69"/>
        <v>250</v>
      </c>
      <c r="L1537" s="9">
        <v>46282</v>
      </c>
      <c r="M1537" s="5" t="s">
        <v>116</v>
      </c>
      <c r="N1537" s="5" t="s">
        <v>117</v>
      </c>
      <c r="O1537" s="5" t="s">
        <v>450</v>
      </c>
      <c r="P1537" s="5" t="s">
        <v>72</v>
      </c>
      <c r="Q1537" s="5" t="s">
        <v>154</v>
      </c>
      <c r="R1537" s="5" t="s">
        <v>155</v>
      </c>
      <c r="S1537" s="5" t="s">
        <v>75</v>
      </c>
      <c r="T1537" s="5" t="s">
        <v>57</v>
      </c>
      <c r="U1537" s="5" t="s">
        <v>104</v>
      </c>
      <c r="V1537" s="5" t="s">
        <v>76</v>
      </c>
      <c r="W1537" s="5" t="s">
        <v>444</v>
      </c>
      <c r="X1537" s="5" t="s">
        <v>4342</v>
      </c>
      <c r="Y1537" s="5" t="s">
        <v>6352</v>
      </c>
      <c r="Z1537" s="9">
        <v>46070</v>
      </c>
      <c r="AA1537" s="8">
        <v>12</v>
      </c>
      <c r="AB1537" s="9">
        <f t="shared" si="70"/>
        <v>46435</v>
      </c>
      <c r="AC1537" s="10">
        <v>20</v>
      </c>
      <c r="AD1537" s="7">
        <f t="shared" si="71"/>
        <v>250</v>
      </c>
      <c r="AE1537" s="7">
        <f>IF(F1537="Bullet",H1537*AD1537,MIN(MAX(I1537,1),Assumptions!$B$6)*AD1537)</f>
        <v>250</v>
      </c>
      <c r="AF1537" s="8">
        <f>IF(F1537="Bullet",MAX(0,Assumptions!$B$4-AB1537),MAX(0,Assumptions!$B$4-L1537))</f>
        <v>16</v>
      </c>
      <c r="AG1537" s="9">
        <v>46254</v>
      </c>
      <c r="AH1537" s="8">
        <f>IF(AG1537="","",Assumptions!$B$4-AG1537)</f>
        <v>44</v>
      </c>
      <c r="AI1537" s="5" t="s">
        <v>57</v>
      </c>
      <c r="AJ1537" s="8">
        <v>2</v>
      </c>
      <c r="AK1537" s="8">
        <v>1</v>
      </c>
      <c r="AL1537" s="8">
        <v>718</v>
      </c>
      <c r="AM1537" s="8">
        <v>5</v>
      </c>
      <c r="AN1537" s="5" t="s">
        <v>63</v>
      </c>
      <c r="AO1537" s="10">
        <v>88</v>
      </c>
      <c r="AP1537" s="8">
        <v>52</v>
      </c>
      <c r="AQ1537" s="9"/>
      <c r="AR1537" s="5"/>
      <c r="AS1537" s="5" t="s">
        <v>159</v>
      </c>
    </row>
    <row r="1538" spans="1:45" x14ac:dyDescent="0.35">
      <c r="A1538" s="5" t="s">
        <v>6353</v>
      </c>
      <c r="B1538" s="5" t="s">
        <v>1295</v>
      </c>
      <c r="C1538" s="6" t="s">
        <v>6354</v>
      </c>
      <c r="D1538" s="7">
        <v>59200</v>
      </c>
      <c r="E1538" s="5" t="s">
        <v>48</v>
      </c>
      <c r="F1538" s="5" t="s">
        <v>68</v>
      </c>
      <c r="G1538" s="8">
        <v>5</v>
      </c>
      <c r="H1538" s="8">
        <f>IF(F1538="Bullet",MIN(G1538,Assumptions!$B$6),"")</f>
        <v>2</v>
      </c>
      <c r="I1538" s="8"/>
      <c r="J1538" s="8" t="str">
        <f>IF(F1538="Monthly interest",MAX(0,Assumptions!$B$5-I1538),"")</f>
        <v/>
      </c>
      <c r="K1538" s="7">
        <f t="shared" ref="K1538:K1601" si="72">IF(F1538="Bullet",G1538*AD1538,MAX(I1538,1)*AD1538)</f>
        <v>3205</v>
      </c>
      <c r="L1538" s="9">
        <v>46135</v>
      </c>
      <c r="M1538" s="5" t="s">
        <v>116</v>
      </c>
      <c r="N1538" s="5" t="s">
        <v>117</v>
      </c>
      <c r="O1538" s="5" t="s">
        <v>461</v>
      </c>
      <c r="P1538" s="5" t="s">
        <v>72</v>
      </c>
      <c r="Q1538" s="5" t="s">
        <v>169</v>
      </c>
      <c r="R1538" s="5" t="s">
        <v>170</v>
      </c>
      <c r="S1538" s="5" t="s">
        <v>56</v>
      </c>
      <c r="T1538" s="5" t="s">
        <v>57</v>
      </c>
      <c r="U1538" s="5" t="s">
        <v>86</v>
      </c>
      <c r="V1538" s="5" t="s">
        <v>59</v>
      </c>
      <c r="W1538" s="5" t="s">
        <v>156</v>
      </c>
      <c r="X1538" s="5" t="s">
        <v>2761</v>
      </c>
      <c r="Y1538" s="5" t="s">
        <v>6355</v>
      </c>
      <c r="Z1538" s="9">
        <v>46135</v>
      </c>
      <c r="AA1538" s="8">
        <v>6</v>
      </c>
      <c r="AB1538" s="9">
        <f t="shared" ref="AB1538:AB1601" si="73">EDATE(Z1538,AA1538)</f>
        <v>46318</v>
      </c>
      <c r="AC1538" s="10">
        <v>13</v>
      </c>
      <c r="AD1538" s="7">
        <f t="shared" ref="AD1538:AD1601" si="74">ROUND(D1538*AC1538/100/12,0)</f>
        <v>641</v>
      </c>
      <c r="AE1538" s="7">
        <f>IF(F1538="Bullet",H1538*AD1538,MIN(MAX(I1538,1),Assumptions!$B$6)*AD1538)</f>
        <v>1282</v>
      </c>
      <c r="AF1538" s="8">
        <f>IF(F1538="Bullet",MAX(0,Assumptions!$B$4-AB1538),MAX(0,Assumptions!$B$4-L1538))</f>
        <v>0</v>
      </c>
      <c r="AG1538" s="9"/>
      <c r="AH1538" s="8" t="str">
        <f>IF(AG1538="","",Assumptions!$B$4-AG1538)</f>
        <v/>
      </c>
      <c r="AI1538" s="5" t="s">
        <v>80</v>
      </c>
      <c r="AJ1538" s="8"/>
      <c r="AK1538" s="8">
        <v>1</v>
      </c>
      <c r="AL1538" s="8">
        <v>610</v>
      </c>
      <c r="AM1538" s="8">
        <v>2</v>
      </c>
      <c r="AN1538" s="5" t="s">
        <v>63</v>
      </c>
      <c r="AO1538" s="10">
        <v>64.7</v>
      </c>
      <c r="AP1538" s="8">
        <v>58</v>
      </c>
      <c r="AQ1538" s="9">
        <v>46273</v>
      </c>
      <c r="AR1538" s="5" t="s">
        <v>72</v>
      </c>
      <c r="AS1538" s="5" t="s">
        <v>81</v>
      </c>
    </row>
    <row r="1539" spans="1:45" x14ac:dyDescent="0.35">
      <c r="A1539" s="5" t="s">
        <v>6356</v>
      </c>
      <c r="B1539" s="5" t="s">
        <v>1630</v>
      </c>
      <c r="C1539" s="6" t="s">
        <v>6357</v>
      </c>
      <c r="D1539" s="7">
        <v>94100</v>
      </c>
      <c r="E1539" s="5" t="s">
        <v>48</v>
      </c>
      <c r="F1539" s="5" t="s">
        <v>68</v>
      </c>
      <c r="G1539" s="8">
        <v>1</v>
      </c>
      <c r="H1539" s="8">
        <f>IF(F1539="Bullet",MIN(G1539,Assumptions!$B$6),"")</f>
        <v>1</v>
      </c>
      <c r="I1539" s="8"/>
      <c r="J1539" s="8" t="str">
        <f>IF(F1539="Monthly interest",MAX(0,Assumptions!$B$5-I1539),"")</f>
        <v/>
      </c>
      <c r="K1539" s="7">
        <f t="shared" si="72"/>
        <v>1176</v>
      </c>
      <c r="L1539" s="9">
        <v>46259</v>
      </c>
      <c r="M1539" s="5" t="s">
        <v>69</v>
      </c>
      <c r="N1539" s="5" t="s">
        <v>53</v>
      </c>
      <c r="O1539" s="5" t="s">
        <v>71</v>
      </c>
      <c r="P1539" s="5" t="s">
        <v>70</v>
      </c>
      <c r="Q1539" s="5" t="s">
        <v>73</v>
      </c>
      <c r="R1539" s="5" t="s">
        <v>74</v>
      </c>
      <c r="S1539" s="5" t="s">
        <v>185</v>
      </c>
      <c r="T1539" s="5" t="s">
        <v>57</v>
      </c>
      <c r="U1539" s="5" t="s">
        <v>58</v>
      </c>
      <c r="V1539" s="5" t="s">
        <v>200</v>
      </c>
      <c r="W1539" s="5" t="s">
        <v>201</v>
      </c>
      <c r="X1539" s="5" t="s">
        <v>3221</v>
      </c>
      <c r="Y1539" s="5" t="s">
        <v>6358</v>
      </c>
      <c r="Z1539" s="9">
        <v>46259</v>
      </c>
      <c r="AA1539" s="8">
        <v>12</v>
      </c>
      <c r="AB1539" s="9">
        <f t="shared" si="73"/>
        <v>46624</v>
      </c>
      <c r="AC1539" s="10">
        <v>15</v>
      </c>
      <c r="AD1539" s="7">
        <f t="shared" si="74"/>
        <v>1176</v>
      </c>
      <c r="AE1539" s="7">
        <f>IF(F1539="Bullet",H1539*AD1539,MIN(MAX(I1539,1),Assumptions!$B$6)*AD1539)</f>
        <v>1176</v>
      </c>
      <c r="AF1539" s="8">
        <f>IF(F1539="Bullet",MAX(0,Assumptions!$B$4-AB1539),MAX(0,Assumptions!$B$4-L1539))</f>
        <v>0</v>
      </c>
      <c r="AG1539" s="9"/>
      <c r="AH1539" s="8" t="str">
        <f>IF(AG1539="","",Assumptions!$B$4-AG1539)</f>
        <v/>
      </c>
      <c r="AI1539" s="5" t="s">
        <v>80</v>
      </c>
      <c r="AJ1539" s="8"/>
      <c r="AK1539" s="8">
        <v>1</v>
      </c>
      <c r="AL1539" s="8">
        <v>555</v>
      </c>
      <c r="AM1539" s="8">
        <v>2</v>
      </c>
      <c r="AN1539" s="5" t="s">
        <v>57</v>
      </c>
      <c r="AO1539" s="10">
        <v>65.3</v>
      </c>
      <c r="AP1539" s="8">
        <v>40</v>
      </c>
      <c r="AQ1539" s="9">
        <v>46285</v>
      </c>
      <c r="AR1539" s="5" t="s">
        <v>51</v>
      </c>
      <c r="AS1539" s="5" t="s">
        <v>64</v>
      </c>
    </row>
    <row r="1540" spans="1:45" x14ac:dyDescent="0.35">
      <c r="A1540" s="5" t="s">
        <v>6359</v>
      </c>
      <c r="B1540" s="5" t="s">
        <v>343</v>
      </c>
      <c r="C1540" s="6" t="s">
        <v>6360</v>
      </c>
      <c r="D1540" s="7">
        <v>673900</v>
      </c>
      <c r="E1540" s="5" t="s">
        <v>48</v>
      </c>
      <c r="F1540" s="5" t="s">
        <v>68</v>
      </c>
      <c r="G1540" s="8">
        <v>2</v>
      </c>
      <c r="H1540" s="8">
        <f>IF(F1540="Bullet",MIN(G1540,Assumptions!$B$6),"")</f>
        <v>2</v>
      </c>
      <c r="I1540" s="8"/>
      <c r="J1540" s="8" t="str">
        <f>IF(F1540="Monthly interest",MAX(0,Assumptions!$B$5-I1540),"")</f>
        <v/>
      </c>
      <c r="K1540" s="7">
        <f t="shared" si="72"/>
        <v>13478</v>
      </c>
      <c r="L1540" s="9">
        <v>46235</v>
      </c>
      <c r="M1540" s="5" t="s">
        <v>50</v>
      </c>
      <c r="N1540" s="5" t="s">
        <v>51</v>
      </c>
      <c r="O1540" s="5" t="s">
        <v>71</v>
      </c>
      <c r="P1540" s="5" t="s">
        <v>53</v>
      </c>
      <c r="Q1540" s="5" t="s">
        <v>73</v>
      </c>
      <c r="R1540" s="5" t="s">
        <v>74</v>
      </c>
      <c r="S1540" s="5" t="s">
        <v>85</v>
      </c>
      <c r="T1540" s="5" t="s">
        <v>57</v>
      </c>
      <c r="U1540" s="5" t="s">
        <v>86</v>
      </c>
      <c r="V1540" s="5" t="s">
        <v>177</v>
      </c>
      <c r="W1540" s="5" t="s">
        <v>345</v>
      </c>
      <c r="X1540" s="5" t="s">
        <v>4091</v>
      </c>
      <c r="Y1540" s="5" t="s">
        <v>6361</v>
      </c>
      <c r="Z1540" s="9">
        <v>46235</v>
      </c>
      <c r="AA1540" s="8">
        <v>6</v>
      </c>
      <c r="AB1540" s="9">
        <f t="shared" si="73"/>
        <v>46419</v>
      </c>
      <c r="AC1540" s="10">
        <v>12</v>
      </c>
      <c r="AD1540" s="7">
        <f t="shared" si="74"/>
        <v>6739</v>
      </c>
      <c r="AE1540" s="7">
        <f>IF(F1540="Bullet",H1540*AD1540,MIN(MAX(I1540,1),Assumptions!$B$6)*AD1540)</f>
        <v>13478</v>
      </c>
      <c r="AF1540" s="8">
        <f>IF(F1540="Bullet",MAX(0,Assumptions!$B$4-AB1540),MAX(0,Assumptions!$B$4-L1540))</f>
        <v>0</v>
      </c>
      <c r="AG1540" s="9"/>
      <c r="AH1540" s="8" t="str">
        <f>IF(AG1540="","",Assumptions!$B$4-AG1540)</f>
        <v/>
      </c>
      <c r="AI1540" s="5" t="s">
        <v>80</v>
      </c>
      <c r="AJ1540" s="8"/>
      <c r="AK1540" s="8">
        <v>0</v>
      </c>
      <c r="AL1540" s="8">
        <v>712</v>
      </c>
      <c r="AM1540" s="8">
        <v>2</v>
      </c>
      <c r="AN1540" s="5" t="s">
        <v>57</v>
      </c>
      <c r="AO1540" s="10">
        <v>54.3</v>
      </c>
      <c r="AP1540" s="8">
        <v>28</v>
      </c>
      <c r="AQ1540" s="9"/>
      <c r="AR1540" s="5"/>
      <c r="AS1540" s="5" t="s">
        <v>159</v>
      </c>
    </row>
    <row r="1541" spans="1:45" x14ac:dyDescent="0.35">
      <c r="A1541" s="5" t="s">
        <v>6362</v>
      </c>
      <c r="B1541" s="5" t="s">
        <v>6363</v>
      </c>
      <c r="C1541" s="6" t="s">
        <v>6364</v>
      </c>
      <c r="D1541" s="7">
        <v>544500</v>
      </c>
      <c r="E1541" s="5" t="s">
        <v>48</v>
      </c>
      <c r="F1541" s="5" t="s">
        <v>68</v>
      </c>
      <c r="G1541" s="8">
        <v>5</v>
      </c>
      <c r="H1541" s="8">
        <f>IF(F1541="Bullet",MIN(G1541,Assumptions!$B$6),"")</f>
        <v>2</v>
      </c>
      <c r="I1541" s="8"/>
      <c r="J1541" s="8" t="str">
        <f>IF(F1541="Monthly interest",MAX(0,Assumptions!$B$5-I1541),"")</f>
        <v/>
      </c>
      <c r="K1541" s="7">
        <f t="shared" si="72"/>
        <v>31765</v>
      </c>
      <c r="L1541" s="9">
        <v>46126</v>
      </c>
      <c r="M1541" s="5" t="s">
        <v>116</v>
      </c>
      <c r="N1541" s="5" t="s">
        <v>117</v>
      </c>
      <c r="O1541" s="5" t="s">
        <v>461</v>
      </c>
      <c r="P1541" s="5" t="s">
        <v>72</v>
      </c>
      <c r="Q1541" s="5" t="s">
        <v>169</v>
      </c>
      <c r="R1541" s="5" t="s">
        <v>170</v>
      </c>
      <c r="S1541" s="5" t="s">
        <v>253</v>
      </c>
      <c r="T1541" s="5" t="s">
        <v>57</v>
      </c>
      <c r="U1541" s="5" t="s">
        <v>58</v>
      </c>
      <c r="V1541" s="5" t="s">
        <v>76</v>
      </c>
      <c r="W1541" s="5" t="s">
        <v>105</v>
      </c>
      <c r="X1541" s="5" t="s">
        <v>106</v>
      </c>
      <c r="Y1541" s="5" t="s">
        <v>6365</v>
      </c>
      <c r="Z1541" s="9">
        <v>46126</v>
      </c>
      <c r="AA1541" s="8">
        <v>3</v>
      </c>
      <c r="AB1541" s="9">
        <f t="shared" si="73"/>
        <v>46217</v>
      </c>
      <c r="AC1541" s="10">
        <v>14</v>
      </c>
      <c r="AD1541" s="7">
        <f t="shared" si="74"/>
        <v>6353</v>
      </c>
      <c r="AE1541" s="7">
        <f>IF(F1541="Bullet",H1541*AD1541,MIN(MAX(I1541,1),Assumptions!$B$6)*AD1541)</f>
        <v>12706</v>
      </c>
      <c r="AF1541" s="8">
        <f>IF(F1541="Bullet",MAX(0,Assumptions!$B$4-AB1541),MAX(0,Assumptions!$B$4-L1541))</f>
        <v>81</v>
      </c>
      <c r="AG1541" s="9"/>
      <c r="AH1541" s="8" t="str">
        <f>IF(AG1541="","",Assumptions!$B$4-AG1541)</f>
        <v/>
      </c>
      <c r="AI1541" s="5" t="s">
        <v>80</v>
      </c>
      <c r="AJ1541" s="8"/>
      <c r="AK1541" s="8">
        <v>1</v>
      </c>
      <c r="AL1541" s="8">
        <v>772</v>
      </c>
      <c r="AM1541" s="8">
        <v>1</v>
      </c>
      <c r="AN1541" s="5" t="s">
        <v>63</v>
      </c>
      <c r="AO1541" s="10">
        <v>78.400000000000006</v>
      </c>
      <c r="AP1541" s="8">
        <v>50</v>
      </c>
      <c r="AQ1541" s="9"/>
      <c r="AR1541" s="5"/>
      <c r="AS1541" s="5" t="s">
        <v>159</v>
      </c>
    </row>
    <row r="1542" spans="1:45" x14ac:dyDescent="0.35">
      <c r="A1542" s="5" t="s">
        <v>6366</v>
      </c>
      <c r="B1542" s="5" t="s">
        <v>6367</v>
      </c>
      <c r="C1542" s="6" t="s">
        <v>6368</v>
      </c>
      <c r="D1542" s="7">
        <v>89300</v>
      </c>
      <c r="E1542" s="5" t="s">
        <v>48</v>
      </c>
      <c r="F1542" s="5" t="s">
        <v>49</v>
      </c>
      <c r="G1542" s="8"/>
      <c r="H1542" s="8" t="str">
        <f>IF(F1542="Bullet",MIN(G1542,Assumptions!$B$6),"")</f>
        <v/>
      </c>
      <c r="I1542" s="8">
        <v>2</v>
      </c>
      <c r="J1542" s="8">
        <f>IF(F1542="Monthly interest",MAX(0,Assumptions!$B$5-I1542),"")</f>
        <v>1</v>
      </c>
      <c r="K1542" s="7">
        <f t="shared" si="72"/>
        <v>2382</v>
      </c>
      <c r="L1542" s="9">
        <v>46259</v>
      </c>
      <c r="M1542" s="5" t="s">
        <v>69</v>
      </c>
      <c r="N1542" s="5" t="s">
        <v>53</v>
      </c>
      <c r="O1542" s="5" t="s">
        <v>71</v>
      </c>
      <c r="P1542" s="5" t="s">
        <v>70</v>
      </c>
      <c r="Q1542" s="5" t="s">
        <v>73</v>
      </c>
      <c r="R1542" s="5" t="s">
        <v>74</v>
      </c>
      <c r="S1542" s="5" t="s">
        <v>214</v>
      </c>
      <c r="T1542" s="5" t="s">
        <v>63</v>
      </c>
      <c r="U1542" s="5" t="s">
        <v>86</v>
      </c>
      <c r="V1542" s="5" t="s">
        <v>215</v>
      </c>
      <c r="W1542" s="5" t="s">
        <v>232</v>
      </c>
      <c r="X1542" s="5" t="s">
        <v>3573</v>
      </c>
      <c r="Y1542" s="5" t="s">
        <v>6369</v>
      </c>
      <c r="Z1542" s="9">
        <v>46106</v>
      </c>
      <c r="AA1542" s="8">
        <v>24</v>
      </c>
      <c r="AB1542" s="9">
        <f t="shared" si="73"/>
        <v>46837</v>
      </c>
      <c r="AC1542" s="10">
        <v>16</v>
      </c>
      <c r="AD1542" s="7">
        <f t="shared" si="74"/>
        <v>1191</v>
      </c>
      <c r="AE1542" s="7">
        <f>IF(F1542="Bullet",H1542*AD1542,MIN(MAX(I1542,1),Assumptions!$B$6)*AD1542)</f>
        <v>2382</v>
      </c>
      <c r="AF1542" s="8">
        <f>IF(F1542="Bullet",MAX(0,Assumptions!$B$4-AB1542),MAX(0,Assumptions!$B$4-L1542))</f>
        <v>39</v>
      </c>
      <c r="AG1542" s="9">
        <v>46231</v>
      </c>
      <c r="AH1542" s="8">
        <f>IF(AG1542="","",Assumptions!$B$4-AG1542)</f>
        <v>67</v>
      </c>
      <c r="AI1542" s="5" t="s">
        <v>57</v>
      </c>
      <c r="AJ1542" s="8">
        <v>2</v>
      </c>
      <c r="AK1542" s="8">
        <v>0</v>
      </c>
      <c r="AL1542" s="8">
        <v>713</v>
      </c>
      <c r="AM1542" s="8">
        <v>2</v>
      </c>
      <c r="AN1542" s="5" t="s">
        <v>63</v>
      </c>
      <c r="AO1542" s="10">
        <v>61.8</v>
      </c>
      <c r="AP1542" s="8">
        <v>41</v>
      </c>
      <c r="AQ1542" s="9">
        <v>46289</v>
      </c>
      <c r="AR1542" s="5" t="s">
        <v>51</v>
      </c>
      <c r="AS1542" s="5" t="s">
        <v>81</v>
      </c>
    </row>
    <row r="1543" spans="1:45" x14ac:dyDescent="0.35">
      <c r="A1543" s="5" t="s">
        <v>6370</v>
      </c>
      <c r="B1543" s="5" t="s">
        <v>6371</v>
      </c>
      <c r="C1543" s="6" t="s">
        <v>6372</v>
      </c>
      <c r="D1543" s="7">
        <v>145000</v>
      </c>
      <c r="E1543" s="5" t="s">
        <v>48</v>
      </c>
      <c r="F1543" s="5" t="s">
        <v>49</v>
      </c>
      <c r="G1543" s="8"/>
      <c r="H1543" s="8" t="str">
        <f>IF(F1543="Bullet",MIN(G1543,Assumptions!$B$6),"")</f>
        <v/>
      </c>
      <c r="I1543" s="8">
        <v>1</v>
      </c>
      <c r="J1543" s="8">
        <f>IF(F1543="Monthly interest",MAX(0,Assumptions!$B$5-I1543),"")</f>
        <v>2</v>
      </c>
      <c r="K1543" s="7">
        <f t="shared" si="72"/>
        <v>2417</v>
      </c>
      <c r="L1543" s="9">
        <v>46270</v>
      </c>
      <c r="M1543" s="5" t="s">
        <v>50</v>
      </c>
      <c r="N1543" s="5" t="s">
        <v>53</v>
      </c>
      <c r="O1543" s="5" t="s">
        <v>103</v>
      </c>
      <c r="P1543" s="5" t="s">
        <v>51</v>
      </c>
      <c r="Q1543" s="5" t="s">
        <v>54</v>
      </c>
      <c r="R1543" s="5" t="s">
        <v>55</v>
      </c>
      <c r="S1543" s="5" t="s">
        <v>75</v>
      </c>
      <c r="T1543" s="5" t="s">
        <v>57</v>
      </c>
      <c r="U1543" s="5" t="s">
        <v>86</v>
      </c>
      <c r="V1543" s="5" t="s">
        <v>76</v>
      </c>
      <c r="W1543" s="5" t="s">
        <v>146</v>
      </c>
      <c r="X1543" s="5" t="s">
        <v>3784</v>
      </c>
      <c r="Y1543" s="5" t="s">
        <v>6373</v>
      </c>
      <c r="Z1543" s="9">
        <v>46058</v>
      </c>
      <c r="AA1543" s="8">
        <v>12</v>
      </c>
      <c r="AB1543" s="9">
        <f t="shared" si="73"/>
        <v>46423</v>
      </c>
      <c r="AC1543" s="10">
        <v>20</v>
      </c>
      <c r="AD1543" s="7">
        <f t="shared" si="74"/>
        <v>2417</v>
      </c>
      <c r="AE1543" s="7">
        <f>IF(F1543="Bullet",H1543*AD1543,MIN(MAX(I1543,1),Assumptions!$B$6)*AD1543)</f>
        <v>2417</v>
      </c>
      <c r="AF1543" s="8">
        <f>IF(F1543="Bullet",MAX(0,Assumptions!$B$4-AB1543),MAX(0,Assumptions!$B$4-L1543))</f>
        <v>28</v>
      </c>
      <c r="AG1543" s="9">
        <v>46242</v>
      </c>
      <c r="AH1543" s="8">
        <f>IF(AG1543="","",Assumptions!$B$4-AG1543)</f>
        <v>56</v>
      </c>
      <c r="AI1543" s="5" t="s">
        <v>63</v>
      </c>
      <c r="AJ1543" s="8">
        <v>1</v>
      </c>
      <c r="AK1543" s="8">
        <v>0</v>
      </c>
      <c r="AL1543" s="8">
        <v>766</v>
      </c>
      <c r="AM1543" s="8">
        <v>1</v>
      </c>
      <c r="AN1543" s="5" t="s">
        <v>63</v>
      </c>
      <c r="AO1543" s="10">
        <v>70.599999999999994</v>
      </c>
      <c r="AP1543" s="8">
        <v>19</v>
      </c>
      <c r="AQ1543" s="9">
        <v>46286</v>
      </c>
      <c r="AR1543" s="5" t="s">
        <v>51</v>
      </c>
      <c r="AS1543" s="5" t="s">
        <v>81</v>
      </c>
    </row>
    <row r="1544" spans="1:45" x14ac:dyDescent="0.35">
      <c r="A1544" s="5" t="s">
        <v>6374</v>
      </c>
      <c r="B1544" s="5" t="s">
        <v>1709</v>
      </c>
      <c r="C1544" s="6" t="s">
        <v>6375</v>
      </c>
      <c r="D1544" s="7">
        <v>366100</v>
      </c>
      <c r="E1544" s="5" t="s">
        <v>48</v>
      </c>
      <c r="F1544" s="5" t="s">
        <v>68</v>
      </c>
      <c r="G1544" s="8">
        <v>5</v>
      </c>
      <c r="H1544" s="8">
        <f>IF(F1544="Bullet",MIN(G1544,Assumptions!$B$6),"")</f>
        <v>2</v>
      </c>
      <c r="I1544" s="8"/>
      <c r="J1544" s="8" t="str">
        <f>IF(F1544="Monthly interest",MAX(0,Assumptions!$B$5-I1544),"")</f>
        <v/>
      </c>
      <c r="K1544" s="7">
        <f t="shared" si="72"/>
        <v>24405</v>
      </c>
      <c r="L1544" s="9">
        <v>46137</v>
      </c>
      <c r="M1544" s="5" t="s">
        <v>116</v>
      </c>
      <c r="N1544" s="5" t="s">
        <v>117</v>
      </c>
      <c r="O1544" s="5" t="s">
        <v>461</v>
      </c>
      <c r="P1544" s="5" t="s">
        <v>72</v>
      </c>
      <c r="Q1544" s="5" t="s">
        <v>169</v>
      </c>
      <c r="R1544" s="5" t="s">
        <v>170</v>
      </c>
      <c r="S1544" s="5" t="s">
        <v>253</v>
      </c>
      <c r="T1544" s="5" t="s">
        <v>57</v>
      </c>
      <c r="U1544" s="5" t="s">
        <v>86</v>
      </c>
      <c r="V1544" s="5" t="s">
        <v>59</v>
      </c>
      <c r="W1544" s="5" t="s">
        <v>194</v>
      </c>
      <c r="X1544" s="5" t="s">
        <v>5136</v>
      </c>
      <c r="Y1544" s="5" t="s">
        <v>6376</v>
      </c>
      <c r="Z1544" s="9">
        <v>46137</v>
      </c>
      <c r="AA1544" s="8">
        <v>6</v>
      </c>
      <c r="AB1544" s="9">
        <f t="shared" si="73"/>
        <v>46320</v>
      </c>
      <c r="AC1544" s="10">
        <v>16</v>
      </c>
      <c r="AD1544" s="7">
        <f t="shared" si="74"/>
        <v>4881</v>
      </c>
      <c r="AE1544" s="7">
        <f>IF(F1544="Bullet",H1544*AD1544,MIN(MAX(I1544,1),Assumptions!$B$6)*AD1544)</f>
        <v>9762</v>
      </c>
      <c r="AF1544" s="8">
        <f>IF(F1544="Bullet",MAX(0,Assumptions!$B$4-AB1544),MAX(0,Assumptions!$B$4-L1544))</f>
        <v>0</v>
      </c>
      <c r="AG1544" s="9"/>
      <c r="AH1544" s="8" t="str">
        <f>IF(AG1544="","",Assumptions!$B$4-AG1544)</f>
        <v/>
      </c>
      <c r="AI1544" s="5" t="s">
        <v>80</v>
      </c>
      <c r="AJ1544" s="8"/>
      <c r="AK1544" s="8">
        <v>3</v>
      </c>
      <c r="AL1544" s="8">
        <v>763</v>
      </c>
      <c r="AM1544" s="8">
        <v>1</v>
      </c>
      <c r="AN1544" s="5" t="s">
        <v>63</v>
      </c>
      <c r="AO1544" s="10">
        <v>85.2</v>
      </c>
      <c r="AP1544" s="8">
        <v>58</v>
      </c>
      <c r="AQ1544" s="9">
        <v>46282</v>
      </c>
      <c r="AR1544" s="5" t="s">
        <v>51</v>
      </c>
      <c r="AS1544" s="5" t="s">
        <v>81</v>
      </c>
    </row>
    <row r="1545" spans="1:45" x14ac:dyDescent="0.35">
      <c r="A1545" s="5" t="s">
        <v>6377</v>
      </c>
      <c r="B1545" s="5" t="s">
        <v>6378</v>
      </c>
      <c r="C1545" s="6" t="s">
        <v>6379</v>
      </c>
      <c r="D1545" s="7">
        <v>15000</v>
      </c>
      <c r="E1545" s="5" t="s">
        <v>48</v>
      </c>
      <c r="F1545" s="5" t="s">
        <v>49</v>
      </c>
      <c r="G1545" s="8"/>
      <c r="H1545" s="8" t="str">
        <f>IF(F1545="Bullet",MIN(G1545,Assumptions!$B$6),"")</f>
        <v/>
      </c>
      <c r="I1545" s="8">
        <v>1</v>
      </c>
      <c r="J1545" s="8">
        <f>IF(F1545="Monthly interest",MAX(0,Assumptions!$B$5-I1545),"")</f>
        <v>2</v>
      </c>
      <c r="K1545" s="7">
        <f t="shared" si="72"/>
        <v>175</v>
      </c>
      <c r="L1545" s="9">
        <v>46286</v>
      </c>
      <c r="M1545" s="5" t="s">
        <v>50</v>
      </c>
      <c r="N1545" s="5" t="s">
        <v>51</v>
      </c>
      <c r="O1545" s="5" t="s">
        <v>152</v>
      </c>
      <c r="P1545" s="5" t="s">
        <v>53</v>
      </c>
      <c r="Q1545" s="5" t="s">
        <v>154</v>
      </c>
      <c r="R1545" s="5" t="s">
        <v>155</v>
      </c>
      <c r="S1545" s="5" t="s">
        <v>75</v>
      </c>
      <c r="T1545" s="5" t="s">
        <v>57</v>
      </c>
      <c r="U1545" s="5" t="s">
        <v>58</v>
      </c>
      <c r="V1545" s="5" t="s">
        <v>76</v>
      </c>
      <c r="W1545" s="5" t="s">
        <v>105</v>
      </c>
      <c r="X1545" s="5" t="s">
        <v>106</v>
      </c>
      <c r="Y1545" s="5" t="s">
        <v>6380</v>
      </c>
      <c r="Z1545" s="9">
        <v>46012</v>
      </c>
      <c r="AA1545" s="8">
        <v>12</v>
      </c>
      <c r="AB1545" s="9">
        <f t="shared" si="73"/>
        <v>46377</v>
      </c>
      <c r="AC1545" s="10">
        <v>14</v>
      </c>
      <c r="AD1545" s="7">
        <f t="shared" si="74"/>
        <v>175</v>
      </c>
      <c r="AE1545" s="7">
        <f>IF(F1545="Bullet",H1545*AD1545,MIN(MAX(I1545,1),Assumptions!$B$6)*AD1545)</f>
        <v>175</v>
      </c>
      <c r="AF1545" s="8">
        <f>IF(F1545="Bullet",MAX(0,Assumptions!$B$4-AB1545),MAX(0,Assumptions!$B$4-L1545))</f>
        <v>12</v>
      </c>
      <c r="AG1545" s="9">
        <v>46258</v>
      </c>
      <c r="AH1545" s="8">
        <f>IF(AG1545="","",Assumptions!$B$4-AG1545)</f>
        <v>40</v>
      </c>
      <c r="AI1545" s="5" t="s">
        <v>63</v>
      </c>
      <c r="AJ1545" s="8">
        <v>1</v>
      </c>
      <c r="AK1545" s="8">
        <v>0</v>
      </c>
      <c r="AL1545" s="8">
        <v>738</v>
      </c>
      <c r="AM1545" s="8">
        <v>0</v>
      </c>
      <c r="AN1545" s="5" t="s">
        <v>63</v>
      </c>
      <c r="AO1545" s="10">
        <v>72.900000000000006</v>
      </c>
      <c r="AP1545" s="8">
        <v>14</v>
      </c>
      <c r="AQ1545" s="9">
        <v>46292</v>
      </c>
      <c r="AR1545" s="5" t="s">
        <v>51</v>
      </c>
      <c r="AS1545" s="5" t="s">
        <v>64</v>
      </c>
    </row>
    <row r="1546" spans="1:45" x14ac:dyDescent="0.35">
      <c r="A1546" s="5" t="s">
        <v>6381</v>
      </c>
      <c r="B1546" s="5" t="s">
        <v>6025</v>
      </c>
      <c r="C1546" s="6" t="s">
        <v>6382</v>
      </c>
      <c r="D1546" s="7">
        <v>69600</v>
      </c>
      <c r="E1546" s="5" t="s">
        <v>48</v>
      </c>
      <c r="F1546" s="5" t="s">
        <v>68</v>
      </c>
      <c r="G1546" s="8">
        <v>2</v>
      </c>
      <c r="H1546" s="8">
        <f>IF(F1546="Bullet",MIN(G1546,Assumptions!$B$6),"")</f>
        <v>2</v>
      </c>
      <c r="I1546" s="8"/>
      <c r="J1546" s="8" t="str">
        <f>IF(F1546="Monthly interest",MAX(0,Assumptions!$B$5-I1546),"")</f>
        <v/>
      </c>
      <c r="K1546" s="7">
        <f t="shared" si="72"/>
        <v>1856</v>
      </c>
      <c r="L1546" s="9">
        <v>46226</v>
      </c>
      <c r="M1546" s="5" t="s">
        <v>50</v>
      </c>
      <c r="N1546" s="5" t="s">
        <v>51</v>
      </c>
      <c r="O1546" s="5" t="s">
        <v>71</v>
      </c>
      <c r="P1546" s="5" t="s">
        <v>53</v>
      </c>
      <c r="Q1546" s="5" t="s">
        <v>73</v>
      </c>
      <c r="R1546" s="5" t="s">
        <v>74</v>
      </c>
      <c r="S1546" s="5" t="s">
        <v>253</v>
      </c>
      <c r="T1546" s="5" t="s">
        <v>57</v>
      </c>
      <c r="U1546" s="5" t="s">
        <v>86</v>
      </c>
      <c r="V1546" s="5" t="s">
        <v>87</v>
      </c>
      <c r="W1546" s="5" t="s">
        <v>88</v>
      </c>
      <c r="X1546" s="5" t="s">
        <v>3940</v>
      </c>
      <c r="Y1546" s="5" t="s">
        <v>6383</v>
      </c>
      <c r="Z1546" s="9">
        <v>46226</v>
      </c>
      <c r="AA1546" s="8">
        <v>12</v>
      </c>
      <c r="AB1546" s="9">
        <f t="shared" si="73"/>
        <v>46591</v>
      </c>
      <c r="AC1546" s="10">
        <v>16</v>
      </c>
      <c r="AD1546" s="7">
        <f t="shared" si="74"/>
        <v>928</v>
      </c>
      <c r="AE1546" s="7">
        <f>IF(F1546="Bullet",H1546*AD1546,MIN(MAX(I1546,1),Assumptions!$B$6)*AD1546)</f>
        <v>1856</v>
      </c>
      <c r="AF1546" s="8">
        <f>IF(F1546="Bullet",MAX(0,Assumptions!$B$4-AB1546),MAX(0,Assumptions!$B$4-L1546))</f>
        <v>0</v>
      </c>
      <c r="AG1546" s="9"/>
      <c r="AH1546" s="8" t="str">
        <f>IF(AG1546="","",Assumptions!$B$4-AG1546)</f>
        <v/>
      </c>
      <c r="AI1546" s="5" t="s">
        <v>80</v>
      </c>
      <c r="AJ1546" s="8"/>
      <c r="AK1546" s="8">
        <v>1</v>
      </c>
      <c r="AL1546" s="8">
        <v>811</v>
      </c>
      <c r="AM1546" s="8">
        <v>3</v>
      </c>
      <c r="AN1546" s="5" t="s">
        <v>63</v>
      </c>
      <c r="AO1546" s="10">
        <v>71.2</v>
      </c>
      <c r="AP1546" s="8">
        <v>10</v>
      </c>
      <c r="AQ1546" s="9">
        <v>46296</v>
      </c>
      <c r="AR1546" s="5" t="s">
        <v>70</v>
      </c>
      <c r="AS1546" s="5" t="s">
        <v>64</v>
      </c>
    </row>
    <row r="1547" spans="1:45" x14ac:dyDescent="0.35">
      <c r="A1547" s="5" t="s">
        <v>6384</v>
      </c>
      <c r="B1547" s="5" t="s">
        <v>3288</v>
      </c>
      <c r="C1547" s="6" t="s">
        <v>6385</v>
      </c>
      <c r="D1547" s="7">
        <v>2500000</v>
      </c>
      <c r="E1547" s="5" t="s">
        <v>48</v>
      </c>
      <c r="F1547" s="5" t="s">
        <v>68</v>
      </c>
      <c r="G1547" s="8">
        <v>4</v>
      </c>
      <c r="H1547" s="8">
        <f>IF(F1547="Bullet",MIN(G1547,Assumptions!$B$6),"")</f>
        <v>2</v>
      </c>
      <c r="I1547" s="8"/>
      <c r="J1547" s="8" t="str">
        <f>IF(F1547="Monthly interest",MAX(0,Assumptions!$B$5-I1547),"")</f>
        <v/>
      </c>
      <c r="K1547" s="7">
        <f t="shared" si="72"/>
        <v>150000</v>
      </c>
      <c r="L1547" s="9">
        <v>46175</v>
      </c>
      <c r="M1547" s="5" t="s">
        <v>116</v>
      </c>
      <c r="N1547" s="5" t="s">
        <v>117</v>
      </c>
      <c r="O1547" s="5" t="s">
        <v>207</v>
      </c>
      <c r="P1547" s="5" t="s">
        <v>72</v>
      </c>
      <c r="Q1547" s="5" t="s">
        <v>73</v>
      </c>
      <c r="R1547" s="5" t="s">
        <v>74</v>
      </c>
      <c r="S1547" s="5" t="s">
        <v>185</v>
      </c>
      <c r="T1547" s="5" t="s">
        <v>57</v>
      </c>
      <c r="U1547" s="5" t="s">
        <v>86</v>
      </c>
      <c r="V1547" s="5" t="s">
        <v>200</v>
      </c>
      <c r="W1547" s="5" t="s">
        <v>1332</v>
      </c>
      <c r="X1547" s="5" t="s">
        <v>6386</v>
      </c>
      <c r="Y1547" s="5" t="s">
        <v>6387</v>
      </c>
      <c r="Z1547" s="9">
        <v>46175</v>
      </c>
      <c r="AA1547" s="8">
        <v>3</v>
      </c>
      <c r="AB1547" s="9">
        <f t="shared" si="73"/>
        <v>46267</v>
      </c>
      <c r="AC1547" s="10">
        <v>18</v>
      </c>
      <c r="AD1547" s="7">
        <f t="shared" si="74"/>
        <v>37500</v>
      </c>
      <c r="AE1547" s="7">
        <f>IF(F1547="Bullet",H1547*AD1547,MIN(MAX(I1547,1),Assumptions!$B$6)*AD1547)</f>
        <v>75000</v>
      </c>
      <c r="AF1547" s="8">
        <f>IF(F1547="Bullet",MAX(0,Assumptions!$B$4-AB1547),MAX(0,Assumptions!$B$4-L1547))</f>
        <v>31</v>
      </c>
      <c r="AG1547" s="9"/>
      <c r="AH1547" s="8" t="str">
        <f>IF(AG1547="","",Assumptions!$B$4-AG1547)</f>
        <v/>
      </c>
      <c r="AI1547" s="5" t="s">
        <v>80</v>
      </c>
      <c r="AJ1547" s="8"/>
      <c r="AK1547" s="8">
        <v>2</v>
      </c>
      <c r="AL1547" s="8">
        <v>639</v>
      </c>
      <c r="AM1547" s="8">
        <v>0</v>
      </c>
      <c r="AN1547" s="5" t="s">
        <v>63</v>
      </c>
      <c r="AO1547" s="10">
        <v>87.7</v>
      </c>
      <c r="AP1547" s="8">
        <v>70</v>
      </c>
      <c r="AQ1547" s="9">
        <v>46294</v>
      </c>
      <c r="AR1547" s="5" t="s">
        <v>51</v>
      </c>
      <c r="AS1547" s="5" t="s">
        <v>181</v>
      </c>
    </row>
    <row r="1548" spans="1:45" x14ac:dyDescent="0.35">
      <c r="A1548" s="5" t="s">
        <v>6388</v>
      </c>
      <c r="B1548" s="5" t="s">
        <v>6389</v>
      </c>
      <c r="C1548" s="6" t="s">
        <v>6390</v>
      </c>
      <c r="D1548" s="7">
        <v>292000</v>
      </c>
      <c r="E1548" s="5" t="s">
        <v>48</v>
      </c>
      <c r="F1548" s="5" t="s">
        <v>49</v>
      </c>
      <c r="G1548" s="8"/>
      <c r="H1548" s="8" t="str">
        <f>IF(F1548="Bullet",MIN(G1548,Assumptions!$B$6),"")</f>
        <v/>
      </c>
      <c r="I1548" s="8">
        <v>2</v>
      </c>
      <c r="J1548" s="8">
        <f>IF(F1548="Monthly interest",MAX(0,Assumptions!$B$5-I1548),"")</f>
        <v>1</v>
      </c>
      <c r="K1548" s="7">
        <f t="shared" si="72"/>
        <v>7786</v>
      </c>
      <c r="L1548" s="9">
        <v>46268</v>
      </c>
      <c r="M1548" s="5" t="s">
        <v>116</v>
      </c>
      <c r="N1548" s="5" t="s">
        <v>117</v>
      </c>
      <c r="O1548" s="5" t="s">
        <v>118</v>
      </c>
      <c r="P1548" s="5" t="s">
        <v>72</v>
      </c>
      <c r="Q1548" s="5" t="s">
        <v>119</v>
      </c>
      <c r="R1548" s="5" t="s">
        <v>120</v>
      </c>
      <c r="S1548" s="5" t="s">
        <v>85</v>
      </c>
      <c r="T1548" s="5" t="s">
        <v>57</v>
      </c>
      <c r="U1548" s="5" t="s">
        <v>86</v>
      </c>
      <c r="V1548" s="5" t="s">
        <v>133</v>
      </c>
      <c r="W1548" s="5" t="s">
        <v>134</v>
      </c>
      <c r="X1548" s="5" t="s">
        <v>356</v>
      </c>
      <c r="Y1548" s="5" t="s">
        <v>6391</v>
      </c>
      <c r="Z1548" s="9">
        <v>46084</v>
      </c>
      <c r="AA1548" s="8">
        <v>12</v>
      </c>
      <c r="AB1548" s="9">
        <f t="shared" si="73"/>
        <v>46449</v>
      </c>
      <c r="AC1548" s="10">
        <v>16</v>
      </c>
      <c r="AD1548" s="7">
        <f t="shared" si="74"/>
        <v>3893</v>
      </c>
      <c r="AE1548" s="7">
        <f>IF(F1548="Bullet",H1548*AD1548,MIN(MAX(I1548,1),Assumptions!$B$6)*AD1548)</f>
        <v>7786</v>
      </c>
      <c r="AF1548" s="8">
        <f>IF(F1548="Bullet",MAX(0,Assumptions!$B$4-AB1548),MAX(0,Assumptions!$B$4-L1548))</f>
        <v>30</v>
      </c>
      <c r="AG1548" s="9">
        <v>46238</v>
      </c>
      <c r="AH1548" s="8">
        <f>IF(AG1548="","",Assumptions!$B$4-AG1548)</f>
        <v>60</v>
      </c>
      <c r="AI1548" s="5" t="s">
        <v>63</v>
      </c>
      <c r="AJ1548" s="8">
        <v>4</v>
      </c>
      <c r="AK1548" s="8">
        <v>2</v>
      </c>
      <c r="AL1548" s="8">
        <v>756</v>
      </c>
      <c r="AM1548" s="8">
        <v>2</v>
      </c>
      <c r="AN1548" s="5" t="s">
        <v>63</v>
      </c>
      <c r="AO1548" s="10">
        <v>53.8</v>
      </c>
      <c r="AP1548" s="8">
        <v>55</v>
      </c>
      <c r="AQ1548" s="9">
        <v>46276</v>
      </c>
      <c r="AR1548" s="5" t="s">
        <v>51</v>
      </c>
      <c r="AS1548" s="5" t="s">
        <v>64</v>
      </c>
    </row>
    <row r="1549" spans="1:45" x14ac:dyDescent="0.35">
      <c r="A1549" s="5" t="s">
        <v>6392</v>
      </c>
      <c r="B1549" s="5" t="s">
        <v>6393</v>
      </c>
      <c r="C1549" s="6" t="s">
        <v>6394</v>
      </c>
      <c r="D1549" s="7">
        <v>135500</v>
      </c>
      <c r="E1549" s="5" t="s">
        <v>48</v>
      </c>
      <c r="F1549" s="5" t="s">
        <v>68</v>
      </c>
      <c r="G1549" s="8">
        <v>4</v>
      </c>
      <c r="H1549" s="8">
        <f>IF(F1549="Bullet",MIN(G1549,Assumptions!$B$6),"")</f>
        <v>2</v>
      </c>
      <c r="I1549" s="8"/>
      <c r="J1549" s="8" t="str">
        <f>IF(F1549="Monthly interest",MAX(0,Assumptions!$B$5-I1549),"")</f>
        <v/>
      </c>
      <c r="K1549" s="7">
        <f t="shared" si="72"/>
        <v>5420</v>
      </c>
      <c r="L1549" s="9">
        <v>46163</v>
      </c>
      <c r="M1549" s="5" t="s">
        <v>116</v>
      </c>
      <c r="N1549" s="5" t="s">
        <v>117</v>
      </c>
      <c r="O1549" s="5" t="s">
        <v>207</v>
      </c>
      <c r="P1549" s="5" t="s">
        <v>72</v>
      </c>
      <c r="Q1549" s="5" t="s">
        <v>73</v>
      </c>
      <c r="R1549" s="5" t="s">
        <v>74</v>
      </c>
      <c r="S1549" s="5" t="s">
        <v>85</v>
      </c>
      <c r="T1549" s="5" t="s">
        <v>57</v>
      </c>
      <c r="U1549" s="5" t="s">
        <v>104</v>
      </c>
      <c r="V1549" s="5" t="s">
        <v>133</v>
      </c>
      <c r="W1549" s="5" t="s">
        <v>594</v>
      </c>
      <c r="X1549" s="5" t="s">
        <v>4616</v>
      </c>
      <c r="Y1549" s="5" t="s">
        <v>6395</v>
      </c>
      <c r="Z1549" s="9">
        <v>46163</v>
      </c>
      <c r="AA1549" s="8">
        <v>3</v>
      </c>
      <c r="AB1549" s="9">
        <f t="shared" si="73"/>
        <v>46255</v>
      </c>
      <c r="AC1549" s="10">
        <v>12</v>
      </c>
      <c r="AD1549" s="7">
        <f t="shared" si="74"/>
        <v>1355</v>
      </c>
      <c r="AE1549" s="7">
        <f>IF(F1549="Bullet",H1549*AD1549,MIN(MAX(I1549,1),Assumptions!$B$6)*AD1549)</f>
        <v>2710</v>
      </c>
      <c r="AF1549" s="8">
        <f>IF(F1549="Bullet",MAX(0,Assumptions!$B$4-AB1549),MAX(0,Assumptions!$B$4-L1549))</f>
        <v>43</v>
      </c>
      <c r="AG1549" s="9"/>
      <c r="AH1549" s="8" t="str">
        <f>IF(AG1549="","",Assumptions!$B$4-AG1549)</f>
        <v/>
      </c>
      <c r="AI1549" s="5" t="s">
        <v>80</v>
      </c>
      <c r="AJ1549" s="8"/>
      <c r="AK1549" s="8">
        <v>2</v>
      </c>
      <c r="AL1549" s="8">
        <v>710</v>
      </c>
      <c r="AM1549" s="8">
        <v>0</v>
      </c>
      <c r="AN1549" s="5" t="s">
        <v>63</v>
      </c>
      <c r="AO1549" s="10">
        <v>69.599999999999994</v>
      </c>
      <c r="AP1549" s="8">
        <v>51</v>
      </c>
      <c r="AQ1549" s="9">
        <v>46274</v>
      </c>
      <c r="AR1549" s="5" t="s">
        <v>70</v>
      </c>
      <c r="AS1549" s="5" t="s">
        <v>81</v>
      </c>
    </row>
    <row r="1550" spans="1:45" x14ac:dyDescent="0.35">
      <c r="A1550" s="5" t="s">
        <v>6396</v>
      </c>
      <c r="B1550" s="5" t="s">
        <v>3482</v>
      </c>
      <c r="C1550" s="6" t="s">
        <v>6397</v>
      </c>
      <c r="D1550" s="7">
        <v>203100</v>
      </c>
      <c r="E1550" s="5" t="s">
        <v>48</v>
      </c>
      <c r="F1550" s="5" t="s">
        <v>49</v>
      </c>
      <c r="G1550" s="8"/>
      <c r="H1550" s="8" t="str">
        <f>IF(F1550="Bullet",MIN(G1550,Assumptions!$B$6),"")</f>
        <v/>
      </c>
      <c r="I1550" s="8">
        <v>2</v>
      </c>
      <c r="J1550" s="8">
        <f>IF(F1550="Monthly interest",MAX(0,Assumptions!$B$5-I1550),"")</f>
        <v>1</v>
      </c>
      <c r="K1550" s="7">
        <f t="shared" si="72"/>
        <v>5416</v>
      </c>
      <c r="L1550" s="9">
        <v>46246</v>
      </c>
      <c r="M1550" s="5" t="s">
        <v>116</v>
      </c>
      <c r="N1550" s="5" t="s">
        <v>117</v>
      </c>
      <c r="O1550" s="5" t="s">
        <v>118</v>
      </c>
      <c r="P1550" s="5" t="s">
        <v>72</v>
      </c>
      <c r="Q1550" s="5" t="s">
        <v>119</v>
      </c>
      <c r="R1550" s="5" t="s">
        <v>120</v>
      </c>
      <c r="S1550" s="5" t="s">
        <v>85</v>
      </c>
      <c r="T1550" s="5" t="s">
        <v>57</v>
      </c>
      <c r="U1550" s="5" t="s">
        <v>86</v>
      </c>
      <c r="V1550" s="5" t="s">
        <v>553</v>
      </c>
      <c r="W1550" s="5" t="s">
        <v>554</v>
      </c>
      <c r="X1550" s="5" t="s">
        <v>5992</v>
      </c>
      <c r="Y1550" s="5" t="s">
        <v>6398</v>
      </c>
      <c r="Z1550" s="9">
        <v>46185</v>
      </c>
      <c r="AA1550" s="8">
        <v>12</v>
      </c>
      <c r="AB1550" s="9">
        <f t="shared" si="73"/>
        <v>46550</v>
      </c>
      <c r="AC1550" s="10">
        <v>16</v>
      </c>
      <c r="AD1550" s="7">
        <f t="shared" si="74"/>
        <v>2708</v>
      </c>
      <c r="AE1550" s="7">
        <f>IF(F1550="Bullet",H1550*AD1550,MIN(MAX(I1550,1),Assumptions!$B$6)*AD1550)</f>
        <v>5416</v>
      </c>
      <c r="AF1550" s="8">
        <f>IF(F1550="Bullet",MAX(0,Assumptions!$B$4-AB1550),MAX(0,Assumptions!$B$4-L1550))</f>
        <v>52</v>
      </c>
      <c r="AG1550" s="9">
        <v>46220</v>
      </c>
      <c r="AH1550" s="8">
        <f>IF(AG1550="","",Assumptions!$B$4-AG1550)</f>
        <v>78</v>
      </c>
      <c r="AI1550" s="5" t="s">
        <v>57</v>
      </c>
      <c r="AJ1550" s="8">
        <v>2</v>
      </c>
      <c r="AK1550" s="8">
        <v>1</v>
      </c>
      <c r="AL1550" s="8">
        <v>700</v>
      </c>
      <c r="AM1550" s="8">
        <v>0</v>
      </c>
      <c r="AN1550" s="5" t="s">
        <v>63</v>
      </c>
      <c r="AO1550" s="10">
        <v>77.599999999999994</v>
      </c>
      <c r="AP1550" s="8">
        <v>49</v>
      </c>
      <c r="AQ1550" s="9">
        <v>46287</v>
      </c>
      <c r="AR1550" s="5" t="s">
        <v>70</v>
      </c>
      <c r="AS1550" s="5" t="s">
        <v>64</v>
      </c>
    </row>
    <row r="1551" spans="1:45" x14ac:dyDescent="0.35">
      <c r="A1551" s="5" t="s">
        <v>6399</v>
      </c>
      <c r="B1551" s="5" t="s">
        <v>6400</v>
      </c>
      <c r="C1551" s="6" t="s">
        <v>6401</v>
      </c>
      <c r="D1551" s="7">
        <v>280500</v>
      </c>
      <c r="E1551" s="5" t="s">
        <v>48</v>
      </c>
      <c r="F1551" s="5" t="s">
        <v>68</v>
      </c>
      <c r="G1551" s="8">
        <v>3</v>
      </c>
      <c r="H1551" s="8">
        <f>IF(F1551="Bullet",MIN(G1551,Assumptions!$B$6),"")</f>
        <v>2</v>
      </c>
      <c r="I1551" s="8"/>
      <c r="J1551" s="8" t="str">
        <f>IF(F1551="Monthly interest",MAX(0,Assumptions!$B$5-I1551),"")</f>
        <v/>
      </c>
      <c r="K1551" s="7">
        <f t="shared" si="72"/>
        <v>12624</v>
      </c>
      <c r="L1551" s="9">
        <v>46200</v>
      </c>
      <c r="M1551" s="5" t="s">
        <v>69</v>
      </c>
      <c r="N1551" s="5" t="s">
        <v>70</v>
      </c>
      <c r="O1551" s="5" t="s">
        <v>71</v>
      </c>
      <c r="P1551" s="5" t="s">
        <v>72</v>
      </c>
      <c r="Q1551" s="5" t="s">
        <v>73</v>
      </c>
      <c r="R1551" s="5" t="s">
        <v>74</v>
      </c>
      <c r="S1551" s="5" t="s">
        <v>75</v>
      </c>
      <c r="T1551" s="5" t="s">
        <v>57</v>
      </c>
      <c r="U1551" s="5" t="s">
        <v>104</v>
      </c>
      <c r="V1551" s="5" t="s">
        <v>76</v>
      </c>
      <c r="W1551" s="5" t="s">
        <v>140</v>
      </c>
      <c r="X1551" s="5" t="s">
        <v>792</v>
      </c>
      <c r="Y1551" s="5" t="s">
        <v>6402</v>
      </c>
      <c r="Z1551" s="9">
        <v>46200</v>
      </c>
      <c r="AA1551" s="8">
        <v>12</v>
      </c>
      <c r="AB1551" s="9">
        <f t="shared" si="73"/>
        <v>46565</v>
      </c>
      <c r="AC1551" s="10">
        <v>18</v>
      </c>
      <c r="AD1551" s="7">
        <f t="shared" si="74"/>
        <v>4208</v>
      </c>
      <c r="AE1551" s="7">
        <f>IF(F1551="Bullet",H1551*AD1551,MIN(MAX(I1551,1),Assumptions!$B$6)*AD1551)</f>
        <v>8416</v>
      </c>
      <c r="AF1551" s="8">
        <f>IF(F1551="Bullet",MAX(0,Assumptions!$B$4-AB1551),MAX(0,Assumptions!$B$4-L1551))</f>
        <v>0</v>
      </c>
      <c r="AG1551" s="9"/>
      <c r="AH1551" s="8" t="str">
        <f>IF(AG1551="","",Assumptions!$B$4-AG1551)</f>
        <v/>
      </c>
      <c r="AI1551" s="5" t="s">
        <v>80</v>
      </c>
      <c r="AJ1551" s="8"/>
      <c r="AK1551" s="8">
        <v>1</v>
      </c>
      <c r="AL1551" s="8">
        <v>669</v>
      </c>
      <c r="AM1551" s="8">
        <v>1</v>
      </c>
      <c r="AN1551" s="5" t="s">
        <v>63</v>
      </c>
      <c r="AO1551" s="10">
        <v>86.2</v>
      </c>
      <c r="AP1551" s="8">
        <v>44</v>
      </c>
      <c r="AQ1551" s="9">
        <v>46278</v>
      </c>
      <c r="AR1551" s="5" t="s">
        <v>51</v>
      </c>
      <c r="AS1551" s="5" t="s">
        <v>64</v>
      </c>
    </row>
    <row r="1552" spans="1:45" x14ac:dyDescent="0.35">
      <c r="A1552" s="5" t="s">
        <v>6403</v>
      </c>
      <c r="B1552" s="5" t="s">
        <v>6404</v>
      </c>
      <c r="C1552" s="6" t="s">
        <v>6405</v>
      </c>
      <c r="D1552" s="7">
        <v>160300</v>
      </c>
      <c r="E1552" s="5" t="s">
        <v>48</v>
      </c>
      <c r="F1552" s="5" t="s">
        <v>68</v>
      </c>
      <c r="G1552" s="8">
        <v>5</v>
      </c>
      <c r="H1552" s="8">
        <f>IF(F1552="Bullet",MIN(G1552,Assumptions!$B$6),"")</f>
        <v>2</v>
      </c>
      <c r="I1552" s="8"/>
      <c r="J1552" s="8" t="str">
        <f>IF(F1552="Monthly interest",MAX(0,Assumptions!$B$5-I1552),"")</f>
        <v/>
      </c>
      <c r="K1552" s="7">
        <f t="shared" si="72"/>
        <v>8685</v>
      </c>
      <c r="L1552" s="9">
        <v>46143</v>
      </c>
      <c r="M1552" s="5" t="s">
        <v>116</v>
      </c>
      <c r="N1552" s="5" t="s">
        <v>117</v>
      </c>
      <c r="O1552" s="5" t="s">
        <v>461</v>
      </c>
      <c r="P1552" s="5" t="s">
        <v>72</v>
      </c>
      <c r="Q1552" s="5" t="s">
        <v>169</v>
      </c>
      <c r="R1552" s="5" t="s">
        <v>170</v>
      </c>
      <c r="S1552" s="5" t="s">
        <v>56</v>
      </c>
      <c r="T1552" s="5" t="s">
        <v>57</v>
      </c>
      <c r="U1552" s="5" t="s">
        <v>86</v>
      </c>
      <c r="V1552" s="5" t="s">
        <v>59</v>
      </c>
      <c r="W1552" s="5" t="s">
        <v>126</v>
      </c>
      <c r="X1552" s="5" t="s">
        <v>2161</v>
      </c>
      <c r="Y1552" s="5" t="s">
        <v>6406</v>
      </c>
      <c r="Z1552" s="9">
        <v>46143</v>
      </c>
      <c r="AA1552" s="8">
        <v>6</v>
      </c>
      <c r="AB1552" s="9">
        <f t="shared" si="73"/>
        <v>46327</v>
      </c>
      <c r="AC1552" s="10">
        <v>13</v>
      </c>
      <c r="AD1552" s="7">
        <f t="shared" si="74"/>
        <v>1737</v>
      </c>
      <c r="AE1552" s="7">
        <f>IF(F1552="Bullet",H1552*AD1552,MIN(MAX(I1552,1),Assumptions!$B$6)*AD1552)</f>
        <v>3474</v>
      </c>
      <c r="AF1552" s="8">
        <f>IF(F1552="Bullet",MAX(0,Assumptions!$B$4-AB1552),MAX(0,Assumptions!$B$4-L1552))</f>
        <v>0</v>
      </c>
      <c r="AG1552" s="9"/>
      <c r="AH1552" s="8" t="str">
        <f>IF(AG1552="","",Assumptions!$B$4-AG1552)</f>
        <v/>
      </c>
      <c r="AI1552" s="5" t="s">
        <v>80</v>
      </c>
      <c r="AJ1552" s="8"/>
      <c r="AK1552" s="8">
        <v>2</v>
      </c>
      <c r="AL1552" s="8">
        <v>737</v>
      </c>
      <c r="AM1552" s="8">
        <v>1</v>
      </c>
      <c r="AN1552" s="5" t="s">
        <v>63</v>
      </c>
      <c r="AO1552" s="10">
        <v>85.2</v>
      </c>
      <c r="AP1552" s="8">
        <v>62</v>
      </c>
      <c r="AQ1552" s="9">
        <v>46282</v>
      </c>
      <c r="AR1552" s="5" t="s">
        <v>70</v>
      </c>
      <c r="AS1552" s="5" t="s">
        <v>64</v>
      </c>
    </row>
    <row r="1553" spans="1:45" x14ac:dyDescent="0.35">
      <c r="A1553" s="5" t="s">
        <v>6407</v>
      </c>
      <c r="B1553" s="5" t="s">
        <v>6408</v>
      </c>
      <c r="C1553" s="6" t="s">
        <v>6409</v>
      </c>
      <c r="D1553" s="7">
        <v>326300</v>
      </c>
      <c r="E1553" s="5" t="s">
        <v>48</v>
      </c>
      <c r="F1553" s="5" t="s">
        <v>49</v>
      </c>
      <c r="G1553" s="8"/>
      <c r="H1553" s="8" t="str">
        <f>IF(F1553="Bullet",MIN(G1553,Assumptions!$B$6),"")</f>
        <v/>
      </c>
      <c r="I1553" s="8">
        <v>1</v>
      </c>
      <c r="J1553" s="8">
        <f>IF(F1553="Monthly interest",MAX(0,Assumptions!$B$5-I1553),"")</f>
        <v>2</v>
      </c>
      <c r="K1553" s="7">
        <f t="shared" si="72"/>
        <v>6526</v>
      </c>
      <c r="L1553" s="9">
        <v>46276</v>
      </c>
      <c r="M1553" s="5" t="s">
        <v>50</v>
      </c>
      <c r="N1553" s="5" t="s">
        <v>53</v>
      </c>
      <c r="O1553" s="5" t="s">
        <v>132</v>
      </c>
      <c r="P1553" s="5" t="s">
        <v>51</v>
      </c>
      <c r="Q1553" s="5" t="s">
        <v>54</v>
      </c>
      <c r="R1553" s="5" t="s">
        <v>55</v>
      </c>
      <c r="S1553" s="5" t="s">
        <v>56</v>
      </c>
      <c r="T1553" s="5" t="s">
        <v>57</v>
      </c>
      <c r="U1553" s="5" t="s">
        <v>86</v>
      </c>
      <c r="V1553" s="5" t="s">
        <v>59</v>
      </c>
      <c r="W1553" s="5" t="s">
        <v>323</v>
      </c>
      <c r="X1553" s="5" t="s">
        <v>4455</v>
      </c>
      <c r="Y1553" s="5" t="s">
        <v>6410</v>
      </c>
      <c r="Z1553" s="9">
        <v>46064</v>
      </c>
      <c r="AA1553" s="8">
        <v>18</v>
      </c>
      <c r="AB1553" s="9">
        <f t="shared" si="73"/>
        <v>46610</v>
      </c>
      <c r="AC1553" s="10">
        <v>24</v>
      </c>
      <c r="AD1553" s="7">
        <f t="shared" si="74"/>
        <v>6526</v>
      </c>
      <c r="AE1553" s="7">
        <f>IF(F1553="Bullet",H1553*AD1553,MIN(MAX(I1553,1),Assumptions!$B$6)*AD1553)</f>
        <v>6526</v>
      </c>
      <c r="AF1553" s="8">
        <f>IF(F1553="Bullet",MAX(0,Assumptions!$B$4-AB1553),MAX(0,Assumptions!$B$4-L1553))</f>
        <v>22</v>
      </c>
      <c r="AG1553" s="9">
        <v>46248</v>
      </c>
      <c r="AH1553" s="8">
        <f>IF(AG1553="","",Assumptions!$B$4-AG1553)</f>
        <v>50</v>
      </c>
      <c r="AI1553" s="5" t="s">
        <v>63</v>
      </c>
      <c r="AJ1553" s="8">
        <v>2</v>
      </c>
      <c r="AK1553" s="8">
        <v>1</v>
      </c>
      <c r="AL1553" s="8">
        <v>857</v>
      </c>
      <c r="AM1553" s="8">
        <v>3</v>
      </c>
      <c r="AN1553" s="5" t="s">
        <v>63</v>
      </c>
      <c r="AO1553" s="10">
        <v>72.900000000000006</v>
      </c>
      <c r="AP1553" s="8">
        <v>23</v>
      </c>
      <c r="AQ1553" s="9">
        <v>46291</v>
      </c>
      <c r="AR1553" s="5" t="s">
        <v>51</v>
      </c>
      <c r="AS1553" s="5" t="s">
        <v>91</v>
      </c>
    </row>
    <row r="1554" spans="1:45" x14ac:dyDescent="0.35">
      <c r="A1554" s="5" t="s">
        <v>6411</v>
      </c>
      <c r="B1554" s="5" t="s">
        <v>6412</v>
      </c>
      <c r="C1554" s="6" t="s">
        <v>6413</v>
      </c>
      <c r="D1554" s="7">
        <v>130700</v>
      </c>
      <c r="E1554" s="5" t="s">
        <v>48</v>
      </c>
      <c r="F1554" s="5" t="s">
        <v>49</v>
      </c>
      <c r="G1554" s="8"/>
      <c r="H1554" s="8" t="str">
        <f>IF(F1554="Bullet",MIN(G1554,Assumptions!$B$6),"")</f>
        <v/>
      </c>
      <c r="I1554" s="8">
        <v>2</v>
      </c>
      <c r="J1554" s="8">
        <f>IF(F1554="Monthly interest",MAX(0,Assumptions!$B$5-I1554),"")</f>
        <v>1</v>
      </c>
      <c r="K1554" s="7">
        <f t="shared" si="72"/>
        <v>3486</v>
      </c>
      <c r="L1554" s="9">
        <v>46253</v>
      </c>
      <c r="M1554" s="5" t="s">
        <v>116</v>
      </c>
      <c r="N1554" s="5" t="s">
        <v>117</v>
      </c>
      <c r="O1554" s="5" t="s">
        <v>118</v>
      </c>
      <c r="P1554" s="5" t="s">
        <v>72</v>
      </c>
      <c r="Q1554" s="5" t="s">
        <v>119</v>
      </c>
      <c r="R1554" s="5" t="s">
        <v>120</v>
      </c>
      <c r="S1554" s="5" t="s">
        <v>185</v>
      </c>
      <c r="T1554" s="5" t="s">
        <v>57</v>
      </c>
      <c r="U1554" s="5" t="s">
        <v>86</v>
      </c>
      <c r="V1554" s="5" t="s">
        <v>200</v>
      </c>
      <c r="W1554" s="5" t="s">
        <v>201</v>
      </c>
      <c r="X1554" s="5" t="s">
        <v>6414</v>
      </c>
      <c r="Y1554" s="5" t="s">
        <v>6415</v>
      </c>
      <c r="Z1554" s="9">
        <v>46131</v>
      </c>
      <c r="AA1554" s="8">
        <v>12</v>
      </c>
      <c r="AB1554" s="9">
        <f t="shared" si="73"/>
        <v>46496</v>
      </c>
      <c r="AC1554" s="10">
        <v>16</v>
      </c>
      <c r="AD1554" s="7">
        <f t="shared" si="74"/>
        <v>1743</v>
      </c>
      <c r="AE1554" s="7">
        <f>IF(F1554="Bullet",H1554*AD1554,MIN(MAX(I1554,1),Assumptions!$B$6)*AD1554)</f>
        <v>3486</v>
      </c>
      <c r="AF1554" s="8">
        <f>IF(F1554="Bullet",MAX(0,Assumptions!$B$4-AB1554),MAX(0,Assumptions!$B$4-L1554))</f>
        <v>45</v>
      </c>
      <c r="AG1554" s="9">
        <v>46222</v>
      </c>
      <c r="AH1554" s="8">
        <f>IF(AG1554="","",Assumptions!$B$4-AG1554)</f>
        <v>76</v>
      </c>
      <c r="AI1554" s="5" t="s">
        <v>63</v>
      </c>
      <c r="AJ1554" s="8">
        <v>2</v>
      </c>
      <c r="AK1554" s="8">
        <v>1</v>
      </c>
      <c r="AL1554" s="8">
        <v>718</v>
      </c>
      <c r="AM1554" s="8">
        <v>0</v>
      </c>
      <c r="AN1554" s="5" t="s">
        <v>63</v>
      </c>
      <c r="AO1554" s="10">
        <v>65.8</v>
      </c>
      <c r="AP1554" s="8">
        <v>48</v>
      </c>
      <c r="AQ1554" s="9">
        <v>46288</v>
      </c>
      <c r="AR1554" s="5" t="s">
        <v>51</v>
      </c>
      <c r="AS1554" s="5" t="s">
        <v>81</v>
      </c>
    </row>
    <row r="1555" spans="1:45" x14ac:dyDescent="0.35">
      <c r="A1555" s="5" t="s">
        <v>6416</v>
      </c>
      <c r="B1555" s="5" t="s">
        <v>6417</v>
      </c>
      <c r="C1555" s="6" t="s">
        <v>6418</v>
      </c>
      <c r="D1555" s="7">
        <v>317400</v>
      </c>
      <c r="E1555" s="5" t="s">
        <v>48</v>
      </c>
      <c r="F1555" s="5" t="s">
        <v>49</v>
      </c>
      <c r="G1555" s="8"/>
      <c r="H1555" s="8" t="str">
        <f>IF(F1555="Bullet",MIN(G1555,Assumptions!$B$6),"")</f>
        <v/>
      </c>
      <c r="I1555" s="8">
        <v>2</v>
      </c>
      <c r="J1555" s="8">
        <f>IF(F1555="Monthly interest",MAX(0,Assumptions!$B$5-I1555),"")</f>
        <v>1</v>
      </c>
      <c r="K1555" s="7">
        <f t="shared" si="72"/>
        <v>9522</v>
      </c>
      <c r="L1555" s="9">
        <v>46249</v>
      </c>
      <c r="M1555" s="5" t="s">
        <v>69</v>
      </c>
      <c r="N1555" s="5" t="s">
        <v>70</v>
      </c>
      <c r="O1555" s="5" t="s">
        <v>71</v>
      </c>
      <c r="P1555" s="5" t="s">
        <v>72</v>
      </c>
      <c r="Q1555" s="5" t="s">
        <v>73</v>
      </c>
      <c r="R1555" s="5" t="s">
        <v>74</v>
      </c>
      <c r="S1555" s="5" t="s">
        <v>185</v>
      </c>
      <c r="T1555" s="5" t="s">
        <v>63</v>
      </c>
      <c r="U1555" s="5" t="s">
        <v>86</v>
      </c>
      <c r="V1555" s="5" t="s">
        <v>200</v>
      </c>
      <c r="W1555" s="5" t="s">
        <v>767</v>
      </c>
      <c r="X1555" s="5" t="s">
        <v>882</v>
      </c>
      <c r="Y1555" s="5" t="s">
        <v>6419</v>
      </c>
      <c r="Z1555" s="9">
        <v>45976</v>
      </c>
      <c r="AA1555" s="8">
        <v>12</v>
      </c>
      <c r="AB1555" s="9">
        <f t="shared" si="73"/>
        <v>46341</v>
      </c>
      <c r="AC1555" s="10">
        <v>18</v>
      </c>
      <c r="AD1555" s="7">
        <f t="shared" si="74"/>
        <v>4761</v>
      </c>
      <c r="AE1555" s="7">
        <f>IF(F1555="Bullet",H1555*AD1555,MIN(MAX(I1555,1),Assumptions!$B$6)*AD1555)</f>
        <v>9522</v>
      </c>
      <c r="AF1555" s="8">
        <f>IF(F1555="Bullet",MAX(0,Assumptions!$B$4-AB1555),MAX(0,Assumptions!$B$4-L1555))</f>
        <v>49</v>
      </c>
      <c r="AG1555" s="9">
        <v>46221</v>
      </c>
      <c r="AH1555" s="8">
        <f>IF(AG1555="","",Assumptions!$B$4-AG1555)</f>
        <v>77</v>
      </c>
      <c r="AI1555" s="5" t="s">
        <v>63</v>
      </c>
      <c r="AJ1555" s="8">
        <v>3</v>
      </c>
      <c r="AK1555" s="8">
        <v>0</v>
      </c>
      <c r="AL1555" s="8">
        <v>769</v>
      </c>
      <c r="AM1555" s="8">
        <v>1</v>
      </c>
      <c r="AN1555" s="5" t="s">
        <v>63</v>
      </c>
      <c r="AO1555" s="10">
        <v>75.099999999999994</v>
      </c>
      <c r="AP1555" s="8">
        <v>45</v>
      </c>
      <c r="AQ1555" s="9">
        <v>46285</v>
      </c>
      <c r="AR1555" s="5" t="s">
        <v>72</v>
      </c>
      <c r="AS1555" s="5" t="s">
        <v>190</v>
      </c>
    </row>
    <row r="1556" spans="1:45" x14ac:dyDescent="0.35">
      <c r="A1556" s="5" t="s">
        <v>6420</v>
      </c>
      <c r="B1556" s="5" t="s">
        <v>6421</v>
      </c>
      <c r="C1556" s="6" t="s">
        <v>6422</v>
      </c>
      <c r="D1556" s="7">
        <v>648800</v>
      </c>
      <c r="E1556" s="5" t="s">
        <v>48</v>
      </c>
      <c r="F1556" s="5" t="s">
        <v>49</v>
      </c>
      <c r="G1556" s="8"/>
      <c r="H1556" s="8" t="str">
        <f>IF(F1556="Bullet",MIN(G1556,Assumptions!$B$6),"")</f>
        <v/>
      </c>
      <c r="I1556" s="8">
        <v>1</v>
      </c>
      <c r="J1556" s="8">
        <f>IF(F1556="Monthly interest",MAX(0,Assumptions!$B$5-I1556),"")</f>
        <v>2</v>
      </c>
      <c r="K1556" s="7">
        <f t="shared" si="72"/>
        <v>7569</v>
      </c>
      <c r="L1556" s="9">
        <v>46279</v>
      </c>
      <c r="M1556" s="5" t="s">
        <v>50</v>
      </c>
      <c r="N1556" s="5" t="s">
        <v>51</v>
      </c>
      <c r="O1556" s="5" t="s">
        <v>52</v>
      </c>
      <c r="P1556" s="5" t="s">
        <v>53</v>
      </c>
      <c r="Q1556" s="5" t="s">
        <v>54</v>
      </c>
      <c r="R1556" s="5" t="s">
        <v>55</v>
      </c>
      <c r="S1556" s="5" t="s">
        <v>253</v>
      </c>
      <c r="T1556" s="5" t="s">
        <v>57</v>
      </c>
      <c r="U1556" s="5" t="s">
        <v>58</v>
      </c>
      <c r="V1556" s="5" t="s">
        <v>133</v>
      </c>
      <c r="W1556" s="5" t="s">
        <v>134</v>
      </c>
      <c r="X1556" s="5" t="s">
        <v>2678</v>
      </c>
      <c r="Y1556" s="5" t="s">
        <v>6423</v>
      </c>
      <c r="Z1556" s="9">
        <v>46005</v>
      </c>
      <c r="AA1556" s="8">
        <v>18</v>
      </c>
      <c r="AB1556" s="9">
        <f t="shared" si="73"/>
        <v>46552</v>
      </c>
      <c r="AC1556" s="10">
        <v>14</v>
      </c>
      <c r="AD1556" s="7">
        <f t="shared" si="74"/>
        <v>7569</v>
      </c>
      <c r="AE1556" s="7">
        <f>IF(F1556="Bullet",H1556*AD1556,MIN(MAX(I1556,1),Assumptions!$B$6)*AD1556)</f>
        <v>7569</v>
      </c>
      <c r="AF1556" s="8">
        <f>IF(F1556="Bullet",MAX(0,Assumptions!$B$4-AB1556),MAX(0,Assumptions!$B$4-L1556))</f>
        <v>19</v>
      </c>
      <c r="AG1556" s="9">
        <v>46249</v>
      </c>
      <c r="AH1556" s="8">
        <f>IF(AG1556="","",Assumptions!$B$4-AG1556)</f>
        <v>49</v>
      </c>
      <c r="AI1556" s="5" t="s">
        <v>63</v>
      </c>
      <c r="AJ1556" s="8">
        <v>1</v>
      </c>
      <c r="AK1556" s="8">
        <v>0</v>
      </c>
      <c r="AL1556" s="8">
        <v>702</v>
      </c>
      <c r="AM1556" s="8">
        <v>1</v>
      </c>
      <c r="AN1556" s="5" t="s">
        <v>57</v>
      </c>
      <c r="AO1556" s="10">
        <v>64.2</v>
      </c>
      <c r="AP1556" s="8">
        <v>29</v>
      </c>
      <c r="AQ1556" s="9">
        <v>46294</v>
      </c>
      <c r="AR1556" s="5" t="s">
        <v>53</v>
      </c>
      <c r="AS1556" s="5" t="s">
        <v>64</v>
      </c>
    </row>
    <row r="1557" spans="1:45" x14ac:dyDescent="0.35">
      <c r="A1557" s="5" t="s">
        <v>6424</v>
      </c>
      <c r="B1557" s="5" t="s">
        <v>6425</v>
      </c>
      <c r="C1557" s="6" t="s">
        <v>6426</v>
      </c>
      <c r="D1557" s="7">
        <v>119400</v>
      </c>
      <c r="E1557" s="5" t="s">
        <v>48</v>
      </c>
      <c r="F1557" s="5" t="s">
        <v>49</v>
      </c>
      <c r="G1557" s="8"/>
      <c r="H1557" s="8" t="str">
        <f>IF(F1557="Bullet",MIN(G1557,Assumptions!$B$6),"")</f>
        <v/>
      </c>
      <c r="I1557" s="8">
        <v>1</v>
      </c>
      <c r="J1557" s="8">
        <f>IF(F1557="Monthly interest",MAX(0,Assumptions!$B$5-I1557),"")</f>
        <v>2</v>
      </c>
      <c r="K1557" s="7">
        <f t="shared" si="72"/>
        <v>1791</v>
      </c>
      <c r="L1557" s="9">
        <v>46291</v>
      </c>
      <c r="M1557" s="5" t="s">
        <v>69</v>
      </c>
      <c r="N1557" s="5" t="s">
        <v>51</v>
      </c>
      <c r="O1557" s="5" t="s">
        <v>52</v>
      </c>
      <c r="P1557" s="5" t="s">
        <v>53</v>
      </c>
      <c r="Q1557" s="5" t="s">
        <v>54</v>
      </c>
      <c r="R1557" s="5" t="s">
        <v>55</v>
      </c>
      <c r="S1557" s="5" t="s">
        <v>56</v>
      </c>
      <c r="T1557" s="5" t="s">
        <v>57</v>
      </c>
      <c r="U1557" s="5" t="s">
        <v>104</v>
      </c>
      <c r="V1557" s="5" t="s">
        <v>59</v>
      </c>
      <c r="W1557" s="5" t="s">
        <v>300</v>
      </c>
      <c r="X1557" s="5" t="s">
        <v>2310</v>
      </c>
      <c r="Y1557" s="5" t="s">
        <v>6427</v>
      </c>
      <c r="Z1557" s="9">
        <v>46107</v>
      </c>
      <c r="AA1557" s="8">
        <v>12</v>
      </c>
      <c r="AB1557" s="9">
        <f t="shared" si="73"/>
        <v>46472</v>
      </c>
      <c r="AC1557" s="10">
        <v>18</v>
      </c>
      <c r="AD1557" s="7">
        <f t="shared" si="74"/>
        <v>1791</v>
      </c>
      <c r="AE1557" s="7">
        <f>IF(F1557="Bullet",H1557*AD1557,MIN(MAX(I1557,1),Assumptions!$B$6)*AD1557)</f>
        <v>1791</v>
      </c>
      <c r="AF1557" s="8">
        <f>IF(F1557="Bullet",MAX(0,Assumptions!$B$4-AB1557),MAX(0,Assumptions!$B$4-L1557))</f>
        <v>7</v>
      </c>
      <c r="AG1557" s="9">
        <v>46262</v>
      </c>
      <c r="AH1557" s="8">
        <f>IF(AG1557="","",Assumptions!$B$4-AG1557)</f>
        <v>36</v>
      </c>
      <c r="AI1557" s="5" t="s">
        <v>57</v>
      </c>
      <c r="AJ1557" s="8">
        <v>1</v>
      </c>
      <c r="AK1557" s="8">
        <v>0</v>
      </c>
      <c r="AL1557" s="8">
        <v>619</v>
      </c>
      <c r="AM1557" s="8">
        <v>1</v>
      </c>
      <c r="AN1557" s="5" t="s">
        <v>63</v>
      </c>
      <c r="AO1557" s="10">
        <v>69.599999999999994</v>
      </c>
      <c r="AP1557" s="8">
        <v>38</v>
      </c>
      <c r="AQ1557" s="9">
        <v>46279</v>
      </c>
      <c r="AR1557" s="5" t="s">
        <v>53</v>
      </c>
      <c r="AS1557" s="5" t="s">
        <v>190</v>
      </c>
    </row>
    <row r="1558" spans="1:45" x14ac:dyDescent="0.35">
      <c r="A1558" s="5" t="s">
        <v>6428</v>
      </c>
      <c r="B1558" s="5" t="s">
        <v>6429</v>
      </c>
      <c r="C1558" s="6" t="s">
        <v>6430</v>
      </c>
      <c r="D1558" s="7">
        <v>17600</v>
      </c>
      <c r="E1558" s="5" t="s">
        <v>48</v>
      </c>
      <c r="F1558" s="5" t="s">
        <v>68</v>
      </c>
      <c r="G1558" s="8">
        <v>3</v>
      </c>
      <c r="H1558" s="8">
        <f>IF(F1558="Bullet",MIN(G1558,Assumptions!$B$6),"")</f>
        <v>2</v>
      </c>
      <c r="I1558" s="8"/>
      <c r="J1558" s="8" t="str">
        <f>IF(F1558="Monthly interest",MAX(0,Assumptions!$B$5-I1558),"")</f>
        <v/>
      </c>
      <c r="K1558" s="7">
        <f t="shared" si="72"/>
        <v>615</v>
      </c>
      <c r="L1558" s="9">
        <v>46185</v>
      </c>
      <c r="M1558" s="5" t="s">
        <v>116</v>
      </c>
      <c r="N1558" s="5" t="s">
        <v>117</v>
      </c>
      <c r="O1558" s="5" t="s">
        <v>450</v>
      </c>
      <c r="P1558" s="5" t="s">
        <v>72</v>
      </c>
      <c r="Q1558" s="5" t="s">
        <v>154</v>
      </c>
      <c r="R1558" s="5" t="s">
        <v>155</v>
      </c>
      <c r="S1558" s="5" t="s">
        <v>85</v>
      </c>
      <c r="T1558" s="5" t="s">
        <v>57</v>
      </c>
      <c r="U1558" s="5" t="s">
        <v>58</v>
      </c>
      <c r="V1558" s="5" t="s">
        <v>133</v>
      </c>
      <c r="W1558" s="5" t="s">
        <v>134</v>
      </c>
      <c r="X1558" s="5" t="s">
        <v>2765</v>
      </c>
      <c r="Y1558" s="5" t="s">
        <v>6431</v>
      </c>
      <c r="Z1558" s="9">
        <v>46185</v>
      </c>
      <c r="AA1558" s="8">
        <v>3</v>
      </c>
      <c r="AB1558" s="9">
        <f t="shared" si="73"/>
        <v>46277</v>
      </c>
      <c r="AC1558" s="10">
        <v>14</v>
      </c>
      <c r="AD1558" s="7">
        <f t="shared" si="74"/>
        <v>205</v>
      </c>
      <c r="AE1558" s="7">
        <f>IF(F1558="Bullet",H1558*AD1558,MIN(MAX(I1558,1),Assumptions!$B$6)*AD1558)</f>
        <v>410</v>
      </c>
      <c r="AF1558" s="8">
        <f>IF(F1558="Bullet",MAX(0,Assumptions!$B$4-AB1558),MAX(0,Assumptions!$B$4-L1558))</f>
        <v>21</v>
      </c>
      <c r="AG1558" s="9"/>
      <c r="AH1558" s="8" t="str">
        <f>IF(AG1558="","",Assumptions!$B$4-AG1558)</f>
        <v/>
      </c>
      <c r="AI1558" s="5" t="s">
        <v>80</v>
      </c>
      <c r="AJ1558" s="8"/>
      <c r="AK1558" s="8">
        <v>0</v>
      </c>
      <c r="AL1558" s="8">
        <v>584</v>
      </c>
      <c r="AM1558" s="8">
        <v>0</v>
      </c>
      <c r="AN1558" s="5" t="s">
        <v>57</v>
      </c>
      <c r="AO1558" s="10">
        <v>48.1</v>
      </c>
      <c r="AP1558" s="8">
        <v>60</v>
      </c>
      <c r="AQ1558" s="9">
        <v>46282</v>
      </c>
      <c r="AR1558" s="5" t="s">
        <v>51</v>
      </c>
      <c r="AS1558" s="5" t="s">
        <v>190</v>
      </c>
    </row>
    <row r="1559" spans="1:45" x14ac:dyDescent="0.35">
      <c r="A1559" s="5" t="s">
        <v>6432</v>
      </c>
      <c r="B1559" s="5" t="s">
        <v>6433</v>
      </c>
      <c r="C1559" s="6" t="s">
        <v>6434</v>
      </c>
      <c r="D1559" s="7">
        <v>143900</v>
      </c>
      <c r="E1559" s="5" t="s">
        <v>48</v>
      </c>
      <c r="F1559" s="5" t="s">
        <v>49</v>
      </c>
      <c r="G1559" s="8"/>
      <c r="H1559" s="8" t="str">
        <f>IF(F1559="Bullet",MIN(G1559,Assumptions!$B$6),"")</f>
        <v/>
      </c>
      <c r="I1559" s="8">
        <v>2</v>
      </c>
      <c r="J1559" s="8">
        <f>IF(F1559="Monthly interest",MAX(0,Assumptions!$B$5-I1559),"")</f>
        <v>1</v>
      </c>
      <c r="K1559" s="7">
        <f t="shared" si="72"/>
        <v>4318</v>
      </c>
      <c r="L1559" s="9">
        <v>46262</v>
      </c>
      <c r="M1559" s="5" t="s">
        <v>116</v>
      </c>
      <c r="N1559" s="5" t="s">
        <v>117</v>
      </c>
      <c r="O1559" s="5" t="s">
        <v>118</v>
      </c>
      <c r="P1559" s="5" t="s">
        <v>72</v>
      </c>
      <c r="Q1559" s="5" t="s">
        <v>119</v>
      </c>
      <c r="R1559" s="5" t="s">
        <v>120</v>
      </c>
      <c r="S1559" s="5" t="s">
        <v>214</v>
      </c>
      <c r="T1559" s="5" t="s">
        <v>57</v>
      </c>
      <c r="U1559" s="5" t="s">
        <v>86</v>
      </c>
      <c r="V1559" s="5" t="s">
        <v>215</v>
      </c>
      <c r="W1559" s="5" t="s">
        <v>600</v>
      </c>
      <c r="X1559" s="5" t="s">
        <v>3582</v>
      </c>
      <c r="Y1559" s="5" t="s">
        <v>6435</v>
      </c>
      <c r="Z1559" s="9">
        <v>46109</v>
      </c>
      <c r="AA1559" s="8">
        <v>12</v>
      </c>
      <c r="AB1559" s="9">
        <f t="shared" si="73"/>
        <v>46474</v>
      </c>
      <c r="AC1559" s="10">
        <v>18</v>
      </c>
      <c r="AD1559" s="7">
        <f t="shared" si="74"/>
        <v>2159</v>
      </c>
      <c r="AE1559" s="7">
        <f>IF(F1559="Bullet",H1559*AD1559,MIN(MAX(I1559,1),Assumptions!$B$6)*AD1559)</f>
        <v>4318</v>
      </c>
      <c r="AF1559" s="8">
        <f>IF(F1559="Bullet",MAX(0,Assumptions!$B$4-AB1559),MAX(0,Assumptions!$B$4-L1559))</f>
        <v>36</v>
      </c>
      <c r="AG1559" s="9">
        <v>46234</v>
      </c>
      <c r="AH1559" s="8">
        <f>IF(AG1559="","",Assumptions!$B$4-AG1559)</f>
        <v>64</v>
      </c>
      <c r="AI1559" s="5" t="s">
        <v>57</v>
      </c>
      <c r="AJ1559" s="8">
        <v>2</v>
      </c>
      <c r="AK1559" s="8">
        <v>0</v>
      </c>
      <c r="AL1559" s="8" t="s">
        <v>80</v>
      </c>
      <c r="AM1559" s="8">
        <v>0</v>
      </c>
      <c r="AN1559" s="5" t="s">
        <v>57</v>
      </c>
      <c r="AO1559" s="10">
        <v>80.400000000000006</v>
      </c>
      <c r="AP1559" s="8">
        <v>65</v>
      </c>
      <c r="AQ1559" s="9">
        <v>46297</v>
      </c>
      <c r="AR1559" s="5" t="s">
        <v>51</v>
      </c>
      <c r="AS1559" s="5" t="s">
        <v>91</v>
      </c>
    </row>
    <row r="1560" spans="1:45" x14ac:dyDescent="0.35">
      <c r="A1560" s="5" t="s">
        <v>6436</v>
      </c>
      <c r="B1560" s="5" t="s">
        <v>5568</v>
      </c>
      <c r="C1560" s="6" t="s">
        <v>6437</v>
      </c>
      <c r="D1560" s="7">
        <v>116100</v>
      </c>
      <c r="E1560" s="5" t="s">
        <v>48</v>
      </c>
      <c r="F1560" s="5" t="s">
        <v>49</v>
      </c>
      <c r="G1560" s="8"/>
      <c r="H1560" s="8" t="str">
        <f>IF(F1560="Bullet",MIN(G1560,Assumptions!$B$6),"")</f>
        <v/>
      </c>
      <c r="I1560" s="8">
        <v>2</v>
      </c>
      <c r="J1560" s="8">
        <f>IF(F1560="Monthly interest",MAX(0,Assumptions!$B$5-I1560),"")</f>
        <v>1</v>
      </c>
      <c r="K1560" s="7">
        <f t="shared" si="72"/>
        <v>3870</v>
      </c>
      <c r="L1560" s="9">
        <v>46256</v>
      </c>
      <c r="M1560" s="5" t="s">
        <v>116</v>
      </c>
      <c r="N1560" s="5" t="s">
        <v>117</v>
      </c>
      <c r="O1560" s="5" t="s">
        <v>118</v>
      </c>
      <c r="P1560" s="5" t="s">
        <v>72</v>
      </c>
      <c r="Q1560" s="5" t="s">
        <v>119</v>
      </c>
      <c r="R1560" s="5" t="s">
        <v>120</v>
      </c>
      <c r="S1560" s="5" t="s">
        <v>185</v>
      </c>
      <c r="T1560" s="5" t="s">
        <v>63</v>
      </c>
      <c r="U1560" s="5" t="s">
        <v>86</v>
      </c>
      <c r="V1560" s="5" t="s">
        <v>186</v>
      </c>
      <c r="W1560" s="5" t="s">
        <v>694</v>
      </c>
      <c r="X1560" s="5" t="s">
        <v>1099</v>
      </c>
      <c r="Y1560" s="5" t="s">
        <v>6438</v>
      </c>
      <c r="Z1560" s="9">
        <v>46103</v>
      </c>
      <c r="AA1560" s="8">
        <v>12</v>
      </c>
      <c r="AB1560" s="9">
        <f t="shared" si="73"/>
        <v>46468</v>
      </c>
      <c r="AC1560" s="10">
        <v>20</v>
      </c>
      <c r="AD1560" s="7">
        <f t="shared" si="74"/>
        <v>1935</v>
      </c>
      <c r="AE1560" s="7">
        <f>IF(F1560="Bullet",H1560*AD1560,MIN(MAX(I1560,1),Assumptions!$B$6)*AD1560)</f>
        <v>3870</v>
      </c>
      <c r="AF1560" s="8">
        <f>IF(F1560="Bullet",MAX(0,Assumptions!$B$4-AB1560),MAX(0,Assumptions!$B$4-L1560))</f>
        <v>42</v>
      </c>
      <c r="AG1560" s="9">
        <v>46227</v>
      </c>
      <c r="AH1560" s="8">
        <f>IF(AG1560="","",Assumptions!$B$4-AG1560)</f>
        <v>71</v>
      </c>
      <c r="AI1560" s="5" t="s">
        <v>57</v>
      </c>
      <c r="AJ1560" s="8">
        <v>2</v>
      </c>
      <c r="AK1560" s="8">
        <v>0</v>
      </c>
      <c r="AL1560" s="8" t="s">
        <v>80</v>
      </c>
      <c r="AM1560" s="8">
        <v>0</v>
      </c>
      <c r="AN1560" s="5" t="s">
        <v>57</v>
      </c>
      <c r="AO1560" s="10">
        <v>50.9</v>
      </c>
      <c r="AP1560" s="8">
        <v>52</v>
      </c>
      <c r="AQ1560" s="9">
        <v>46290</v>
      </c>
      <c r="AR1560" s="5" t="s">
        <v>51</v>
      </c>
      <c r="AS1560" s="5" t="s">
        <v>181</v>
      </c>
    </row>
    <row r="1561" spans="1:45" x14ac:dyDescent="0.35">
      <c r="A1561" s="5" t="s">
        <v>6439</v>
      </c>
      <c r="B1561" s="5" t="s">
        <v>6440</v>
      </c>
      <c r="C1561" s="6" t="s">
        <v>6441</v>
      </c>
      <c r="D1561" s="7">
        <v>604600</v>
      </c>
      <c r="E1561" s="5" t="s">
        <v>48</v>
      </c>
      <c r="F1561" s="5" t="s">
        <v>49</v>
      </c>
      <c r="G1561" s="8"/>
      <c r="H1561" s="8" t="str">
        <f>IF(F1561="Bullet",MIN(G1561,Assumptions!$B$6),"")</f>
        <v/>
      </c>
      <c r="I1561" s="8">
        <v>1</v>
      </c>
      <c r="J1561" s="8">
        <f>IF(F1561="Monthly interest",MAX(0,Assumptions!$B$5-I1561),"")</f>
        <v>2</v>
      </c>
      <c r="K1561" s="7">
        <f t="shared" si="72"/>
        <v>9069</v>
      </c>
      <c r="L1561" s="9">
        <v>46296</v>
      </c>
      <c r="M1561" s="5" t="s">
        <v>50</v>
      </c>
      <c r="N1561" s="5" t="s">
        <v>53</v>
      </c>
      <c r="O1561" s="5" t="s">
        <v>103</v>
      </c>
      <c r="P1561" s="5" t="s">
        <v>51</v>
      </c>
      <c r="Q1561" s="5" t="s">
        <v>54</v>
      </c>
      <c r="R1561" s="5" t="s">
        <v>55</v>
      </c>
      <c r="S1561" s="5" t="s">
        <v>85</v>
      </c>
      <c r="T1561" s="5" t="s">
        <v>57</v>
      </c>
      <c r="U1561" s="5" t="s">
        <v>86</v>
      </c>
      <c r="V1561" s="5" t="s">
        <v>96</v>
      </c>
      <c r="W1561" s="5" t="s">
        <v>171</v>
      </c>
      <c r="X1561" s="5" t="s">
        <v>3448</v>
      </c>
      <c r="Y1561" s="5" t="s">
        <v>6442</v>
      </c>
      <c r="Z1561" s="9">
        <v>46082</v>
      </c>
      <c r="AA1561" s="8">
        <v>12</v>
      </c>
      <c r="AB1561" s="9">
        <f t="shared" si="73"/>
        <v>46447</v>
      </c>
      <c r="AC1561" s="10">
        <v>18</v>
      </c>
      <c r="AD1561" s="7">
        <f t="shared" si="74"/>
        <v>9069</v>
      </c>
      <c r="AE1561" s="7">
        <f>IF(F1561="Bullet",H1561*AD1561,MIN(MAX(I1561,1),Assumptions!$B$6)*AD1561)</f>
        <v>9069</v>
      </c>
      <c r="AF1561" s="8">
        <f>IF(F1561="Bullet",MAX(0,Assumptions!$B$4-AB1561),MAX(0,Assumptions!$B$4-L1561))</f>
        <v>2</v>
      </c>
      <c r="AG1561" s="9">
        <v>46268</v>
      </c>
      <c r="AH1561" s="8">
        <f>IF(AG1561="","",Assumptions!$B$4-AG1561)</f>
        <v>30</v>
      </c>
      <c r="AI1561" s="5" t="s">
        <v>57</v>
      </c>
      <c r="AJ1561" s="8">
        <v>2</v>
      </c>
      <c r="AK1561" s="8">
        <v>0</v>
      </c>
      <c r="AL1561" s="8">
        <v>806</v>
      </c>
      <c r="AM1561" s="8">
        <v>1</v>
      </c>
      <c r="AN1561" s="5" t="s">
        <v>63</v>
      </c>
      <c r="AO1561" s="10">
        <v>66.900000000000006</v>
      </c>
      <c r="AP1561" s="8">
        <v>16</v>
      </c>
      <c r="AQ1561" s="9">
        <v>46274</v>
      </c>
      <c r="AR1561" s="5" t="s">
        <v>51</v>
      </c>
      <c r="AS1561" s="5" t="s">
        <v>81</v>
      </c>
    </row>
    <row r="1562" spans="1:45" x14ac:dyDescent="0.35">
      <c r="A1562" s="5" t="s">
        <v>6443</v>
      </c>
      <c r="B1562" s="5" t="s">
        <v>6444</v>
      </c>
      <c r="C1562" s="6" t="s">
        <v>6445</v>
      </c>
      <c r="D1562" s="7">
        <v>205400</v>
      </c>
      <c r="E1562" s="5" t="s">
        <v>48</v>
      </c>
      <c r="F1562" s="5" t="s">
        <v>49</v>
      </c>
      <c r="G1562" s="8"/>
      <c r="H1562" s="8" t="str">
        <f>IF(F1562="Bullet",MIN(G1562,Assumptions!$B$6),"")</f>
        <v/>
      </c>
      <c r="I1562" s="8">
        <v>2</v>
      </c>
      <c r="J1562" s="8">
        <f>IF(F1562="Monthly interest",MAX(0,Assumptions!$B$5-I1562),"")</f>
        <v>1</v>
      </c>
      <c r="K1562" s="7">
        <f t="shared" si="72"/>
        <v>5136</v>
      </c>
      <c r="L1562" s="9">
        <v>46244</v>
      </c>
      <c r="M1562" s="5" t="s">
        <v>69</v>
      </c>
      <c r="N1562" s="5" t="s">
        <v>70</v>
      </c>
      <c r="O1562" s="5" t="s">
        <v>71</v>
      </c>
      <c r="P1562" s="5" t="s">
        <v>72</v>
      </c>
      <c r="Q1562" s="5" t="s">
        <v>73</v>
      </c>
      <c r="R1562" s="5" t="s">
        <v>74</v>
      </c>
      <c r="S1562" s="5" t="s">
        <v>75</v>
      </c>
      <c r="T1562" s="5" t="s">
        <v>57</v>
      </c>
      <c r="U1562" s="5" t="s">
        <v>86</v>
      </c>
      <c r="V1562" s="5" t="s">
        <v>76</v>
      </c>
      <c r="W1562" s="5" t="s">
        <v>444</v>
      </c>
      <c r="X1562" s="5" t="s">
        <v>1752</v>
      </c>
      <c r="Y1562" s="5" t="s">
        <v>6446</v>
      </c>
      <c r="Z1562" s="9">
        <v>46152</v>
      </c>
      <c r="AA1562" s="8">
        <v>12</v>
      </c>
      <c r="AB1562" s="9">
        <f t="shared" si="73"/>
        <v>46517</v>
      </c>
      <c r="AC1562" s="10">
        <v>15</v>
      </c>
      <c r="AD1562" s="7">
        <f t="shared" si="74"/>
        <v>2568</v>
      </c>
      <c r="AE1562" s="7">
        <f>IF(F1562="Bullet",H1562*AD1562,MIN(MAX(I1562,1),Assumptions!$B$6)*AD1562)</f>
        <v>5136</v>
      </c>
      <c r="AF1562" s="8">
        <f>IF(F1562="Bullet",MAX(0,Assumptions!$B$4-AB1562),MAX(0,Assumptions!$B$4-L1562))</f>
        <v>54</v>
      </c>
      <c r="AG1562" s="9">
        <v>46215</v>
      </c>
      <c r="AH1562" s="8">
        <f>IF(AG1562="","",Assumptions!$B$4-AG1562)</f>
        <v>83</v>
      </c>
      <c r="AI1562" s="5" t="s">
        <v>63</v>
      </c>
      <c r="AJ1562" s="8">
        <v>2</v>
      </c>
      <c r="AK1562" s="8">
        <v>0</v>
      </c>
      <c r="AL1562" s="8">
        <v>736</v>
      </c>
      <c r="AM1562" s="8">
        <v>1</v>
      </c>
      <c r="AN1562" s="5" t="s">
        <v>63</v>
      </c>
      <c r="AO1562" s="10">
        <v>77.599999999999994</v>
      </c>
      <c r="AP1562" s="8">
        <v>42</v>
      </c>
      <c r="AQ1562" s="9">
        <v>46287</v>
      </c>
      <c r="AR1562" s="5" t="s">
        <v>51</v>
      </c>
      <c r="AS1562" s="5" t="s">
        <v>64</v>
      </c>
    </row>
    <row r="1563" spans="1:45" x14ac:dyDescent="0.35">
      <c r="A1563" s="5" t="s">
        <v>6447</v>
      </c>
      <c r="B1563" s="5" t="s">
        <v>5099</v>
      </c>
      <c r="C1563" s="6" t="s">
        <v>6448</v>
      </c>
      <c r="D1563" s="7">
        <v>30400</v>
      </c>
      <c r="E1563" s="5" t="s">
        <v>48</v>
      </c>
      <c r="F1563" s="5" t="s">
        <v>68</v>
      </c>
      <c r="G1563" s="8">
        <v>2</v>
      </c>
      <c r="H1563" s="8">
        <f>IF(F1563="Bullet",MIN(G1563,Assumptions!$B$6),"")</f>
        <v>2</v>
      </c>
      <c r="I1563" s="8"/>
      <c r="J1563" s="8" t="str">
        <f>IF(F1563="Monthly interest",MAX(0,Assumptions!$B$5-I1563),"")</f>
        <v/>
      </c>
      <c r="K1563" s="7">
        <f t="shared" si="72"/>
        <v>810</v>
      </c>
      <c r="L1563" s="9">
        <v>46232</v>
      </c>
      <c r="M1563" s="5" t="s">
        <v>69</v>
      </c>
      <c r="N1563" s="5" t="s">
        <v>53</v>
      </c>
      <c r="O1563" s="5" t="s">
        <v>152</v>
      </c>
      <c r="P1563" s="5" t="s">
        <v>153</v>
      </c>
      <c r="Q1563" s="5" t="s">
        <v>154</v>
      </c>
      <c r="R1563" s="5" t="s">
        <v>155</v>
      </c>
      <c r="S1563" s="5" t="s">
        <v>185</v>
      </c>
      <c r="T1563" s="5" t="s">
        <v>57</v>
      </c>
      <c r="U1563" s="5" t="s">
        <v>86</v>
      </c>
      <c r="V1563" s="5" t="s">
        <v>200</v>
      </c>
      <c r="W1563" s="5" t="s">
        <v>433</v>
      </c>
      <c r="X1563" s="5" t="s">
        <v>2769</v>
      </c>
      <c r="Y1563" s="5" t="s">
        <v>6449</v>
      </c>
      <c r="Z1563" s="9">
        <v>46232</v>
      </c>
      <c r="AA1563" s="8">
        <v>12</v>
      </c>
      <c r="AB1563" s="9">
        <f t="shared" si="73"/>
        <v>46597</v>
      </c>
      <c r="AC1563" s="10">
        <v>16</v>
      </c>
      <c r="AD1563" s="7">
        <f t="shared" si="74"/>
        <v>405</v>
      </c>
      <c r="AE1563" s="7">
        <f>IF(F1563="Bullet",H1563*AD1563,MIN(MAX(I1563,1),Assumptions!$B$6)*AD1563)</f>
        <v>810</v>
      </c>
      <c r="AF1563" s="8">
        <f>IF(F1563="Bullet",MAX(0,Assumptions!$B$4-AB1563),MAX(0,Assumptions!$B$4-L1563))</f>
        <v>0</v>
      </c>
      <c r="AG1563" s="9"/>
      <c r="AH1563" s="8" t="str">
        <f>IF(AG1563="","",Assumptions!$B$4-AG1563)</f>
        <v/>
      </c>
      <c r="AI1563" s="5" t="s">
        <v>80</v>
      </c>
      <c r="AJ1563" s="8"/>
      <c r="AK1563" s="8">
        <v>2</v>
      </c>
      <c r="AL1563" s="8" t="s">
        <v>80</v>
      </c>
      <c r="AM1563" s="8">
        <v>2</v>
      </c>
      <c r="AN1563" s="5" t="s">
        <v>63</v>
      </c>
      <c r="AO1563" s="10">
        <v>87.5</v>
      </c>
      <c r="AP1563" s="8">
        <v>42</v>
      </c>
      <c r="AQ1563" s="9">
        <v>46291</v>
      </c>
      <c r="AR1563" s="5" t="s">
        <v>70</v>
      </c>
      <c r="AS1563" s="5" t="s">
        <v>81</v>
      </c>
    </row>
    <row r="1564" spans="1:45" x14ac:dyDescent="0.35">
      <c r="A1564" s="5" t="s">
        <v>6450</v>
      </c>
      <c r="B1564" s="5" t="s">
        <v>1734</v>
      </c>
      <c r="C1564" s="6" t="s">
        <v>6451</v>
      </c>
      <c r="D1564" s="7">
        <v>55200</v>
      </c>
      <c r="E1564" s="5" t="s">
        <v>48</v>
      </c>
      <c r="F1564" s="5" t="s">
        <v>49</v>
      </c>
      <c r="G1564" s="8"/>
      <c r="H1564" s="8" t="str">
        <f>IF(F1564="Bullet",MIN(G1564,Assumptions!$B$6),"")</f>
        <v/>
      </c>
      <c r="I1564" s="8">
        <v>1</v>
      </c>
      <c r="J1564" s="8">
        <f>IF(F1564="Monthly interest",MAX(0,Assumptions!$B$5-I1564),"")</f>
        <v>2</v>
      </c>
      <c r="K1564" s="7">
        <f t="shared" si="72"/>
        <v>920</v>
      </c>
      <c r="L1564" s="9">
        <v>46297</v>
      </c>
      <c r="M1564" s="5" t="s">
        <v>50</v>
      </c>
      <c r="N1564" s="5" t="s">
        <v>51</v>
      </c>
      <c r="O1564" s="5" t="s">
        <v>52</v>
      </c>
      <c r="P1564" s="5" t="s">
        <v>53</v>
      </c>
      <c r="Q1564" s="5" t="s">
        <v>54</v>
      </c>
      <c r="R1564" s="5" t="s">
        <v>55</v>
      </c>
      <c r="S1564" s="5" t="s">
        <v>85</v>
      </c>
      <c r="T1564" s="5" t="s">
        <v>57</v>
      </c>
      <c r="U1564" s="5" t="s">
        <v>58</v>
      </c>
      <c r="V1564" s="5" t="s">
        <v>177</v>
      </c>
      <c r="W1564" s="5" t="s">
        <v>208</v>
      </c>
      <c r="X1564" s="5" t="s">
        <v>3108</v>
      </c>
      <c r="Y1564" s="5" t="s">
        <v>6452</v>
      </c>
      <c r="Z1564" s="9">
        <v>46114</v>
      </c>
      <c r="AA1564" s="8">
        <v>12</v>
      </c>
      <c r="AB1564" s="9">
        <f t="shared" si="73"/>
        <v>46479</v>
      </c>
      <c r="AC1564" s="10">
        <v>20</v>
      </c>
      <c r="AD1564" s="7">
        <f t="shared" si="74"/>
        <v>920</v>
      </c>
      <c r="AE1564" s="7">
        <f>IF(F1564="Bullet",H1564*AD1564,MIN(MAX(I1564,1),Assumptions!$B$6)*AD1564)</f>
        <v>920</v>
      </c>
      <c r="AF1564" s="8">
        <f>IF(F1564="Bullet",MAX(0,Assumptions!$B$4-AB1564),MAX(0,Assumptions!$B$4-L1564))</f>
        <v>1</v>
      </c>
      <c r="AG1564" s="9">
        <v>46271</v>
      </c>
      <c r="AH1564" s="8">
        <f>IF(AG1564="","",Assumptions!$B$4-AG1564)</f>
        <v>27</v>
      </c>
      <c r="AI1564" s="5" t="s">
        <v>63</v>
      </c>
      <c r="AJ1564" s="8">
        <v>1</v>
      </c>
      <c r="AK1564" s="8">
        <v>0</v>
      </c>
      <c r="AL1564" s="8">
        <v>831</v>
      </c>
      <c r="AM1564" s="8">
        <v>0</v>
      </c>
      <c r="AN1564" s="5" t="s">
        <v>63</v>
      </c>
      <c r="AO1564" s="10">
        <v>63</v>
      </c>
      <c r="AP1564" s="8">
        <v>13</v>
      </c>
      <c r="AQ1564" s="9"/>
      <c r="AR1564" s="5"/>
      <c r="AS1564" s="5" t="s">
        <v>159</v>
      </c>
    </row>
    <row r="1565" spans="1:45" x14ac:dyDescent="0.35">
      <c r="A1565" s="5" t="s">
        <v>6453</v>
      </c>
      <c r="B1565" s="5" t="s">
        <v>573</v>
      </c>
      <c r="C1565" s="6" t="s">
        <v>6454</v>
      </c>
      <c r="D1565" s="7">
        <v>81700</v>
      </c>
      <c r="E1565" s="5" t="s">
        <v>48</v>
      </c>
      <c r="F1565" s="5" t="s">
        <v>49</v>
      </c>
      <c r="G1565" s="8"/>
      <c r="H1565" s="8" t="str">
        <f>IF(F1565="Bullet",MIN(G1565,Assumptions!$B$6),"")</f>
        <v/>
      </c>
      <c r="I1565" s="8">
        <v>2</v>
      </c>
      <c r="J1565" s="8">
        <f>IF(F1565="Monthly interest",MAX(0,Assumptions!$B$5-I1565),"")</f>
        <v>1</v>
      </c>
      <c r="K1565" s="7">
        <f t="shared" si="72"/>
        <v>2452</v>
      </c>
      <c r="L1565" s="9">
        <v>46247</v>
      </c>
      <c r="M1565" s="5" t="s">
        <v>69</v>
      </c>
      <c r="N1565" s="5" t="s">
        <v>53</v>
      </c>
      <c r="O1565" s="5" t="s">
        <v>71</v>
      </c>
      <c r="P1565" s="5" t="s">
        <v>70</v>
      </c>
      <c r="Q1565" s="5" t="s">
        <v>73</v>
      </c>
      <c r="R1565" s="5" t="s">
        <v>74</v>
      </c>
      <c r="S1565" s="5" t="s">
        <v>75</v>
      </c>
      <c r="T1565" s="5" t="s">
        <v>63</v>
      </c>
      <c r="U1565" s="5" t="s">
        <v>58</v>
      </c>
      <c r="V1565" s="5" t="s">
        <v>76</v>
      </c>
      <c r="W1565" s="5" t="s">
        <v>146</v>
      </c>
      <c r="X1565" s="5" t="s">
        <v>2501</v>
      </c>
      <c r="Y1565" s="5" t="s">
        <v>6455</v>
      </c>
      <c r="Z1565" s="9">
        <v>46035</v>
      </c>
      <c r="AA1565" s="8">
        <v>12</v>
      </c>
      <c r="AB1565" s="9">
        <f t="shared" si="73"/>
        <v>46400</v>
      </c>
      <c r="AC1565" s="10">
        <v>18</v>
      </c>
      <c r="AD1565" s="7">
        <f t="shared" si="74"/>
        <v>1226</v>
      </c>
      <c r="AE1565" s="7">
        <f>IF(F1565="Bullet",H1565*AD1565,MIN(MAX(I1565,1),Assumptions!$B$6)*AD1565)</f>
        <v>2452</v>
      </c>
      <c r="AF1565" s="8">
        <f>IF(F1565="Bullet",MAX(0,Assumptions!$B$4-AB1565),MAX(0,Assumptions!$B$4-L1565))</f>
        <v>51</v>
      </c>
      <c r="AG1565" s="9">
        <v>46219</v>
      </c>
      <c r="AH1565" s="8">
        <f>IF(AG1565="","",Assumptions!$B$4-AG1565)</f>
        <v>79</v>
      </c>
      <c r="AI1565" s="5" t="s">
        <v>63</v>
      </c>
      <c r="AJ1565" s="8">
        <v>2</v>
      </c>
      <c r="AK1565" s="8">
        <v>1</v>
      </c>
      <c r="AL1565" s="8">
        <v>647</v>
      </c>
      <c r="AM1565" s="8">
        <v>0</v>
      </c>
      <c r="AN1565" s="5" t="s">
        <v>63</v>
      </c>
      <c r="AO1565" s="10">
        <v>60.6</v>
      </c>
      <c r="AP1565" s="8">
        <v>47</v>
      </c>
      <c r="AQ1565" s="9">
        <v>46277</v>
      </c>
      <c r="AR1565" s="5" t="s">
        <v>70</v>
      </c>
      <c r="AS1565" s="5" t="s">
        <v>64</v>
      </c>
    </row>
    <row r="1566" spans="1:45" x14ac:dyDescent="0.35">
      <c r="A1566" s="5" t="s">
        <v>6456</v>
      </c>
      <c r="B1566" s="5" t="s">
        <v>6457</v>
      </c>
      <c r="C1566" s="6" t="s">
        <v>6458</v>
      </c>
      <c r="D1566" s="7">
        <v>37000</v>
      </c>
      <c r="E1566" s="5" t="s">
        <v>48</v>
      </c>
      <c r="F1566" s="5" t="s">
        <v>68</v>
      </c>
      <c r="G1566" s="8">
        <v>1</v>
      </c>
      <c r="H1566" s="8">
        <f>IF(F1566="Bullet",MIN(G1566,Assumptions!$B$6),"")</f>
        <v>1</v>
      </c>
      <c r="I1566" s="8"/>
      <c r="J1566" s="8" t="str">
        <f>IF(F1566="Monthly interest",MAX(0,Assumptions!$B$5-I1566),"")</f>
        <v/>
      </c>
      <c r="K1566" s="7">
        <f t="shared" si="72"/>
        <v>493</v>
      </c>
      <c r="L1566" s="9">
        <v>46267</v>
      </c>
      <c r="M1566" s="5" t="s">
        <v>50</v>
      </c>
      <c r="N1566" s="5" t="s">
        <v>53</v>
      </c>
      <c r="O1566" s="5" t="s">
        <v>95</v>
      </c>
      <c r="P1566" s="5" t="s">
        <v>153</v>
      </c>
      <c r="Q1566" s="5" t="s">
        <v>154</v>
      </c>
      <c r="R1566" s="5" t="s">
        <v>155</v>
      </c>
      <c r="S1566" s="5" t="s">
        <v>185</v>
      </c>
      <c r="T1566" s="5" t="s">
        <v>63</v>
      </c>
      <c r="U1566" s="5" t="s">
        <v>104</v>
      </c>
      <c r="V1566" s="5" t="s">
        <v>200</v>
      </c>
      <c r="W1566" s="5" t="s">
        <v>500</v>
      </c>
      <c r="X1566" s="5" t="s">
        <v>6459</v>
      </c>
      <c r="Y1566" s="5" t="s">
        <v>6460</v>
      </c>
      <c r="Z1566" s="9">
        <v>46267</v>
      </c>
      <c r="AA1566" s="8">
        <v>6</v>
      </c>
      <c r="AB1566" s="9">
        <f t="shared" si="73"/>
        <v>46448</v>
      </c>
      <c r="AC1566" s="10">
        <v>16</v>
      </c>
      <c r="AD1566" s="7">
        <f t="shared" si="74"/>
        <v>493</v>
      </c>
      <c r="AE1566" s="7">
        <f>IF(F1566="Bullet",H1566*AD1566,MIN(MAX(I1566,1),Assumptions!$B$6)*AD1566)</f>
        <v>493</v>
      </c>
      <c r="AF1566" s="8">
        <f>IF(F1566="Bullet",MAX(0,Assumptions!$B$4-AB1566),MAX(0,Assumptions!$B$4-L1566))</f>
        <v>0</v>
      </c>
      <c r="AG1566" s="9"/>
      <c r="AH1566" s="8" t="str">
        <f>IF(AG1566="","",Assumptions!$B$4-AG1566)</f>
        <v/>
      </c>
      <c r="AI1566" s="5" t="s">
        <v>80</v>
      </c>
      <c r="AJ1566" s="8"/>
      <c r="AK1566" s="8">
        <v>0</v>
      </c>
      <c r="AL1566" s="8">
        <v>879</v>
      </c>
      <c r="AM1566" s="8">
        <v>2</v>
      </c>
      <c r="AN1566" s="5" t="s">
        <v>63</v>
      </c>
      <c r="AO1566" s="10">
        <v>65</v>
      </c>
      <c r="AP1566" s="8">
        <v>7</v>
      </c>
      <c r="AQ1566" s="9">
        <v>46273</v>
      </c>
      <c r="AR1566" s="5" t="s">
        <v>53</v>
      </c>
      <c r="AS1566" s="5" t="s">
        <v>91</v>
      </c>
    </row>
    <row r="1567" spans="1:45" x14ac:dyDescent="0.35">
      <c r="A1567" s="5" t="s">
        <v>6461</v>
      </c>
      <c r="B1567" s="5" t="s">
        <v>5854</v>
      </c>
      <c r="C1567" s="6" t="s">
        <v>6462</v>
      </c>
      <c r="D1567" s="7">
        <v>60300</v>
      </c>
      <c r="E1567" s="5" t="s">
        <v>48</v>
      </c>
      <c r="F1567" s="5" t="s">
        <v>68</v>
      </c>
      <c r="G1567" s="8">
        <v>1</v>
      </c>
      <c r="H1567" s="8">
        <f>IF(F1567="Bullet",MIN(G1567,Assumptions!$B$6),"")</f>
        <v>1</v>
      </c>
      <c r="I1567" s="8"/>
      <c r="J1567" s="8" t="str">
        <f>IF(F1567="Monthly interest",MAX(0,Assumptions!$B$5-I1567),"")</f>
        <v/>
      </c>
      <c r="K1567" s="7">
        <f t="shared" si="72"/>
        <v>653</v>
      </c>
      <c r="L1567" s="9">
        <v>46264</v>
      </c>
      <c r="M1567" s="5" t="s">
        <v>50</v>
      </c>
      <c r="N1567" s="5" t="s">
        <v>51</v>
      </c>
      <c r="O1567" s="5" t="s">
        <v>71</v>
      </c>
      <c r="P1567" s="5" t="s">
        <v>53</v>
      </c>
      <c r="Q1567" s="5" t="s">
        <v>73</v>
      </c>
      <c r="R1567" s="5" t="s">
        <v>74</v>
      </c>
      <c r="S1567" s="5" t="s">
        <v>56</v>
      </c>
      <c r="T1567" s="5" t="s">
        <v>57</v>
      </c>
      <c r="U1567" s="5" t="s">
        <v>104</v>
      </c>
      <c r="V1567" s="5" t="s">
        <v>59</v>
      </c>
      <c r="W1567" s="5" t="s">
        <v>60</v>
      </c>
      <c r="X1567" s="5" t="s">
        <v>1136</v>
      </c>
      <c r="Y1567" s="5" t="s">
        <v>6463</v>
      </c>
      <c r="Z1567" s="9">
        <v>46264</v>
      </c>
      <c r="AA1567" s="8">
        <v>6</v>
      </c>
      <c r="AB1567" s="9">
        <f t="shared" si="73"/>
        <v>46446</v>
      </c>
      <c r="AC1567" s="10">
        <v>13</v>
      </c>
      <c r="AD1567" s="7">
        <f t="shared" si="74"/>
        <v>653</v>
      </c>
      <c r="AE1567" s="7">
        <f>IF(F1567="Bullet",H1567*AD1567,MIN(MAX(I1567,1),Assumptions!$B$6)*AD1567)</f>
        <v>653</v>
      </c>
      <c r="AF1567" s="8">
        <f>IF(F1567="Bullet",MAX(0,Assumptions!$B$4-AB1567),MAX(0,Assumptions!$B$4-L1567))</f>
        <v>0</v>
      </c>
      <c r="AG1567" s="9"/>
      <c r="AH1567" s="8" t="str">
        <f>IF(AG1567="","",Assumptions!$B$4-AG1567)</f>
        <v/>
      </c>
      <c r="AI1567" s="5" t="s">
        <v>80</v>
      </c>
      <c r="AJ1567" s="8"/>
      <c r="AK1567" s="8">
        <v>0</v>
      </c>
      <c r="AL1567" s="8">
        <v>844</v>
      </c>
      <c r="AM1567" s="8">
        <v>0</v>
      </c>
      <c r="AN1567" s="5" t="s">
        <v>63</v>
      </c>
      <c r="AO1567" s="10">
        <v>75</v>
      </c>
      <c r="AP1567" s="8">
        <v>0</v>
      </c>
      <c r="AQ1567" s="9">
        <v>46276</v>
      </c>
      <c r="AR1567" s="5" t="s">
        <v>53</v>
      </c>
      <c r="AS1567" s="5" t="s">
        <v>190</v>
      </c>
    </row>
    <row r="1568" spans="1:45" x14ac:dyDescent="0.35">
      <c r="A1568" s="5" t="s">
        <v>6464</v>
      </c>
      <c r="B1568" s="5" t="s">
        <v>795</v>
      </c>
      <c r="C1568" s="6" t="s">
        <v>6465</v>
      </c>
      <c r="D1568" s="7">
        <v>433800</v>
      </c>
      <c r="E1568" s="5" t="s">
        <v>48</v>
      </c>
      <c r="F1568" s="5" t="s">
        <v>68</v>
      </c>
      <c r="G1568" s="8">
        <v>5</v>
      </c>
      <c r="H1568" s="8">
        <f>IF(F1568="Bullet",MIN(G1568,Assumptions!$B$6),"")</f>
        <v>2</v>
      </c>
      <c r="I1568" s="8"/>
      <c r="J1568" s="8" t="str">
        <f>IF(F1568="Monthly interest",MAX(0,Assumptions!$B$5-I1568),"")</f>
        <v/>
      </c>
      <c r="K1568" s="7">
        <f t="shared" si="72"/>
        <v>25305</v>
      </c>
      <c r="L1568" s="9">
        <v>46126</v>
      </c>
      <c r="M1568" s="5" t="s">
        <v>50</v>
      </c>
      <c r="N1568" s="5" t="s">
        <v>70</v>
      </c>
      <c r="O1568" s="5" t="s">
        <v>295</v>
      </c>
      <c r="P1568" s="5" t="s">
        <v>72</v>
      </c>
      <c r="Q1568" s="5" t="s">
        <v>169</v>
      </c>
      <c r="R1568" s="5" t="s">
        <v>170</v>
      </c>
      <c r="S1568" s="5" t="s">
        <v>214</v>
      </c>
      <c r="T1568" s="5" t="s">
        <v>57</v>
      </c>
      <c r="U1568" s="5" t="s">
        <v>58</v>
      </c>
      <c r="V1568" s="5" t="s">
        <v>215</v>
      </c>
      <c r="W1568" s="5" t="s">
        <v>284</v>
      </c>
      <c r="X1568" s="5" t="s">
        <v>1778</v>
      </c>
      <c r="Y1568" s="5" t="s">
        <v>6466</v>
      </c>
      <c r="Z1568" s="9">
        <v>46126</v>
      </c>
      <c r="AA1568" s="8">
        <v>6</v>
      </c>
      <c r="AB1568" s="9">
        <f t="shared" si="73"/>
        <v>46309</v>
      </c>
      <c r="AC1568" s="10">
        <v>14</v>
      </c>
      <c r="AD1568" s="7">
        <f t="shared" si="74"/>
        <v>5061</v>
      </c>
      <c r="AE1568" s="7">
        <f>IF(F1568="Bullet",H1568*AD1568,MIN(MAX(I1568,1),Assumptions!$B$6)*AD1568)</f>
        <v>10122</v>
      </c>
      <c r="AF1568" s="8">
        <f>IF(F1568="Bullet",MAX(0,Assumptions!$B$4-AB1568),MAX(0,Assumptions!$B$4-L1568))</f>
        <v>0</v>
      </c>
      <c r="AG1568" s="9"/>
      <c r="AH1568" s="8" t="str">
        <f>IF(AG1568="","",Assumptions!$B$4-AG1568)</f>
        <v/>
      </c>
      <c r="AI1568" s="5" t="s">
        <v>80</v>
      </c>
      <c r="AJ1568" s="8"/>
      <c r="AK1568" s="8">
        <v>1</v>
      </c>
      <c r="AL1568" s="8">
        <v>838</v>
      </c>
      <c r="AM1568" s="8">
        <v>1</v>
      </c>
      <c r="AN1568" s="5" t="s">
        <v>63</v>
      </c>
      <c r="AO1568" s="10">
        <v>74.400000000000006</v>
      </c>
      <c r="AP1568" s="8">
        <v>25</v>
      </c>
      <c r="AQ1568" s="9">
        <v>46276</v>
      </c>
      <c r="AR1568" s="5" t="s">
        <v>53</v>
      </c>
      <c r="AS1568" s="5" t="s">
        <v>91</v>
      </c>
    </row>
    <row r="1569" spans="1:45" x14ac:dyDescent="0.35">
      <c r="A1569" s="5" t="s">
        <v>6467</v>
      </c>
      <c r="B1569" s="5" t="s">
        <v>4094</v>
      </c>
      <c r="C1569" s="6" t="s">
        <v>6468</v>
      </c>
      <c r="D1569" s="7">
        <v>447700</v>
      </c>
      <c r="E1569" s="5" t="s">
        <v>48</v>
      </c>
      <c r="F1569" s="5" t="s">
        <v>49</v>
      </c>
      <c r="G1569" s="8"/>
      <c r="H1569" s="8" t="str">
        <f>IF(F1569="Bullet",MIN(G1569,Assumptions!$B$6),"")</f>
        <v/>
      </c>
      <c r="I1569" s="8">
        <v>1</v>
      </c>
      <c r="J1569" s="8">
        <f>IF(F1569="Monthly interest",MAX(0,Assumptions!$B$5-I1569),"")</f>
        <v>2</v>
      </c>
      <c r="K1569" s="7">
        <f t="shared" si="72"/>
        <v>7462</v>
      </c>
      <c r="L1569" s="9">
        <v>46293</v>
      </c>
      <c r="M1569" s="5" t="s">
        <v>50</v>
      </c>
      <c r="N1569" s="5" t="s">
        <v>53</v>
      </c>
      <c r="O1569" s="5" t="s">
        <v>95</v>
      </c>
      <c r="P1569" s="5" t="s">
        <v>70</v>
      </c>
      <c r="Q1569" s="5" t="s">
        <v>54</v>
      </c>
      <c r="R1569" s="5" t="s">
        <v>55</v>
      </c>
      <c r="S1569" s="5" t="s">
        <v>185</v>
      </c>
      <c r="T1569" s="5" t="s">
        <v>63</v>
      </c>
      <c r="U1569" s="5" t="s">
        <v>86</v>
      </c>
      <c r="V1569" s="5" t="s">
        <v>200</v>
      </c>
      <c r="W1569" s="5" t="s">
        <v>500</v>
      </c>
      <c r="X1569" s="5" t="s">
        <v>1495</v>
      </c>
      <c r="Y1569" s="5" t="s">
        <v>6469</v>
      </c>
      <c r="Z1569" s="9">
        <v>46019</v>
      </c>
      <c r="AA1569" s="8">
        <v>12</v>
      </c>
      <c r="AB1569" s="9">
        <f t="shared" si="73"/>
        <v>46384</v>
      </c>
      <c r="AC1569" s="10">
        <v>20</v>
      </c>
      <c r="AD1569" s="7">
        <f t="shared" si="74"/>
        <v>7462</v>
      </c>
      <c r="AE1569" s="7">
        <f>IF(F1569="Bullet",H1569*AD1569,MIN(MAX(I1569,1),Assumptions!$B$6)*AD1569)</f>
        <v>7462</v>
      </c>
      <c r="AF1569" s="8">
        <f>IF(F1569="Bullet",MAX(0,Assumptions!$B$4-AB1569),MAX(0,Assumptions!$B$4-L1569))</f>
        <v>5</v>
      </c>
      <c r="AG1569" s="9">
        <v>46262</v>
      </c>
      <c r="AH1569" s="8">
        <f>IF(AG1569="","",Assumptions!$B$4-AG1569)</f>
        <v>36</v>
      </c>
      <c r="AI1569" s="5" t="s">
        <v>63</v>
      </c>
      <c r="AJ1569" s="8">
        <v>1</v>
      </c>
      <c r="AK1569" s="8">
        <v>0</v>
      </c>
      <c r="AL1569" s="8">
        <v>759</v>
      </c>
      <c r="AM1569" s="8">
        <v>1</v>
      </c>
      <c r="AN1569" s="5" t="s">
        <v>63</v>
      </c>
      <c r="AO1569" s="10">
        <v>77.900000000000006</v>
      </c>
      <c r="AP1569" s="8">
        <v>19</v>
      </c>
      <c r="AQ1569" s="9">
        <v>46274</v>
      </c>
      <c r="AR1569" s="5" t="s">
        <v>51</v>
      </c>
      <c r="AS1569" s="5" t="s">
        <v>181</v>
      </c>
    </row>
    <row r="1570" spans="1:45" x14ac:dyDescent="0.35">
      <c r="A1570" s="5" t="s">
        <v>6470</v>
      </c>
      <c r="B1570" s="5" t="s">
        <v>771</v>
      </c>
      <c r="C1570" s="6" t="s">
        <v>6471</v>
      </c>
      <c r="D1570" s="7">
        <v>88400</v>
      </c>
      <c r="E1570" s="5" t="s">
        <v>48</v>
      </c>
      <c r="F1570" s="5" t="s">
        <v>68</v>
      </c>
      <c r="G1570" s="8">
        <v>5</v>
      </c>
      <c r="H1570" s="8">
        <f>IF(F1570="Bullet",MIN(G1570,Assumptions!$B$6),"")</f>
        <v>2</v>
      </c>
      <c r="I1570" s="8"/>
      <c r="J1570" s="8" t="str">
        <f>IF(F1570="Monthly interest",MAX(0,Assumptions!$B$5-I1570),"")</f>
        <v/>
      </c>
      <c r="K1570" s="7">
        <f t="shared" si="72"/>
        <v>6630</v>
      </c>
      <c r="L1570" s="9">
        <v>46126</v>
      </c>
      <c r="M1570" s="5" t="s">
        <v>69</v>
      </c>
      <c r="N1570" s="5" t="s">
        <v>70</v>
      </c>
      <c r="O1570" s="5" t="s">
        <v>271</v>
      </c>
      <c r="P1570" s="5" t="s">
        <v>72</v>
      </c>
      <c r="Q1570" s="5" t="s">
        <v>169</v>
      </c>
      <c r="R1570" s="5" t="s">
        <v>170</v>
      </c>
      <c r="S1570" s="5" t="s">
        <v>253</v>
      </c>
      <c r="T1570" s="5" t="s">
        <v>57</v>
      </c>
      <c r="U1570" s="5" t="s">
        <v>58</v>
      </c>
      <c r="V1570" s="5" t="s">
        <v>200</v>
      </c>
      <c r="W1570" s="5" t="s">
        <v>1332</v>
      </c>
      <c r="X1570" s="5" t="s">
        <v>3151</v>
      </c>
      <c r="Y1570" s="5" t="s">
        <v>6472</v>
      </c>
      <c r="Z1570" s="9">
        <v>46126</v>
      </c>
      <c r="AA1570" s="8">
        <v>12</v>
      </c>
      <c r="AB1570" s="9">
        <f t="shared" si="73"/>
        <v>46491</v>
      </c>
      <c r="AC1570" s="10">
        <v>18</v>
      </c>
      <c r="AD1570" s="7">
        <f t="shared" si="74"/>
        <v>1326</v>
      </c>
      <c r="AE1570" s="7">
        <f>IF(F1570="Bullet",H1570*AD1570,MIN(MAX(I1570,1),Assumptions!$B$6)*AD1570)</f>
        <v>2652</v>
      </c>
      <c r="AF1570" s="8">
        <f>IF(F1570="Bullet",MAX(0,Assumptions!$B$4-AB1570),MAX(0,Assumptions!$B$4-L1570))</f>
        <v>0</v>
      </c>
      <c r="AG1570" s="9"/>
      <c r="AH1570" s="8" t="str">
        <f>IF(AG1570="","",Assumptions!$B$4-AG1570)</f>
        <v/>
      </c>
      <c r="AI1570" s="5" t="s">
        <v>80</v>
      </c>
      <c r="AJ1570" s="8"/>
      <c r="AK1570" s="8">
        <v>1</v>
      </c>
      <c r="AL1570" s="8" t="s">
        <v>80</v>
      </c>
      <c r="AM1570" s="8">
        <v>2</v>
      </c>
      <c r="AN1570" s="5" t="s">
        <v>57</v>
      </c>
      <c r="AO1570" s="10">
        <v>71.5</v>
      </c>
      <c r="AP1570" s="8">
        <v>46</v>
      </c>
      <c r="AQ1570" s="9">
        <v>46297</v>
      </c>
      <c r="AR1570" s="5" t="s">
        <v>70</v>
      </c>
      <c r="AS1570" s="5" t="s">
        <v>274</v>
      </c>
    </row>
    <row r="1571" spans="1:45" x14ac:dyDescent="0.35">
      <c r="A1571" s="5" t="s">
        <v>6473</v>
      </c>
      <c r="B1571" s="5" t="s">
        <v>6474</v>
      </c>
      <c r="C1571" s="6" t="s">
        <v>6475</v>
      </c>
      <c r="D1571" s="7">
        <v>24300</v>
      </c>
      <c r="E1571" s="5" t="s">
        <v>48</v>
      </c>
      <c r="F1571" s="5" t="s">
        <v>49</v>
      </c>
      <c r="G1571" s="8"/>
      <c r="H1571" s="8" t="str">
        <f>IF(F1571="Bullet",MIN(G1571,Assumptions!$B$6),"")</f>
        <v/>
      </c>
      <c r="I1571" s="8">
        <v>1</v>
      </c>
      <c r="J1571" s="8">
        <f>IF(F1571="Monthly interest",MAX(0,Assumptions!$B$5-I1571),"")</f>
        <v>2</v>
      </c>
      <c r="K1571" s="7">
        <f t="shared" si="72"/>
        <v>486</v>
      </c>
      <c r="L1571" s="9">
        <v>46272</v>
      </c>
      <c r="M1571" s="5" t="s">
        <v>50</v>
      </c>
      <c r="N1571" s="5" t="s">
        <v>51</v>
      </c>
      <c r="O1571" s="5" t="s">
        <v>152</v>
      </c>
      <c r="P1571" s="5" t="s">
        <v>53</v>
      </c>
      <c r="Q1571" s="5" t="s">
        <v>154</v>
      </c>
      <c r="R1571" s="5" t="s">
        <v>155</v>
      </c>
      <c r="S1571" s="5" t="s">
        <v>56</v>
      </c>
      <c r="T1571" s="5" t="s">
        <v>57</v>
      </c>
      <c r="U1571" s="5" t="s">
        <v>104</v>
      </c>
      <c r="V1571" s="5" t="s">
        <v>59</v>
      </c>
      <c r="W1571" s="5" t="s">
        <v>323</v>
      </c>
      <c r="X1571" s="5" t="s">
        <v>1923</v>
      </c>
      <c r="Y1571" s="5" t="s">
        <v>6476</v>
      </c>
      <c r="Z1571" s="9">
        <v>46119</v>
      </c>
      <c r="AA1571" s="8">
        <v>12</v>
      </c>
      <c r="AB1571" s="9">
        <f t="shared" si="73"/>
        <v>46484</v>
      </c>
      <c r="AC1571" s="10">
        <v>24</v>
      </c>
      <c r="AD1571" s="7">
        <f t="shared" si="74"/>
        <v>486</v>
      </c>
      <c r="AE1571" s="7">
        <f>IF(F1571="Bullet",H1571*AD1571,MIN(MAX(I1571,1),Assumptions!$B$6)*AD1571)</f>
        <v>486</v>
      </c>
      <c r="AF1571" s="8">
        <f>IF(F1571="Bullet",MAX(0,Assumptions!$B$4-AB1571),MAX(0,Assumptions!$B$4-L1571))</f>
        <v>26</v>
      </c>
      <c r="AG1571" s="9">
        <v>46242</v>
      </c>
      <c r="AH1571" s="8">
        <f>IF(AG1571="","",Assumptions!$B$4-AG1571)</f>
        <v>56</v>
      </c>
      <c r="AI1571" s="5" t="s">
        <v>63</v>
      </c>
      <c r="AJ1571" s="8">
        <v>1</v>
      </c>
      <c r="AK1571" s="8">
        <v>2</v>
      </c>
      <c r="AL1571" s="8">
        <v>692</v>
      </c>
      <c r="AM1571" s="8">
        <v>1</v>
      </c>
      <c r="AN1571" s="5" t="s">
        <v>63</v>
      </c>
      <c r="AO1571" s="10">
        <v>63</v>
      </c>
      <c r="AP1571" s="8">
        <v>29</v>
      </c>
      <c r="AQ1571" s="9">
        <v>46290</v>
      </c>
      <c r="AR1571" s="5" t="s">
        <v>51</v>
      </c>
      <c r="AS1571" s="5" t="s">
        <v>64</v>
      </c>
    </row>
    <row r="1572" spans="1:45" x14ac:dyDescent="0.35">
      <c r="A1572" s="5" t="s">
        <v>6477</v>
      </c>
      <c r="B1572" s="5" t="s">
        <v>614</v>
      </c>
      <c r="C1572" s="6" t="s">
        <v>6478</v>
      </c>
      <c r="D1572" s="7">
        <v>140100</v>
      </c>
      <c r="E1572" s="5" t="s">
        <v>48</v>
      </c>
      <c r="F1572" s="5" t="s">
        <v>68</v>
      </c>
      <c r="G1572" s="8">
        <v>3</v>
      </c>
      <c r="H1572" s="8">
        <f>IF(F1572="Bullet",MIN(G1572,Assumptions!$B$6),"")</f>
        <v>2</v>
      </c>
      <c r="I1572" s="8"/>
      <c r="J1572" s="8" t="str">
        <f>IF(F1572="Monthly interest",MAX(0,Assumptions!$B$5-I1572),"")</f>
        <v/>
      </c>
      <c r="K1572" s="7">
        <f t="shared" si="72"/>
        <v>6306</v>
      </c>
      <c r="L1572" s="9">
        <v>46202</v>
      </c>
      <c r="M1572" s="5" t="s">
        <v>116</v>
      </c>
      <c r="N1572" s="5" t="s">
        <v>117</v>
      </c>
      <c r="O1572" s="5" t="s">
        <v>207</v>
      </c>
      <c r="P1572" s="5" t="s">
        <v>72</v>
      </c>
      <c r="Q1572" s="5" t="s">
        <v>73</v>
      </c>
      <c r="R1572" s="5" t="s">
        <v>74</v>
      </c>
      <c r="S1572" s="5" t="s">
        <v>214</v>
      </c>
      <c r="T1572" s="5" t="s">
        <v>57</v>
      </c>
      <c r="U1572" s="5" t="s">
        <v>58</v>
      </c>
      <c r="V1572" s="5" t="s">
        <v>215</v>
      </c>
      <c r="W1572" s="5" t="s">
        <v>278</v>
      </c>
      <c r="X1572" s="5" t="s">
        <v>1284</v>
      </c>
      <c r="Y1572" s="5" t="s">
        <v>6479</v>
      </c>
      <c r="Z1572" s="9">
        <v>46202</v>
      </c>
      <c r="AA1572" s="8">
        <v>3</v>
      </c>
      <c r="AB1572" s="9">
        <f t="shared" si="73"/>
        <v>46294</v>
      </c>
      <c r="AC1572" s="10">
        <v>18</v>
      </c>
      <c r="AD1572" s="7">
        <f t="shared" si="74"/>
        <v>2102</v>
      </c>
      <c r="AE1572" s="7">
        <f>IF(F1572="Bullet",H1572*AD1572,MIN(MAX(I1572,1),Assumptions!$B$6)*AD1572)</f>
        <v>4204</v>
      </c>
      <c r="AF1572" s="8">
        <f>IF(F1572="Bullet",MAX(0,Assumptions!$B$4-AB1572),MAX(0,Assumptions!$B$4-L1572))</f>
        <v>4</v>
      </c>
      <c r="AG1572" s="9"/>
      <c r="AH1572" s="8" t="str">
        <f>IF(AG1572="","",Assumptions!$B$4-AG1572)</f>
        <v/>
      </c>
      <c r="AI1572" s="5" t="s">
        <v>80</v>
      </c>
      <c r="AJ1572" s="8"/>
      <c r="AK1572" s="8">
        <v>2</v>
      </c>
      <c r="AL1572" s="8" t="s">
        <v>80</v>
      </c>
      <c r="AM1572" s="8">
        <v>1</v>
      </c>
      <c r="AN1572" s="5" t="s">
        <v>63</v>
      </c>
      <c r="AO1572" s="10">
        <v>68.099999999999994</v>
      </c>
      <c r="AP1572" s="8">
        <v>49</v>
      </c>
      <c r="AQ1572" s="9">
        <v>46291</v>
      </c>
      <c r="AR1572" s="5" t="s">
        <v>72</v>
      </c>
      <c r="AS1572" s="5" t="s">
        <v>81</v>
      </c>
    </row>
    <row r="1573" spans="1:45" x14ac:dyDescent="0.35">
      <c r="A1573" s="5" t="s">
        <v>6480</v>
      </c>
      <c r="B1573" s="5" t="s">
        <v>3091</v>
      </c>
      <c r="C1573" s="6" t="s">
        <v>6481</v>
      </c>
      <c r="D1573" s="7">
        <v>32700</v>
      </c>
      <c r="E1573" s="5" t="s">
        <v>48</v>
      </c>
      <c r="F1573" s="5" t="s">
        <v>49</v>
      </c>
      <c r="G1573" s="8"/>
      <c r="H1573" s="8" t="str">
        <f>IF(F1573="Bullet",MIN(G1573,Assumptions!$B$6),"")</f>
        <v/>
      </c>
      <c r="I1573" s="8">
        <v>2</v>
      </c>
      <c r="J1573" s="8">
        <f>IF(F1573="Monthly interest",MAX(0,Assumptions!$B$5-I1573),"")</f>
        <v>1</v>
      </c>
      <c r="K1573" s="7">
        <f t="shared" si="72"/>
        <v>1308</v>
      </c>
      <c r="L1573" s="9">
        <v>46256</v>
      </c>
      <c r="M1573" s="5" t="s">
        <v>69</v>
      </c>
      <c r="N1573" s="5" t="s">
        <v>53</v>
      </c>
      <c r="O1573" s="5" t="s">
        <v>152</v>
      </c>
      <c r="P1573" s="5" t="s">
        <v>153</v>
      </c>
      <c r="Q1573" s="5" t="s">
        <v>154</v>
      </c>
      <c r="R1573" s="5" t="s">
        <v>155</v>
      </c>
      <c r="S1573" s="5" t="s">
        <v>185</v>
      </c>
      <c r="T1573" s="5" t="s">
        <v>57</v>
      </c>
      <c r="U1573" s="5" t="s">
        <v>86</v>
      </c>
      <c r="V1573" s="5" t="s">
        <v>186</v>
      </c>
      <c r="W1573" s="5" t="s">
        <v>376</v>
      </c>
      <c r="X1573" s="5" t="s">
        <v>2510</v>
      </c>
      <c r="Y1573" s="5" t="s">
        <v>6482</v>
      </c>
      <c r="Z1573" s="9">
        <v>46195</v>
      </c>
      <c r="AA1573" s="8">
        <v>12</v>
      </c>
      <c r="AB1573" s="9">
        <f t="shared" si="73"/>
        <v>46560</v>
      </c>
      <c r="AC1573" s="10">
        <v>24</v>
      </c>
      <c r="AD1573" s="7">
        <f t="shared" si="74"/>
        <v>654</v>
      </c>
      <c r="AE1573" s="7">
        <f>IF(F1573="Bullet",H1573*AD1573,MIN(MAX(I1573,1),Assumptions!$B$6)*AD1573)</f>
        <v>1308</v>
      </c>
      <c r="AF1573" s="8">
        <f>IF(F1573="Bullet",MAX(0,Assumptions!$B$4-AB1573),MAX(0,Assumptions!$B$4-L1573))</f>
        <v>42</v>
      </c>
      <c r="AG1573" s="9">
        <v>46228</v>
      </c>
      <c r="AH1573" s="8">
        <f>IF(AG1573="","",Assumptions!$B$4-AG1573)</f>
        <v>70</v>
      </c>
      <c r="AI1573" s="5" t="s">
        <v>63</v>
      </c>
      <c r="AJ1573" s="8">
        <v>2</v>
      </c>
      <c r="AK1573" s="8">
        <v>0</v>
      </c>
      <c r="AL1573" s="8">
        <v>743</v>
      </c>
      <c r="AM1573" s="8">
        <v>1</v>
      </c>
      <c r="AN1573" s="5" t="s">
        <v>63</v>
      </c>
      <c r="AO1573" s="10">
        <v>63.6</v>
      </c>
      <c r="AP1573" s="8">
        <v>38</v>
      </c>
      <c r="AQ1573" s="9">
        <v>46281</v>
      </c>
      <c r="AR1573" s="5" t="s">
        <v>70</v>
      </c>
      <c r="AS1573" s="5" t="s">
        <v>274</v>
      </c>
    </row>
    <row r="1574" spans="1:45" x14ac:dyDescent="0.35">
      <c r="A1574" s="5" t="s">
        <v>6483</v>
      </c>
      <c r="B1574" s="5" t="s">
        <v>4586</v>
      </c>
      <c r="C1574" s="6" t="s">
        <v>6484</v>
      </c>
      <c r="D1574" s="7">
        <v>159800</v>
      </c>
      <c r="E1574" s="5" t="s">
        <v>48</v>
      </c>
      <c r="F1574" s="5" t="s">
        <v>49</v>
      </c>
      <c r="G1574" s="8"/>
      <c r="H1574" s="8" t="str">
        <f>IF(F1574="Bullet",MIN(G1574,Assumptions!$B$6),"")</f>
        <v/>
      </c>
      <c r="I1574" s="8">
        <v>1</v>
      </c>
      <c r="J1574" s="8">
        <f>IF(F1574="Monthly interest",MAX(0,Assumptions!$B$5-I1574),"")</f>
        <v>2</v>
      </c>
      <c r="K1574" s="7">
        <f t="shared" si="72"/>
        <v>2930</v>
      </c>
      <c r="L1574" s="9">
        <v>46278</v>
      </c>
      <c r="M1574" s="5" t="s">
        <v>50</v>
      </c>
      <c r="N1574" s="5" t="s">
        <v>53</v>
      </c>
      <c r="O1574" s="5" t="s">
        <v>132</v>
      </c>
      <c r="P1574" s="5" t="s">
        <v>51</v>
      </c>
      <c r="Q1574" s="5" t="s">
        <v>54</v>
      </c>
      <c r="R1574" s="5" t="s">
        <v>55</v>
      </c>
      <c r="S1574" s="5" t="s">
        <v>85</v>
      </c>
      <c r="T1574" s="5" t="s">
        <v>57</v>
      </c>
      <c r="U1574" s="5" t="s">
        <v>58</v>
      </c>
      <c r="V1574" s="5" t="s">
        <v>133</v>
      </c>
      <c r="W1574" s="5" t="s">
        <v>134</v>
      </c>
      <c r="X1574" s="5" t="s">
        <v>2765</v>
      </c>
      <c r="Y1574" s="5" t="s">
        <v>6485</v>
      </c>
      <c r="Z1574" s="9">
        <v>46186</v>
      </c>
      <c r="AA1574" s="8">
        <v>12</v>
      </c>
      <c r="AB1574" s="9">
        <f t="shared" si="73"/>
        <v>46551</v>
      </c>
      <c r="AC1574" s="10">
        <v>22</v>
      </c>
      <c r="AD1574" s="7">
        <f t="shared" si="74"/>
        <v>2930</v>
      </c>
      <c r="AE1574" s="7">
        <f>IF(F1574="Bullet",H1574*AD1574,MIN(MAX(I1574,1),Assumptions!$B$6)*AD1574)</f>
        <v>2930</v>
      </c>
      <c r="AF1574" s="8">
        <f>IF(F1574="Bullet",MAX(0,Assumptions!$B$4-AB1574),MAX(0,Assumptions!$B$4-L1574))</f>
        <v>20</v>
      </c>
      <c r="AG1574" s="9">
        <v>46252</v>
      </c>
      <c r="AH1574" s="8">
        <f>IF(AG1574="","",Assumptions!$B$4-AG1574)</f>
        <v>46</v>
      </c>
      <c r="AI1574" s="5" t="s">
        <v>57</v>
      </c>
      <c r="AJ1574" s="8">
        <v>1</v>
      </c>
      <c r="AK1574" s="8">
        <v>1</v>
      </c>
      <c r="AL1574" s="8">
        <v>724</v>
      </c>
      <c r="AM1574" s="8">
        <v>0</v>
      </c>
      <c r="AN1574" s="5" t="s">
        <v>63</v>
      </c>
      <c r="AO1574" s="10">
        <v>64.099999999999994</v>
      </c>
      <c r="AP1574" s="8">
        <v>24</v>
      </c>
      <c r="AQ1574" s="9">
        <v>46292</v>
      </c>
      <c r="AR1574" s="5" t="s">
        <v>51</v>
      </c>
      <c r="AS1574" s="5" t="s">
        <v>91</v>
      </c>
    </row>
    <row r="1575" spans="1:45" x14ac:dyDescent="0.35">
      <c r="A1575" s="5" t="s">
        <v>6486</v>
      </c>
      <c r="B1575" s="5" t="s">
        <v>6487</v>
      </c>
      <c r="C1575" s="6" t="s">
        <v>6488</v>
      </c>
      <c r="D1575" s="7">
        <v>58500</v>
      </c>
      <c r="E1575" s="5" t="s">
        <v>48</v>
      </c>
      <c r="F1575" s="5" t="s">
        <v>49</v>
      </c>
      <c r="G1575" s="8"/>
      <c r="H1575" s="8" t="str">
        <f>IF(F1575="Bullet",MIN(G1575,Assumptions!$B$6),"")</f>
        <v/>
      </c>
      <c r="I1575" s="8">
        <v>1</v>
      </c>
      <c r="J1575" s="8">
        <f>IF(F1575="Monthly interest",MAX(0,Assumptions!$B$5-I1575),"")</f>
        <v>2</v>
      </c>
      <c r="K1575" s="7">
        <f t="shared" si="72"/>
        <v>1073</v>
      </c>
      <c r="L1575" s="9">
        <v>46279</v>
      </c>
      <c r="M1575" s="5" t="s">
        <v>50</v>
      </c>
      <c r="N1575" s="5" t="s">
        <v>51</v>
      </c>
      <c r="O1575" s="5" t="s">
        <v>52</v>
      </c>
      <c r="P1575" s="5" t="s">
        <v>53</v>
      </c>
      <c r="Q1575" s="5" t="s">
        <v>54</v>
      </c>
      <c r="R1575" s="5" t="s">
        <v>55</v>
      </c>
      <c r="S1575" s="5" t="s">
        <v>85</v>
      </c>
      <c r="T1575" s="5" t="s">
        <v>57</v>
      </c>
      <c r="U1575" s="5" t="s">
        <v>58</v>
      </c>
      <c r="V1575" s="5" t="s">
        <v>177</v>
      </c>
      <c r="W1575" s="5" t="s">
        <v>208</v>
      </c>
      <c r="X1575" s="5" t="s">
        <v>312</v>
      </c>
      <c r="Y1575" s="5" t="s">
        <v>6489</v>
      </c>
      <c r="Z1575" s="9">
        <v>46095</v>
      </c>
      <c r="AA1575" s="8">
        <v>12</v>
      </c>
      <c r="AB1575" s="9">
        <f t="shared" si="73"/>
        <v>46460</v>
      </c>
      <c r="AC1575" s="10">
        <v>22</v>
      </c>
      <c r="AD1575" s="7">
        <f t="shared" si="74"/>
        <v>1073</v>
      </c>
      <c r="AE1575" s="7">
        <f>IF(F1575="Bullet",H1575*AD1575,MIN(MAX(I1575,1),Assumptions!$B$6)*AD1575)</f>
        <v>1073</v>
      </c>
      <c r="AF1575" s="8">
        <f>IF(F1575="Bullet",MAX(0,Assumptions!$B$4-AB1575),MAX(0,Assumptions!$B$4-L1575))</f>
        <v>19</v>
      </c>
      <c r="AG1575" s="9">
        <v>46253</v>
      </c>
      <c r="AH1575" s="8">
        <f>IF(AG1575="","",Assumptions!$B$4-AG1575)</f>
        <v>45</v>
      </c>
      <c r="AI1575" s="5" t="s">
        <v>63</v>
      </c>
      <c r="AJ1575" s="8">
        <v>1</v>
      </c>
      <c r="AK1575" s="8">
        <v>0</v>
      </c>
      <c r="AL1575" s="8">
        <v>827</v>
      </c>
      <c r="AM1575" s="8">
        <v>0</v>
      </c>
      <c r="AN1575" s="5" t="s">
        <v>63</v>
      </c>
      <c r="AO1575" s="10">
        <v>60.9</v>
      </c>
      <c r="AP1575" s="8">
        <v>13</v>
      </c>
      <c r="AQ1575" s="9"/>
      <c r="AR1575" s="5"/>
      <c r="AS1575" s="5" t="s">
        <v>159</v>
      </c>
    </row>
    <row r="1576" spans="1:45" x14ac:dyDescent="0.35">
      <c r="A1576" s="5" t="s">
        <v>6490</v>
      </c>
      <c r="B1576" s="5" t="s">
        <v>2017</v>
      </c>
      <c r="C1576" s="6" t="s">
        <v>6491</v>
      </c>
      <c r="D1576" s="7">
        <v>116600</v>
      </c>
      <c r="E1576" s="5" t="s">
        <v>48</v>
      </c>
      <c r="F1576" s="5" t="s">
        <v>68</v>
      </c>
      <c r="G1576" s="8">
        <v>3</v>
      </c>
      <c r="H1576" s="8">
        <f>IF(F1576="Bullet",MIN(G1576,Assumptions!$B$6),"")</f>
        <v>2</v>
      </c>
      <c r="I1576" s="8"/>
      <c r="J1576" s="8" t="str">
        <f>IF(F1576="Monthly interest",MAX(0,Assumptions!$B$5-I1576),"")</f>
        <v/>
      </c>
      <c r="K1576" s="7">
        <f t="shared" si="72"/>
        <v>3498</v>
      </c>
      <c r="L1576" s="9">
        <v>46205</v>
      </c>
      <c r="M1576" s="5" t="s">
        <v>69</v>
      </c>
      <c r="N1576" s="5" t="s">
        <v>53</v>
      </c>
      <c r="O1576" s="5" t="s">
        <v>71</v>
      </c>
      <c r="P1576" s="5" t="s">
        <v>70</v>
      </c>
      <c r="Q1576" s="5" t="s">
        <v>73</v>
      </c>
      <c r="R1576" s="5" t="s">
        <v>74</v>
      </c>
      <c r="S1576" s="5" t="s">
        <v>253</v>
      </c>
      <c r="T1576" s="5" t="s">
        <v>57</v>
      </c>
      <c r="U1576" s="5" t="s">
        <v>58</v>
      </c>
      <c r="V1576" s="5" t="s">
        <v>59</v>
      </c>
      <c r="W1576" s="5" t="s">
        <v>126</v>
      </c>
      <c r="X1576" s="5" t="s">
        <v>606</v>
      </c>
      <c r="Y1576" s="5" t="s">
        <v>6492</v>
      </c>
      <c r="Z1576" s="9">
        <v>46205</v>
      </c>
      <c r="AA1576" s="8">
        <v>12</v>
      </c>
      <c r="AB1576" s="9">
        <f t="shared" si="73"/>
        <v>46570</v>
      </c>
      <c r="AC1576" s="10">
        <v>12</v>
      </c>
      <c r="AD1576" s="7">
        <f t="shared" si="74"/>
        <v>1166</v>
      </c>
      <c r="AE1576" s="7">
        <f>IF(F1576="Bullet",H1576*AD1576,MIN(MAX(I1576,1),Assumptions!$B$6)*AD1576)</f>
        <v>2332</v>
      </c>
      <c r="AF1576" s="8">
        <f>IF(F1576="Bullet",MAX(0,Assumptions!$B$4-AB1576),MAX(0,Assumptions!$B$4-L1576))</f>
        <v>0</v>
      </c>
      <c r="AG1576" s="9"/>
      <c r="AH1576" s="8" t="str">
        <f>IF(AG1576="","",Assumptions!$B$4-AG1576)</f>
        <v/>
      </c>
      <c r="AI1576" s="5" t="s">
        <v>80</v>
      </c>
      <c r="AJ1576" s="8"/>
      <c r="AK1576" s="8">
        <v>1</v>
      </c>
      <c r="AL1576" s="8">
        <v>653</v>
      </c>
      <c r="AM1576" s="8">
        <v>0</v>
      </c>
      <c r="AN1576" s="5" t="s">
        <v>63</v>
      </c>
      <c r="AO1576" s="10">
        <v>61.1</v>
      </c>
      <c r="AP1576" s="8">
        <v>35</v>
      </c>
      <c r="AQ1576" s="9">
        <v>46295</v>
      </c>
      <c r="AR1576" s="5" t="s">
        <v>70</v>
      </c>
      <c r="AS1576" s="5" t="s">
        <v>81</v>
      </c>
    </row>
    <row r="1577" spans="1:45" x14ac:dyDescent="0.35">
      <c r="A1577" s="5" t="s">
        <v>6493</v>
      </c>
      <c r="B1577" s="5" t="s">
        <v>6494</v>
      </c>
      <c r="C1577" s="6" t="s">
        <v>6495</v>
      </c>
      <c r="D1577" s="7">
        <v>300800</v>
      </c>
      <c r="E1577" s="5" t="s">
        <v>48</v>
      </c>
      <c r="F1577" s="5" t="s">
        <v>49</v>
      </c>
      <c r="G1577" s="8"/>
      <c r="H1577" s="8" t="str">
        <f>IF(F1577="Bullet",MIN(G1577,Assumptions!$B$6),"")</f>
        <v/>
      </c>
      <c r="I1577" s="8">
        <v>1</v>
      </c>
      <c r="J1577" s="8">
        <f>IF(F1577="Monthly interest",MAX(0,Assumptions!$B$5-I1577),"")</f>
        <v>2</v>
      </c>
      <c r="K1577" s="7">
        <f t="shared" si="72"/>
        <v>4512</v>
      </c>
      <c r="L1577" s="9">
        <v>46289</v>
      </c>
      <c r="M1577" s="5" t="s">
        <v>69</v>
      </c>
      <c r="N1577" s="5" t="s">
        <v>53</v>
      </c>
      <c r="O1577" s="5" t="s">
        <v>103</v>
      </c>
      <c r="P1577" s="5" t="s">
        <v>70</v>
      </c>
      <c r="Q1577" s="5" t="s">
        <v>54</v>
      </c>
      <c r="R1577" s="5" t="s">
        <v>55</v>
      </c>
      <c r="S1577" s="5" t="s">
        <v>185</v>
      </c>
      <c r="T1577" s="5" t="s">
        <v>57</v>
      </c>
      <c r="U1577" s="5" t="s">
        <v>86</v>
      </c>
      <c r="V1577" s="5" t="s">
        <v>186</v>
      </c>
      <c r="W1577" s="5" t="s">
        <v>329</v>
      </c>
      <c r="X1577" s="5" t="s">
        <v>2919</v>
      </c>
      <c r="Y1577" s="5" t="s">
        <v>6496</v>
      </c>
      <c r="Z1577" s="9">
        <v>46197</v>
      </c>
      <c r="AA1577" s="8">
        <v>18</v>
      </c>
      <c r="AB1577" s="9">
        <f t="shared" si="73"/>
        <v>46745</v>
      </c>
      <c r="AC1577" s="10">
        <v>18</v>
      </c>
      <c r="AD1577" s="7">
        <f t="shared" si="74"/>
        <v>4512</v>
      </c>
      <c r="AE1577" s="7">
        <f>IF(F1577="Bullet",H1577*AD1577,MIN(MAX(I1577,1),Assumptions!$B$6)*AD1577)</f>
        <v>4512</v>
      </c>
      <c r="AF1577" s="8">
        <f>IF(F1577="Bullet",MAX(0,Assumptions!$B$4-AB1577),MAX(0,Assumptions!$B$4-L1577))</f>
        <v>9</v>
      </c>
      <c r="AG1577" s="9">
        <v>46260</v>
      </c>
      <c r="AH1577" s="8">
        <f>IF(AG1577="","",Assumptions!$B$4-AG1577)</f>
        <v>38</v>
      </c>
      <c r="AI1577" s="5" t="s">
        <v>63</v>
      </c>
      <c r="AJ1577" s="8">
        <v>1</v>
      </c>
      <c r="AK1577" s="8">
        <v>0</v>
      </c>
      <c r="AL1577" s="8">
        <v>682</v>
      </c>
      <c r="AM1577" s="8">
        <v>2</v>
      </c>
      <c r="AN1577" s="5" t="s">
        <v>57</v>
      </c>
      <c r="AO1577" s="10">
        <v>74.2</v>
      </c>
      <c r="AP1577" s="8">
        <v>37</v>
      </c>
      <c r="AQ1577" s="9">
        <v>46290</v>
      </c>
      <c r="AR1577" s="5" t="s">
        <v>51</v>
      </c>
      <c r="AS1577" s="5" t="s">
        <v>81</v>
      </c>
    </row>
    <row r="1578" spans="1:45" x14ac:dyDescent="0.35">
      <c r="A1578" s="5" t="s">
        <v>6497</v>
      </c>
      <c r="B1578" s="5" t="s">
        <v>6498</v>
      </c>
      <c r="C1578" s="6" t="s">
        <v>6499</v>
      </c>
      <c r="D1578" s="7">
        <v>76800</v>
      </c>
      <c r="E1578" s="5" t="s">
        <v>48</v>
      </c>
      <c r="F1578" s="5" t="s">
        <v>49</v>
      </c>
      <c r="G1578" s="8"/>
      <c r="H1578" s="8" t="str">
        <f>IF(F1578="Bullet",MIN(G1578,Assumptions!$B$6),"")</f>
        <v/>
      </c>
      <c r="I1578" s="8">
        <v>1</v>
      </c>
      <c r="J1578" s="8">
        <f>IF(F1578="Monthly interest",MAX(0,Assumptions!$B$5-I1578),"")</f>
        <v>2</v>
      </c>
      <c r="K1578" s="7">
        <f t="shared" si="72"/>
        <v>1280</v>
      </c>
      <c r="L1578" s="9">
        <v>46286</v>
      </c>
      <c r="M1578" s="5" t="s">
        <v>69</v>
      </c>
      <c r="N1578" s="5" t="s">
        <v>51</v>
      </c>
      <c r="O1578" s="5" t="s">
        <v>52</v>
      </c>
      <c r="P1578" s="5" t="s">
        <v>53</v>
      </c>
      <c r="Q1578" s="5" t="s">
        <v>54</v>
      </c>
      <c r="R1578" s="5" t="s">
        <v>55</v>
      </c>
      <c r="S1578" s="5" t="s">
        <v>214</v>
      </c>
      <c r="T1578" s="5" t="s">
        <v>57</v>
      </c>
      <c r="U1578" s="5" t="s">
        <v>86</v>
      </c>
      <c r="V1578" s="5" t="s">
        <v>215</v>
      </c>
      <c r="W1578" s="5" t="s">
        <v>278</v>
      </c>
      <c r="X1578" s="5" t="s">
        <v>1783</v>
      </c>
      <c r="Y1578" s="5" t="s">
        <v>6500</v>
      </c>
      <c r="Z1578" s="9">
        <v>46074</v>
      </c>
      <c r="AA1578" s="8">
        <v>12</v>
      </c>
      <c r="AB1578" s="9">
        <f t="shared" si="73"/>
        <v>46439</v>
      </c>
      <c r="AC1578" s="10">
        <v>20</v>
      </c>
      <c r="AD1578" s="7">
        <f t="shared" si="74"/>
        <v>1280</v>
      </c>
      <c r="AE1578" s="7">
        <f>IF(F1578="Bullet",H1578*AD1578,MIN(MAX(I1578,1),Assumptions!$B$6)*AD1578)</f>
        <v>1280</v>
      </c>
      <c r="AF1578" s="8">
        <f>IF(F1578="Bullet",MAX(0,Assumptions!$B$4-AB1578),MAX(0,Assumptions!$B$4-L1578))</f>
        <v>12</v>
      </c>
      <c r="AG1578" s="9">
        <v>46257</v>
      </c>
      <c r="AH1578" s="8">
        <f>IF(AG1578="","",Assumptions!$B$4-AG1578)</f>
        <v>41</v>
      </c>
      <c r="AI1578" s="5" t="s">
        <v>57</v>
      </c>
      <c r="AJ1578" s="8">
        <v>2</v>
      </c>
      <c r="AK1578" s="8">
        <v>0</v>
      </c>
      <c r="AL1578" s="8">
        <v>621</v>
      </c>
      <c r="AM1578" s="8">
        <v>1</v>
      </c>
      <c r="AN1578" s="5" t="s">
        <v>63</v>
      </c>
      <c r="AO1578" s="10">
        <v>40</v>
      </c>
      <c r="AP1578" s="8">
        <v>38</v>
      </c>
      <c r="AQ1578" s="9">
        <v>46289</v>
      </c>
      <c r="AR1578" s="5" t="s">
        <v>53</v>
      </c>
      <c r="AS1578" s="5" t="s">
        <v>81</v>
      </c>
    </row>
    <row r="1579" spans="1:45" x14ac:dyDescent="0.35">
      <c r="A1579" s="5" t="s">
        <v>6501</v>
      </c>
      <c r="B1579" s="5" t="s">
        <v>6502</v>
      </c>
      <c r="C1579" s="6" t="s">
        <v>6503</v>
      </c>
      <c r="D1579" s="7">
        <v>233100</v>
      </c>
      <c r="E1579" s="5" t="s">
        <v>48</v>
      </c>
      <c r="F1579" s="5" t="s">
        <v>68</v>
      </c>
      <c r="G1579" s="8">
        <v>3</v>
      </c>
      <c r="H1579" s="8">
        <f>IF(F1579="Bullet",MIN(G1579,Assumptions!$B$6),"")</f>
        <v>2</v>
      </c>
      <c r="I1579" s="8"/>
      <c r="J1579" s="8" t="str">
        <f>IF(F1579="Monthly interest",MAX(0,Assumptions!$B$5-I1579),"")</f>
        <v/>
      </c>
      <c r="K1579" s="7">
        <f t="shared" si="72"/>
        <v>10491</v>
      </c>
      <c r="L1579" s="9">
        <v>46200</v>
      </c>
      <c r="M1579" s="5" t="s">
        <v>50</v>
      </c>
      <c r="N1579" s="5" t="s">
        <v>70</v>
      </c>
      <c r="O1579" s="5" t="s">
        <v>531</v>
      </c>
      <c r="P1579" s="5" t="s">
        <v>72</v>
      </c>
      <c r="Q1579" s="5" t="s">
        <v>73</v>
      </c>
      <c r="R1579" s="5" t="s">
        <v>74</v>
      </c>
      <c r="S1579" s="5" t="s">
        <v>56</v>
      </c>
      <c r="T1579" s="5" t="s">
        <v>57</v>
      </c>
      <c r="U1579" s="5" t="s">
        <v>58</v>
      </c>
      <c r="V1579" s="5" t="s">
        <v>59</v>
      </c>
      <c r="W1579" s="5" t="s">
        <v>126</v>
      </c>
      <c r="X1579" s="5" t="s">
        <v>6504</v>
      </c>
      <c r="Y1579" s="5" t="s">
        <v>6505</v>
      </c>
      <c r="Z1579" s="9">
        <v>46200</v>
      </c>
      <c r="AA1579" s="8">
        <v>6</v>
      </c>
      <c r="AB1579" s="9">
        <f t="shared" si="73"/>
        <v>46383</v>
      </c>
      <c r="AC1579" s="10">
        <v>18</v>
      </c>
      <c r="AD1579" s="7">
        <f t="shared" si="74"/>
        <v>3497</v>
      </c>
      <c r="AE1579" s="7">
        <f>IF(F1579="Bullet",H1579*AD1579,MIN(MAX(I1579,1),Assumptions!$B$6)*AD1579)</f>
        <v>6994</v>
      </c>
      <c r="AF1579" s="8">
        <f>IF(F1579="Bullet",MAX(0,Assumptions!$B$4-AB1579),MAX(0,Assumptions!$B$4-L1579))</f>
        <v>0</v>
      </c>
      <c r="AG1579" s="9"/>
      <c r="AH1579" s="8" t="str">
        <f>IF(AG1579="","",Assumptions!$B$4-AG1579)</f>
        <v/>
      </c>
      <c r="AI1579" s="5" t="s">
        <v>80</v>
      </c>
      <c r="AJ1579" s="8"/>
      <c r="AK1579" s="8">
        <v>1</v>
      </c>
      <c r="AL1579" s="8">
        <v>740</v>
      </c>
      <c r="AM1579" s="8">
        <v>0</v>
      </c>
      <c r="AN1579" s="5" t="s">
        <v>63</v>
      </c>
      <c r="AO1579" s="10">
        <v>72</v>
      </c>
      <c r="AP1579" s="8">
        <v>23</v>
      </c>
      <c r="AQ1579" s="9">
        <v>46297</v>
      </c>
      <c r="AR1579" s="5" t="s">
        <v>53</v>
      </c>
      <c r="AS1579" s="5" t="s">
        <v>81</v>
      </c>
    </row>
    <row r="1580" spans="1:45" x14ac:dyDescent="0.35">
      <c r="A1580" s="5" t="s">
        <v>6506</v>
      </c>
      <c r="B1580" s="5" t="s">
        <v>3871</v>
      </c>
      <c r="C1580" s="6" t="s">
        <v>6507</v>
      </c>
      <c r="D1580" s="7">
        <v>162400</v>
      </c>
      <c r="E1580" s="5" t="s">
        <v>48</v>
      </c>
      <c r="F1580" s="5" t="s">
        <v>68</v>
      </c>
      <c r="G1580" s="8">
        <v>2</v>
      </c>
      <c r="H1580" s="8">
        <f>IF(F1580="Bullet",MIN(G1580,Assumptions!$B$6),"")</f>
        <v>2</v>
      </c>
      <c r="I1580" s="8"/>
      <c r="J1580" s="8" t="str">
        <f>IF(F1580="Monthly interest",MAX(0,Assumptions!$B$5-I1580),"")</f>
        <v/>
      </c>
      <c r="K1580" s="7">
        <f t="shared" si="72"/>
        <v>3248</v>
      </c>
      <c r="L1580" s="9">
        <v>46216</v>
      </c>
      <c r="M1580" s="5" t="s">
        <v>50</v>
      </c>
      <c r="N1580" s="5" t="s">
        <v>53</v>
      </c>
      <c r="O1580" s="5" t="s">
        <v>132</v>
      </c>
      <c r="P1580" s="5" t="s">
        <v>51</v>
      </c>
      <c r="Q1580" s="5" t="s">
        <v>73</v>
      </c>
      <c r="R1580" s="5" t="s">
        <v>74</v>
      </c>
      <c r="S1580" s="5" t="s">
        <v>85</v>
      </c>
      <c r="T1580" s="5" t="s">
        <v>57</v>
      </c>
      <c r="U1580" s="5" t="s">
        <v>104</v>
      </c>
      <c r="V1580" s="5" t="s">
        <v>87</v>
      </c>
      <c r="W1580" s="5" t="s">
        <v>88</v>
      </c>
      <c r="X1580" s="5" t="s">
        <v>6508</v>
      </c>
      <c r="Y1580" s="5" t="s">
        <v>6509</v>
      </c>
      <c r="Z1580" s="9">
        <v>46216</v>
      </c>
      <c r="AA1580" s="8">
        <v>6</v>
      </c>
      <c r="AB1580" s="9">
        <f t="shared" si="73"/>
        <v>46400</v>
      </c>
      <c r="AC1580" s="10">
        <v>12</v>
      </c>
      <c r="AD1580" s="7">
        <f t="shared" si="74"/>
        <v>1624</v>
      </c>
      <c r="AE1580" s="7">
        <f>IF(F1580="Bullet",H1580*AD1580,MIN(MAX(I1580,1),Assumptions!$B$6)*AD1580)</f>
        <v>3248</v>
      </c>
      <c r="AF1580" s="8">
        <f>IF(F1580="Bullet",MAX(0,Assumptions!$B$4-AB1580),MAX(0,Assumptions!$B$4-L1580))</f>
        <v>0</v>
      </c>
      <c r="AG1580" s="9"/>
      <c r="AH1580" s="8" t="str">
        <f>IF(AG1580="","",Assumptions!$B$4-AG1580)</f>
        <v/>
      </c>
      <c r="AI1580" s="5" t="s">
        <v>80</v>
      </c>
      <c r="AJ1580" s="8"/>
      <c r="AK1580" s="8">
        <v>1</v>
      </c>
      <c r="AL1580" s="8">
        <v>717</v>
      </c>
      <c r="AM1580" s="8">
        <v>2</v>
      </c>
      <c r="AN1580" s="5" t="s">
        <v>63</v>
      </c>
      <c r="AO1580" s="10">
        <v>73.2</v>
      </c>
      <c r="AP1580" s="8">
        <v>10</v>
      </c>
      <c r="AQ1580" s="9">
        <v>46276</v>
      </c>
      <c r="AR1580" s="5" t="s">
        <v>51</v>
      </c>
      <c r="AS1580" s="5" t="s">
        <v>91</v>
      </c>
    </row>
    <row r="1581" spans="1:45" x14ac:dyDescent="0.35">
      <c r="A1581" s="5" t="s">
        <v>6510</v>
      </c>
      <c r="B1581" s="5" t="s">
        <v>6164</v>
      </c>
      <c r="C1581" s="6" t="s">
        <v>6511</v>
      </c>
      <c r="D1581" s="7">
        <v>293200</v>
      </c>
      <c r="E1581" s="5" t="s">
        <v>48</v>
      </c>
      <c r="F1581" s="5" t="s">
        <v>49</v>
      </c>
      <c r="G1581" s="8"/>
      <c r="H1581" s="8" t="str">
        <f>IF(F1581="Bullet",MIN(G1581,Assumptions!$B$6),"")</f>
        <v/>
      </c>
      <c r="I1581" s="8">
        <v>1</v>
      </c>
      <c r="J1581" s="8">
        <f>IF(F1581="Monthly interest",MAX(0,Assumptions!$B$5-I1581),"")</f>
        <v>2</v>
      </c>
      <c r="K1581" s="7">
        <f t="shared" si="72"/>
        <v>5375</v>
      </c>
      <c r="L1581" s="9">
        <v>46273</v>
      </c>
      <c r="M1581" s="5" t="s">
        <v>50</v>
      </c>
      <c r="N1581" s="5" t="s">
        <v>53</v>
      </c>
      <c r="O1581" s="5" t="s">
        <v>103</v>
      </c>
      <c r="P1581" s="5" t="s">
        <v>51</v>
      </c>
      <c r="Q1581" s="5" t="s">
        <v>54</v>
      </c>
      <c r="R1581" s="5" t="s">
        <v>55</v>
      </c>
      <c r="S1581" s="5" t="s">
        <v>253</v>
      </c>
      <c r="T1581" s="5" t="s">
        <v>57</v>
      </c>
      <c r="U1581" s="5" t="s">
        <v>86</v>
      </c>
      <c r="V1581" s="5" t="s">
        <v>96</v>
      </c>
      <c r="W1581" s="5" t="s">
        <v>171</v>
      </c>
      <c r="X1581" s="5" t="s">
        <v>5238</v>
      </c>
      <c r="Y1581" s="5" t="s">
        <v>6512</v>
      </c>
      <c r="Z1581" s="9">
        <v>46061</v>
      </c>
      <c r="AA1581" s="8">
        <v>12</v>
      </c>
      <c r="AB1581" s="9">
        <f t="shared" si="73"/>
        <v>46426</v>
      </c>
      <c r="AC1581" s="10">
        <v>22</v>
      </c>
      <c r="AD1581" s="7">
        <f t="shared" si="74"/>
        <v>5375</v>
      </c>
      <c r="AE1581" s="7">
        <f>IF(F1581="Bullet",H1581*AD1581,MIN(MAX(I1581,1),Assumptions!$B$6)*AD1581)</f>
        <v>5375</v>
      </c>
      <c r="AF1581" s="8">
        <f>IF(F1581="Bullet",MAX(0,Assumptions!$B$4-AB1581),MAX(0,Assumptions!$B$4-L1581))</f>
        <v>25</v>
      </c>
      <c r="AG1581" s="9">
        <v>46243</v>
      </c>
      <c r="AH1581" s="8">
        <f>IF(AG1581="","",Assumptions!$B$4-AG1581)</f>
        <v>55</v>
      </c>
      <c r="AI1581" s="5" t="s">
        <v>63</v>
      </c>
      <c r="AJ1581" s="8">
        <v>1</v>
      </c>
      <c r="AK1581" s="8">
        <v>0</v>
      </c>
      <c r="AL1581" s="8">
        <v>735</v>
      </c>
      <c r="AM1581" s="8">
        <v>0</v>
      </c>
      <c r="AN1581" s="5" t="s">
        <v>63</v>
      </c>
      <c r="AO1581" s="10">
        <v>77.5</v>
      </c>
      <c r="AP1581" s="8">
        <v>19</v>
      </c>
      <c r="AQ1581" s="9">
        <v>46294</v>
      </c>
      <c r="AR1581" s="5" t="s">
        <v>51</v>
      </c>
      <c r="AS1581" s="5" t="s">
        <v>81</v>
      </c>
    </row>
    <row r="1582" spans="1:45" x14ac:dyDescent="0.35">
      <c r="A1582" s="5" t="s">
        <v>6513</v>
      </c>
      <c r="B1582" s="5" t="s">
        <v>2313</v>
      </c>
      <c r="C1582" s="6" t="s">
        <v>6514</v>
      </c>
      <c r="D1582" s="7">
        <v>124200</v>
      </c>
      <c r="E1582" s="5" t="s">
        <v>48</v>
      </c>
      <c r="F1582" s="5" t="s">
        <v>49</v>
      </c>
      <c r="G1582" s="8"/>
      <c r="H1582" s="8" t="str">
        <f>IF(F1582="Bullet",MIN(G1582,Assumptions!$B$6),"")</f>
        <v/>
      </c>
      <c r="I1582" s="8">
        <v>2</v>
      </c>
      <c r="J1582" s="8">
        <f>IF(F1582="Monthly interest",MAX(0,Assumptions!$B$5-I1582),"")</f>
        <v>1</v>
      </c>
      <c r="K1582" s="7">
        <f t="shared" si="72"/>
        <v>3312</v>
      </c>
      <c r="L1582" s="9">
        <v>46259</v>
      </c>
      <c r="M1582" s="5" t="s">
        <v>116</v>
      </c>
      <c r="N1582" s="5" t="s">
        <v>117</v>
      </c>
      <c r="O1582" s="5" t="s">
        <v>118</v>
      </c>
      <c r="P1582" s="5" t="s">
        <v>72</v>
      </c>
      <c r="Q1582" s="5" t="s">
        <v>119</v>
      </c>
      <c r="R1582" s="5" t="s">
        <v>120</v>
      </c>
      <c r="S1582" s="5" t="s">
        <v>85</v>
      </c>
      <c r="T1582" s="5" t="s">
        <v>57</v>
      </c>
      <c r="U1582" s="5" t="s">
        <v>86</v>
      </c>
      <c r="V1582" s="5" t="s">
        <v>553</v>
      </c>
      <c r="W1582" s="5" t="s">
        <v>1029</v>
      </c>
      <c r="X1582" s="5" t="s">
        <v>5576</v>
      </c>
      <c r="Y1582" s="5" t="s">
        <v>6515</v>
      </c>
      <c r="Z1582" s="9">
        <v>45986</v>
      </c>
      <c r="AA1582" s="8">
        <v>12</v>
      </c>
      <c r="AB1582" s="9">
        <f t="shared" si="73"/>
        <v>46351</v>
      </c>
      <c r="AC1582" s="10">
        <v>16</v>
      </c>
      <c r="AD1582" s="7">
        <f t="shared" si="74"/>
        <v>1656</v>
      </c>
      <c r="AE1582" s="7">
        <f>IF(F1582="Bullet",H1582*AD1582,MIN(MAX(I1582,1),Assumptions!$B$6)*AD1582)</f>
        <v>3312</v>
      </c>
      <c r="AF1582" s="8">
        <f>IF(F1582="Bullet",MAX(0,Assumptions!$B$4-AB1582),MAX(0,Assumptions!$B$4-L1582))</f>
        <v>39</v>
      </c>
      <c r="AG1582" s="9">
        <v>46230</v>
      </c>
      <c r="AH1582" s="8">
        <f>IF(AG1582="","",Assumptions!$B$4-AG1582)</f>
        <v>68</v>
      </c>
      <c r="AI1582" s="5" t="s">
        <v>63</v>
      </c>
      <c r="AJ1582" s="8">
        <v>3</v>
      </c>
      <c r="AK1582" s="8">
        <v>4</v>
      </c>
      <c r="AL1582" s="8" t="s">
        <v>80</v>
      </c>
      <c r="AM1582" s="8">
        <v>1</v>
      </c>
      <c r="AN1582" s="5" t="s">
        <v>63</v>
      </c>
      <c r="AO1582" s="10">
        <v>72.599999999999994</v>
      </c>
      <c r="AP1582" s="8">
        <v>67</v>
      </c>
      <c r="AQ1582" s="9"/>
      <c r="AR1582" s="5"/>
      <c r="AS1582" s="5" t="s">
        <v>159</v>
      </c>
    </row>
    <row r="1583" spans="1:45" x14ac:dyDescent="0.35">
      <c r="A1583" s="5" t="s">
        <v>6516</v>
      </c>
      <c r="B1583" s="5" t="s">
        <v>484</v>
      </c>
      <c r="C1583" s="6" t="s">
        <v>6517</v>
      </c>
      <c r="D1583" s="7">
        <v>359800</v>
      </c>
      <c r="E1583" s="5" t="s">
        <v>48</v>
      </c>
      <c r="F1583" s="5" t="s">
        <v>49</v>
      </c>
      <c r="G1583" s="8"/>
      <c r="H1583" s="8" t="str">
        <f>IF(F1583="Bullet",MIN(G1583,Assumptions!$B$6),"")</f>
        <v/>
      </c>
      <c r="I1583" s="8">
        <v>1</v>
      </c>
      <c r="J1583" s="8">
        <f>IF(F1583="Monthly interest",MAX(0,Assumptions!$B$5-I1583),"")</f>
        <v>2</v>
      </c>
      <c r="K1583" s="7">
        <f t="shared" si="72"/>
        <v>4198</v>
      </c>
      <c r="L1583" s="9">
        <v>46290</v>
      </c>
      <c r="M1583" s="5" t="s">
        <v>50</v>
      </c>
      <c r="N1583" s="5" t="s">
        <v>51</v>
      </c>
      <c r="O1583" s="5" t="s">
        <v>52</v>
      </c>
      <c r="P1583" s="5" t="s">
        <v>53</v>
      </c>
      <c r="Q1583" s="5" t="s">
        <v>54</v>
      </c>
      <c r="R1583" s="5" t="s">
        <v>55</v>
      </c>
      <c r="S1583" s="5" t="s">
        <v>75</v>
      </c>
      <c r="T1583" s="5" t="s">
        <v>57</v>
      </c>
      <c r="U1583" s="5" t="s">
        <v>104</v>
      </c>
      <c r="V1583" s="5" t="s">
        <v>76</v>
      </c>
      <c r="W1583" s="5" t="s">
        <v>444</v>
      </c>
      <c r="X1583" s="5" t="s">
        <v>445</v>
      </c>
      <c r="Y1583" s="5" t="s">
        <v>6518</v>
      </c>
      <c r="Z1583" s="9">
        <v>46198</v>
      </c>
      <c r="AA1583" s="8">
        <v>18</v>
      </c>
      <c r="AB1583" s="9">
        <f t="shared" si="73"/>
        <v>46746</v>
      </c>
      <c r="AC1583" s="10">
        <v>14</v>
      </c>
      <c r="AD1583" s="7">
        <f t="shared" si="74"/>
        <v>4198</v>
      </c>
      <c r="AE1583" s="7">
        <f>IF(F1583="Bullet",H1583*AD1583,MIN(MAX(I1583,1),Assumptions!$B$6)*AD1583)</f>
        <v>4198</v>
      </c>
      <c r="AF1583" s="8">
        <f>IF(F1583="Bullet",MAX(0,Assumptions!$B$4-AB1583),MAX(0,Assumptions!$B$4-L1583))</f>
        <v>8</v>
      </c>
      <c r="AG1583" s="9">
        <v>46263</v>
      </c>
      <c r="AH1583" s="8">
        <f>IF(AG1583="","",Assumptions!$B$4-AG1583)</f>
        <v>35</v>
      </c>
      <c r="AI1583" s="5" t="s">
        <v>63</v>
      </c>
      <c r="AJ1583" s="8">
        <v>2</v>
      </c>
      <c r="AK1583" s="8">
        <v>0</v>
      </c>
      <c r="AL1583" s="8">
        <v>752</v>
      </c>
      <c r="AM1583" s="8">
        <v>2</v>
      </c>
      <c r="AN1583" s="5" t="s">
        <v>63</v>
      </c>
      <c r="AO1583" s="10">
        <v>63.6</v>
      </c>
      <c r="AP1583" s="8">
        <v>23</v>
      </c>
      <c r="AQ1583" s="9">
        <v>46281</v>
      </c>
      <c r="AR1583" s="5" t="s">
        <v>53</v>
      </c>
      <c r="AS1583" s="5" t="s">
        <v>64</v>
      </c>
    </row>
    <row r="1584" spans="1:45" x14ac:dyDescent="0.35">
      <c r="A1584" s="5" t="s">
        <v>6519</v>
      </c>
      <c r="B1584" s="5" t="s">
        <v>6520</v>
      </c>
      <c r="C1584" s="6" t="s">
        <v>6521</v>
      </c>
      <c r="D1584" s="7">
        <v>87000</v>
      </c>
      <c r="E1584" s="5" t="s">
        <v>48</v>
      </c>
      <c r="F1584" s="5" t="s">
        <v>49</v>
      </c>
      <c r="G1584" s="8"/>
      <c r="H1584" s="8" t="str">
        <f>IF(F1584="Bullet",MIN(G1584,Assumptions!$B$6),"")</f>
        <v/>
      </c>
      <c r="I1584" s="8">
        <v>1</v>
      </c>
      <c r="J1584" s="8">
        <f>IF(F1584="Monthly interest",MAX(0,Assumptions!$B$5-I1584),"")</f>
        <v>2</v>
      </c>
      <c r="K1584" s="7">
        <f t="shared" si="72"/>
        <v>1015</v>
      </c>
      <c r="L1584" s="9">
        <v>46281</v>
      </c>
      <c r="M1584" s="5" t="s">
        <v>69</v>
      </c>
      <c r="N1584" s="5" t="s">
        <v>53</v>
      </c>
      <c r="O1584" s="5" t="s">
        <v>95</v>
      </c>
      <c r="P1584" s="5" t="s">
        <v>70</v>
      </c>
      <c r="Q1584" s="5" t="s">
        <v>54</v>
      </c>
      <c r="R1584" s="5" t="s">
        <v>55</v>
      </c>
      <c r="S1584" s="5" t="s">
        <v>85</v>
      </c>
      <c r="T1584" s="5" t="s">
        <v>63</v>
      </c>
      <c r="U1584" s="5" t="s">
        <v>86</v>
      </c>
      <c r="V1584" s="5" t="s">
        <v>87</v>
      </c>
      <c r="W1584" s="5" t="s">
        <v>361</v>
      </c>
      <c r="X1584" s="5" t="s">
        <v>5828</v>
      </c>
      <c r="Y1584" s="5" t="s">
        <v>6522</v>
      </c>
      <c r="Z1584" s="9">
        <v>46038</v>
      </c>
      <c r="AA1584" s="8">
        <v>24</v>
      </c>
      <c r="AB1584" s="9">
        <f t="shared" si="73"/>
        <v>46768</v>
      </c>
      <c r="AC1584" s="10">
        <v>14</v>
      </c>
      <c r="AD1584" s="7">
        <f t="shared" si="74"/>
        <v>1015</v>
      </c>
      <c r="AE1584" s="7">
        <f>IF(F1584="Bullet",H1584*AD1584,MIN(MAX(I1584,1),Assumptions!$B$6)*AD1584)</f>
        <v>1015</v>
      </c>
      <c r="AF1584" s="8">
        <f>IF(F1584="Bullet",MAX(0,Assumptions!$B$4-AB1584),MAX(0,Assumptions!$B$4-L1584))</f>
        <v>17</v>
      </c>
      <c r="AG1584" s="9">
        <v>46251</v>
      </c>
      <c r="AH1584" s="8">
        <f>IF(AG1584="","",Assumptions!$B$4-AG1584)</f>
        <v>47</v>
      </c>
      <c r="AI1584" s="5" t="s">
        <v>57</v>
      </c>
      <c r="AJ1584" s="8">
        <v>1</v>
      </c>
      <c r="AK1584" s="8">
        <v>0</v>
      </c>
      <c r="AL1584" s="8" t="s">
        <v>80</v>
      </c>
      <c r="AM1584" s="8">
        <v>1</v>
      </c>
      <c r="AN1584" s="5" t="s">
        <v>63</v>
      </c>
      <c r="AO1584" s="10">
        <v>79.900000000000006</v>
      </c>
      <c r="AP1584" s="8">
        <v>38</v>
      </c>
      <c r="AQ1584" s="9">
        <v>46292</v>
      </c>
      <c r="AR1584" s="5" t="s">
        <v>51</v>
      </c>
      <c r="AS1584" s="5" t="s">
        <v>64</v>
      </c>
    </row>
    <row r="1585" spans="1:45" x14ac:dyDescent="0.35">
      <c r="A1585" s="5" t="s">
        <v>6523</v>
      </c>
      <c r="B1585" s="5" t="s">
        <v>6524</v>
      </c>
      <c r="C1585" s="6" t="s">
        <v>6525</v>
      </c>
      <c r="D1585" s="7">
        <v>153700</v>
      </c>
      <c r="E1585" s="5" t="s">
        <v>48</v>
      </c>
      <c r="F1585" s="5" t="s">
        <v>49</v>
      </c>
      <c r="G1585" s="8"/>
      <c r="H1585" s="8" t="str">
        <f>IF(F1585="Bullet",MIN(G1585,Assumptions!$B$6),"")</f>
        <v/>
      </c>
      <c r="I1585" s="8">
        <v>2</v>
      </c>
      <c r="J1585" s="8">
        <f>IF(F1585="Monthly interest",MAX(0,Assumptions!$B$5-I1585),"")</f>
        <v>1</v>
      </c>
      <c r="K1585" s="7">
        <f t="shared" si="72"/>
        <v>3842</v>
      </c>
      <c r="L1585" s="9">
        <v>46246</v>
      </c>
      <c r="M1585" s="5" t="s">
        <v>69</v>
      </c>
      <c r="N1585" s="5" t="s">
        <v>70</v>
      </c>
      <c r="O1585" s="5" t="s">
        <v>271</v>
      </c>
      <c r="P1585" s="5" t="s">
        <v>72</v>
      </c>
      <c r="Q1585" s="5" t="s">
        <v>73</v>
      </c>
      <c r="R1585" s="5" t="s">
        <v>74</v>
      </c>
      <c r="S1585" s="5" t="s">
        <v>185</v>
      </c>
      <c r="T1585" s="5" t="s">
        <v>63</v>
      </c>
      <c r="U1585" s="5" t="s">
        <v>104</v>
      </c>
      <c r="V1585" s="5" t="s">
        <v>186</v>
      </c>
      <c r="W1585" s="5" t="s">
        <v>376</v>
      </c>
      <c r="X1585" s="5" t="s">
        <v>2747</v>
      </c>
      <c r="Y1585" s="5" t="s">
        <v>6526</v>
      </c>
      <c r="Z1585" s="9">
        <v>46185</v>
      </c>
      <c r="AA1585" s="8">
        <v>18</v>
      </c>
      <c r="AB1585" s="9">
        <f t="shared" si="73"/>
        <v>46733</v>
      </c>
      <c r="AC1585" s="10">
        <v>15</v>
      </c>
      <c r="AD1585" s="7">
        <f t="shared" si="74"/>
        <v>1921</v>
      </c>
      <c r="AE1585" s="7">
        <f>IF(F1585="Bullet",H1585*AD1585,MIN(MAX(I1585,1),Assumptions!$B$6)*AD1585)</f>
        <v>3842</v>
      </c>
      <c r="AF1585" s="8">
        <f>IF(F1585="Bullet",MAX(0,Assumptions!$B$4-AB1585),MAX(0,Assumptions!$B$4-L1585))</f>
        <v>52</v>
      </c>
      <c r="AG1585" s="9">
        <v>46219</v>
      </c>
      <c r="AH1585" s="8">
        <f>IF(AG1585="","",Assumptions!$B$4-AG1585)</f>
        <v>79</v>
      </c>
      <c r="AI1585" s="5" t="s">
        <v>57</v>
      </c>
      <c r="AJ1585" s="8">
        <v>2</v>
      </c>
      <c r="AK1585" s="8">
        <v>0</v>
      </c>
      <c r="AL1585" s="8">
        <v>698</v>
      </c>
      <c r="AM1585" s="8">
        <v>4</v>
      </c>
      <c r="AN1585" s="5" t="s">
        <v>63</v>
      </c>
      <c r="AO1585" s="10">
        <v>63.7</v>
      </c>
      <c r="AP1585" s="8">
        <v>44</v>
      </c>
      <c r="AQ1585" s="9">
        <v>46293</v>
      </c>
      <c r="AR1585" s="5" t="s">
        <v>70</v>
      </c>
      <c r="AS1585" s="5" t="s">
        <v>274</v>
      </c>
    </row>
    <row r="1586" spans="1:45" x14ac:dyDescent="0.35">
      <c r="A1586" s="5" t="s">
        <v>6527</v>
      </c>
      <c r="B1586" s="5" t="s">
        <v>6528</v>
      </c>
      <c r="C1586" s="6" t="s">
        <v>6529</v>
      </c>
      <c r="D1586" s="7">
        <v>22500</v>
      </c>
      <c r="E1586" s="5" t="s">
        <v>48</v>
      </c>
      <c r="F1586" s="5" t="s">
        <v>68</v>
      </c>
      <c r="G1586" s="8">
        <v>5</v>
      </c>
      <c r="H1586" s="8">
        <f>IF(F1586="Bullet",MIN(G1586,Assumptions!$B$6),"")</f>
        <v>2</v>
      </c>
      <c r="I1586" s="8"/>
      <c r="J1586" s="8" t="str">
        <f>IF(F1586="Monthly interest",MAX(0,Assumptions!$B$5-I1586),"")</f>
        <v/>
      </c>
      <c r="K1586" s="7">
        <f t="shared" si="72"/>
        <v>1220</v>
      </c>
      <c r="L1586" s="9">
        <v>46121</v>
      </c>
      <c r="M1586" s="5" t="s">
        <v>116</v>
      </c>
      <c r="N1586" s="5" t="s">
        <v>117</v>
      </c>
      <c r="O1586" s="5" t="s">
        <v>461</v>
      </c>
      <c r="P1586" s="5" t="s">
        <v>72</v>
      </c>
      <c r="Q1586" s="5" t="s">
        <v>169</v>
      </c>
      <c r="R1586" s="5" t="s">
        <v>170</v>
      </c>
      <c r="S1586" s="5" t="s">
        <v>56</v>
      </c>
      <c r="T1586" s="5" t="s">
        <v>57</v>
      </c>
      <c r="U1586" s="5" t="s">
        <v>104</v>
      </c>
      <c r="V1586" s="5" t="s">
        <v>59</v>
      </c>
      <c r="W1586" s="5" t="s">
        <v>156</v>
      </c>
      <c r="X1586" s="5" t="s">
        <v>157</v>
      </c>
      <c r="Y1586" s="5" t="s">
        <v>6530</v>
      </c>
      <c r="Z1586" s="9">
        <v>46121</v>
      </c>
      <c r="AA1586" s="8">
        <v>3</v>
      </c>
      <c r="AB1586" s="9">
        <f t="shared" si="73"/>
        <v>46212</v>
      </c>
      <c r="AC1586" s="10">
        <v>13</v>
      </c>
      <c r="AD1586" s="7">
        <f t="shared" si="74"/>
        <v>244</v>
      </c>
      <c r="AE1586" s="7">
        <f>IF(F1586="Bullet",H1586*AD1586,MIN(MAX(I1586,1),Assumptions!$B$6)*AD1586)</f>
        <v>488</v>
      </c>
      <c r="AF1586" s="8">
        <f>IF(F1586="Bullet",MAX(0,Assumptions!$B$4-AB1586),MAX(0,Assumptions!$B$4-L1586))</f>
        <v>86</v>
      </c>
      <c r="AG1586" s="9"/>
      <c r="AH1586" s="8" t="str">
        <f>IF(AG1586="","",Assumptions!$B$4-AG1586)</f>
        <v/>
      </c>
      <c r="AI1586" s="5" t="s">
        <v>80</v>
      </c>
      <c r="AJ1586" s="8"/>
      <c r="AK1586" s="8">
        <v>0</v>
      </c>
      <c r="AL1586" s="8">
        <v>668</v>
      </c>
      <c r="AM1586" s="8">
        <v>2</v>
      </c>
      <c r="AN1586" s="5" t="s">
        <v>63</v>
      </c>
      <c r="AO1586" s="10">
        <v>69.8</v>
      </c>
      <c r="AP1586" s="8">
        <v>58</v>
      </c>
      <c r="AQ1586" s="9">
        <v>46297</v>
      </c>
      <c r="AR1586" s="5" t="s">
        <v>51</v>
      </c>
      <c r="AS1586" s="5" t="s">
        <v>274</v>
      </c>
    </row>
    <row r="1587" spans="1:45" x14ac:dyDescent="0.35">
      <c r="A1587" s="5" t="s">
        <v>6531</v>
      </c>
      <c r="B1587" s="5" t="s">
        <v>6532</v>
      </c>
      <c r="C1587" s="6" t="s">
        <v>6533</v>
      </c>
      <c r="D1587" s="7">
        <v>123500</v>
      </c>
      <c r="E1587" s="5" t="s">
        <v>48</v>
      </c>
      <c r="F1587" s="5" t="s">
        <v>68</v>
      </c>
      <c r="G1587" s="8">
        <v>2</v>
      </c>
      <c r="H1587" s="8">
        <f>IF(F1587="Bullet",MIN(G1587,Assumptions!$B$6),"")</f>
        <v>2</v>
      </c>
      <c r="I1587" s="8"/>
      <c r="J1587" s="8" t="str">
        <f>IF(F1587="Monthly interest",MAX(0,Assumptions!$B$5-I1587),"")</f>
        <v/>
      </c>
      <c r="K1587" s="7">
        <f t="shared" si="72"/>
        <v>2676</v>
      </c>
      <c r="L1587" s="9">
        <v>46226</v>
      </c>
      <c r="M1587" s="5" t="s">
        <v>50</v>
      </c>
      <c r="N1587" s="5" t="s">
        <v>51</v>
      </c>
      <c r="O1587" s="5" t="s">
        <v>71</v>
      </c>
      <c r="P1587" s="5" t="s">
        <v>53</v>
      </c>
      <c r="Q1587" s="5" t="s">
        <v>73</v>
      </c>
      <c r="R1587" s="5" t="s">
        <v>74</v>
      </c>
      <c r="S1587" s="5" t="s">
        <v>85</v>
      </c>
      <c r="T1587" s="5" t="s">
        <v>57</v>
      </c>
      <c r="U1587" s="5" t="s">
        <v>58</v>
      </c>
      <c r="V1587" s="5" t="s">
        <v>553</v>
      </c>
      <c r="W1587" s="5" t="s">
        <v>554</v>
      </c>
      <c r="X1587" s="5" t="s">
        <v>1376</v>
      </c>
      <c r="Y1587" s="5" t="s">
        <v>6534</v>
      </c>
      <c r="Z1587" s="9">
        <v>46226</v>
      </c>
      <c r="AA1587" s="8">
        <v>6</v>
      </c>
      <c r="AB1587" s="9">
        <f t="shared" si="73"/>
        <v>46410</v>
      </c>
      <c r="AC1587" s="10">
        <v>13</v>
      </c>
      <c r="AD1587" s="7">
        <f t="shared" si="74"/>
        <v>1338</v>
      </c>
      <c r="AE1587" s="7">
        <f>IF(F1587="Bullet",H1587*AD1587,MIN(MAX(I1587,1),Assumptions!$B$6)*AD1587)</f>
        <v>2676</v>
      </c>
      <c r="AF1587" s="8">
        <f>IF(F1587="Bullet",MAX(0,Assumptions!$B$4-AB1587),MAX(0,Assumptions!$B$4-L1587))</f>
        <v>0</v>
      </c>
      <c r="AG1587" s="9"/>
      <c r="AH1587" s="8" t="str">
        <f>IF(AG1587="","",Assumptions!$B$4-AG1587)</f>
        <v/>
      </c>
      <c r="AI1587" s="5" t="s">
        <v>80</v>
      </c>
      <c r="AJ1587" s="8"/>
      <c r="AK1587" s="8">
        <v>0</v>
      </c>
      <c r="AL1587" s="8">
        <v>707</v>
      </c>
      <c r="AM1587" s="8">
        <v>2</v>
      </c>
      <c r="AN1587" s="5" t="s">
        <v>63</v>
      </c>
      <c r="AO1587" s="10">
        <v>69.900000000000006</v>
      </c>
      <c r="AP1587" s="8">
        <v>20</v>
      </c>
      <c r="AQ1587" s="9"/>
      <c r="AR1587" s="5"/>
      <c r="AS1587" s="5" t="s">
        <v>159</v>
      </c>
    </row>
    <row r="1588" spans="1:45" x14ac:dyDescent="0.35">
      <c r="A1588" s="5" t="s">
        <v>6535</v>
      </c>
      <c r="B1588" s="5" t="s">
        <v>109</v>
      </c>
      <c r="C1588" s="6" t="s">
        <v>6536</v>
      </c>
      <c r="D1588" s="7">
        <v>304400</v>
      </c>
      <c r="E1588" s="5" t="s">
        <v>48</v>
      </c>
      <c r="F1588" s="5" t="s">
        <v>49</v>
      </c>
      <c r="G1588" s="8"/>
      <c r="H1588" s="8" t="str">
        <f>IF(F1588="Bullet",MIN(G1588,Assumptions!$B$6),"")</f>
        <v/>
      </c>
      <c r="I1588" s="8">
        <v>1</v>
      </c>
      <c r="J1588" s="8">
        <f>IF(F1588="Monthly interest",MAX(0,Assumptions!$B$5-I1588),"")</f>
        <v>2</v>
      </c>
      <c r="K1588" s="7">
        <f t="shared" si="72"/>
        <v>4059</v>
      </c>
      <c r="L1588" s="9">
        <v>46287</v>
      </c>
      <c r="M1588" s="5" t="s">
        <v>50</v>
      </c>
      <c r="N1588" s="5" t="s">
        <v>53</v>
      </c>
      <c r="O1588" s="5" t="s">
        <v>103</v>
      </c>
      <c r="P1588" s="5" t="s">
        <v>51</v>
      </c>
      <c r="Q1588" s="5" t="s">
        <v>54</v>
      </c>
      <c r="R1588" s="5" t="s">
        <v>55</v>
      </c>
      <c r="S1588" s="5" t="s">
        <v>75</v>
      </c>
      <c r="T1588" s="5" t="s">
        <v>57</v>
      </c>
      <c r="U1588" s="5" t="s">
        <v>104</v>
      </c>
      <c r="V1588" s="5" t="s">
        <v>76</v>
      </c>
      <c r="W1588" s="5" t="s">
        <v>547</v>
      </c>
      <c r="X1588" s="5" t="s">
        <v>2130</v>
      </c>
      <c r="Y1588" s="5" t="s">
        <v>6537</v>
      </c>
      <c r="Z1588" s="9">
        <v>46164</v>
      </c>
      <c r="AA1588" s="8">
        <v>12</v>
      </c>
      <c r="AB1588" s="9">
        <f t="shared" si="73"/>
        <v>46529</v>
      </c>
      <c r="AC1588" s="10">
        <v>16</v>
      </c>
      <c r="AD1588" s="7">
        <f t="shared" si="74"/>
        <v>4059</v>
      </c>
      <c r="AE1588" s="7">
        <f>IF(F1588="Bullet",H1588*AD1588,MIN(MAX(I1588,1),Assumptions!$B$6)*AD1588)</f>
        <v>4059</v>
      </c>
      <c r="AF1588" s="8">
        <f>IF(F1588="Bullet",MAX(0,Assumptions!$B$4-AB1588),MAX(0,Assumptions!$B$4-L1588))</f>
        <v>11</v>
      </c>
      <c r="AG1588" s="9">
        <v>46259</v>
      </c>
      <c r="AH1588" s="8">
        <f>IF(AG1588="","",Assumptions!$B$4-AG1588)</f>
        <v>39</v>
      </c>
      <c r="AI1588" s="5" t="s">
        <v>63</v>
      </c>
      <c r="AJ1588" s="8">
        <v>1</v>
      </c>
      <c r="AK1588" s="8">
        <v>1</v>
      </c>
      <c r="AL1588" s="8">
        <v>688</v>
      </c>
      <c r="AM1588" s="8">
        <v>1</v>
      </c>
      <c r="AN1588" s="5" t="s">
        <v>63</v>
      </c>
      <c r="AO1588" s="10">
        <v>73.099999999999994</v>
      </c>
      <c r="AP1588" s="8">
        <v>29</v>
      </c>
      <c r="AQ1588" s="9">
        <v>46293</v>
      </c>
      <c r="AR1588" s="5" t="s">
        <v>51</v>
      </c>
      <c r="AS1588" s="5" t="s">
        <v>81</v>
      </c>
    </row>
    <row r="1589" spans="1:45" x14ac:dyDescent="0.35">
      <c r="A1589" s="5" t="s">
        <v>6538</v>
      </c>
      <c r="B1589" s="5" t="s">
        <v>6539</v>
      </c>
      <c r="C1589" s="6" t="s">
        <v>6540</v>
      </c>
      <c r="D1589" s="7">
        <v>48600</v>
      </c>
      <c r="E1589" s="5" t="s">
        <v>48</v>
      </c>
      <c r="F1589" s="5" t="s">
        <v>49</v>
      </c>
      <c r="G1589" s="8"/>
      <c r="H1589" s="8" t="str">
        <f>IF(F1589="Bullet",MIN(G1589,Assumptions!$B$6),"")</f>
        <v/>
      </c>
      <c r="I1589" s="8">
        <v>1</v>
      </c>
      <c r="J1589" s="8">
        <f>IF(F1589="Monthly interest",MAX(0,Assumptions!$B$5-I1589),"")</f>
        <v>2</v>
      </c>
      <c r="K1589" s="7">
        <f t="shared" si="72"/>
        <v>648</v>
      </c>
      <c r="L1589" s="9">
        <v>46271</v>
      </c>
      <c r="M1589" s="5" t="s">
        <v>50</v>
      </c>
      <c r="N1589" s="5" t="s">
        <v>51</v>
      </c>
      <c r="O1589" s="5" t="s">
        <v>152</v>
      </c>
      <c r="P1589" s="5" t="s">
        <v>53</v>
      </c>
      <c r="Q1589" s="5" t="s">
        <v>154</v>
      </c>
      <c r="R1589" s="5" t="s">
        <v>155</v>
      </c>
      <c r="S1589" s="5" t="s">
        <v>85</v>
      </c>
      <c r="T1589" s="5" t="s">
        <v>57</v>
      </c>
      <c r="U1589" s="5" t="s">
        <v>86</v>
      </c>
      <c r="V1589" s="5" t="s">
        <v>96</v>
      </c>
      <c r="W1589" s="5" t="s">
        <v>819</v>
      </c>
      <c r="X1589" s="5" t="s">
        <v>2076</v>
      </c>
      <c r="Y1589" s="5" t="s">
        <v>6541</v>
      </c>
      <c r="Z1589" s="9">
        <v>46209</v>
      </c>
      <c r="AA1589" s="8">
        <v>18</v>
      </c>
      <c r="AB1589" s="9">
        <f t="shared" si="73"/>
        <v>46758</v>
      </c>
      <c r="AC1589" s="10">
        <v>16</v>
      </c>
      <c r="AD1589" s="7">
        <f t="shared" si="74"/>
        <v>648</v>
      </c>
      <c r="AE1589" s="7">
        <f>IF(F1589="Bullet",H1589*AD1589,MIN(MAX(I1589,1),Assumptions!$B$6)*AD1589)</f>
        <v>648</v>
      </c>
      <c r="AF1589" s="8">
        <f>IF(F1589="Bullet",MAX(0,Assumptions!$B$4-AB1589),MAX(0,Assumptions!$B$4-L1589))</f>
        <v>27</v>
      </c>
      <c r="AG1589" s="9">
        <v>46244</v>
      </c>
      <c r="AH1589" s="8">
        <f>IF(AG1589="","",Assumptions!$B$4-AG1589)</f>
        <v>54</v>
      </c>
      <c r="AI1589" s="5" t="s">
        <v>57</v>
      </c>
      <c r="AJ1589" s="8">
        <v>1</v>
      </c>
      <c r="AK1589" s="8">
        <v>0</v>
      </c>
      <c r="AL1589" s="8">
        <v>817</v>
      </c>
      <c r="AM1589" s="8">
        <v>0</v>
      </c>
      <c r="AN1589" s="5" t="s">
        <v>63</v>
      </c>
      <c r="AO1589" s="10">
        <v>67.3</v>
      </c>
      <c r="AP1589" s="8">
        <v>17</v>
      </c>
      <c r="AQ1589" s="9">
        <v>46275</v>
      </c>
      <c r="AR1589" s="5" t="s">
        <v>51</v>
      </c>
      <c r="AS1589" s="5" t="s">
        <v>64</v>
      </c>
    </row>
    <row r="1590" spans="1:45" x14ac:dyDescent="0.35">
      <c r="A1590" s="5" t="s">
        <v>6542</v>
      </c>
      <c r="B1590" s="5" t="s">
        <v>5130</v>
      </c>
      <c r="C1590" s="6" t="s">
        <v>6543</v>
      </c>
      <c r="D1590" s="7">
        <v>165100</v>
      </c>
      <c r="E1590" s="5" t="s">
        <v>48</v>
      </c>
      <c r="F1590" s="5" t="s">
        <v>49</v>
      </c>
      <c r="G1590" s="8"/>
      <c r="H1590" s="8" t="str">
        <f>IF(F1590="Bullet",MIN(G1590,Assumptions!$B$6),"")</f>
        <v/>
      </c>
      <c r="I1590" s="8">
        <v>1</v>
      </c>
      <c r="J1590" s="8">
        <f>IF(F1590="Monthly interest",MAX(0,Assumptions!$B$5-I1590),"")</f>
        <v>2</v>
      </c>
      <c r="K1590" s="7">
        <f t="shared" si="72"/>
        <v>3302</v>
      </c>
      <c r="L1590" s="9">
        <v>46296</v>
      </c>
      <c r="M1590" s="5" t="s">
        <v>50</v>
      </c>
      <c r="N1590" s="5" t="s">
        <v>53</v>
      </c>
      <c r="O1590" s="5" t="s">
        <v>132</v>
      </c>
      <c r="P1590" s="5" t="s">
        <v>70</v>
      </c>
      <c r="Q1590" s="5" t="s">
        <v>54</v>
      </c>
      <c r="R1590" s="5" t="s">
        <v>55</v>
      </c>
      <c r="S1590" s="5" t="s">
        <v>75</v>
      </c>
      <c r="T1590" s="5" t="s">
        <v>63</v>
      </c>
      <c r="U1590" s="5" t="s">
        <v>58</v>
      </c>
      <c r="V1590" s="5" t="s">
        <v>76</v>
      </c>
      <c r="W1590" s="5" t="s">
        <v>105</v>
      </c>
      <c r="X1590" s="5" t="s">
        <v>1884</v>
      </c>
      <c r="Y1590" s="5" t="s">
        <v>6544</v>
      </c>
      <c r="Z1590" s="9">
        <v>46174</v>
      </c>
      <c r="AA1590" s="8">
        <v>12</v>
      </c>
      <c r="AB1590" s="9">
        <f t="shared" si="73"/>
        <v>46539</v>
      </c>
      <c r="AC1590" s="10">
        <v>24</v>
      </c>
      <c r="AD1590" s="7">
        <f t="shared" si="74"/>
        <v>3302</v>
      </c>
      <c r="AE1590" s="7">
        <f>IF(F1590="Bullet",H1590*AD1590,MIN(MAX(I1590,1),Assumptions!$B$6)*AD1590)</f>
        <v>3302</v>
      </c>
      <c r="AF1590" s="8">
        <f>IF(F1590="Bullet",MAX(0,Assumptions!$B$4-AB1590),MAX(0,Assumptions!$B$4-L1590))</f>
        <v>2</v>
      </c>
      <c r="AG1590" s="9">
        <v>46266</v>
      </c>
      <c r="AH1590" s="8">
        <f>IF(AG1590="","",Assumptions!$B$4-AG1590)</f>
        <v>32</v>
      </c>
      <c r="AI1590" s="5" t="s">
        <v>63</v>
      </c>
      <c r="AJ1590" s="8">
        <v>1</v>
      </c>
      <c r="AK1590" s="8">
        <v>1</v>
      </c>
      <c r="AL1590" s="8">
        <v>728</v>
      </c>
      <c r="AM1590" s="8">
        <v>3</v>
      </c>
      <c r="AN1590" s="5" t="s">
        <v>63</v>
      </c>
      <c r="AO1590" s="10">
        <v>70.3</v>
      </c>
      <c r="AP1590" s="8">
        <v>30</v>
      </c>
      <c r="AQ1590" s="9">
        <v>46291</v>
      </c>
      <c r="AR1590" s="5" t="s">
        <v>51</v>
      </c>
      <c r="AS1590" s="5" t="s">
        <v>91</v>
      </c>
    </row>
    <row r="1591" spans="1:45" x14ac:dyDescent="0.35">
      <c r="A1591" s="5" t="s">
        <v>6545</v>
      </c>
      <c r="B1591" s="5" t="s">
        <v>6546</v>
      </c>
      <c r="C1591" s="6" t="s">
        <v>6547</v>
      </c>
      <c r="D1591" s="7">
        <v>119200</v>
      </c>
      <c r="E1591" s="5" t="s">
        <v>48</v>
      </c>
      <c r="F1591" s="5" t="s">
        <v>49</v>
      </c>
      <c r="G1591" s="8"/>
      <c r="H1591" s="8" t="str">
        <f>IF(F1591="Bullet",MIN(G1591,Assumptions!$B$6),"")</f>
        <v/>
      </c>
      <c r="I1591" s="8">
        <v>1</v>
      </c>
      <c r="J1591" s="8">
        <f>IF(F1591="Monthly interest",MAX(0,Assumptions!$B$5-I1591),"")</f>
        <v>2</v>
      </c>
      <c r="K1591" s="7">
        <f t="shared" si="72"/>
        <v>1589</v>
      </c>
      <c r="L1591" s="9">
        <v>46287</v>
      </c>
      <c r="M1591" s="5" t="s">
        <v>50</v>
      </c>
      <c r="N1591" s="5" t="s">
        <v>53</v>
      </c>
      <c r="O1591" s="5" t="s">
        <v>95</v>
      </c>
      <c r="P1591" s="5" t="s">
        <v>70</v>
      </c>
      <c r="Q1591" s="5" t="s">
        <v>54</v>
      </c>
      <c r="R1591" s="5" t="s">
        <v>55</v>
      </c>
      <c r="S1591" s="5" t="s">
        <v>253</v>
      </c>
      <c r="T1591" s="5" t="s">
        <v>63</v>
      </c>
      <c r="U1591" s="5" t="s">
        <v>58</v>
      </c>
      <c r="V1591" s="5" t="s">
        <v>76</v>
      </c>
      <c r="W1591" s="5" t="s">
        <v>105</v>
      </c>
      <c r="X1591" s="5" t="s">
        <v>2976</v>
      </c>
      <c r="Y1591" s="5" t="s">
        <v>6548</v>
      </c>
      <c r="Z1591" s="9">
        <v>46103</v>
      </c>
      <c r="AA1591" s="8">
        <v>24</v>
      </c>
      <c r="AB1591" s="9">
        <f t="shared" si="73"/>
        <v>46834</v>
      </c>
      <c r="AC1591" s="10">
        <v>16</v>
      </c>
      <c r="AD1591" s="7">
        <f t="shared" si="74"/>
        <v>1589</v>
      </c>
      <c r="AE1591" s="7">
        <f>IF(F1591="Bullet",H1591*AD1591,MIN(MAX(I1591,1),Assumptions!$B$6)*AD1591)</f>
        <v>1589</v>
      </c>
      <c r="AF1591" s="8">
        <f>IF(F1591="Bullet",MAX(0,Assumptions!$B$4-AB1591),MAX(0,Assumptions!$B$4-L1591))</f>
        <v>11</v>
      </c>
      <c r="AG1591" s="9">
        <v>46259</v>
      </c>
      <c r="AH1591" s="8">
        <f>IF(AG1591="","",Assumptions!$B$4-AG1591)</f>
        <v>39</v>
      </c>
      <c r="AI1591" s="5" t="s">
        <v>63</v>
      </c>
      <c r="AJ1591" s="8">
        <v>1</v>
      </c>
      <c r="AK1591" s="8">
        <v>0</v>
      </c>
      <c r="AL1591" s="8">
        <v>827</v>
      </c>
      <c r="AM1591" s="8">
        <v>6</v>
      </c>
      <c r="AN1591" s="5" t="s">
        <v>63</v>
      </c>
      <c r="AO1591" s="10">
        <v>53.1</v>
      </c>
      <c r="AP1591" s="8">
        <v>16</v>
      </c>
      <c r="AQ1591" s="9">
        <v>46287</v>
      </c>
      <c r="AR1591" s="5" t="s">
        <v>51</v>
      </c>
      <c r="AS1591" s="5" t="s">
        <v>64</v>
      </c>
    </row>
    <row r="1592" spans="1:45" x14ac:dyDescent="0.35">
      <c r="A1592" s="5" t="s">
        <v>6549</v>
      </c>
      <c r="B1592" s="5" t="s">
        <v>6550</v>
      </c>
      <c r="C1592" s="6" t="s">
        <v>6551</v>
      </c>
      <c r="D1592" s="7">
        <v>15300</v>
      </c>
      <c r="E1592" s="5" t="s">
        <v>48</v>
      </c>
      <c r="F1592" s="5" t="s">
        <v>49</v>
      </c>
      <c r="G1592" s="8"/>
      <c r="H1592" s="8" t="str">
        <f>IF(F1592="Bullet",MIN(G1592,Assumptions!$B$6),"")</f>
        <v/>
      </c>
      <c r="I1592" s="8">
        <v>2</v>
      </c>
      <c r="J1592" s="8">
        <f>IF(F1592="Monthly interest",MAX(0,Assumptions!$B$5-I1592),"")</f>
        <v>1</v>
      </c>
      <c r="K1592" s="7">
        <f t="shared" si="72"/>
        <v>358</v>
      </c>
      <c r="L1592" s="9">
        <v>46251</v>
      </c>
      <c r="M1592" s="5" t="s">
        <v>69</v>
      </c>
      <c r="N1592" s="5" t="s">
        <v>53</v>
      </c>
      <c r="O1592" s="5" t="s">
        <v>152</v>
      </c>
      <c r="P1592" s="5" t="s">
        <v>153</v>
      </c>
      <c r="Q1592" s="5" t="s">
        <v>154</v>
      </c>
      <c r="R1592" s="5" t="s">
        <v>155</v>
      </c>
      <c r="S1592" s="5" t="s">
        <v>253</v>
      </c>
      <c r="T1592" s="5" t="s">
        <v>57</v>
      </c>
      <c r="U1592" s="5" t="s">
        <v>104</v>
      </c>
      <c r="V1592" s="5" t="s">
        <v>215</v>
      </c>
      <c r="W1592" s="5" t="s">
        <v>232</v>
      </c>
      <c r="X1592" s="5" t="s">
        <v>3406</v>
      </c>
      <c r="Y1592" s="5" t="s">
        <v>6552</v>
      </c>
      <c r="Z1592" s="9">
        <v>46070</v>
      </c>
      <c r="AA1592" s="8">
        <v>12</v>
      </c>
      <c r="AB1592" s="9">
        <f t="shared" si="73"/>
        <v>46435</v>
      </c>
      <c r="AC1592" s="10">
        <v>14</v>
      </c>
      <c r="AD1592" s="7">
        <f t="shared" si="74"/>
        <v>179</v>
      </c>
      <c r="AE1592" s="7">
        <f>IF(F1592="Bullet",H1592*AD1592,MIN(MAX(I1592,1),Assumptions!$B$6)*AD1592)</f>
        <v>358</v>
      </c>
      <c r="AF1592" s="8">
        <f>IF(F1592="Bullet",MAX(0,Assumptions!$B$4-AB1592),MAX(0,Assumptions!$B$4-L1592))</f>
        <v>47</v>
      </c>
      <c r="AG1592" s="9">
        <v>46224</v>
      </c>
      <c r="AH1592" s="8">
        <f>IF(AG1592="","",Assumptions!$B$4-AG1592)</f>
        <v>74</v>
      </c>
      <c r="AI1592" s="5" t="s">
        <v>63</v>
      </c>
      <c r="AJ1592" s="8">
        <v>2</v>
      </c>
      <c r="AK1592" s="8">
        <v>0</v>
      </c>
      <c r="AL1592" s="8">
        <v>772</v>
      </c>
      <c r="AM1592" s="8">
        <v>1</v>
      </c>
      <c r="AN1592" s="5" t="s">
        <v>63</v>
      </c>
      <c r="AO1592" s="10">
        <v>65.2</v>
      </c>
      <c r="AP1592" s="8">
        <v>36</v>
      </c>
      <c r="AQ1592" s="9"/>
      <c r="AR1592" s="5"/>
      <c r="AS1592" s="5" t="s">
        <v>159</v>
      </c>
    </row>
    <row r="1593" spans="1:45" x14ac:dyDescent="0.35">
      <c r="A1593" s="5" t="s">
        <v>6553</v>
      </c>
      <c r="B1593" s="5" t="s">
        <v>875</v>
      </c>
      <c r="C1593" s="6" t="s">
        <v>6554</v>
      </c>
      <c r="D1593" s="7">
        <v>82100</v>
      </c>
      <c r="E1593" s="5" t="s">
        <v>48</v>
      </c>
      <c r="F1593" s="5" t="s">
        <v>49</v>
      </c>
      <c r="G1593" s="8"/>
      <c r="H1593" s="8" t="str">
        <f>IF(F1593="Bullet",MIN(G1593,Assumptions!$B$6),"")</f>
        <v/>
      </c>
      <c r="I1593" s="8">
        <v>1</v>
      </c>
      <c r="J1593" s="8">
        <f>IF(F1593="Monthly interest",MAX(0,Assumptions!$B$5-I1593),"")</f>
        <v>2</v>
      </c>
      <c r="K1593" s="7">
        <f t="shared" si="72"/>
        <v>1642</v>
      </c>
      <c r="L1593" s="9">
        <v>46273</v>
      </c>
      <c r="M1593" s="5" t="s">
        <v>50</v>
      </c>
      <c r="N1593" s="5" t="s">
        <v>53</v>
      </c>
      <c r="O1593" s="5" t="s">
        <v>103</v>
      </c>
      <c r="P1593" s="5" t="s">
        <v>51</v>
      </c>
      <c r="Q1593" s="5" t="s">
        <v>54</v>
      </c>
      <c r="R1593" s="5" t="s">
        <v>55</v>
      </c>
      <c r="S1593" s="5" t="s">
        <v>75</v>
      </c>
      <c r="T1593" s="5" t="s">
        <v>57</v>
      </c>
      <c r="U1593" s="5" t="s">
        <v>58</v>
      </c>
      <c r="V1593" s="5" t="s">
        <v>76</v>
      </c>
      <c r="W1593" s="5" t="s">
        <v>105</v>
      </c>
      <c r="X1593" s="5" t="s">
        <v>565</v>
      </c>
      <c r="Y1593" s="5" t="s">
        <v>6555</v>
      </c>
      <c r="Z1593" s="9">
        <v>46150</v>
      </c>
      <c r="AA1593" s="8">
        <v>12</v>
      </c>
      <c r="AB1593" s="9">
        <f t="shared" si="73"/>
        <v>46515</v>
      </c>
      <c r="AC1593" s="10">
        <v>24</v>
      </c>
      <c r="AD1593" s="7">
        <f t="shared" si="74"/>
        <v>1642</v>
      </c>
      <c r="AE1593" s="7">
        <f>IF(F1593="Bullet",H1593*AD1593,MIN(MAX(I1593,1),Assumptions!$B$6)*AD1593)</f>
        <v>1642</v>
      </c>
      <c r="AF1593" s="8">
        <f>IF(F1593="Bullet",MAX(0,Assumptions!$B$4-AB1593),MAX(0,Assumptions!$B$4-L1593))</f>
        <v>25</v>
      </c>
      <c r="AG1593" s="9">
        <v>46245</v>
      </c>
      <c r="AH1593" s="8">
        <f>IF(AG1593="","",Assumptions!$B$4-AG1593)</f>
        <v>53</v>
      </c>
      <c r="AI1593" s="5" t="s">
        <v>63</v>
      </c>
      <c r="AJ1593" s="8">
        <v>1</v>
      </c>
      <c r="AK1593" s="8">
        <v>0</v>
      </c>
      <c r="AL1593" s="8">
        <v>707</v>
      </c>
      <c r="AM1593" s="8">
        <v>0</v>
      </c>
      <c r="AN1593" s="5" t="s">
        <v>63</v>
      </c>
      <c r="AO1593" s="10">
        <v>78.400000000000006</v>
      </c>
      <c r="AP1593" s="8">
        <v>24</v>
      </c>
      <c r="AQ1593" s="9">
        <v>46275</v>
      </c>
      <c r="AR1593" s="5" t="s">
        <v>51</v>
      </c>
      <c r="AS1593" s="5" t="s">
        <v>81</v>
      </c>
    </row>
    <row r="1594" spans="1:45" x14ac:dyDescent="0.35">
      <c r="A1594" s="5" t="s">
        <v>6556</v>
      </c>
      <c r="B1594" s="5" t="s">
        <v>6557</v>
      </c>
      <c r="C1594" s="6" t="s">
        <v>6558</v>
      </c>
      <c r="D1594" s="7">
        <v>436900</v>
      </c>
      <c r="E1594" s="5" t="s">
        <v>48</v>
      </c>
      <c r="F1594" s="5" t="s">
        <v>49</v>
      </c>
      <c r="G1594" s="8"/>
      <c r="H1594" s="8" t="str">
        <f>IF(F1594="Bullet",MIN(G1594,Assumptions!$B$6),"")</f>
        <v/>
      </c>
      <c r="I1594" s="8">
        <v>2</v>
      </c>
      <c r="J1594" s="8">
        <f>IF(F1594="Monthly interest",MAX(0,Assumptions!$B$5-I1594),"")</f>
        <v>1</v>
      </c>
      <c r="K1594" s="7">
        <f t="shared" si="72"/>
        <v>10194</v>
      </c>
      <c r="L1594" s="9">
        <v>46241</v>
      </c>
      <c r="M1594" s="5" t="s">
        <v>116</v>
      </c>
      <c r="N1594" s="5" t="s">
        <v>117</v>
      </c>
      <c r="O1594" s="5" t="s">
        <v>118</v>
      </c>
      <c r="P1594" s="5" t="s">
        <v>72</v>
      </c>
      <c r="Q1594" s="5" t="s">
        <v>119</v>
      </c>
      <c r="R1594" s="5" t="s">
        <v>120</v>
      </c>
      <c r="S1594" s="5" t="s">
        <v>75</v>
      </c>
      <c r="T1594" s="5" t="s">
        <v>57</v>
      </c>
      <c r="U1594" s="5" t="s">
        <v>86</v>
      </c>
      <c r="V1594" s="5" t="s">
        <v>76</v>
      </c>
      <c r="W1594" s="5" t="s">
        <v>146</v>
      </c>
      <c r="X1594" s="5" t="s">
        <v>147</v>
      </c>
      <c r="Y1594" s="5" t="s">
        <v>6559</v>
      </c>
      <c r="Z1594" s="9">
        <v>46029</v>
      </c>
      <c r="AA1594" s="8">
        <v>12</v>
      </c>
      <c r="AB1594" s="9">
        <f t="shared" si="73"/>
        <v>46394</v>
      </c>
      <c r="AC1594" s="10">
        <v>14</v>
      </c>
      <c r="AD1594" s="7">
        <f t="shared" si="74"/>
        <v>5097</v>
      </c>
      <c r="AE1594" s="7">
        <f>IF(F1594="Bullet",H1594*AD1594,MIN(MAX(I1594,1),Assumptions!$B$6)*AD1594)</f>
        <v>10194</v>
      </c>
      <c r="AF1594" s="8">
        <f>IF(F1594="Bullet",MAX(0,Assumptions!$B$4-AB1594),MAX(0,Assumptions!$B$4-L1594))</f>
        <v>57</v>
      </c>
      <c r="AG1594" s="9">
        <v>46210</v>
      </c>
      <c r="AH1594" s="8">
        <f>IF(AG1594="","",Assumptions!$B$4-AG1594)</f>
        <v>88</v>
      </c>
      <c r="AI1594" s="5" t="s">
        <v>57</v>
      </c>
      <c r="AJ1594" s="8">
        <v>2</v>
      </c>
      <c r="AK1594" s="8">
        <v>1</v>
      </c>
      <c r="AL1594" s="8">
        <v>683</v>
      </c>
      <c r="AM1594" s="8">
        <v>1</v>
      </c>
      <c r="AN1594" s="5" t="s">
        <v>63</v>
      </c>
      <c r="AO1594" s="10">
        <v>72.400000000000006</v>
      </c>
      <c r="AP1594" s="8">
        <v>54</v>
      </c>
      <c r="AQ1594" s="9">
        <v>46286</v>
      </c>
      <c r="AR1594" s="5" t="s">
        <v>53</v>
      </c>
      <c r="AS1594" s="5" t="s">
        <v>81</v>
      </c>
    </row>
    <row r="1595" spans="1:45" x14ac:dyDescent="0.35">
      <c r="A1595" s="5" t="s">
        <v>6560</v>
      </c>
      <c r="B1595" s="5" t="s">
        <v>5467</v>
      </c>
      <c r="C1595" s="6" t="s">
        <v>6561</v>
      </c>
      <c r="D1595" s="7">
        <v>559200</v>
      </c>
      <c r="E1595" s="5" t="s">
        <v>48</v>
      </c>
      <c r="F1595" s="5" t="s">
        <v>49</v>
      </c>
      <c r="G1595" s="8"/>
      <c r="H1595" s="8" t="str">
        <f>IF(F1595="Bullet",MIN(G1595,Assumptions!$B$6),"")</f>
        <v/>
      </c>
      <c r="I1595" s="8">
        <v>1</v>
      </c>
      <c r="J1595" s="8">
        <f>IF(F1595="Monthly interest",MAX(0,Assumptions!$B$5-I1595),"")</f>
        <v>2</v>
      </c>
      <c r="K1595" s="7">
        <f t="shared" si="72"/>
        <v>11184</v>
      </c>
      <c r="L1595" s="9">
        <v>46278</v>
      </c>
      <c r="M1595" s="5" t="s">
        <v>69</v>
      </c>
      <c r="N1595" s="5" t="s">
        <v>53</v>
      </c>
      <c r="O1595" s="5" t="s">
        <v>103</v>
      </c>
      <c r="P1595" s="5" t="s">
        <v>70</v>
      </c>
      <c r="Q1595" s="5" t="s">
        <v>54</v>
      </c>
      <c r="R1595" s="5" t="s">
        <v>55</v>
      </c>
      <c r="S1595" s="5" t="s">
        <v>214</v>
      </c>
      <c r="T1595" s="5" t="s">
        <v>57</v>
      </c>
      <c r="U1595" s="5" t="s">
        <v>58</v>
      </c>
      <c r="V1595" s="5" t="s">
        <v>215</v>
      </c>
      <c r="W1595" s="5" t="s">
        <v>232</v>
      </c>
      <c r="X1595" s="5" t="s">
        <v>6562</v>
      </c>
      <c r="Y1595" s="5" t="s">
        <v>6563</v>
      </c>
      <c r="Z1595" s="9">
        <v>46035</v>
      </c>
      <c r="AA1595" s="8">
        <v>12</v>
      </c>
      <c r="AB1595" s="9">
        <f t="shared" si="73"/>
        <v>46400</v>
      </c>
      <c r="AC1595" s="10">
        <v>24</v>
      </c>
      <c r="AD1595" s="7">
        <f t="shared" si="74"/>
        <v>11184</v>
      </c>
      <c r="AE1595" s="7">
        <f>IF(F1595="Bullet",H1595*AD1595,MIN(MAX(I1595,1),Assumptions!$B$6)*AD1595)</f>
        <v>11184</v>
      </c>
      <c r="AF1595" s="8">
        <f>IF(F1595="Bullet",MAX(0,Assumptions!$B$4-AB1595),MAX(0,Assumptions!$B$4-L1595))</f>
        <v>20</v>
      </c>
      <c r="AG1595" s="9">
        <v>46247</v>
      </c>
      <c r="AH1595" s="8">
        <f>IF(AG1595="","",Assumptions!$B$4-AG1595)</f>
        <v>51</v>
      </c>
      <c r="AI1595" s="5" t="s">
        <v>63</v>
      </c>
      <c r="AJ1595" s="8">
        <v>2</v>
      </c>
      <c r="AK1595" s="8">
        <v>1</v>
      </c>
      <c r="AL1595" s="8">
        <v>840</v>
      </c>
      <c r="AM1595" s="8">
        <v>3</v>
      </c>
      <c r="AN1595" s="5" t="s">
        <v>63</v>
      </c>
      <c r="AO1595" s="10">
        <v>76.7</v>
      </c>
      <c r="AP1595" s="8">
        <v>31</v>
      </c>
      <c r="AQ1595" s="9">
        <v>46278</v>
      </c>
      <c r="AR1595" s="5" t="s">
        <v>51</v>
      </c>
      <c r="AS1595" s="5" t="s">
        <v>81</v>
      </c>
    </row>
    <row r="1596" spans="1:45" x14ac:dyDescent="0.35">
      <c r="A1596" s="5" t="s">
        <v>6564</v>
      </c>
      <c r="B1596" s="5" t="s">
        <v>6241</v>
      </c>
      <c r="C1596" s="6" t="s">
        <v>6565</v>
      </c>
      <c r="D1596" s="7">
        <v>15000</v>
      </c>
      <c r="E1596" s="5" t="s">
        <v>48</v>
      </c>
      <c r="F1596" s="5" t="s">
        <v>68</v>
      </c>
      <c r="G1596" s="8">
        <v>5</v>
      </c>
      <c r="H1596" s="8">
        <f>IF(F1596="Bullet",MIN(G1596,Assumptions!$B$6),"")</f>
        <v>2</v>
      </c>
      <c r="I1596" s="8"/>
      <c r="J1596" s="8" t="str">
        <f>IF(F1596="Monthly interest",MAX(0,Assumptions!$B$5-I1596),"")</f>
        <v/>
      </c>
      <c r="K1596" s="7">
        <f t="shared" si="72"/>
        <v>1000</v>
      </c>
      <c r="L1596" s="9">
        <v>46123</v>
      </c>
      <c r="M1596" s="5" t="s">
        <v>116</v>
      </c>
      <c r="N1596" s="5" t="s">
        <v>117</v>
      </c>
      <c r="O1596" s="5" t="s">
        <v>461</v>
      </c>
      <c r="P1596" s="5" t="s">
        <v>72</v>
      </c>
      <c r="Q1596" s="5" t="s">
        <v>169</v>
      </c>
      <c r="R1596" s="5" t="s">
        <v>170</v>
      </c>
      <c r="S1596" s="5" t="s">
        <v>75</v>
      </c>
      <c r="T1596" s="5" t="s">
        <v>57</v>
      </c>
      <c r="U1596" s="5" t="s">
        <v>104</v>
      </c>
      <c r="V1596" s="5" t="s">
        <v>76</v>
      </c>
      <c r="W1596" s="5" t="s">
        <v>382</v>
      </c>
      <c r="X1596" s="5" t="s">
        <v>1381</v>
      </c>
      <c r="Y1596" s="5" t="s">
        <v>6566</v>
      </c>
      <c r="Z1596" s="9">
        <v>46123</v>
      </c>
      <c r="AA1596" s="8">
        <v>6</v>
      </c>
      <c r="AB1596" s="9">
        <f t="shared" si="73"/>
        <v>46306</v>
      </c>
      <c r="AC1596" s="10">
        <v>16</v>
      </c>
      <c r="AD1596" s="7">
        <f t="shared" si="74"/>
        <v>200</v>
      </c>
      <c r="AE1596" s="7">
        <f>IF(F1596="Bullet",H1596*AD1596,MIN(MAX(I1596,1),Assumptions!$B$6)*AD1596)</f>
        <v>400</v>
      </c>
      <c r="AF1596" s="8">
        <f>IF(F1596="Bullet",MAX(0,Assumptions!$B$4-AB1596),MAX(0,Assumptions!$B$4-L1596))</f>
        <v>0</v>
      </c>
      <c r="AG1596" s="9"/>
      <c r="AH1596" s="8" t="str">
        <f>IF(AG1596="","",Assumptions!$B$4-AG1596)</f>
        <v/>
      </c>
      <c r="AI1596" s="5" t="s">
        <v>80</v>
      </c>
      <c r="AJ1596" s="8"/>
      <c r="AK1596" s="8">
        <v>2</v>
      </c>
      <c r="AL1596" s="8">
        <v>573</v>
      </c>
      <c r="AM1596" s="8">
        <v>0</v>
      </c>
      <c r="AN1596" s="5" t="s">
        <v>57</v>
      </c>
      <c r="AO1596" s="10">
        <v>80.900000000000006</v>
      </c>
      <c r="AP1596" s="8">
        <v>76</v>
      </c>
      <c r="AQ1596" s="9">
        <v>46291</v>
      </c>
      <c r="AR1596" s="5" t="s">
        <v>51</v>
      </c>
      <c r="AS1596" s="5" t="s">
        <v>81</v>
      </c>
    </row>
    <row r="1597" spans="1:45" x14ac:dyDescent="0.35">
      <c r="A1597" s="5" t="s">
        <v>6567</v>
      </c>
      <c r="B1597" s="5" t="s">
        <v>6568</v>
      </c>
      <c r="C1597" s="6" t="s">
        <v>6569</v>
      </c>
      <c r="D1597" s="7">
        <v>89400</v>
      </c>
      <c r="E1597" s="5" t="s">
        <v>48</v>
      </c>
      <c r="F1597" s="5" t="s">
        <v>49</v>
      </c>
      <c r="G1597" s="8"/>
      <c r="H1597" s="8" t="str">
        <f>IF(F1597="Bullet",MIN(G1597,Assumptions!$B$6),"")</f>
        <v/>
      </c>
      <c r="I1597" s="8">
        <v>2</v>
      </c>
      <c r="J1597" s="8">
        <f>IF(F1597="Monthly interest",MAX(0,Assumptions!$B$5-I1597),"")</f>
        <v>1</v>
      </c>
      <c r="K1597" s="7">
        <f t="shared" si="72"/>
        <v>2086</v>
      </c>
      <c r="L1597" s="9">
        <v>46262</v>
      </c>
      <c r="M1597" s="5" t="s">
        <v>69</v>
      </c>
      <c r="N1597" s="5" t="s">
        <v>53</v>
      </c>
      <c r="O1597" s="5" t="s">
        <v>71</v>
      </c>
      <c r="P1597" s="5" t="s">
        <v>70</v>
      </c>
      <c r="Q1597" s="5" t="s">
        <v>73</v>
      </c>
      <c r="R1597" s="5" t="s">
        <v>74</v>
      </c>
      <c r="S1597" s="5" t="s">
        <v>75</v>
      </c>
      <c r="T1597" s="5" t="s">
        <v>57</v>
      </c>
      <c r="U1597" s="5" t="s">
        <v>58</v>
      </c>
      <c r="V1597" s="5" t="s">
        <v>76</v>
      </c>
      <c r="W1597" s="5" t="s">
        <v>146</v>
      </c>
      <c r="X1597" s="5" t="s">
        <v>2121</v>
      </c>
      <c r="Y1597" s="5" t="s">
        <v>6570</v>
      </c>
      <c r="Z1597" s="9">
        <v>46109</v>
      </c>
      <c r="AA1597" s="8">
        <v>12</v>
      </c>
      <c r="AB1597" s="9">
        <f t="shared" si="73"/>
        <v>46474</v>
      </c>
      <c r="AC1597" s="10">
        <v>14</v>
      </c>
      <c r="AD1597" s="7">
        <f t="shared" si="74"/>
        <v>1043</v>
      </c>
      <c r="AE1597" s="7">
        <f>IF(F1597="Bullet",H1597*AD1597,MIN(MAX(I1597,1),Assumptions!$B$6)*AD1597)</f>
        <v>2086</v>
      </c>
      <c r="AF1597" s="8">
        <f>IF(F1597="Bullet",MAX(0,Assumptions!$B$4-AB1597),MAX(0,Assumptions!$B$4-L1597))</f>
        <v>36</v>
      </c>
      <c r="AG1597" s="9">
        <v>46236</v>
      </c>
      <c r="AH1597" s="8">
        <f>IF(AG1597="","",Assumptions!$B$4-AG1597)</f>
        <v>62</v>
      </c>
      <c r="AI1597" s="5" t="s">
        <v>63</v>
      </c>
      <c r="AJ1597" s="8">
        <v>3</v>
      </c>
      <c r="AK1597" s="8">
        <v>0</v>
      </c>
      <c r="AL1597" s="8">
        <v>720</v>
      </c>
      <c r="AM1597" s="8">
        <v>0</v>
      </c>
      <c r="AN1597" s="5" t="s">
        <v>63</v>
      </c>
      <c r="AO1597" s="10">
        <v>70.400000000000006</v>
      </c>
      <c r="AP1597" s="8">
        <v>44</v>
      </c>
      <c r="AQ1597" s="9">
        <v>46287</v>
      </c>
      <c r="AR1597" s="5" t="s">
        <v>72</v>
      </c>
      <c r="AS1597" s="5" t="s">
        <v>64</v>
      </c>
    </row>
    <row r="1598" spans="1:45" x14ac:dyDescent="0.35">
      <c r="A1598" s="5" t="s">
        <v>6571</v>
      </c>
      <c r="B1598" s="5" t="s">
        <v>885</v>
      </c>
      <c r="C1598" s="6" t="s">
        <v>6572</v>
      </c>
      <c r="D1598" s="7">
        <v>64600</v>
      </c>
      <c r="E1598" s="5" t="s">
        <v>48</v>
      </c>
      <c r="F1598" s="5" t="s">
        <v>68</v>
      </c>
      <c r="G1598" s="8">
        <v>5</v>
      </c>
      <c r="H1598" s="8">
        <f>IF(F1598="Bullet",MIN(G1598,Assumptions!$B$6),"")</f>
        <v>2</v>
      </c>
      <c r="I1598" s="8"/>
      <c r="J1598" s="8" t="str">
        <f>IF(F1598="Monthly interest",MAX(0,Assumptions!$B$5-I1598),"")</f>
        <v/>
      </c>
      <c r="K1598" s="7">
        <f t="shared" si="72"/>
        <v>3230</v>
      </c>
      <c r="L1598" s="9">
        <v>46125</v>
      </c>
      <c r="M1598" s="5" t="s">
        <v>69</v>
      </c>
      <c r="N1598" s="5" t="s">
        <v>53</v>
      </c>
      <c r="O1598" s="5" t="s">
        <v>168</v>
      </c>
      <c r="P1598" s="5" t="s">
        <v>70</v>
      </c>
      <c r="Q1598" s="5" t="s">
        <v>169</v>
      </c>
      <c r="R1598" s="5" t="s">
        <v>170</v>
      </c>
      <c r="S1598" s="5" t="s">
        <v>185</v>
      </c>
      <c r="T1598" s="5" t="s">
        <v>63</v>
      </c>
      <c r="U1598" s="5" t="s">
        <v>86</v>
      </c>
      <c r="V1598" s="5" t="s">
        <v>186</v>
      </c>
      <c r="W1598" s="5" t="s">
        <v>694</v>
      </c>
      <c r="X1598" s="5" t="s">
        <v>2057</v>
      </c>
      <c r="Y1598" s="5" t="s">
        <v>6573</v>
      </c>
      <c r="Z1598" s="9">
        <v>46125</v>
      </c>
      <c r="AA1598" s="8">
        <v>6</v>
      </c>
      <c r="AB1598" s="9">
        <f t="shared" si="73"/>
        <v>46308</v>
      </c>
      <c r="AC1598" s="10">
        <v>12</v>
      </c>
      <c r="AD1598" s="7">
        <f t="shared" si="74"/>
        <v>646</v>
      </c>
      <c r="AE1598" s="7">
        <f>IF(F1598="Bullet",H1598*AD1598,MIN(MAX(I1598,1),Assumptions!$B$6)*AD1598)</f>
        <v>1292</v>
      </c>
      <c r="AF1598" s="8">
        <f>IF(F1598="Bullet",MAX(0,Assumptions!$B$4-AB1598),MAX(0,Assumptions!$B$4-L1598))</f>
        <v>0</v>
      </c>
      <c r="AG1598" s="9"/>
      <c r="AH1598" s="8" t="str">
        <f>IF(AG1598="","",Assumptions!$B$4-AG1598)</f>
        <v/>
      </c>
      <c r="AI1598" s="5" t="s">
        <v>80</v>
      </c>
      <c r="AJ1598" s="8"/>
      <c r="AK1598" s="8">
        <v>0</v>
      </c>
      <c r="AL1598" s="8">
        <v>803</v>
      </c>
      <c r="AM1598" s="8">
        <v>1</v>
      </c>
      <c r="AN1598" s="5" t="s">
        <v>63</v>
      </c>
      <c r="AO1598" s="10">
        <v>81</v>
      </c>
      <c r="AP1598" s="8">
        <v>33</v>
      </c>
      <c r="AQ1598" s="9">
        <v>46276</v>
      </c>
      <c r="AR1598" s="5" t="s">
        <v>51</v>
      </c>
      <c r="AS1598" s="5" t="s">
        <v>190</v>
      </c>
    </row>
    <row r="1599" spans="1:45" x14ac:dyDescent="0.35">
      <c r="A1599" s="5" t="s">
        <v>6574</v>
      </c>
      <c r="B1599" s="5" t="s">
        <v>832</v>
      </c>
      <c r="C1599" s="6" t="s">
        <v>6575</v>
      </c>
      <c r="D1599" s="7">
        <v>259300</v>
      </c>
      <c r="E1599" s="5" t="s">
        <v>48</v>
      </c>
      <c r="F1599" s="5" t="s">
        <v>49</v>
      </c>
      <c r="G1599" s="8"/>
      <c r="H1599" s="8" t="str">
        <f>IF(F1599="Bullet",MIN(G1599,Assumptions!$B$6),"")</f>
        <v/>
      </c>
      <c r="I1599" s="8">
        <v>1</v>
      </c>
      <c r="J1599" s="8">
        <f>IF(F1599="Monthly interest",MAX(0,Assumptions!$B$5-I1599),"")</f>
        <v>2</v>
      </c>
      <c r="K1599" s="7">
        <f t="shared" si="72"/>
        <v>3241</v>
      </c>
      <c r="L1599" s="9">
        <v>46281</v>
      </c>
      <c r="M1599" s="5" t="s">
        <v>50</v>
      </c>
      <c r="N1599" s="5" t="s">
        <v>53</v>
      </c>
      <c r="O1599" s="5" t="s">
        <v>95</v>
      </c>
      <c r="P1599" s="5" t="s">
        <v>70</v>
      </c>
      <c r="Q1599" s="5" t="s">
        <v>54</v>
      </c>
      <c r="R1599" s="5" t="s">
        <v>55</v>
      </c>
      <c r="S1599" s="5" t="s">
        <v>185</v>
      </c>
      <c r="T1599" s="5" t="s">
        <v>63</v>
      </c>
      <c r="U1599" s="5" t="s">
        <v>86</v>
      </c>
      <c r="V1599" s="5" t="s">
        <v>200</v>
      </c>
      <c r="W1599" s="5" t="s">
        <v>1332</v>
      </c>
      <c r="X1599" s="5" t="s">
        <v>4535</v>
      </c>
      <c r="Y1599" s="5" t="s">
        <v>6576</v>
      </c>
      <c r="Z1599" s="9">
        <v>46069</v>
      </c>
      <c r="AA1599" s="8">
        <v>12</v>
      </c>
      <c r="AB1599" s="9">
        <f t="shared" si="73"/>
        <v>46434</v>
      </c>
      <c r="AC1599" s="10">
        <v>15</v>
      </c>
      <c r="AD1599" s="7">
        <f t="shared" si="74"/>
        <v>3241</v>
      </c>
      <c r="AE1599" s="7">
        <f>IF(F1599="Bullet",H1599*AD1599,MIN(MAX(I1599,1),Assumptions!$B$6)*AD1599)</f>
        <v>3241</v>
      </c>
      <c r="AF1599" s="8">
        <f>IF(F1599="Bullet",MAX(0,Assumptions!$B$4-AB1599),MAX(0,Assumptions!$B$4-L1599))</f>
        <v>17</v>
      </c>
      <c r="AG1599" s="9">
        <v>46250</v>
      </c>
      <c r="AH1599" s="8">
        <f>IF(AG1599="","",Assumptions!$B$4-AG1599)</f>
        <v>48</v>
      </c>
      <c r="AI1599" s="5" t="s">
        <v>63</v>
      </c>
      <c r="AJ1599" s="8">
        <v>2</v>
      </c>
      <c r="AK1599" s="8">
        <v>1</v>
      </c>
      <c r="AL1599" s="8">
        <v>773</v>
      </c>
      <c r="AM1599" s="8">
        <v>0</v>
      </c>
      <c r="AN1599" s="5" t="s">
        <v>63</v>
      </c>
      <c r="AO1599" s="10">
        <v>62.1</v>
      </c>
      <c r="AP1599" s="8">
        <v>30</v>
      </c>
      <c r="AQ1599" s="9">
        <v>46295</v>
      </c>
      <c r="AR1599" s="5" t="s">
        <v>70</v>
      </c>
      <c r="AS1599" s="5" t="s">
        <v>81</v>
      </c>
    </row>
    <row r="1600" spans="1:45" x14ac:dyDescent="0.35">
      <c r="A1600" s="5" t="s">
        <v>6577</v>
      </c>
      <c r="B1600" s="5" t="s">
        <v>6578</v>
      </c>
      <c r="C1600" s="6" t="s">
        <v>6579</v>
      </c>
      <c r="D1600" s="7">
        <v>28300</v>
      </c>
      <c r="E1600" s="5" t="s">
        <v>48</v>
      </c>
      <c r="F1600" s="5" t="s">
        <v>68</v>
      </c>
      <c r="G1600" s="8">
        <v>2</v>
      </c>
      <c r="H1600" s="8">
        <f>IF(F1600="Bullet",MIN(G1600,Assumptions!$B$6),"")</f>
        <v>2</v>
      </c>
      <c r="I1600" s="8"/>
      <c r="J1600" s="8" t="str">
        <f>IF(F1600="Monthly interest",MAX(0,Assumptions!$B$5-I1600),"")</f>
        <v/>
      </c>
      <c r="K1600" s="7">
        <f t="shared" si="72"/>
        <v>660</v>
      </c>
      <c r="L1600" s="9">
        <v>46214</v>
      </c>
      <c r="M1600" s="5" t="s">
        <v>69</v>
      </c>
      <c r="N1600" s="5" t="s">
        <v>53</v>
      </c>
      <c r="O1600" s="5" t="s">
        <v>152</v>
      </c>
      <c r="P1600" s="5" t="s">
        <v>153</v>
      </c>
      <c r="Q1600" s="5" t="s">
        <v>154</v>
      </c>
      <c r="R1600" s="5" t="s">
        <v>155</v>
      </c>
      <c r="S1600" s="5" t="s">
        <v>185</v>
      </c>
      <c r="T1600" s="5" t="s">
        <v>63</v>
      </c>
      <c r="U1600" s="5" t="s">
        <v>58</v>
      </c>
      <c r="V1600" s="5" t="s">
        <v>186</v>
      </c>
      <c r="W1600" s="5" t="s">
        <v>187</v>
      </c>
      <c r="X1600" s="5" t="s">
        <v>481</v>
      </c>
      <c r="Y1600" s="5" t="s">
        <v>6580</v>
      </c>
      <c r="Z1600" s="9">
        <v>46214</v>
      </c>
      <c r="AA1600" s="8">
        <v>12</v>
      </c>
      <c r="AB1600" s="9">
        <f t="shared" si="73"/>
        <v>46579</v>
      </c>
      <c r="AC1600" s="10">
        <v>14</v>
      </c>
      <c r="AD1600" s="7">
        <f t="shared" si="74"/>
        <v>330</v>
      </c>
      <c r="AE1600" s="7">
        <f>IF(F1600="Bullet",H1600*AD1600,MIN(MAX(I1600,1),Assumptions!$B$6)*AD1600)</f>
        <v>660</v>
      </c>
      <c r="AF1600" s="8">
        <f>IF(F1600="Bullet",MAX(0,Assumptions!$B$4-AB1600),MAX(0,Assumptions!$B$4-L1600))</f>
        <v>0</v>
      </c>
      <c r="AG1600" s="9"/>
      <c r="AH1600" s="8" t="str">
        <f>IF(AG1600="","",Assumptions!$B$4-AG1600)</f>
        <v/>
      </c>
      <c r="AI1600" s="5" t="s">
        <v>80</v>
      </c>
      <c r="AJ1600" s="8"/>
      <c r="AK1600" s="8">
        <v>2</v>
      </c>
      <c r="AL1600" s="8">
        <v>684</v>
      </c>
      <c r="AM1600" s="8">
        <v>2</v>
      </c>
      <c r="AN1600" s="5" t="s">
        <v>63</v>
      </c>
      <c r="AO1600" s="10">
        <v>63.6</v>
      </c>
      <c r="AP1600" s="8">
        <v>32</v>
      </c>
      <c r="AQ1600" s="9">
        <v>46282</v>
      </c>
      <c r="AR1600" s="5" t="s">
        <v>70</v>
      </c>
      <c r="AS1600" s="5" t="s">
        <v>81</v>
      </c>
    </row>
    <row r="1601" spans="1:45" x14ac:dyDescent="0.35">
      <c r="A1601" s="5" t="s">
        <v>6581</v>
      </c>
      <c r="B1601" s="5" t="s">
        <v>1848</v>
      </c>
      <c r="C1601" s="6" t="s">
        <v>6582</v>
      </c>
      <c r="D1601" s="7">
        <v>129800</v>
      </c>
      <c r="E1601" s="5" t="s">
        <v>48</v>
      </c>
      <c r="F1601" s="5" t="s">
        <v>68</v>
      </c>
      <c r="G1601" s="8">
        <v>4</v>
      </c>
      <c r="H1601" s="8">
        <f>IF(F1601="Bullet",MIN(G1601,Assumptions!$B$6),"")</f>
        <v>2</v>
      </c>
      <c r="I1601" s="8"/>
      <c r="J1601" s="8" t="str">
        <f>IF(F1601="Monthly interest",MAX(0,Assumptions!$B$5-I1601),"")</f>
        <v/>
      </c>
      <c r="K1601" s="7">
        <f t="shared" si="72"/>
        <v>6492</v>
      </c>
      <c r="L1601" s="9">
        <v>46159</v>
      </c>
      <c r="M1601" s="5" t="s">
        <v>50</v>
      </c>
      <c r="N1601" s="5" t="s">
        <v>53</v>
      </c>
      <c r="O1601" s="5" t="s">
        <v>71</v>
      </c>
      <c r="P1601" s="5" t="s">
        <v>51</v>
      </c>
      <c r="Q1601" s="5" t="s">
        <v>73</v>
      </c>
      <c r="R1601" s="5" t="s">
        <v>74</v>
      </c>
      <c r="S1601" s="5" t="s">
        <v>75</v>
      </c>
      <c r="T1601" s="5" t="s">
        <v>57</v>
      </c>
      <c r="U1601" s="5" t="s">
        <v>104</v>
      </c>
      <c r="V1601" s="5" t="s">
        <v>76</v>
      </c>
      <c r="W1601" s="5" t="s">
        <v>140</v>
      </c>
      <c r="X1601" s="5" t="s">
        <v>3198</v>
      </c>
      <c r="Y1601" s="5" t="s">
        <v>6583</v>
      </c>
      <c r="Z1601" s="9">
        <v>46159</v>
      </c>
      <c r="AA1601" s="8">
        <v>6</v>
      </c>
      <c r="AB1601" s="9">
        <f t="shared" si="73"/>
        <v>46343</v>
      </c>
      <c r="AC1601" s="10">
        <v>15</v>
      </c>
      <c r="AD1601" s="7">
        <f t="shared" si="74"/>
        <v>1623</v>
      </c>
      <c r="AE1601" s="7">
        <f>IF(F1601="Bullet",H1601*AD1601,MIN(MAX(I1601,1),Assumptions!$B$6)*AD1601)</f>
        <v>3246</v>
      </c>
      <c r="AF1601" s="8">
        <f>IF(F1601="Bullet",MAX(0,Assumptions!$B$4-AB1601),MAX(0,Assumptions!$B$4-L1601))</f>
        <v>0</v>
      </c>
      <c r="AG1601" s="9"/>
      <c r="AH1601" s="8" t="str">
        <f>IF(AG1601="","",Assumptions!$B$4-AG1601)</f>
        <v/>
      </c>
      <c r="AI1601" s="5" t="s">
        <v>80</v>
      </c>
      <c r="AJ1601" s="8"/>
      <c r="AK1601" s="8">
        <v>0</v>
      </c>
      <c r="AL1601" s="8">
        <v>784</v>
      </c>
      <c r="AM1601" s="8">
        <v>0</v>
      </c>
      <c r="AN1601" s="5" t="s">
        <v>63</v>
      </c>
      <c r="AO1601" s="10">
        <v>71.3</v>
      </c>
      <c r="AP1601" s="8">
        <v>15</v>
      </c>
      <c r="AQ1601" s="9">
        <v>46276</v>
      </c>
      <c r="AR1601" s="5" t="s">
        <v>70</v>
      </c>
      <c r="AS1601" s="5" t="s">
        <v>64</v>
      </c>
    </row>
    <row r="1602" spans="1:45" x14ac:dyDescent="0.35">
      <c r="A1602" s="5" t="s">
        <v>6584</v>
      </c>
      <c r="B1602" s="5" t="s">
        <v>6585</v>
      </c>
      <c r="C1602" s="6" t="s">
        <v>6586</v>
      </c>
      <c r="D1602" s="7">
        <v>103800</v>
      </c>
      <c r="E1602" s="5" t="s">
        <v>48</v>
      </c>
      <c r="F1602" s="5" t="s">
        <v>49</v>
      </c>
      <c r="G1602" s="8"/>
      <c r="H1602" s="8" t="str">
        <f>IF(F1602="Bullet",MIN(G1602,Assumptions!$B$6),"")</f>
        <v/>
      </c>
      <c r="I1602" s="8">
        <v>1</v>
      </c>
      <c r="J1602" s="8">
        <f>IF(F1602="Monthly interest",MAX(0,Assumptions!$B$5-I1602),"")</f>
        <v>2</v>
      </c>
      <c r="K1602" s="7">
        <f t="shared" ref="K1602:K1665" si="75">IF(F1602="Bullet",G1602*AD1602,MAX(I1602,1)*AD1602)</f>
        <v>1730</v>
      </c>
      <c r="L1602" s="9">
        <v>46278</v>
      </c>
      <c r="M1602" s="5" t="s">
        <v>69</v>
      </c>
      <c r="N1602" s="5" t="s">
        <v>53</v>
      </c>
      <c r="O1602" s="5" t="s">
        <v>132</v>
      </c>
      <c r="P1602" s="5" t="s">
        <v>70</v>
      </c>
      <c r="Q1602" s="5" t="s">
        <v>54</v>
      </c>
      <c r="R1602" s="5" t="s">
        <v>55</v>
      </c>
      <c r="S1602" s="5" t="s">
        <v>214</v>
      </c>
      <c r="T1602" s="5" t="s">
        <v>57</v>
      </c>
      <c r="U1602" s="5" t="s">
        <v>86</v>
      </c>
      <c r="V1602" s="5" t="s">
        <v>215</v>
      </c>
      <c r="W1602" s="5" t="s">
        <v>216</v>
      </c>
      <c r="X1602" s="5" t="s">
        <v>4579</v>
      </c>
      <c r="Y1602" s="5" t="s">
        <v>6587</v>
      </c>
      <c r="Z1602" s="9">
        <v>46066</v>
      </c>
      <c r="AA1602" s="8">
        <v>12</v>
      </c>
      <c r="AB1602" s="9">
        <f t="shared" ref="AB1602:AB1665" si="76">EDATE(Z1602,AA1602)</f>
        <v>46431</v>
      </c>
      <c r="AC1602" s="10">
        <v>20</v>
      </c>
      <c r="AD1602" s="7">
        <f t="shared" ref="AD1602:AD1665" si="77">ROUND(D1602*AC1602/100/12,0)</f>
        <v>1730</v>
      </c>
      <c r="AE1602" s="7">
        <f>IF(F1602="Bullet",H1602*AD1602,MIN(MAX(I1602,1),Assumptions!$B$6)*AD1602)</f>
        <v>1730</v>
      </c>
      <c r="AF1602" s="8">
        <f>IF(F1602="Bullet",MAX(0,Assumptions!$B$4-AB1602),MAX(0,Assumptions!$B$4-L1602))</f>
        <v>20</v>
      </c>
      <c r="AG1602" s="9">
        <v>46248</v>
      </c>
      <c r="AH1602" s="8">
        <f>IF(AG1602="","",Assumptions!$B$4-AG1602)</f>
        <v>50</v>
      </c>
      <c r="AI1602" s="5" t="s">
        <v>63</v>
      </c>
      <c r="AJ1602" s="8">
        <v>1</v>
      </c>
      <c r="AK1602" s="8">
        <v>0</v>
      </c>
      <c r="AL1602" s="8" t="s">
        <v>80</v>
      </c>
      <c r="AM1602" s="8">
        <v>3</v>
      </c>
      <c r="AN1602" s="5" t="s">
        <v>63</v>
      </c>
      <c r="AO1602" s="10">
        <v>69.599999999999994</v>
      </c>
      <c r="AP1602" s="8">
        <v>35</v>
      </c>
      <c r="AQ1602" s="9">
        <v>46279</v>
      </c>
      <c r="AR1602" s="5" t="s">
        <v>51</v>
      </c>
      <c r="AS1602" s="5" t="s">
        <v>91</v>
      </c>
    </row>
    <row r="1603" spans="1:45" x14ac:dyDescent="0.35">
      <c r="A1603" s="5" t="s">
        <v>6588</v>
      </c>
      <c r="B1603" s="5" t="s">
        <v>5106</v>
      </c>
      <c r="C1603" s="6" t="s">
        <v>6589</v>
      </c>
      <c r="D1603" s="7">
        <v>105200</v>
      </c>
      <c r="E1603" s="5" t="s">
        <v>48</v>
      </c>
      <c r="F1603" s="5" t="s">
        <v>68</v>
      </c>
      <c r="G1603" s="8">
        <v>1</v>
      </c>
      <c r="H1603" s="8">
        <f>IF(F1603="Bullet",MIN(G1603,Assumptions!$B$6),"")</f>
        <v>1</v>
      </c>
      <c r="I1603" s="8"/>
      <c r="J1603" s="8" t="str">
        <f>IF(F1603="Monthly interest",MAX(0,Assumptions!$B$5-I1603),"")</f>
        <v/>
      </c>
      <c r="K1603" s="7">
        <f t="shared" si="75"/>
        <v>1140</v>
      </c>
      <c r="L1603" s="9">
        <v>46263</v>
      </c>
      <c r="M1603" s="5" t="s">
        <v>50</v>
      </c>
      <c r="N1603" s="5" t="s">
        <v>70</v>
      </c>
      <c r="O1603" s="5" t="s">
        <v>271</v>
      </c>
      <c r="P1603" s="5" t="s">
        <v>72</v>
      </c>
      <c r="Q1603" s="5" t="s">
        <v>73</v>
      </c>
      <c r="R1603" s="5" t="s">
        <v>74</v>
      </c>
      <c r="S1603" s="5" t="s">
        <v>214</v>
      </c>
      <c r="T1603" s="5" t="s">
        <v>57</v>
      </c>
      <c r="U1603" s="5" t="s">
        <v>58</v>
      </c>
      <c r="V1603" s="5" t="s">
        <v>215</v>
      </c>
      <c r="W1603" s="5" t="s">
        <v>242</v>
      </c>
      <c r="X1603" s="5" t="s">
        <v>2699</v>
      </c>
      <c r="Y1603" s="5" t="s">
        <v>6590</v>
      </c>
      <c r="Z1603" s="9">
        <v>46263</v>
      </c>
      <c r="AA1603" s="8">
        <v>12</v>
      </c>
      <c r="AB1603" s="9">
        <f t="shared" si="76"/>
        <v>46628</v>
      </c>
      <c r="AC1603" s="10">
        <v>13</v>
      </c>
      <c r="AD1603" s="7">
        <f t="shared" si="77"/>
        <v>1140</v>
      </c>
      <c r="AE1603" s="7">
        <f>IF(F1603="Bullet",H1603*AD1603,MIN(MAX(I1603,1),Assumptions!$B$6)*AD1603)</f>
        <v>1140</v>
      </c>
      <c r="AF1603" s="8">
        <f>IF(F1603="Bullet",MAX(0,Assumptions!$B$4-AB1603),MAX(0,Assumptions!$B$4-L1603))</f>
        <v>0</v>
      </c>
      <c r="AG1603" s="9"/>
      <c r="AH1603" s="8" t="str">
        <f>IF(AG1603="","",Assumptions!$B$4-AG1603)</f>
        <v/>
      </c>
      <c r="AI1603" s="5" t="s">
        <v>80</v>
      </c>
      <c r="AJ1603" s="8"/>
      <c r="AK1603" s="8">
        <v>0</v>
      </c>
      <c r="AL1603" s="8">
        <v>722</v>
      </c>
      <c r="AM1603" s="8">
        <v>1</v>
      </c>
      <c r="AN1603" s="5" t="s">
        <v>63</v>
      </c>
      <c r="AO1603" s="10">
        <v>76.599999999999994</v>
      </c>
      <c r="AP1603" s="8">
        <v>12</v>
      </c>
      <c r="AQ1603" s="9">
        <v>46288</v>
      </c>
      <c r="AR1603" s="5" t="s">
        <v>51</v>
      </c>
      <c r="AS1603" s="5" t="s">
        <v>274</v>
      </c>
    </row>
    <row r="1604" spans="1:45" x14ac:dyDescent="0.35">
      <c r="A1604" s="5" t="s">
        <v>6591</v>
      </c>
      <c r="B1604" s="5" t="s">
        <v>6592</v>
      </c>
      <c r="C1604" s="6" t="s">
        <v>6593</v>
      </c>
      <c r="D1604" s="7">
        <v>107600</v>
      </c>
      <c r="E1604" s="5" t="s">
        <v>48</v>
      </c>
      <c r="F1604" s="5" t="s">
        <v>68</v>
      </c>
      <c r="G1604" s="8">
        <v>3</v>
      </c>
      <c r="H1604" s="8">
        <f>IF(F1604="Bullet",MIN(G1604,Assumptions!$B$6),"")</f>
        <v>2</v>
      </c>
      <c r="I1604" s="8"/>
      <c r="J1604" s="8" t="str">
        <f>IF(F1604="Monthly interest",MAX(0,Assumptions!$B$5-I1604),"")</f>
        <v/>
      </c>
      <c r="K1604" s="7">
        <f t="shared" si="75"/>
        <v>3228</v>
      </c>
      <c r="L1604" s="9">
        <v>46191</v>
      </c>
      <c r="M1604" s="5" t="s">
        <v>116</v>
      </c>
      <c r="N1604" s="5" t="s">
        <v>117</v>
      </c>
      <c r="O1604" s="5" t="s">
        <v>207</v>
      </c>
      <c r="P1604" s="5" t="s">
        <v>72</v>
      </c>
      <c r="Q1604" s="5" t="s">
        <v>73</v>
      </c>
      <c r="R1604" s="5" t="s">
        <v>74</v>
      </c>
      <c r="S1604" s="5" t="s">
        <v>75</v>
      </c>
      <c r="T1604" s="5" t="s">
        <v>57</v>
      </c>
      <c r="U1604" s="5" t="s">
        <v>86</v>
      </c>
      <c r="V1604" s="5" t="s">
        <v>76</v>
      </c>
      <c r="W1604" s="5" t="s">
        <v>306</v>
      </c>
      <c r="X1604" s="5" t="s">
        <v>3624</v>
      </c>
      <c r="Y1604" s="5" t="s">
        <v>6594</v>
      </c>
      <c r="Z1604" s="9">
        <v>46191</v>
      </c>
      <c r="AA1604" s="8">
        <v>3</v>
      </c>
      <c r="AB1604" s="9">
        <f t="shared" si="76"/>
        <v>46283</v>
      </c>
      <c r="AC1604" s="10">
        <v>12</v>
      </c>
      <c r="AD1604" s="7">
        <f t="shared" si="77"/>
        <v>1076</v>
      </c>
      <c r="AE1604" s="7">
        <f>IF(F1604="Bullet",H1604*AD1604,MIN(MAX(I1604,1),Assumptions!$B$6)*AD1604)</f>
        <v>2152</v>
      </c>
      <c r="AF1604" s="8">
        <f>IF(F1604="Bullet",MAX(0,Assumptions!$B$4-AB1604),MAX(0,Assumptions!$B$4-L1604))</f>
        <v>15</v>
      </c>
      <c r="AG1604" s="9"/>
      <c r="AH1604" s="8" t="str">
        <f>IF(AG1604="","",Assumptions!$B$4-AG1604)</f>
        <v/>
      </c>
      <c r="AI1604" s="5" t="s">
        <v>80</v>
      </c>
      <c r="AJ1604" s="8"/>
      <c r="AK1604" s="8">
        <v>0</v>
      </c>
      <c r="AL1604" s="8">
        <v>679</v>
      </c>
      <c r="AM1604" s="8">
        <v>4</v>
      </c>
      <c r="AN1604" s="5" t="s">
        <v>63</v>
      </c>
      <c r="AO1604" s="10">
        <v>75</v>
      </c>
      <c r="AP1604" s="8">
        <v>48</v>
      </c>
      <c r="AQ1604" s="9">
        <v>46283</v>
      </c>
      <c r="AR1604" s="5" t="s">
        <v>70</v>
      </c>
      <c r="AS1604" s="5" t="s">
        <v>81</v>
      </c>
    </row>
    <row r="1605" spans="1:45" x14ac:dyDescent="0.35">
      <c r="A1605" s="5" t="s">
        <v>6595</v>
      </c>
      <c r="B1605" s="5" t="s">
        <v>6596</v>
      </c>
      <c r="C1605" s="6" t="s">
        <v>6597</v>
      </c>
      <c r="D1605" s="7">
        <v>795400</v>
      </c>
      <c r="E1605" s="5" t="s">
        <v>48</v>
      </c>
      <c r="F1605" s="5" t="s">
        <v>68</v>
      </c>
      <c r="G1605" s="8">
        <v>6</v>
      </c>
      <c r="H1605" s="8">
        <f>IF(F1605="Bullet",MIN(G1605,Assumptions!$B$6),"")</f>
        <v>2</v>
      </c>
      <c r="I1605" s="8"/>
      <c r="J1605" s="8" t="str">
        <f>IF(F1605="Monthly interest",MAX(0,Assumptions!$B$5-I1605),"")</f>
        <v/>
      </c>
      <c r="K1605" s="7">
        <f t="shared" si="75"/>
        <v>63630</v>
      </c>
      <c r="L1605" s="9">
        <v>46103</v>
      </c>
      <c r="M1605" s="5" t="s">
        <v>116</v>
      </c>
      <c r="N1605" s="5" t="s">
        <v>117</v>
      </c>
      <c r="O1605" s="5" t="s">
        <v>461</v>
      </c>
      <c r="P1605" s="5" t="s">
        <v>72</v>
      </c>
      <c r="Q1605" s="5" t="s">
        <v>169</v>
      </c>
      <c r="R1605" s="5" t="s">
        <v>170</v>
      </c>
      <c r="S1605" s="5" t="s">
        <v>214</v>
      </c>
      <c r="T1605" s="5" t="s">
        <v>57</v>
      </c>
      <c r="U1605" s="5" t="s">
        <v>58</v>
      </c>
      <c r="V1605" s="5" t="s">
        <v>215</v>
      </c>
      <c r="W1605" s="5" t="s">
        <v>600</v>
      </c>
      <c r="X1605" s="5" t="s">
        <v>1206</v>
      </c>
      <c r="Y1605" s="5" t="s">
        <v>6598</v>
      </c>
      <c r="Z1605" s="9">
        <v>46103</v>
      </c>
      <c r="AA1605" s="8">
        <v>12</v>
      </c>
      <c r="AB1605" s="9">
        <f t="shared" si="76"/>
        <v>46468</v>
      </c>
      <c r="AC1605" s="10">
        <v>16</v>
      </c>
      <c r="AD1605" s="7">
        <f t="shared" si="77"/>
        <v>10605</v>
      </c>
      <c r="AE1605" s="7">
        <f>IF(F1605="Bullet",H1605*AD1605,MIN(MAX(I1605,1),Assumptions!$B$6)*AD1605)</f>
        <v>21210</v>
      </c>
      <c r="AF1605" s="8">
        <f>IF(F1605="Bullet",MAX(0,Assumptions!$B$4-AB1605),MAX(0,Assumptions!$B$4-L1605))</f>
        <v>0</v>
      </c>
      <c r="AG1605" s="9"/>
      <c r="AH1605" s="8" t="str">
        <f>IF(AG1605="","",Assumptions!$B$4-AG1605)</f>
        <v/>
      </c>
      <c r="AI1605" s="5" t="s">
        <v>80</v>
      </c>
      <c r="AJ1605" s="8"/>
      <c r="AK1605" s="8">
        <v>2</v>
      </c>
      <c r="AL1605" s="8">
        <v>625</v>
      </c>
      <c r="AM1605" s="8">
        <v>1</v>
      </c>
      <c r="AN1605" s="5" t="s">
        <v>63</v>
      </c>
      <c r="AO1605" s="10">
        <v>61.4</v>
      </c>
      <c r="AP1605" s="8">
        <v>50</v>
      </c>
      <c r="AQ1605" s="9">
        <v>46288</v>
      </c>
      <c r="AR1605" s="5" t="s">
        <v>53</v>
      </c>
      <c r="AS1605" s="5" t="s">
        <v>274</v>
      </c>
    </row>
    <row r="1606" spans="1:45" x14ac:dyDescent="0.35">
      <c r="A1606" s="5" t="s">
        <v>6599</v>
      </c>
      <c r="B1606" s="5" t="s">
        <v>2812</v>
      </c>
      <c r="C1606" s="6" t="s">
        <v>6600</v>
      </c>
      <c r="D1606" s="7">
        <v>810800</v>
      </c>
      <c r="E1606" s="5" t="s">
        <v>48</v>
      </c>
      <c r="F1606" s="5" t="s">
        <v>49</v>
      </c>
      <c r="G1606" s="8"/>
      <c r="H1606" s="8" t="str">
        <f>IF(F1606="Bullet",MIN(G1606,Assumptions!$B$6),"")</f>
        <v/>
      </c>
      <c r="I1606" s="8">
        <v>1</v>
      </c>
      <c r="J1606" s="8">
        <f>IF(F1606="Monthly interest",MAX(0,Assumptions!$B$5-I1606),"")</f>
        <v>2</v>
      </c>
      <c r="K1606" s="7">
        <f t="shared" si="75"/>
        <v>10811</v>
      </c>
      <c r="L1606" s="9">
        <v>46280</v>
      </c>
      <c r="M1606" s="5" t="s">
        <v>50</v>
      </c>
      <c r="N1606" s="5" t="s">
        <v>51</v>
      </c>
      <c r="O1606" s="5" t="s">
        <v>52</v>
      </c>
      <c r="P1606" s="5" t="s">
        <v>53</v>
      </c>
      <c r="Q1606" s="5" t="s">
        <v>54</v>
      </c>
      <c r="R1606" s="5" t="s">
        <v>55</v>
      </c>
      <c r="S1606" s="5" t="s">
        <v>214</v>
      </c>
      <c r="T1606" s="5" t="s">
        <v>57</v>
      </c>
      <c r="U1606" s="5" t="s">
        <v>86</v>
      </c>
      <c r="V1606" s="5" t="s">
        <v>215</v>
      </c>
      <c r="W1606" s="5" t="s">
        <v>1057</v>
      </c>
      <c r="X1606" s="5" t="s">
        <v>6601</v>
      </c>
      <c r="Y1606" s="5" t="s">
        <v>6602</v>
      </c>
      <c r="Z1606" s="9">
        <v>46157</v>
      </c>
      <c r="AA1606" s="8">
        <v>12</v>
      </c>
      <c r="AB1606" s="9">
        <f t="shared" si="76"/>
        <v>46522</v>
      </c>
      <c r="AC1606" s="10">
        <v>16</v>
      </c>
      <c r="AD1606" s="7">
        <f t="shared" si="77"/>
        <v>10811</v>
      </c>
      <c r="AE1606" s="7">
        <f>IF(F1606="Bullet",H1606*AD1606,MIN(MAX(I1606,1),Assumptions!$B$6)*AD1606)</f>
        <v>10811</v>
      </c>
      <c r="AF1606" s="8">
        <f>IF(F1606="Bullet",MAX(0,Assumptions!$B$4-AB1606),MAX(0,Assumptions!$B$4-L1606))</f>
        <v>18</v>
      </c>
      <c r="AG1606" s="9">
        <v>46252</v>
      </c>
      <c r="AH1606" s="8">
        <f>IF(AG1606="","",Assumptions!$B$4-AG1606)</f>
        <v>46</v>
      </c>
      <c r="AI1606" s="5" t="s">
        <v>57</v>
      </c>
      <c r="AJ1606" s="8">
        <v>1</v>
      </c>
      <c r="AK1606" s="8">
        <v>1</v>
      </c>
      <c r="AL1606" s="8">
        <v>804</v>
      </c>
      <c r="AM1606" s="8">
        <v>0</v>
      </c>
      <c r="AN1606" s="5" t="s">
        <v>57</v>
      </c>
      <c r="AO1606" s="10">
        <v>59</v>
      </c>
      <c r="AP1606" s="8">
        <v>23</v>
      </c>
      <c r="AQ1606" s="9"/>
      <c r="AR1606" s="5"/>
      <c r="AS1606" s="5" t="s">
        <v>159</v>
      </c>
    </row>
    <row r="1607" spans="1:45" x14ac:dyDescent="0.35">
      <c r="A1607" s="5" t="s">
        <v>6603</v>
      </c>
      <c r="B1607" s="5" t="s">
        <v>6604</v>
      </c>
      <c r="C1607" s="6" t="s">
        <v>6605</v>
      </c>
      <c r="D1607" s="7">
        <v>320900</v>
      </c>
      <c r="E1607" s="5" t="s">
        <v>48</v>
      </c>
      <c r="F1607" s="5" t="s">
        <v>68</v>
      </c>
      <c r="G1607" s="8">
        <v>3</v>
      </c>
      <c r="H1607" s="8">
        <f>IF(F1607="Bullet",MIN(G1607,Assumptions!$B$6),"")</f>
        <v>2</v>
      </c>
      <c r="I1607" s="8"/>
      <c r="J1607" s="8" t="str">
        <f>IF(F1607="Monthly interest",MAX(0,Assumptions!$B$5-I1607),"")</f>
        <v/>
      </c>
      <c r="K1607" s="7">
        <f t="shared" si="75"/>
        <v>9627</v>
      </c>
      <c r="L1607" s="9">
        <v>46199</v>
      </c>
      <c r="M1607" s="5" t="s">
        <v>50</v>
      </c>
      <c r="N1607" s="5" t="s">
        <v>53</v>
      </c>
      <c r="O1607" s="5" t="s">
        <v>71</v>
      </c>
      <c r="P1607" s="5" t="s">
        <v>51</v>
      </c>
      <c r="Q1607" s="5" t="s">
        <v>73</v>
      </c>
      <c r="R1607" s="5" t="s">
        <v>74</v>
      </c>
      <c r="S1607" s="5" t="s">
        <v>56</v>
      </c>
      <c r="T1607" s="5" t="s">
        <v>57</v>
      </c>
      <c r="U1607" s="5" t="s">
        <v>86</v>
      </c>
      <c r="V1607" s="5" t="s">
        <v>59</v>
      </c>
      <c r="W1607" s="5" t="s">
        <v>60</v>
      </c>
      <c r="X1607" s="5" t="s">
        <v>1595</v>
      </c>
      <c r="Y1607" s="5" t="s">
        <v>6606</v>
      </c>
      <c r="Z1607" s="9">
        <v>46199</v>
      </c>
      <c r="AA1607" s="8">
        <v>6</v>
      </c>
      <c r="AB1607" s="9">
        <f t="shared" si="76"/>
        <v>46382</v>
      </c>
      <c r="AC1607" s="10">
        <v>12</v>
      </c>
      <c r="AD1607" s="7">
        <f t="shared" si="77"/>
        <v>3209</v>
      </c>
      <c r="AE1607" s="7">
        <f>IF(F1607="Bullet",H1607*AD1607,MIN(MAX(I1607,1),Assumptions!$B$6)*AD1607)</f>
        <v>6418</v>
      </c>
      <c r="AF1607" s="8">
        <f>IF(F1607="Bullet",MAX(0,Assumptions!$B$4-AB1607),MAX(0,Assumptions!$B$4-L1607))</f>
        <v>0</v>
      </c>
      <c r="AG1607" s="9"/>
      <c r="AH1607" s="8" t="str">
        <f>IF(AG1607="","",Assumptions!$B$4-AG1607)</f>
        <v/>
      </c>
      <c r="AI1607" s="5" t="s">
        <v>80</v>
      </c>
      <c r="AJ1607" s="8"/>
      <c r="AK1607" s="8">
        <v>2</v>
      </c>
      <c r="AL1607" s="8">
        <v>709</v>
      </c>
      <c r="AM1607" s="8">
        <v>0</v>
      </c>
      <c r="AN1607" s="5" t="s">
        <v>63</v>
      </c>
      <c r="AO1607" s="10">
        <v>68</v>
      </c>
      <c r="AP1607" s="8">
        <v>24</v>
      </c>
      <c r="AQ1607" s="9">
        <v>46281</v>
      </c>
      <c r="AR1607" s="5" t="s">
        <v>70</v>
      </c>
      <c r="AS1607" s="5" t="s">
        <v>81</v>
      </c>
    </row>
    <row r="1608" spans="1:45" x14ac:dyDescent="0.35">
      <c r="A1608" s="5" t="s">
        <v>6607</v>
      </c>
      <c r="B1608" s="5" t="s">
        <v>5618</v>
      </c>
      <c r="C1608" s="6" t="s">
        <v>6608</v>
      </c>
      <c r="D1608" s="7">
        <v>49400</v>
      </c>
      <c r="E1608" s="5" t="s">
        <v>48</v>
      </c>
      <c r="F1608" s="5" t="s">
        <v>68</v>
      </c>
      <c r="G1608" s="8">
        <v>6</v>
      </c>
      <c r="H1608" s="8">
        <f>IF(F1608="Bullet",MIN(G1608,Assumptions!$B$6),"")</f>
        <v>2</v>
      </c>
      <c r="I1608" s="8"/>
      <c r="J1608" s="8" t="str">
        <f>IF(F1608="Monthly interest",MAX(0,Assumptions!$B$5-I1608),"")</f>
        <v/>
      </c>
      <c r="K1608" s="7">
        <f t="shared" si="75"/>
        <v>3708</v>
      </c>
      <c r="L1608" s="9">
        <v>46103</v>
      </c>
      <c r="M1608" s="5" t="s">
        <v>116</v>
      </c>
      <c r="N1608" s="5" t="s">
        <v>117</v>
      </c>
      <c r="O1608" s="5" t="s">
        <v>461</v>
      </c>
      <c r="P1608" s="5" t="s">
        <v>72</v>
      </c>
      <c r="Q1608" s="5" t="s">
        <v>169</v>
      </c>
      <c r="R1608" s="5" t="s">
        <v>170</v>
      </c>
      <c r="S1608" s="5" t="s">
        <v>85</v>
      </c>
      <c r="T1608" s="5" t="s">
        <v>57</v>
      </c>
      <c r="U1608" s="5" t="s">
        <v>104</v>
      </c>
      <c r="V1608" s="5" t="s">
        <v>177</v>
      </c>
      <c r="W1608" s="5" t="s">
        <v>208</v>
      </c>
      <c r="X1608" s="5" t="s">
        <v>904</v>
      </c>
      <c r="Y1608" s="5" t="s">
        <v>6609</v>
      </c>
      <c r="Z1608" s="9">
        <v>46103</v>
      </c>
      <c r="AA1608" s="8">
        <v>6</v>
      </c>
      <c r="AB1608" s="9">
        <f t="shared" si="76"/>
        <v>46287</v>
      </c>
      <c r="AC1608" s="10">
        <v>15</v>
      </c>
      <c r="AD1608" s="7">
        <f t="shared" si="77"/>
        <v>618</v>
      </c>
      <c r="AE1608" s="7">
        <f>IF(F1608="Bullet",H1608*AD1608,MIN(MAX(I1608,1),Assumptions!$B$6)*AD1608)</f>
        <v>1236</v>
      </c>
      <c r="AF1608" s="8">
        <f>IF(F1608="Bullet",MAX(0,Assumptions!$B$4-AB1608),MAX(0,Assumptions!$B$4-L1608))</f>
        <v>11</v>
      </c>
      <c r="AG1608" s="9"/>
      <c r="AH1608" s="8" t="str">
        <f>IF(AG1608="","",Assumptions!$B$4-AG1608)</f>
        <v/>
      </c>
      <c r="AI1608" s="5" t="s">
        <v>80</v>
      </c>
      <c r="AJ1608" s="8"/>
      <c r="AK1608" s="8">
        <v>1</v>
      </c>
      <c r="AL1608" s="8">
        <v>577</v>
      </c>
      <c r="AM1608" s="8">
        <v>0</v>
      </c>
      <c r="AN1608" s="5" t="s">
        <v>63</v>
      </c>
      <c r="AO1608" s="10">
        <v>79.400000000000006</v>
      </c>
      <c r="AP1608" s="8">
        <v>78</v>
      </c>
      <c r="AQ1608" s="9">
        <v>46276</v>
      </c>
      <c r="AR1608" s="5" t="s">
        <v>70</v>
      </c>
      <c r="AS1608" s="5" t="s">
        <v>91</v>
      </c>
    </row>
    <row r="1609" spans="1:45" x14ac:dyDescent="0.35">
      <c r="A1609" s="5" t="s">
        <v>6610</v>
      </c>
      <c r="B1609" s="5" t="s">
        <v>6611</v>
      </c>
      <c r="C1609" s="6" t="s">
        <v>6612</v>
      </c>
      <c r="D1609" s="7">
        <v>152600</v>
      </c>
      <c r="E1609" s="5" t="s">
        <v>48</v>
      </c>
      <c r="F1609" s="5" t="s">
        <v>49</v>
      </c>
      <c r="G1609" s="8"/>
      <c r="H1609" s="8" t="str">
        <f>IF(F1609="Bullet",MIN(G1609,Assumptions!$B$6),"")</f>
        <v/>
      </c>
      <c r="I1609" s="8">
        <v>2</v>
      </c>
      <c r="J1609" s="8">
        <f>IF(F1609="Monthly interest",MAX(0,Assumptions!$B$5-I1609),"")</f>
        <v>1</v>
      </c>
      <c r="K1609" s="7">
        <f t="shared" si="75"/>
        <v>3816</v>
      </c>
      <c r="L1609" s="9">
        <v>46252</v>
      </c>
      <c r="M1609" s="5" t="s">
        <v>69</v>
      </c>
      <c r="N1609" s="5" t="s">
        <v>53</v>
      </c>
      <c r="O1609" s="5" t="s">
        <v>71</v>
      </c>
      <c r="P1609" s="5" t="s">
        <v>70</v>
      </c>
      <c r="Q1609" s="5" t="s">
        <v>73</v>
      </c>
      <c r="R1609" s="5" t="s">
        <v>74</v>
      </c>
      <c r="S1609" s="5" t="s">
        <v>214</v>
      </c>
      <c r="T1609" s="5" t="s">
        <v>57</v>
      </c>
      <c r="U1609" s="5" t="s">
        <v>58</v>
      </c>
      <c r="V1609" s="5" t="s">
        <v>215</v>
      </c>
      <c r="W1609" s="5" t="s">
        <v>600</v>
      </c>
      <c r="X1609" s="5" t="s">
        <v>1206</v>
      </c>
      <c r="Y1609" s="5" t="s">
        <v>6613</v>
      </c>
      <c r="Z1609" s="9">
        <v>46009</v>
      </c>
      <c r="AA1609" s="8">
        <v>12</v>
      </c>
      <c r="AB1609" s="9">
        <f t="shared" si="76"/>
        <v>46374</v>
      </c>
      <c r="AC1609" s="10">
        <v>15</v>
      </c>
      <c r="AD1609" s="7">
        <f t="shared" si="77"/>
        <v>1908</v>
      </c>
      <c r="AE1609" s="7">
        <f>IF(F1609="Bullet",H1609*AD1609,MIN(MAX(I1609,1),Assumptions!$B$6)*AD1609)</f>
        <v>3816</v>
      </c>
      <c r="AF1609" s="8">
        <f>IF(F1609="Bullet",MAX(0,Assumptions!$B$4-AB1609),MAX(0,Assumptions!$B$4-L1609))</f>
        <v>46</v>
      </c>
      <c r="AG1609" s="9">
        <v>46223</v>
      </c>
      <c r="AH1609" s="8">
        <f>IF(AG1609="","",Assumptions!$B$4-AG1609)</f>
        <v>75</v>
      </c>
      <c r="AI1609" s="5" t="s">
        <v>63</v>
      </c>
      <c r="AJ1609" s="8">
        <v>2</v>
      </c>
      <c r="AK1609" s="8">
        <v>0</v>
      </c>
      <c r="AL1609" s="8">
        <v>741</v>
      </c>
      <c r="AM1609" s="8">
        <v>1</v>
      </c>
      <c r="AN1609" s="5" t="s">
        <v>63</v>
      </c>
      <c r="AO1609" s="10">
        <v>62.9</v>
      </c>
      <c r="AP1609" s="8">
        <v>44</v>
      </c>
      <c r="AQ1609" s="9"/>
      <c r="AR1609" s="5"/>
      <c r="AS1609" s="5" t="s">
        <v>159</v>
      </c>
    </row>
    <row r="1610" spans="1:45" x14ac:dyDescent="0.35">
      <c r="A1610" s="5" t="s">
        <v>6614</v>
      </c>
      <c r="B1610" s="5" t="s">
        <v>3634</v>
      </c>
      <c r="C1610" s="6" t="s">
        <v>6615</v>
      </c>
      <c r="D1610" s="7">
        <v>36700</v>
      </c>
      <c r="E1610" s="5" t="s">
        <v>48</v>
      </c>
      <c r="F1610" s="5" t="s">
        <v>49</v>
      </c>
      <c r="G1610" s="8"/>
      <c r="H1610" s="8" t="str">
        <f>IF(F1610="Bullet",MIN(G1610,Assumptions!$B$6),"")</f>
        <v/>
      </c>
      <c r="I1610" s="8">
        <v>2</v>
      </c>
      <c r="J1610" s="8">
        <f>IF(F1610="Monthly interest",MAX(0,Assumptions!$B$5-I1610),"")</f>
        <v>1</v>
      </c>
      <c r="K1610" s="7">
        <f t="shared" si="75"/>
        <v>856</v>
      </c>
      <c r="L1610" s="9">
        <v>46261</v>
      </c>
      <c r="M1610" s="5" t="s">
        <v>116</v>
      </c>
      <c r="N1610" s="5" t="s">
        <v>117</v>
      </c>
      <c r="O1610" s="5" t="s">
        <v>450</v>
      </c>
      <c r="P1610" s="5" t="s">
        <v>72</v>
      </c>
      <c r="Q1610" s="5" t="s">
        <v>154</v>
      </c>
      <c r="R1610" s="5" t="s">
        <v>155</v>
      </c>
      <c r="S1610" s="5" t="s">
        <v>85</v>
      </c>
      <c r="T1610" s="5" t="s">
        <v>57</v>
      </c>
      <c r="U1610" s="5" t="s">
        <v>104</v>
      </c>
      <c r="V1610" s="5" t="s">
        <v>87</v>
      </c>
      <c r="W1610" s="5" t="s">
        <v>254</v>
      </c>
      <c r="X1610" s="5" t="s">
        <v>6616</v>
      </c>
      <c r="Y1610" s="5" t="s">
        <v>6617</v>
      </c>
      <c r="Z1610" s="9">
        <v>46108</v>
      </c>
      <c r="AA1610" s="8">
        <v>12</v>
      </c>
      <c r="AB1610" s="9">
        <f t="shared" si="76"/>
        <v>46473</v>
      </c>
      <c r="AC1610" s="10">
        <v>14</v>
      </c>
      <c r="AD1610" s="7">
        <f t="shared" si="77"/>
        <v>428</v>
      </c>
      <c r="AE1610" s="7">
        <f>IF(F1610="Bullet",H1610*AD1610,MIN(MAX(I1610,1),Assumptions!$B$6)*AD1610)</f>
        <v>856</v>
      </c>
      <c r="AF1610" s="8">
        <f>IF(F1610="Bullet",MAX(0,Assumptions!$B$4-AB1610),MAX(0,Assumptions!$B$4-L1610))</f>
        <v>37</v>
      </c>
      <c r="AG1610" s="9">
        <v>46233</v>
      </c>
      <c r="AH1610" s="8">
        <f>IF(AG1610="","",Assumptions!$B$4-AG1610)</f>
        <v>65</v>
      </c>
      <c r="AI1610" s="5" t="s">
        <v>63</v>
      </c>
      <c r="AJ1610" s="8">
        <v>2</v>
      </c>
      <c r="AK1610" s="8">
        <v>1</v>
      </c>
      <c r="AL1610" s="8">
        <v>664</v>
      </c>
      <c r="AM1610" s="8">
        <v>0</v>
      </c>
      <c r="AN1610" s="5" t="s">
        <v>63</v>
      </c>
      <c r="AO1610" s="10">
        <v>56.5</v>
      </c>
      <c r="AP1610" s="8">
        <v>51</v>
      </c>
      <c r="AQ1610" s="9">
        <v>46289</v>
      </c>
      <c r="AR1610" s="5" t="s">
        <v>51</v>
      </c>
      <c r="AS1610" s="5" t="s">
        <v>91</v>
      </c>
    </row>
    <row r="1611" spans="1:45" x14ac:dyDescent="0.35">
      <c r="A1611" s="5" t="s">
        <v>6618</v>
      </c>
      <c r="B1611" s="5" t="s">
        <v>109</v>
      </c>
      <c r="C1611" s="6" t="s">
        <v>6619</v>
      </c>
      <c r="D1611" s="7">
        <v>227000</v>
      </c>
      <c r="E1611" s="5" t="s">
        <v>48</v>
      </c>
      <c r="F1611" s="5" t="s">
        <v>49</v>
      </c>
      <c r="G1611" s="8"/>
      <c r="H1611" s="8" t="str">
        <f>IF(F1611="Bullet",MIN(G1611,Assumptions!$B$6),"")</f>
        <v/>
      </c>
      <c r="I1611" s="8">
        <v>1</v>
      </c>
      <c r="J1611" s="8">
        <f>IF(F1611="Monthly interest",MAX(0,Assumptions!$B$5-I1611),"")</f>
        <v>2</v>
      </c>
      <c r="K1611" s="7">
        <f t="shared" si="75"/>
        <v>2648</v>
      </c>
      <c r="L1611" s="9">
        <v>46298</v>
      </c>
      <c r="M1611" s="5" t="s">
        <v>50</v>
      </c>
      <c r="N1611" s="5" t="s">
        <v>51</v>
      </c>
      <c r="O1611" s="5" t="s">
        <v>52</v>
      </c>
      <c r="P1611" s="5" t="s">
        <v>53</v>
      </c>
      <c r="Q1611" s="5" t="s">
        <v>54</v>
      </c>
      <c r="R1611" s="5" t="s">
        <v>55</v>
      </c>
      <c r="S1611" s="5" t="s">
        <v>75</v>
      </c>
      <c r="T1611" s="5" t="s">
        <v>57</v>
      </c>
      <c r="U1611" s="5" t="s">
        <v>86</v>
      </c>
      <c r="V1611" s="5" t="s">
        <v>76</v>
      </c>
      <c r="W1611" s="5" t="s">
        <v>77</v>
      </c>
      <c r="X1611" s="5" t="s">
        <v>6620</v>
      </c>
      <c r="Y1611" s="5" t="s">
        <v>6621</v>
      </c>
      <c r="Z1611" s="9">
        <v>46206</v>
      </c>
      <c r="AA1611" s="8">
        <v>12</v>
      </c>
      <c r="AB1611" s="9">
        <f t="shared" si="76"/>
        <v>46571</v>
      </c>
      <c r="AC1611" s="10">
        <v>14</v>
      </c>
      <c r="AD1611" s="7">
        <f t="shared" si="77"/>
        <v>2648</v>
      </c>
      <c r="AE1611" s="7">
        <f>IF(F1611="Bullet",H1611*AD1611,MIN(MAX(I1611,1),Assumptions!$B$6)*AD1611)</f>
        <v>2648</v>
      </c>
      <c r="AF1611" s="8">
        <f>IF(F1611="Bullet",MAX(0,Assumptions!$B$4-AB1611),MAX(0,Assumptions!$B$4-L1611))</f>
        <v>0</v>
      </c>
      <c r="AG1611" s="9">
        <v>46268</v>
      </c>
      <c r="AH1611" s="8">
        <f>IF(AG1611="","",Assumptions!$B$4-AG1611)</f>
        <v>30</v>
      </c>
      <c r="AI1611" s="5" t="s">
        <v>57</v>
      </c>
      <c r="AJ1611" s="8">
        <v>1</v>
      </c>
      <c r="AK1611" s="8">
        <v>0</v>
      </c>
      <c r="AL1611" s="8">
        <v>765</v>
      </c>
      <c r="AM1611" s="8">
        <v>0</v>
      </c>
      <c r="AN1611" s="5" t="s">
        <v>63</v>
      </c>
      <c r="AO1611" s="10">
        <v>60.7</v>
      </c>
      <c r="AP1611" s="8">
        <v>16</v>
      </c>
      <c r="AQ1611" s="9">
        <v>46274</v>
      </c>
      <c r="AR1611" s="5" t="s">
        <v>70</v>
      </c>
      <c r="AS1611" s="5" t="s">
        <v>64</v>
      </c>
    </row>
    <row r="1612" spans="1:45" x14ac:dyDescent="0.35">
      <c r="A1612" s="5" t="s">
        <v>6622</v>
      </c>
      <c r="B1612" s="5" t="s">
        <v>6623</v>
      </c>
      <c r="C1612" s="6" t="s">
        <v>6624</v>
      </c>
      <c r="D1612" s="7">
        <v>180800</v>
      </c>
      <c r="E1612" s="5" t="s">
        <v>48</v>
      </c>
      <c r="F1612" s="5" t="s">
        <v>68</v>
      </c>
      <c r="G1612" s="8">
        <v>2</v>
      </c>
      <c r="H1612" s="8">
        <f>IF(F1612="Bullet",MIN(G1612,Assumptions!$B$6),"")</f>
        <v>2</v>
      </c>
      <c r="I1612" s="8"/>
      <c r="J1612" s="8" t="str">
        <f>IF(F1612="Monthly interest",MAX(0,Assumptions!$B$5-I1612),"")</f>
        <v/>
      </c>
      <c r="K1612" s="7">
        <f t="shared" si="75"/>
        <v>3616</v>
      </c>
      <c r="L1612" s="9">
        <v>46214</v>
      </c>
      <c r="M1612" s="5" t="s">
        <v>50</v>
      </c>
      <c r="N1612" s="5" t="s">
        <v>51</v>
      </c>
      <c r="O1612" s="5" t="s">
        <v>71</v>
      </c>
      <c r="P1612" s="5" t="s">
        <v>53</v>
      </c>
      <c r="Q1612" s="5" t="s">
        <v>73</v>
      </c>
      <c r="R1612" s="5" t="s">
        <v>74</v>
      </c>
      <c r="S1612" s="5" t="s">
        <v>185</v>
      </c>
      <c r="T1612" s="5" t="s">
        <v>57</v>
      </c>
      <c r="U1612" s="5" t="s">
        <v>86</v>
      </c>
      <c r="V1612" s="5" t="s">
        <v>200</v>
      </c>
      <c r="W1612" s="5" t="s">
        <v>767</v>
      </c>
      <c r="X1612" s="5" t="s">
        <v>997</v>
      </c>
      <c r="Y1612" s="5" t="s">
        <v>6625</v>
      </c>
      <c r="Z1612" s="9">
        <v>46214</v>
      </c>
      <c r="AA1612" s="8">
        <v>12</v>
      </c>
      <c r="AB1612" s="9">
        <f t="shared" si="76"/>
        <v>46579</v>
      </c>
      <c r="AC1612" s="10">
        <v>12</v>
      </c>
      <c r="AD1612" s="7">
        <f t="shared" si="77"/>
        <v>1808</v>
      </c>
      <c r="AE1612" s="7">
        <f>IF(F1612="Bullet",H1612*AD1612,MIN(MAX(I1612,1),Assumptions!$B$6)*AD1612)</f>
        <v>3616</v>
      </c>
      <c r="AF1612" s="8">
        <f>IF(F1612="Bullet",MAX(0,Assumptions!$B$4-AB1612),MAX(0,Assumptions!$B$4-L1612))</f>
        <v>0</v>
      </c>
      <c r="AG1612" s="9"/>
      <c r="AH1612" s="8" t="str">
        <f>IF(AG1612="","",Assumptions!$B$4-AG1612)</f>
        <v/>
      </c>
      <c r="AI1612" s="5" t="s">
        <v>80</v>
      </c>
      <c r="AJ1612" s="8"/>
      <c r="AK1612" s="8">
        <v>1</v>
      </c>
      <c r="AL1612" s="8">
        <v>727</v>
      </c>
      <c r="AM1612" s="8">
        <v>1</v>
      </c>
      <c r="AN1612" s="5" t="s">
        <v>63</v>
      </c>
      <c r="AO1612" s="10">
        <v>55.9</v>
      </c>
      <c r="AP1612" s="8">
        <v>18</v>
      </c>
      <c r="AQ1612" s="9">
        <v>46288</v>
      </c>
      <c r="AR1612" s="5" t="s">
        <v>70</v>
      </c>
      <c r="AS1612" s="5" t="s">
        <v>91</v>
      </c>
    </row>
    <row r="1613" spans="1:45" x14ac:dyDescent="0.35">
      <c r="A1613" s="5" t="s">
        <v>6626</v>
      </c>
      <c r="B1613" s="5" t="s">
        <v>1677</v>
      </c>
      <c r="C1613" s="6" t="s">
        <v>6627</v>
      </c>
      <c r="D1613" s="7">
        <v>284500</v>
      </c>
      <c r="E1613" s="5" t="s">
        <v>48</v>
      </c>
      <c r="F1613" s="5" t="s">
        <v>49</v>
      </c>
      <c r="G1613" s="8"/>
      <c r="H1613" s="8" t="str">
        <f>IF(F1613="Bullet",MIN(G1613,Assumptions!$B$6),"")</f>
        <v/>
      </c>
      <c r="I1613" s="8">
        <v>2</v>
      </c>
      <c r="J1613" s="8">
        <f>IF(F1613="Monthly interest",MAX(0,Assumptions!$B$5-I1613),"")</f>
        <v>1</v>
      </c>
      <c r="K1613" s="7">
        <f t="shared" si="75"/>
        <v>11380</v>
      </c>
      <c r="L1613" s="9">
        <v>46258</v>
      </c>
      <c r="M1613" s="5" t="s">
        <v>69</v>
      </c>
      <c r="N1613" s="5" t="s">
        <v>70</v>
      </c>
      <c r="O1613" s="5" t="s">
        <v>71</v>
      </c>
      <c r="P1613" s="5" t="s">
        <v>72</v>
      </c>
      <c r="Q1613" s="5" t="s">
        <v>73</v>
      </c>
      <c r="R1613" s="5" t="s">
        <v>74</v>
      </c>
      <c r="S1613" s="5" t="s">
        <v>85</v>
      </c>
      <c r="T1613" s="5" t="s">
        <v>57</v>
      </c>
      <c r="U1613" s="5" t="s">
        <v>104</v>
      </c>
      <c r="V1613" s="5" t="s">
        <v>96</v>
      </c>
      <c r="W1613" s="5" t="s">
        <v>265</v>
      </c>
      <c r="X1613" s="5" t="s">
        <v>2847</v>
      </c>
      <c r="Y1613" s="5" t="s">
        <v>6628</v>
      </c>
      <c r="Z1613" s="9">
        <v>46046</v>
      </c>
      <c r="AA1613" s="8">
        <v>18</v>
      </c>
      <c r="AB1613" s="9">
        <f t="shared" si="76"/>
        <v>46592</v>
      </c>
      <c r="AC1613" s="10">
        <v>24</v>
      </c>
      <c r="AD1613" s="7">
        <f t="shared" si="77"/>
        <v>5690</v>
      </c>
      <c r="AE1613" s="7">
        <f>IF(F1613="Bullet",H1613*AD1613,MIN(MAX(I1613,1),Assumptions!$B$6)*AD1613)</f>
        <v>11380</v>
      </c>
      <c r="AF1613" s="8">
        <f>IF(F1613="Bullet",MAX(0,Assumptions!$B$4-AB1613),MAX(0,Assumptions!$B$4-L1613))</f>
        <v>40</v>
      </c>
      <c r="AG1613" s="9">
        <v>46227</v>
      </c>
      <c r="AH1613" s="8">
        <f>IF(AG1613="","",Assumptions!$B$4-AG1613)</f>
        <v>71</v>
      </c>
      <c r="AI1613" s="5" t="s">
        <v>57</v>
      </c>
      <c r="AJ1613" s="8">
        <v>2</v>
      </c>
      <c r="AK1613" s="8">
        <v>0</v>
      </c>
      <c r="AL1613" s="8" t="s">
        <v>80</v>
      </c>
      <c r="AM1613" s="8">
        <v>1</v>
      </c>
      <c r="AN1613" s="5" t="s">
        <v>63</v>
      </c>
      <c r="AO1613" s="10">
        <v>70.900000000000006</v>
      </c>
      <c r="AP1613" s="8">
        <v>41</v>
      </c>
      <c r="AQ1613" s="9">
        <v>46287</v>
      </c>
      <c r="AR1613" s="5" t="s">
        <v>70</v>
      </c>
      <c r="AS1613" s="5" t="s">
        <v>81</v>
      </c>
    </row>
    <row r="1614" spans="1:45" x14ac:dyDescent="0.35">
      <c r="A1614" s="5" t="s">
        <v>6629</v>
      </c>
      <c r="B1614" s="5" t="s">
        <v>6630</v>
      </c>
      <c r="C1614" s="6" t="s">
        <v>6631</v>
      </c>
      <c r="D1614" s="7">
        <v>30600</v>
      </c>
      <c r="E1614" s="5" t="s">
        <v>48</v>
      </c>
      <c r="F1614" s="5" t="s">
        <v>49</v>
      </c>
      <c r="G1614" s="8"/>
      <c r="H1614" s="8" t="str">
        <f>IF(F1614="Bullet",MIN(G1614,Assumptions!$B$6),"")</f>
        <v/>
      </c>
      <c r="I1614" s="8">
        <v>2</v>
      </c>
      <c r="J1614" s="8">
        <f>IF(F1614="Monthly interest",MAX(0,Assumptions!$B$5-I1614),"")</f>
        <v>1</v>
      </c>
      <c r="K1614" s="7">
        <f t="shared" si="75"/>
        <v>816</v>
      </c>
      <c r="L1614" s="9">
        <v>46256</v>
      </c>
      <c r="M1614" s="5" t="s">
        <v>69</v>
      </c>
      <c r="N1614" s="5" t="s">
        <v>53</v>
      </c>
      <c r="O1614" s="5" t="s">
        <v>152</v>
      </c>
      <c r="P1614" s="5" t="s">
        <v>153</v>
      </c>
      <c r="Q1614" s="5" t="s">
        <v>154</v>
      </c>
      <c r="R1614" s="5" t="s">
        <v>155</v>
      </c>
      <c r="S1614" s="5" t="s">
        <v>75</v>
      </c>
      <c r="T1614" s="5" t="s">
        <v>63</v>
      </c>
      <c r="U1614" s="5" t="s">
        <v>58</v>
      </c>
      <c r="V1614" s="5" t="s">
        <v>76</v>
      </c>
      <c r="W1614" s="5" t="s">
        <v>140</v>
      </c>
      <c r="X1614" s="5" t="s">
        <v>141</v>
      </c>
      <c r="Y1614" s="5" t="s">
        <v>6632</v>
      </c>
      <c r="Z1614" s="9">
        <v>46195</v>
      </c>
      <c r="AA1614" s="8">
        <v>12</v>
      </c>
      <c r="AB1614" s="9">
        <f t="shared" si="76"/>
        <v>46560</v>
      </c>
      <c r="AC1614" s="10">
        <v>16</v>
      </c>
      <c r="AD1614" s="7">
        <f t="shared" si="77"/>
        <v>408</v>
      </c>
      <c r="AE1614" s="7">
        <f>IF(F1614="Bullet",H1614*AD1614,MIN(MAX(I1614,1),Assumptions!$B$6)*AD1614)</f>
        <v>816</v>
      </c>
      <c r="AF1614" s="8">
        <f>IF(F1614="Bullet",MAX(0,Assumptions!$B$4-AB1614),MAX(0,Assumptions!$B$4-L1614))</f>
        <v>42</v>
      </c>
      <c r="AG1614" s="9">
        <v>46227</v>
      </c>
      <c r="AH1614" s="8">
        <f>IF(AG1614="","",Assumptions!$B$4-AG1614)</f>
        <v>71</v>
      </c>
      <c r="AI1614" s="5" t="s">
        <v>57</v>
      </c>
      <c r="AJ1614" s="8">
        <v>2</v>
      </c>
      <c r="AK1614" s="8">
        <v>1</v>
      </c>
      <c r="AL1614" s="8">
        <v>765</v>
      </c>
      <c r="AM1614" s="8">
        <v>2</v>
      </c>
      <c r="AN1614" s="5" t="s">
        <v>63</v>
      </c>
      <c r="AO1614" s="10">
        <v>71.400000000000006</v>
      </c>
      <c r="AP1614" s="8">
        <v>45</v>
      </c>
      <c r="AQ1614" s="9">
        <v>46282</v>
      </c>
      <c r="AR1614" s="5" t="s">
        <v>51</v>
      </c>
      <c r="AS1614" s="5" t="s">
        <v>181</v>
      </c>
    </row>
    <row r="1615" spans="1:45" x14ac:dyDescent="0.35">
      <c r="A1615" s="5" t="s">
        <v>6633</v>
      </c>
      <c r="B1615" s="5" t="s">
        <v>6140</v>
      </c>
      <c r="C1615" s="6" t="s">
        <v>6634</v>
      </c>
      <c r="D1615" s="7">
        <v>53200</v>
      </c>
      <c r="E1615" s="5" t="s">
        <v>48</v>
      </c>
      <c r="F1615" s="5" t="s">
        <v>49</v>
      </c>
      <c r="G1615" s="8"/>
      <c r="H1615" s="8" t="str">
        <f>IF(F1615="Bullet",MIN(G1615,Assumptions!$B$6),"")</f>
        <v/>
      </c>
      <c r="I1615" s="8">
        <v>2</v>
      </c>
      <c r="J1615" s="8">
        <f>IF(F1615="Monthly interest",MAX(0,Assumptions!$B$5-I1615),"")</f>
        <v>1</v>
      </c>
      <c r="K1615" s="7">
        <f t="shared" si="75"/>
        <v>1950</v>
      </c>
      <c r="L1615" s="9">
        <v>46242</v>
      </c>
      <c r="M1615" s="5" t="s">
        <v>116</v>
      </c>
      <c r="N1615" s="5" t="s">
        <v>117</v>
      </c>
      <c r="O1615" s="5" t="s">
        <v>118</v>
      </c>
      <c r="P1615" s="5" t="s">
        <v>72</v>
      </c>
      <c r="Q1615" s="5" t="s">
        <v>119</v>
      </c>
      <c r="R1615" s="5" t="s">
        <v>120</v>
      </c>
      <c r="S1615" s="5" t="s">
        <v>56</v>
      </c>
      <c r="T1615" s="5" t="s">
        <v>57</v>
      </c>
      <c r="U1615" s="5" t="s">
        <v>86</v>
      </c>
      <c r="V1615" s="5" t="s">
        <v>59</v>
      </c>
      <c r="W1615" s="5" t="s">
        <v>194</v>
      </c>
      <c r="X1615" s="5" t="s">
        <v>580</v>
      </c>
      <c r="Y1615" s="5" t="s">
        <v>6635</v>
      </c>
      <c r="Z1615" s="9">
        <v>46120</v>
      </c>
      <c r="AA1615" s="8">
        <v>12</v>
      </c>
      <c r="AB1615" s="9">
        <f t="shared" si="76"/>
        <v>46485</v>
      </c>
      <c r="AC1615" s="10">
        <v>22</v>
      </c>
      <c r="AD1615" s="7">
        <f t="shared" si="77"/>
        <v>975</v>
      </c>
      <c r="AE1615" s="7">
        <f>IF(F1615="Bullet",H1615*AD1615,MIN(MAX(I1615,1),Assumptions!$B$6)*AD1615)</f>
        <v>1950</v>
      </c>
      <c r="AF1615" s="8">
        <f>IF(F1615="Bullet",MAX(0,Assumptions!$B$4-AB1615),MAX(0,Assumptions!$B$4-L1615))</f>
        <v>56</v>
      </c>
      <c r="AG1615" s="9">
        <v>46213</v>
      </c>
      <c r="AH1615" s="8">
        <f>IF(AG1615="","",Assumptions!$B$4-AG1615)</f>
        <v>85</v>
      </c>
      <c r="AI1615" s="5" t="s">
        <v>57</v>
      </c>
      <c r="AJ1615" s="8">
        <v>3</v>
      </c>
      <c r="AK1615" s="8">
        <v>0</v>
      </c>
      <c r="AL1615" s="8">
        <v>709</v>
      </c>
      <c r="AM1615" s="8">
        <v>2</v>
      </c>
      <c r="AN1615" s="5" t="s">
        <v>63</v>
      </c>
      <c r="AO1615" s="10">
        <v>76.2</v>
      </c>
      <c r="AP1615" s="8">
        <v>51</v>
      </c>
      <c r="AQ1615" s="9">
        <v>46275</v>
      </c>
      <c r="AR1615" s="5" t="s">
        <v>70</v>
      </c>
      <c r="AS1615" s="5" t="s">
        <v>181</v>
      </c>
    </row>
    <row r="1616" spans="1:45" x14ac:dyDescent="0.35">
      <c r="A1616" s="5" t="s">
        <v>6636</v>
      </c>
      <c r="B1616" s="5" t="s">
        <v>1330</v>
      </c>
      <c r="C1616" s="6" t="s">
        <v>6637</v>
      </c>
      <c r="D1616" s="7">
        <v>173600</v>
      </c>
      <c r="E1616" s="5" t="s">
        <v>48</v>
      </c>
      <c r="F1616" s="5" t="s">
        <v>49</v>
      </c>
      <c r="G1616" s="8"/>
      <c r="H1616" s="8" t="str">
        <f>IF(F1616="Bullet",MIN(G1616,Assumptions!$B$6),"")</f>
        <v/>
      </c>
      <c r="I1616" s="8">
        <v>2</v>
      </c>
      <c r="J1616" s="8">
        <f>IF(F1616="Monthly interest",MAX(0,Assumptions!$B$5-I1616),"")</f>
        <v>1</v>
      </c>
      <c r="K1616" s="7">
        <f t="shared" si="75"/>
        <v>5786</v>
      </c>
      <c r="L1616" s="9">
        <v>46268</v>
      </c>
      <c r="M1616" s="5" t="s">
        <v>69</v>
      </c>
      <c r="N1616" s="5" t="s">
        <v>53</v>
      </c>
      <c r="O1616" s="5" t="s">
        <v>71</v>
      </c>
      <c r="P1616" s="5" t="s">
        <v>70</v>
      </c>
      <c r="Q1616" s="5" t="s">
        <v>73</v>
      </c>
      <c r="R1616" s="5" t="s">
        <v>74</v>
      </c>
      <c r="S1616" s="5" t="s">
        <v>185</v>
      </c>
      <c r="T1616" s="5" t="s">
        <v>57</v>
      </c>
      <c r="U1616" s="5" t="s">
        <v>104</v>
      </c>
      <c r="V1616" s="5" t="s">
        <v>200</v>
      </c>
      <c r="W1616" s="5" t="s">
        <v>500</v>
      </c>
      <c r="X1616" s="5" t="s">
        <v>6459</v>
      </c>
      <c r="Y1616" s="5" t="s">
        <v>6638</v>
      </c>
      <c r="Z1616" s="9">
        <v>46206</v>
      </c>
      <c r="AA1616" s="8">
        <v>12</v>
      </c>
      <c r="AB1616" s="9">
        <f t="shared" si="76"/>
        <v>46571</v>
      </c>
      <c r="AC1616" s="10">
        <v>20</v>
      </c>
      <c r="AD1616" s="7">
        <f t="shared" si="77"/>
        <v>2893</v>
      </c>
      <c r="AE1616" s="7">
        <f>IF(F1616="Bullet",H1616*AD1616,MIN(MAX(I1616,1),Assumptions!$B$6)*AD1616)</f>
        <v>5786</v>
      </c>
      <c r="AF1616" s="8">
        <f>IF(F1616="Bullet",MAX(0,Assumptions!$B$4-AB1616),MAX(0,Assumptions!$B$4-L1616))</f>
        <v>30</v>
      </c>
      <c r="AG1616" s="9">
        <v>46237</v>
      </c>
      <c r="AH1616" s="8">
        <f>IF(AG1616="","",Assumptions!$B$4-AG1616)</f>
        <v>61</v>
      </c>
      <c r="AI1616" s="5" t="s">
        <v>63</v>
      </c>
      <c r="AJ1616" s="8">
        <v>2</v>
      </c>
      <c r="AK1616" s="8">
        <v>1</v>
      </c>
      <c r="AL1616" s="8">
        <v>740</v>
      </c>
      <c r="AM1616" s="8">
        <v>3</v>
      </c>
      <c r="AN1616" s="5" t="s">
        <v>63</v>
      </c>
      <c r="AO1616" s="10">
        <v>58.8</v>
      </c>
      <c r="AP1616" s="8">
        <v>41</v>
      </c>
      <c r="AQ1616" s="9">
        <v>46288</v>
      </c>
      <c r="AR1616" s="5" t="s">
        <v>70</v>
      </c>
      <c r="AS1616" s="5" t="s">
        <v>181</v>
      </c>
    </row>
    <row r="1617" spans="1:45" x14ac:dyDescent="0.35">
      <c r="A1617" s="5" t="s">
        <v>6639</v>
      </c>
      <c r="B1617" s="5" t="s">
        <v>5539</v>
      </c>
      <c r="C1617" s="6" t="s">
        <v>6640</v>
      </c>
      <c r="D1617" s="7">
        <v>209600</v>
      </c>
      <c r="E1617" s="5" t="s">
        <v>48</v>
      </c>
      <c r="F1617" s="5" t="s">
        <v>68</v>
      </c>
      <c r="G1617" s="8">
        <v>6</v>
      </c>
      <c r="H1617" s="8">
        <f>IF(F1617="Bullet",MIN(G1617,Assumptions!$B$6),"")</f>
        <v>2</v>
      </c>
      <c r="I1617" s="8"/>
      <c r="J1617" s="8" t="str">
        <f>IF(F1617="Monthly interest",MAX(0,Assumptions!$B$5-I1617),"")</f>
        <v/>
      </c>
      <c r="K1617" s="7">
        <f t="shared" si="75"/>
        <v>12576</v>
      </c>
      <c r="L1617" s="9">
        <v>46098</v>
      </c>
      <c r="M1617" s="5" t="s">
        <v>116</v>
      </c>
      <c r="N1617" s="5" t="s">
        <v>117</v>
      </c>
      <c r="O1617" s="5" t="s">
        <v>461</v>
      </c>
      <c r="P1617" s="5" t="s">
        <v>72</v>
      </c>
      <c r="Q1617" s="5" t="s">
        <v>169</v>
      </c>
      <c r="R1617" s="5" t="s">
        <v>170</v>
      </c>
      <c r="S1617" s="5" t="s">
        <v>75</v>
      </c>
      <c r="T1617" s="5" t="s">
        <v>57</v>
      </c>
      <c r="U1617" s="5" t="s">
        <v>58</v>
      </c>
      <c r="V1617" s="5" t="s">
        <v>76</v>
      </c>
      <c r="W1617" s="5" t="s">
        <v>105</v>
      </c>
      <c r="X1617" s="5" t="s">
        <v>3165</v>
      </c>
      <c r="Y1617" s="5" t="s">
        <v>6641</v>
      </c>
      <c r="Z1617" s="9">
        <v>46098</v>
      </c>
      <c r="AA1617" s="8">
        <v>6</v>
      </c>
      <c r="AB1617" s="9">
        <f t="shared" si="76"/>
        <v>46282</v>
      </c>
      <c r="AC1617" s="10">
        <v>12</v>
      </c>
      <c r="AD1617" s="7">
        <f t="shared" si="77"/>
        <v>2096</v>
      </c>
      <c r="AE1617" s="7">
        <f>IF(F1617="Bullet",H1617*AD1617,MIN(MAX(I1617,1),Assumptions!$B$6)*AD1617)</f>
        <v>4192</v>
      </c>
      <c r="AF1617" s="8">
        <f>IF(F1617="Bullet",MAX(0,Assumptions!$B$4-AB1617),MAX(0,Assumptions!$B$4-L1617))</f>
        <v>16</v>
      </c>
      <c r="AG1617" s="9"/>
      <c r="AH1617" s="8" t="str">
        <f>IF(AG1617="","",Assumptions!$B$4-AG1617)</f>
        <v/>
      </c>
      <c r="AI1617" s="5" t="s">
        <v>80</v>
      </c>
      <c r="AJ1617" s="8"/>
      <c r="AK1617" s="8">
        <v>0</v>
      </c>
      <c r="AL1617" s="8">
        <v>665</v>
      </c>
      <c r="AM1617" s="8">
        <v>1</v>
      </c>
      <c r="AN1617" s="5" t="s">
        <v>63</v>
      </c>
      <c r="AO1617" s="10">
        <v>69.3</v>
      </c>
      <c r="AP1617" s="8">
        <v>57</v>
      </c>
      <c r="AQ1617" s="9">
        <v>46297</v>
      </c>
      <c r="AR1617" s="5" t="s">
        <v>72</v>
      </c>
      <c r="AS1617" s="5" t="s">
        <v>81</v>
      </c>
    </row>
    <row r="1618" spans="1:45" x14ac:dyDescent="0.35">
      <c r="A1618" s="5" t="s">
        <v>6642</v>
      </c>
      <c r="B1618" s="5" t="s">
        <v>6643</v>
      </c>
      <c r="C1618" s="6" t="s">
        <v>6644</v>
      </c>
      <c r="D1618" s="7">
        <v>88900</v>
      </c>
      <c r="E1618" s="5" t="s">
        <v>48</v>
      </c>
      <c r="F1618" s="5" t="s">
        <v>68</v>
      </c>
      <c r="G1618" s="8">
        <v>2</v>
      </c>
      <c r="H1618" s="8">
        <f>IF(F1618="Bullet",MIN(G1618,Assumptions!$B$6),"")</f>
        <v>2</v>
      </c>
      <c r="I1618" s="8"/>
      <c r="J1618" s="8" t="str">
        <f>IF(F1618="Monthly interest",MAX(0,Assumptions!$B$5-I1618),"")</f>
        <v/>
      </c>
      <c r="K1618" s="7">
        <f t="shared" si="75"/>
        <v>2370</v>
      </c>
      <c r="L1618" s="9">
        <v>46215</v>
      </c>
      <c r="M1618" s="5" t="s">
        <v>69</v>
      </c>
      <c r="N1618" s="5" t="s">
        <v>53</v>
      </c>
      <c r="O1618" s="5" t="s">
        <v>71</v>
      </c>
      <c r="P1618" s="5" t="s">
        <v>70</v>
      </c>
      <c r="Q1618" s="5" t="s">
        <v>73</v>
      </c>
      <c r="R1618" s="5" t="s">
        <v>74</v>
      </c>
      <c r="S1618" s="5" t="s">
        <v>185</v>
      </c>
      <c r="T1618" s="5" t="s">
        <v>63</v>
      </c>
      <c r="U1618" s="5" t="s">
        <v>104</v>
      </c>
      <c r="V1618" s="5" t="s">
        <v>200</v>
      </c>
      <c r="W1618" s="5" t="s">
        <v>1332</v>
      </c>
      <c r="X1618" s="5" t="s">
        <v>3066</v>
      </c>
      <c r="Y1618" s="5" t="s">
        <v>6645</v>
      </c>
      <c r="Z1618" s="9">
        <v>46215</v>
      </c>
      <c r="AA1618" s="8">
        <v>12</v>
      </c>
      <c r="AB1618" s="9">
        <f t="shared" si="76"/>
        <v>46580</v>
      </c>
      <c r="AC1618" s="10">
        <v>16</v>
      </c>
      <c r="AD1618" s="7">
        <f t="shared" si="77"/>
        <v>1185</v>
      </c>
      <c r="AE1618" s="7">
        <f>IF(F1618="Bullet",H1618*AD1618,MIN(MAX(I1618,1),Assumptions!$B$6)*AD1618)</f>
        <v>2370</v>
      </c>
      <c r="AF1618" s="8">
        <f>IF(F1618="Bullet",MAX(0,Assumptions!$B$4-AB1618),MAX(0,Assumptions!$B$4-L1618))</f>
        <v>0</v>
      </c>
      <c r="AG1618" s="9"/>
      <c r="AH1618" s="8" t="str">
        <f>IF(AG1618="","",Assumptions!$B$4-AG1618)</f>
        <v/>
      </c>
      <c r="AI1618" s="5" t="s">
        <v>80</v>
      </c>
      <c r="AJ1618" s="8"/>
      <c r="AK1618" s="8">
        <v>0</v>
      </c>
      <c r="AL1618" s="8">
        <v>677</v>
      </c>
      <c r="AM1618" s="8">
        <v>1</v>
      </c>
      <c r="AN1618" s="5" t="s">
        <v>57</v>
      </c>
      <c r="AO1618" s="10">
        <v>59.4</v>
      </c>
      <c r="AP1618" s="8">
        <v>32</v>
      </c>
      <c r="AQ1618" s="9">
        <v>46279</v>
      </c>
      <c r="AR1618" s="5" t="s">
        <v>70</v>
      </c>
      <c r="AS1618" s="5" t="s">
        <v>91</v>
      </c>
    </row>
    <row r="1619" spans="1:45" x14ac:dyDescent="0.35">
      <c r="A1619" s="5" t="s">
        <v>6646</v>
      </c>
      <c r="B1619" s="5" t="s">
        <v>5535</v>
      </c>
      <c r="C1619" s="6" t="s">
        <v>6647</v>
      </c>
      <c r="D1619" s="7">
        <v>560600</v>
      </c>
      <c r="E1619" s="5" t="s">
        <v>48</v>
      </c>
      <c r="F1619" s="5" t="s">
        <v>68</v>
      </c>
      <c r="G1619" s="8">
        <v>1</v>
      </c>
      <c r="H1619" s="8">
        <f>IF(F1619="Bullet",MIN(G1619,Assumptions!$B$6),"")</f>
        <v>1</v>
      </c>
      <c r="I1619" s="8"/>
      <c r="J1619" s="8" t="str">
        <f>IF(F1619="Monthly interest",MAX(0,Assumptions!$B$5-I1619),"")</f>
        <v/>
      </c>
      <c r="K1619" s="7">
        <f t="shared" si="75"/>
        <v>5606</v>
      </c>
      <c r="L1619" s="9">
        <v>46254</v>
      </c>
      <c r="M1619" s="5" t="s">
        <v>50</v>
      </c>
      <c r="N1619" s="5" t="s">
        <v>53</v>
      </c>
      <c r="O1619" s="5" t="s">
        <v>132</v>
      </c>
      <c r="P1619" s="5" t="s">
        <v>51</v>
      </c>
      <c r="Q1619" s="5" t="s">
        <v>73</v>
      </c>
      <c r="R1619" s="5" t="s">
        <v>74</v>
      </c>
      <c r="S1619" s="5" t="s">
        <v>56</v>
      </c>
      <c r="T1619" s="5" t="s">
        <v>57</v>
      </c>
      <c r="U1619" s="5" t="s">
        <v>104</v>
      </c>
      <c r="V1619" s="5" t="s">
        <v>59</v>
      </c>
      <c r="W1619" s="5" t="s">
        <v>323</v>
      </c>
      <c r="X1619" s="5" t="s">
        <v>4455</v>
      </c>
      <c r="Y1619" s="5" t="s">
        <v>6648</v>
      </c>
      <c r="Z1619" s="9">
        <v>46254</v>
      </c>
      <c r="AA1619" s="8">
        <v>12</v>
      </c>
      <c r="AB1619" s="9">
        <f t="shared" si="76"/>
        <v>46619</v>
      </c>
      <c r="AC1619" s="10">
        <v>12</v>
      </c>
      <c r="AD1619" s="7">
        <f t="shared" si="77"/>
        <v>5606</v>
      </c>
      <c r="AE1619" s="7">
        <f>IF(F1619="Bullet",H1619*AD1619,MIN(MAX(I1619,1),Assumptions!$B$6)*AD1619)</f>
        <v>5606</v>
      </c>
      <c r="AF1619" s="8">
        <f>IF(F1619="Bullet",MAX(0,Assumptions!$B$4-AB1619),MAX(0,Assumptions!$B$4-L1619))</f>
        <v>0</v>
      </c>
      <c r="AG1619" s="9"/>
      <c r="AH1619" s="8" t="str">
        <f>IF(AG1619="","",Assumptions!$B$4-AG1619)</f>
        <v/>
      </c>
      <c r="AI1619" s="5" t="s">
        <v>80</v>
      </c>
      <c r="AJ1619" s="8"/>
      <c r="AK1619" s="8">
        <v>0</v>
      </c>
      <c r="AL1619" s="8" t="s">
        <v>80</v>
      </c>
      <c r="AM1619" s="8">
        <v>2</v>
      </c>
      <c r="AN1619" s="5" t="s">
        <v>63</v>
      </c>
      <c r="AO1619" s="10">
        <v>64.8</v>
      </c>
      <c r="AP1619" s="8">
        <v>10</v>
      </c>
      <c r="AQ1619" s="9">
        <v>46294</v>
      </c>
      <c r="AR1619" s="5" t="s">
        <v>51</v>
      </c>
      <c r="AS1619" s="5" t="s">
        <v>91</v>
      </c>
    </row>
    <row r="1620" spans="1:45" x14ac:dyDescent="0.35">
      <c r="A1620" s="5" t="s">
        <v>6649</v>
      </c>
      <c r="B1620" s="5" t="s">
        <v>931</v>
      </c>
      <c r="C1620" s="6" t="s">
        <v>6650</v>
      </c>
      <c r="D1620" s="7">
        <v>537200</v>
      </c>
      <c r="E1620" s="5" t="s">
        <v>48</v>
      </c>
      <c r="F1620" s="5" t="s">
        <v>68</v>
      </c>
      <c r="G1620" s="8">
        <v>4</v>
      </c>
      <c r="H1620" s="8">
        <f>IF(F1620="Bullet",MIN(G1620,Assumptions!$B$6),"")</f>
        <v>2</v>
      </c>
      <c r="I1620" s="8"/>
      <c r="J1620" s="8" t="str">
        <f>IF(F1620="Monthly interest",MAX(0,Assumptions!$B$5-I1620),"")</f>
        <v/>
      </c>
      <c r="K1620" s="7">
        <f t="shared" si="75"/>
        <v>25068</v>
      </c>
      <c r="L1620" s="9">
        <v>46154</v>
      </c>
      <c r="M1620" s="5" t="s">
        <v>116</v>
      </c>
      <c r="N1620" s="5" t="s">
        <v>117</v>
      </c>
      <c r="O1620" s="5" t="s">
        <v>207</v>
      </c>
      <c r="P1620" s="5" t="s">
        <v>72</v>
      </c>
      <c r="Q1620" s="5" t="s">
        <v>73</v>
      </c>
      <c r="R1620" s="5" t="s">
        <v>74</v>
      </c>
      <c r="S1620" s="5" t="s">
        <v>56</v>
      </c>
      <c r="T1620" s="5" t="s">
        <v>57</v>
      </c>
      <c r="U1620" s="5" t="s">
        <v>86</v>
      </c>
      <c r="V1620" s="5" t="s">
        <v>59</v>
      </c>
      <c r="W1620" s="5" t="s">
        <v>323</v>
      </c>
      <c r="X1620" s="5" t="s">
        <v>324</v>
      </c>
      <c r="Y1620" s="5" t="s">
        <v>6651</v>
      </c>
      <c r="Z1620" s="9">
        <v>46154</v>
      </c>
      <c r="AA1620" s="8">
        <v>6</v>
      </c>
      <c r="AB1620" s="9">
        <f t="shared" si="76"/>
        <v>46338</v>
      </c>
      <c r="AC1620" s="10">
        <v>14</v>
      </c>
      <c r="AD1620" s="7">
        <f t="shared" si="77"/>
        <v>6267</v>
      </c>
      <c r="AE1620" s="7">
        <f>IF(F1620="Bullet",H1620*AD1620,MIN(MAX(I1620,1),Assumptions!$B$6)*AD1620)</f>
        <v>12534</v>
      </c>
      <c r="AF1620" s="8">
        <f>IF(F1620="Bullet",MAX(0,Assumptions!$B$4-AB1620),MAX(0,Assumptions!$B$4-L1620))</f>
        <v>0</v>
      </c>
      <c r="AG1620" s="9"/>
      <c r="AH1620" s="8" t="str">
        <f>IF(AG1620="","",Assumptions!$B$4-AG1620)</f>
        <v/>
      </c>
      <c r="AI1620" s="5" t="s">
        <v>80</v>
      </c>
      <c r="AJ1620" s="8"/>
      <c r="AK1620" s="8">
        <v>4</v>
      </c>
      <c r="AL1620" s="8">
        <v>597</v>
      </c>
      <c r="AM1620" s="8">
        <v>2</v>
      </c>
      <c r="AN1620" s="5" t="s">
        <v>63</v>
      </c>
      <c r="AO1620" s="10">
        <v>61.7</v>
      </c>
      <c r="AP1620" s="8">
        <v>61</v>
      </c>
      <c r="AQ1620" s="9">
        <v>46292</v>
      </c>
      <c r="AR1620" s="5" t="s">
        <v>51</v>
      </c>
      <c r="AS1620" s="5" t="s">
        <v>64</v>
      </c>
    </row>
    <row r="1621" spans="1:45" x14ac:dyDescent="0.35">
      <c r="A1621" s="5" t="s">
        <v>6652</v>
      </c>
      <c r="B1621" s="5" t="s">
        <v>2381</v>
      </c>
      <c r="C1621" s="6" t="s">
        <v>6653</v>
      </c>
      <c r="D1621" s="7">
        <v>33900</v>
      </c>
      <c r="E1621" s="5" t="s">
        <v>48</v>
      </c>
      <c r="F1621" s="5" t="s">
        <v>49</v>
      </c>
      <c r="G1621" s="8"/>
      <c r="H1621" s="8" t="str">
        <f>IF(F1621="Bullet",MIN(G1621,Assumptions!$B$6),"")</f>
        <v/>
      </c>
      <c r="I1621" s="8">
        <v>1</v>
      </c>
      <c r="J1621" s="8">
        <f>IF(F1621="Monthly interest",MAX(0,Assumptions!$B$5-I1621),"")</f>
        <v>2</v>
      </c>
      <c r="K1621" s="7">
        <f t="shared" si="75"/>
        <v>678</v>
      </c>
      <c r="L1621" s="9">
        <v>46279</v>
      </c>
      <c r="M1621" s="5" t="s">
        <v>50</v>
      </c>
      <c r="N1621" s="5" t="s">
        <v>51</v>
      </c>
      <c r="O1621" s="5" t="s">
        <v>152</v>
      </c>
      <c r="P1621" s="5" t="s">
        <v>53</v>
      </c>
      <c r="Q1621" s="5" t="s">
        <v>154</v>
      </c>
      <c r="R1621" s="5" t="s">
        <v>155</v>
      </c>
      <c r="S1621" s="5" t="s">
        <v>56</v>
      </c>
      <c r="T1621" s="5" t="s">
        <v>57</v>
      </c>
      <c r="U1621" s="5" t="s">
        <v>86</v>
      </c>
      <c r="V1621" s="5" t="s">
        <v>59</v>
      </c>
      <c r="W1621" s="5" t="s">
        <v>300</v>
      </c>
      <c r="X1621" s="5" t="s">
        <v>4543</v>
      </c>
      <c r="Y1621" s="5" t="s">
        <v>6654</v>
      </c>
      <c r="Z1621" s="9">
        <v>46217</v>
      </c>
      <c r="AA1621" s="8">
        <v>24</v>
      </c>
      <c r="AB1621" s="9">
        <f t="shared" si="76"/>
        <v>46948</v>
      </c>
      <c r="AC1621" s="10">
        <v>24</v>
      </c>
      <c r="AD1621" s="7">
        <f t="shared" si="77"/>
        <v>678</v>
      </c>
      <c r="AE1621" s="7">
        <f>IF(F1621="Bullet",H1621*AD1621,MIN(MAX(I1621,1),Assumptions!$B$6)*AD1621)</f>
        <v>678</v>
      </c>
      <c r="AF1621" s="8">
        <f>IF(F1621="Bullet",MAX(0,Assumptions!$B$4-AB1621),MAX(0,Assumptions!$B$4-L1621))</f>
        <v>19</v>
      </c>
      <c r="AG1621" s="9">
        <v>46249</v>
      </c>
      <c r="AH1621" s="8">
        <f>IF(AG1621="","",Assumptions!$B$4-AG1621)</f>
        <v>49</v>
      </c>
      <c r="AI1621" s="5" t="s">
        <v>57</v>
      </c>
      <c r="AJ1621" s="8">
        <v>1</v>
      </c>
      <c r="AK1621" s="8">
        <v>0</v>
      </c>
      <c r="AL1621" s="8">
        <v>654</v>
      </c>
      <c r="AM1621" s="8">
        <v>2</v>
      </c>
      <c r="AN1621" s="5" t="s">
        <v>63</v>
      </c>
      <c r="AO1621" s="10">
        <v>78.5</v>
      </c>
      <c r="AP1621" s="8">
        <v>30</v>
      </c>
      <c r="AQ1621" s="9">
        <v>46273</v>
      </c>
      <c r="AR1621" s="5" t="s">
        <v>51</v>
      </c>
      <c r="AS1621" s="5" t="s">
        <v>190</v>
      </c>
    </row>
    <row r="1622" spans="1:45" x14ac:dyDescent="0.35">
      <c r="A1622" s="5" t="s">
        <v>6655</v>
      </c>
      <c r="B1622" s="5" t="s">
        <v>2685</v>
      </c>
      <c r="C1622" s="6" t="s">
        <v>6656</v>
      </c>
      <c r="D1622" s="7">
        <v>39100</v>
      </c>
      <c r="E1622" s="5" t="s">
        <v>48</v>
      </c>
      <c r="F1622" s="5" t="s">
        <v>49</v>
      </c>
      <c r="G1622" s="8"/>
      <c r="H1622" s="8" t="str">
        <f>IF(F1622="Bullet",MIN(G1622,Assumptions!$B$6),"")</f>
        <v/>
      </c>
      <c r="I1622" s="8">
        <v>2</v>
      </c>
      <c r="J1622" s="8">
        <f>IF(F1622="Monthly interest",MAX(0,Assumptions!$B$5-I1622),"")</f>
        <v>1</v>
      </c>
      <c r="K1622" s="7">
        <f t="shared" si="75"/>
        <v>1174</v>
      </c>
      <c r="L1622" s="9">
        <v>46251</v>
      </c>
      <c r="M1622" s="5" t="s">
        <v>116</v>
      </c>
      <c r="N1622" s="5" t="s">
        <v>117</v>
      </c>
      <c r="O1622" s="5" t="s">
        <v>450</v>
      </c>
      <c r="P1622" s="5" t="s">
        <v>72</v>
      </c>
      <c r="Q1622" s="5" t="s">
        <v>154</v>
      </c>
      <c r="R1622" s="5" t="s">
        <v>155</v>
      </c>
      <c r="S1622" s="5" t="s">
        <v>56</v>
      </c>
      <c r="T1622" s="5" t="s">
        <v>57</v>
      </c>
      <c r="U1622" s="5" t="s">
        <v>104</v>
      </c>
      <c r="V1622" s="5" t="s">
        <v>59</v>
      </c>
      <c r="W1622" s="5" t="s">
        <v>60</v>
      </c>
      <c r="X1622" s="5" t="s">
        <v>938</v>
      </c>
      <c r="Y1622" s="5" t="s">
        <v>6657</v>
      </c>
      <c r="Z1622" s="9">
        <v>46190</v>
      </c>
      <c r="AA1622" s="8">
        <v>18</v>
      </c>
      <c r="AB1622" s="9">
        <f t="shared" si="76"/>
        <v>46738</v>
      </c>
      <c r="AC1622" s="10">
        <v>18</v>
      </c>
      <c r="AD1622" s="7">
        <f t="shared" si="77"/>
        <v>587</v>
      </c>
      <c r="AE1622" s="7">
        <f>IF(F1622="Bullet",H1622*AD1622,MIN(MAX(I1622,1),Assumptions!$B$6)*AD1622)</f>
        <v>1174</v>
      </c>
      <c r="AF1622" s="8">
        <f>IF(F1622="Bullet",MAX(0,Assumptions!$B$4-AB1622),MAX(0,Assumptions!$B$4-L1622))</f>
        <v>47</v>
      </c>
      <c r="AG1622" s="9">
        <v>46223</v>
      </c>
      <c r="AH1622" s="8">
        <f>IF(AG1622="","",Assumptions!$B$4-AG1622)</f>
        <v>75</v>
      </c>
      <c r="AI1622" s="5" t="s">
        <v>57</v>
      </c>
      <c r="AJ1622" s="8">
        <v>3</v>
      </c>
      <c r="AK1622" s="8">
        <v>0</v>
      </c>
      <c r="AL1622" s="8">
        <v>629</v>
      </c>
      <c r="AM1622" s="8">
        <v>1</v>
      </c>
      <c r="AN1622" s="5" t="s">
        <v>63</v>
      </c>
      <c r="AO1622" s="10">
        <v>67.900000000000006</v>
      </c>
      <c r="AP1622" s="8">
        <v>51</v>
      </c>
      <c r="AQ1622" s="9">
        <v>46292</v>
      </c>
      <c r="AR1622" s="5" t="s">
        <v>70</v>
      </c>
      <c r="AS1622" s="5" t="s">
        <v>81</v>
      </c>
    </row>
    <row r="1623" spans="1:45" x14ac:dyDescent="0.35">
      <c r="A1623" s="5" t="s">
        <v>6658</v>
      </c>
      <c r="B1623" s="5" t="s">
        <v>6659</v>
      </c>
      <c r="C1623" s="6" t="s">
        <v>6660</v>
      </c>
      <c r="D1623" s="7">
        <v>28600</v>
      </c>
      <c r="E1623" s="5" t="s">
        <v>48</v>
      </c>
      <c r="F1623" s="5" t="s">
        <v>49</v>
      </c>
      <c r="G1623" s="8"/>
      <c r="H1623" s="8" t="str">
        <f>IF(F1623="Bullet",MIN(G1623,Assumptions!$B$6),"")</f>
        <v/>
      </c>
      <c r="I1623" s="8">
        <v>1</v>
      </c>
      <c r="J1623" s="8">
        <f>IF(F1623="Monthly interest",MAX(0,Assumptions!$B$5-I1623),"")</f>
        <v>2</v>
      </c>
      <c r="K1623" s="7">
        <f t="shared" si="75"/>
        <v>477</v>
      </c>
      <c r="L1623" s="9">
        <v>46290</v>
      </c>
      <c r="M1623" s="5" t="s">
        <v>69</v>
      </c>
      <c r="N1623" s="5" t="s">
        <v>51</v>
      </c>
      <c r="O1623" s="5" t="s">
        <v>152</v>
      </c>
      <c r="P1623" s="5" t="s">
        <v>53</v>
      </c>
      <c r="Q1623" s="5" t="s">
        <v>154</v>
      </c>
      <c r="R1623" s="5" t="s">
        <v>155</v>
      </c>
      <c r="S1623" s="5" t="s">
        <v>214</v>
      </c>
      <c r="T1623" s="5" t="s">
        <v>57</v>
      </c>
      <c r="U1623" s="5" t="s">
        <v>86</v>
      </c>
      <c r="V1623" s="5" t="s">
        <v>215</v>
      </c>
      <c r="W1623" s="5" t="s">
        <v>284</v>
      </c>
      <c r="X1623" s="5" t="s">
        <v>4103</v>
      </c>
      <c r="Y1623" s="5" t="s">
        <v>6661</v>
      </c>
      <c r="Z1623" s="9">
        <v>46137</v>
      </c>
      <c r="AA1623" s="8">
        <v>12</v>
      </c>
      <c r="AB1623" s="9">
        <f t="shared" si="76"/>
        <v>46502</v>
      </c>
      <c r="AC1623" s="10">
        <v>20</v>
      </c>
      <c r="AD1623" s="7">
        <f t="shared" si="77"/>
        <v>477</v>
      </c>
      <c r="AE1623" s="7">
        <f>IF(F1623="Bullet",H1623*AD1623,MIN(MAX(I1623,1),Assumptions!$B$6)*AD1623)</f>
        <v>477</v>
      </c>
      <c r="AF1623" s="8">
        <f>IF(F1623="Bullet",MAX(0,Assumptions!$B$4-AB1623),MAX(0,Assumptions!$B$4-L1623))</f>
        <v>8</v>
      </c>
      <c r="AG1623" s="9">
        <v>46264</v>
      </c>
      <c r="AH1623" s="8">
        <f>IF(AG1623="","",Assumptions!$B$4-AG1623)</f>
        <v>34</v>
      </c>
      <c r="AI1623" s="5" t="s">
        <v>63</v>
      </c>
      <c r="AJ1623" s="8">
        <v>1</v>
      </c>
      <c r="AK1623" s="8">
        <v>0</v>
      </c>
      <c r="AL1623" s="8">
        <v>693</v>
      </c>
      <c r="AM1623" s="8">
        <v>0</v>
      </c>
      <c r="AN1623" s="5" t="s">
        <v>63</v>
      </c>
      <c r="AO1623" s="10">
        <v>76.900000000000006</v>
      </c>
      <c r="AP1623" s="8">
        <v>33</v>
      </c>
      <c r="AQ1623" s="9">
        <v>46273</v>
      </c>
      <c r="AR1623" s="5" t="s">
        <v>53</v>
      </c>
      <c r="AS1623" s="5" t="s">
        <v>64</v>
      </c>
    </row>
    <row r="1624" spans="1:45" x14ac:dyDescent="0.35">
      <c r="A1624" s="5" t="s">
        <v>6662</v>
      </c>
      <c r="B1624" s="5" t="s">
        <v>3695</v>
      </c>
      <c r="C1624" s="6" t="s">
        <v>6663</v>
      </c>
      <c r="D1624" s="7">
        <v>71400</v>
      </c>
      <c r="E1624" s="5" t="s">
        <v>48</v>
      </c>
      <c r="F1624" s="5" t="s">
        <v>49</v>
      </c>
      <c r="G1624" s="8"/>
      <c r="H1624" s="8" t="str">
        <f>IF(F1624="Bullet",MIN(G1624,Assumptions!$B$6),"")</f>
        <v/>
      </c>
      <c r="I1624" s="8">
        <v>2</v>
      </c>
      <c r="J1624" s="8">
        <f>IF(F1624="Monthly interest",MAX(0,Assumptions!$B$5-I1624),"")</f>
        <v>1</v>
      </c>
      <c r="K1624" s="7">
        <f t="shared" si="75"/>
        <v>2380</v>
      </c>
      <c r="L1624" s="9">
        <v>46256</v>
      </c>
      <c r="M1624" s="5" t="s">
        <v>116</v>
      </c>
      <c r="N1624" s="5" t="s">
        <v>117</v>
      </c>
      <c r="O1624" s="5" t="s">
        <v>118</v>
      </c>
      <c r="P1624" s="5" t="s">
        <v>72</v>
      </c>
      <c r="Q1624" s="5" t="s">
        <v>119</v>
      </c>
      <c r="R1624" s="5" t="s">
        <v>120</v>
      </c>
      <c r="S1624" s="5" t="s">
        <v>85</v>
      </c>
      <c r="T1624" s="5" t="s">
        <v>57</v>
      </c>
      <c r="U1624" s="5" t="s">
        <v>86</v>
      </c>
      <c r="V1624" s="5" t="s">
        <v>96</v>
      </c>
      <c r="W1624" s="5" t="s">
        <v>819</v>
      </c>
      <c r="X1624" s="5" t="s">
        <v>2797</v>
      </c>
      <c r="Y1624" s="5" t="s">
        <v>6664</v>
      </c>
      <c r="Z1624" s="9">
        <v>46075</v>
      </c>
      <c r="AA1624" s="8">
        <v>12</v>
      </c>
      <c r="AB1624" s="9">
        <f t="shared" si="76"/>
        <v>46440</v>
      </c>
      <c r="AC1624" s="10">
        <v>20</v>
      </c>
      <c r="AD1624" s="7">
        <f t="shared" si="77"/>
        <v>1190</v>
      </c>
      <c r="AE1624" s="7">
        <f>IF(F1624="Bullet",H1624*AD1624,MIN(MAX(I1624,1),Assumptions!$B$6)*AD1624)</f>
        <v>2380</v>
      </c>
      <c r="AF1624" s="8">
        <f>IF(F1624="Bullet",MAX(0,Assumptions!$B$4-AB1624),MAX(0,Assumptions!$B$4-L1624))</f>
        <v>42</v>
      </c>
      <c r="AG1624" s="9">
        <v>46227</v>
      </c>
      <c r="AH1624" s="8">
        <f>IF(AG1624="","",Assumptions!$B$4-AG1624)</f>
        <v>71</v>
      </c>
      <c r="AI1624" s="5" t="s">
        <v>63</v>
      </c>
      <c r="AJ1624" s="8">
        <v>3</v>
      </c>
      <c r="AK1624" s="8">
        <v>1</v>
      </c>
      <c r="AL1624" s="8">
        <v>669</v>
      </c>
      <c r="AM1624" s="8">
        <v>1</v>
      </c>
      <c r="AN1624" s="5" t="s">
        <v>63</v>
      </c>
      <c r="AO1624" s="10">
        <v>81.7</v>
      </c>
      <c r="AP1624" s="8">
        <v>57</v>
      </c>
      <c r="AQ1624" s="9">
        <v>46281</v>
      </c>
      <c r="AR1624" s="5" t="s">
        <v>51</v>
      </c>
      <c r="AS1624" s="5" t="s">
        <v>91</v>
      </c>
    </row>
    <row r="1625" spans="1:45" x14ac:dyDescent="0.35">
      <c r="A1625" s="5" t="s">
        <v>6665</v>
      </c>
      <c r="B1625" s="5" t="s">
        <v>2338</v>
      </c>
      <c r="C1625" s="6" t="s">
        <v>6666</v>
      </c>
      <c r="D1625" s="7">
        <v>134000</v>
      </c>
      <c r="E1625" s="5" t="s">
        <v>48</v>
      </c>
      <c r="F1625" s="5" t="s">
        <v>68</v>
      </c>
      <c r="G1625" s="8">
        <v>1</v>
      </c>
      <c r="H1625" s="8">
        <f>IF(F1625="Bullet",MIN(G1625,Assumptions!$B$6),"")</f>
        <v>1</v>
      </c>
      <c r="I1625" s="8"/>
      <c r="J1625" s="8" t="str">
        <f>IF(F1625="Monthly interest",MAX(0,Assumptions!$B$5-I1625),"")</f>
        <v/>
      </c>
      <c r="K1625" s="7">
        <f t="shared" si="75"/>
        <v>1675</v>
      </c>
      <c r="L1625" s="9">
        <v>46264</v>
      </c>
      <c r="M1625" s="5" t="s">
        <v>50</v>
      </c>
      <c r="N1625" s="5" t="s">
        <v>51</v>
      </c>
      <c r="O1625" s="5" t="s">
        <v>71</v>
      </c>
      <c r="P1625" s="5" t="s">
        <v>53</v>
      </c>
      <c r="Q1625" s="5" t="s">
        <v>73</v>
      </c>
      <c r="R1625" s="5" t="s">
        <v>74</v>
      </c>
      <c r="S1625" s="5" t="s">
        <v>75</v>
      </c>
      <c r="T1625" s="5" t="s">
        <v>57</v>
      </c>
      <c r="U1625" s="5" t="s">
        <v>104</v>
      </c>
      <c r="V1625" s="5" t="s">
        <v>76</v>
      </c>
      <c r="W1625" s="5" t="s">
        <v>140</v>
      </c>
      <c r="X1625" s="5" t="s">
        <v>5693</v>
      </c>
      <c r="Y1625" s="5" t="s">
        <v>6667</v>
      </c>
      <c r="Z1625" s="9">
        <v>46264</v>
      </c>
      <c r="AA1625" s="8">
        <v>12</v>
      </c>
      <c r="AB1625" s="9">
        <f t="shared" si="76"/>
        <v>46629</v>
      </c>
      <c r="AC1625" s="10">
        <v>15</v>
      </c>
      <c r="AD1625" s="7">
        <f t="shared" si="77"/>
        <v>1675</v>
      </c>
      <c r="AE1625" s="7">
        <f>IF(F1625="Bullet",H1625*AD1625,MIN(MAX(I1625,1),Assumptions!$B$6)*AD1625)</f>
        <v>1675</v>
      </c>
      <c r="AF1625" s="8">
        <f>IF(F1625="Bullet",MAX(0,Assumptions!$B$4-AB1625),MAX(0,Assumptions!$B$4-L1625))</f>
        <v>0</v>
      </c>
      <c r="AG1625" s="9"/>
      <c r="AH1625" s="8" t="str">
        <f>IF(AG1625="","",Assumptions!$B$4-AG1625)</f>
        <v/>
      </c>
      <c r="AI1625" s="5" t="s">
        <v>80</v>
      </c>
      <c r="AJ1625" s="8"/>
      <c r="AK1625" s="8">
        <v>0</v>
      </c>
      <c r="AL1625" s="8">
        <v>643</v>
      </c>
      <c r="AM1625" s="8">
        <v>4</v>
      </c>
      <c r="AN1625" s="5" t="s">
        <v>63</v>
      </c>
      <c r="AO1625" s="10">
        <v>52.8</v>
      </c>
      <c r="AP1625" s="8">
        <v>24</v>
      </c>
      <c r="AQ1625" s="9">
        <v>46292</v>
      </c>
      <c r="AR1625" s="5" t="s">
        <v>51</v>
      </c>
      <c r="AS1625" s="5" t="s">
        <v>181</v>
      </c>
    </row>
    <row r="1626" spans="1:45" x14ac:dyDescent="0.35">
      <c r="A1626" s="5" t="s">
        <v>6668</v>
      </c>
      <c r="B1626" s="5" t="s">
        <v>6669</v>
      </c>
      <c r="C1626" s="6" t="s">
        <v>6670</v>
      </c>
      <c r="D1626" s="7">
        <v>39300</v>
      </c>
      <c r="E1626" s="5" t="s">
        <v>48</v>
      </c>
      <c r="F1626" s="5" t="s">
        <v>49</v>
      </c>
      <c r="G1626" s="8"/>
      <c r="H1626" s="8" t="str">
        <f>IF(F1626="Bullet",MIN(G1626,Assumptions!$B$6),"")</f>
        <v/>
      </c>
      <c r="I1626" s="8">
        <v>2</v>
      </c>
      <c r="J1626" s="8">
        <f>IF(F1626="Monthly interest",MAX(0,Assumptions!$B$5-I1626),"")</f>
        <v>1</v>
      </c>
      <c r="K1626" s="7">
        <f t="shared" si="75"/>
        <v>982</v>
      </c>
      <c r="L1626" s="9">
        <v>46239</v>
      </c>
      <c r="M1626" s="5" t="s">
        <v>69</v>
      </c>
      <c r="N1626" s="5" t="s">
        <v>53</v>
      </c>
      <c r="O1626" s="5" t="s">
        <v>152</v>
      </c>
      <c r="P1626" s="5" t="s">
        <v>153</v>
      </c>
      <c r="Q1626" s="5" t="s">
        <v>154</v>
      </c>
      <c r="R1626" s="5" t="s">
        <v>155</v>
      </c>
      <c r="S1626" s="5" t="s">
        <v>56</v>
      </c>
      <c r="T1626" s="5" t="s">
        <v>57</v>
      </c>
      <c r="U1626" s="5" t="s">
        <v>104</v>
      </c>
      <c r="V1626" s="5" t="s">
        <v>59</v>
      </c>
      <c r="W1626" s="5" t="s">
        <v>418</v>
      </c>
      <c r="X1626" s="5" t="s">
        <v>1394</v>
      </c>
      <c r="Y1626" s="5" t="s">
        <v>6671</v>
      </c>
      <c r="Z1626" s="9">
        <v>45996</v>
      </c>
      <c r="AA1626" s="8">
        <v>18</v>
      </c>
      <c r="AB1626" s="9">
        <f t="shared" si="76"/>
        <v>46543</v>
      </c>
      <c r="AC1626" s="10">
        <v>15</v>
      </c>
      <c r="AD1626" s="7">
        <f t="shared" si="77"/>
        <v>491</v>
      </c>
      <c r="AE1626" s="7">
        <f>IF(F1626="Bullet",H1626*AD1626,MIN(MAX(I1626,1),Assumptions!$B$6)*AD1626)</f>
        <v>982</v>
      </c>
      <c r="AF1626" s="8">
        <f>IF(F1626="Bullet",MAX(0,Assumptions!$B$4-AB1626),MAX(0,Assumptions!$B$4-L1626))</f>
        <v>59</v>
      </c>
      <c r="AG1626" s="9">
        <v>46213</v>
      </c>
      <c r="AH1626" s="8">
        <f>IF(AG1626="","",Assumptions!$B$4-AG1626)</f>
        <v>85</v>
      </c>
      <c r="AI1626" s="5" t="s">
        <v>63</v>
      </c>
      <c r="AJ1626" s="8">
        <v>2</v>
      </c>
      <c r="AK1626" s="8">
        <v>0</v>
      </c>
      <c r="AL1626" s="8">
        <v>668</v>
      </c>
      <c r="AM1626" s="8">
        <v>0</v>
      </c>
      <c r="AN1626" s="5" t="s">
        <v>63</v>
      </c>
      <c r="AO1626" s="10">
        <v>74</v>
      </c>
      <c r="AP1626" s="8">
        <v>44</v>
      </c>
      <c r="AQ1626" s="9">
        <v>46285</v>
      </c>
      <c r="AR1626" s="5" t="s">
        <v>51</v>
      </c>
      <c r="AS1626" s="5" t="s">
        <v>190</v>
      </c>
    </row>
    <row r="1627" spans="1:45" x14ac:dyDescent="0.35">
      <c r="A1627" s="5" t="s">
        <v>6672</v>
      </c>
      <c r="B1627" s="5" t="s">
        <v>6673</v>
      </c>
      <c r="C1627" s="6" t="s">
        <v>6674</v>
      </c>
      <c r="D1627" s="7">
        <v>86100</v>
      </c>
      <c r="E1627" s="5" t="s">
        <v>48</v>
      </c>
      <c r="F1627" s="5" t="s">
        <v>49</v>
      </c>
      <c r="G1627" s="8"/>
      <c r="H1627" s="8" t="str">
        <f>IF(F1627="Bullet",MIN(G1627,Assumptions!$B$6),"")</f>
        <v/>
      </c>
      <c r="I1627" s="8">
        <v>1</v>
      </c>
      <c r="J1627" s="8">
        <f>IF(F1627="Monthly interest",MAX(0,Assumptions!$B$5-I1627),"")</f>
        <v>2</v>
      </c>
      <c r="K1627" s="7">
        <f t="shared" si="75"/>
        <v>1722</v>
      </c>
      <c r="L1627" s="9">
        <v>46288</v>
      </c>
      <c r="M1627" s="5" t="s">
        <v>50</v>
      </c>
      <c r="N1627" s="5" t="s">
        <v>51</v>
      </c>
      <c r="O1627" s="5" t="s">
        <v>52</v>
      </c>
      <c r="P1627" s="5" t="s">
        <v>53</v>
      </c>
      <c r="Q1627" s="5" t="s">
        <v>54</v>
      </c>
      <c r="R1627" s="5" t="s">
        <v>55</v>
      </c>
      <c r="S1627" s="5" t="s">
        <v>214</v>
      </c>
      <c r="T1627" s="5" t="s">
        <v>57</v>
      </c>
      <c r="U1627" s="5" t="s">
        <v>86</v>
      </c>
      <c r="V1627" s="5" t="s">
        <v>215</v>
      </c>
      <c r="W1627" s="5" t="s">
        <v>216</v>
      </c>
      <c r="X1627" s="5" t="s">
        <v>5351</v>
      </c>
      <c r="Y1627" s="5" t="s">
        <v>6675</v>
      </c>
      <c r="Z1627" s="9">
        <v>46226</v>
      </c>
      <c r="AA1627" s="8">
        <v>12</v>
      </c>
      <c r="AB1627" s="9">
        <f t="shared" si="76"/>
        <v>46591</v>
      </c>
      <c r="AC1627" s="10">
        <v>24</v>
      </c>
      <c r="AD1627" s="7">
        <f t="shared" si="77"/>
        <v>1722</v>
      </c>
      <c r="AE1627" s="7">
        <f>IF(F1627="Bullet",H1627*AD1627,MIN(MAX(I1627,1),Assumptions!$B$6)*AD1627)</f>
        <v>1722</v>
      </c>
      <c r="AF1627" s="8">
        <f>IF(F1627="Bullet",MAX(0,Assumptions!$B$4-AB1627),MAX(0,Assumptions!$B$4-L1627))</f>
        <v>10</v>
      </c>
      <c r="AG1627" s="9">
        <v>46261</v>
      </c>
      <c r="AH1627" s="8">
        <f>IF(AG1627="","",Assumptions!$B$4-AG1627)</f>
        <v>37</v>
      </c>
      <c r="AI1627" s="5" t="s">
        <v>63</v>
      </c>
      <c r="AJ1627" s="8">
        <v>1</v>
      </c>
      <c r="AK1627" s="8">
        <v>0</v>
      </c>
      <c r="AL1627" s="8">
        <v>726</v>
      </c>
      <c r="AM1627" s="8">
        <v>0</v>
      </c>
      <c r="AN1627" s="5" t="s">
        <v>63</v>
      </c>
      <c r="AO1627" s="10">
        <v>70.599999999999994</v>
      </c>
      <c r="AP1627" s="8">
        <v>21</v>
      </c>
      <c r="AQ1627" s="9">
        <v>46273</v>
      </c>
      <c r="AR1627" s="5" t="s">
        <v>51</v>
      </c>
      <c r="AS1627" s="5" t="s">
        <v>64</v>
      </c>
    </row>
    <row r="1628" spans="1:45" x14ac:dyDescent="0.35">
      <c r="A1628" s="5" t="s">
        <v>6676</v>
      </c>
      <c r="B1628" s="5" t="s">
        <v>1639</v>
      </c>
      <c r="C1628" s="6" t="s">
        <v>6677</v>
      </c>
      <c r="D1628" s="7">
        <v>39800</v>
      </c>
      <c r="E1628" s="5" t="s">
        <v>48</v>
      </c>
      <c r="F1628" s="5" t="s">
        <v>49</v>
      </c>
      <c r="G1628" s="8"/>
      <c r="H1628" s="8" t="str">
        <f>IF(F1628="Bullet",MIN(G1628,Assumptions!$B$6),"")</f>
        <v/>
      </c>
      <c r="I1628" s="8">
        <v>1</v>
      </c>
      <c r="J1628" s="8">
        <f>IF(F1628="Monthly interest",MAX(0,Assumptions!$B$5-I1628),"")</f>
        <v>2</v>
      </c>
      <c r="K1628" s="7">
        <f t="shared" si="75"/>
        <v>796</v>
      </c>
      <c r="L1628" s="9">
        <v>46274</v>
      </c>
      <c r="M1628" s="5" t="s">
        <v>50</v>
      </c>
      <c r="N1628" s="5" t="s">
        <v>53</v>
      </c>
      <c r="O1628" s="5" t="s">
        <v>95</v>
      </c>
      <c r="P1628" s="5" t="s">
        <v>153</v>
      </c>
      <c r="Q1628" s="5" t="s">
        <v>154</v>
      </c>
      <c r="R1628" s="5" t="s">
        <v>155</v>
      </c>
      <c r="S1628" s="5" t="s">
        <v>85</v>
      </c>
      <c r="T1628" s="5" t="s">
        <v>63</v>
      </c>
      <c r="U1628" s="5" t="s">
        <v>104</v>
      </c>
      <c r="V1628" s="5" t="s">
        <v>96</v>
      </c>
      <c r="W1628" s="5" t="s">
        <v>819</v>
      </c>
      <c r="X1628" s="5" t="s">
        <v>1389</v>
      </c>
      <c r="Y1628" s="5" t="s">
        <v>6678</v>
      </c>
      <c r="Z1628" s="9">
        <v>46062</v>
      </c>
      <c r="AA1628" s="8">
        <v>24</v>
      </c>
      <c r="AB1628" s="9">
        <f t="shared" si="76"/>
        <v>46792</v>
      </c>
      <c r="AC1628" s="10">
        <v>24</v>
      </c>
      <c r="AD1628" s="7">
        <f t="shared" si="77"/>
        <v>796</v>
      </c>
      <c r="AE1628" s="7">
        <f>IF(F1628="Bullet",H1628*AD1628,MIN(MAX(I1628,1),Assumptions!$B$6)*AD1628)</f>
        <v>796</v>
      </c>
      <c r="AF1628" s="8">
        <f>IF(F1628="Bullet",MAX(0,Assumptions!$B$4-AB1628),MAX(0,Assumptions!$B$4-L1628))</f>
        <v>24</v>
      </c>
      <c r="AG1628" s="9">
        <v>46247</v>
      </c>
      <c r="AH1628" s="8">
        <f>IF(AG1628="","",Assumptions!$B$4-AG1628)</f>
        <v>51</v>
      </c>
      <c r="AI1628" s="5" t="s">
        <v>63</v>
      </c>
      <c r="AJ1628" s="8">
        <v>1</v>
      </c>
      <c r="AK1628" s="8">
        <v>0</v>
      </c>
      <c r="AL1628" s="8">
        <v>779</v>
      </c>
      <c r="AM1628" s="8">
        <v>0</v>
      </c>
      <c r="AN1628" s="5" t="s">
        <v>63</v>
      </c>
      <c r="AO1628" s="10">
        <v>66.900000000000006</v>
      </c>
      <c r="AP1628" s="8">
        <v>17</v>
      </c>
      <c r="AQ1628" s="9">
        <v>46288</v>
      </c>
      <c r="AR1628" s="5" t="s">
        <v>51</v>
      </c>
      <c r="AS1628" s="5" t="s">
        <v>190</v>
      </c>
    </row>
    <row r="1629" spans="1:45" x14ac:dyDescent="0.35">
      <c r="A1629" s="5" t="s">
        <v>6679</v>
      </c>
      <c r="B1629" s="5" t="s">
        <v>6680</v>
      </c>
      <c r="C1629" s="6" t="s">
        <v>6681</v>
      </c>
      <c r="D1629" s="7">
        <v>263500</v>
      </c>
      <c r="E1629" s="5" t="s">
        <v>48</v>
      </c>
      <c r="F1629" s="5" t="s">
        <v>49</v>
      </c>
      <c r="G1629" s="8"/>
      <c r="H1629" s="8" t="str">
        <f>IF(F1629="Bullet",MIN(G1629,Assumptions!$B$6),"")</f>
        <v/>
      </c>
      <c r="I1629" s="8">
        <v>1</v>
      </c>
      <c r="J1629" s="8">
        <f>IF(F1629="Monthly interest",MAX(0,Assumptions!$B$5-I1629),"")</f>
        <v>2</v>
      </c>
      <c r="K1629" s="7">
        <f t="shared" si="75"/>
        <v>5270</v>
      </c>
      <c r="L1629" s="9">
        <v>46293</v>
      </c>
      <c r="M1629" s="5" t="s">
        <v>50</v>
      </c>
      <c r="N1629" s="5" t="s">
        <v>53</v>
      </c>
      <c r="O1629" s="5" t="s">
        <v>132</v>
      </c>
      <c r="P1629" s="5" t="s">
        <v>51</v>
      </c>
      <c r="Q1629" s="5" t="s">
        <v>54</v>
      </c>
      <c r="R1629" s="5" t="s">
        <v>55</v>
      </c>
      <c r="S1629" s="5" t="s">
        <v>185</v>
      </c>
      <c r="T1629" s="5" t="s">
        <v>57</v>
      </c>
      <c r="U1629" s="5" t="s">
        <v>86</v>
      </c>
      <c r="V1629" s="5" t="s">
        <v>186</v>
      </c>
      <c r="W1629" s="5" t="s">
        <v>694</v>
      </c>
      <c r="X1629" s="5" t="s">
        <v>715</v>
      </c>
      <c r="Y1629" s="5" t="s">
        <v>6682</v>
      </c>
      <c r="Z1629" s="9">
        <v>46201</v>
      </c>
      <c r="AA1629" s="8">
        <v>12</v>
      </c>
      <c r="AB1629" s="9">
        <f t="shared" si="76"/>
        <v>46566</v>
      </c>
      <c r="AC1629" s="10">
        <v>24</v>
      </c>
      <c r="AD1629" s="7">
        <f t="shared" si="77"/>
        <v>5270</v>
      </c>
      <c r="AE1629" s="7">
        <f>IF(F1629="Bullet",H1629*AD1629,MIN(MAX(I1629,1),Assumptions!$B$6)*AD1629)</f>
        <v>5270</v>
      </c>
      <c r="AF1629" s="8">
        <f>IF(F1629="Bullet",MAX(0,Assumptions!$B$4-AB1629),MAX(0,Assumptions!$B$4-L1629))</f>
        <v>5</v>
      </c>
      <c r="AG1629" s="9">
        <v>46265</v>
      </c>
      <c r="AH1629" s="8">
        <f>IF(AG1629="","",Assumptions!$B$4-AG1629)</f>
        <v>33</v>
      </c>
      <c r="AI1629" s="5" t="s">
        <v>63</v>
      </c>
      <c r="AJ1629" s="8">
        <v>2</v>
      </c>
      <c r="AK1629" s="8">
        <v>0</v>
      </c>
      <c r="AL1629" s="8">
        <v>830</v>
      </c>
      <c r="AM1629" s="8">
        <v>0</v>
      </c>
      <c r="AN1629" s="5" t="s">
        <v>63</v>
      </c>
      <c r="AO1629" s="10">
        <v>70.400000000000006</v>
      </c>
      <c r="AP1629" s="8">
        <v>16</v>
      </c>
      <c r="AQ1629" s="9">
        <v>46279</v>
      </c>
      <c r="AR1629" s="5" t="s">
        <v>51</v>
      </c>
      <c r="AS1629" s="5" t="s">
        <v>91</v>
      </c>
    </row>
    <row r="1630" spans="1:45" x14ac:dyDescent="0.35">
      <c r="A1630" s="5" t="s">
        <v>6683</v>
      </c>
      <c r="B1630" s="5" t="s">
        <v>6684</v>
      </c>
      <c r="C1630" s="6" t="s">
        <v>6685</v>
      </c>
      <c r="D1630" s="7">
        <v>189400</v>
      </c>
      <c r="E1630" s="5" t="s">
        <v>48</v>
      </c>
      <c r="F1630" s="5" t="s">
        <v>49</v>
      </c>
      <c r="G1630" s="8"/>
      <c r="H1630" s="8" t="str">
        <f>IF(F1630="Bullet",MIN(G1630,Assumptions!$B$6),"")</f>
        <v/>
      </c>
      <c r="I1630" s="8">
        <v>2</v>
      </c>
      <c r="J1630" s="8">
        <f>IF(F1630="Monthly interest",MAX(0,Assumptions!$B$5-I1630),"")</f>
        <v>1</v>
      </c>
      <c r="K1630" s="7">
        <f t="shared" si="75"/>
        <v>6314</v>
      </c>
      <c r="L1630" s="9">
        <v>46254</v>
      </c>
      <c r="M1630" s="5" t="s">
        <v>69</v>
      </c>
      <c r="N1630" s="5" t="s">
        <v>53</v>
      </c>
      <c r="O1630" s="5" t="s">
        <v>71</v>
      </c>
      <c r="P1630" s="5" t="s">
        <v>70</v>
      </c>
      <c r="Q1630" s="5" t="s">
        <v>73</v>
      </c>
      <c r="R1630" s="5" t="s">
        <v>74</v>
      </c>
      <c r="S1630" s="5" t="s">
        <v>85</v>
      </c>
      <c r="T1630" s="5" t="s">
        <v>63</v>
      </c>
      <c r="U1630" s="5" t="s">
        <v>86</v>
      </c>
      <c r="V1630" s="5" t="s">
        <v>177</v>
      </c>
      <c r="W1630" s="5" t="s">
        <v>178</v>
      </c>
      <c r="X1630" s="5" t="s">
        <v>1261</v>
      </c>
      <c r="Y1630" s="5" t="s">
        <v>6686</v>
      </c>
      <c r="Z1630" s="9">
        <v>46193</v>
      </c>
      <c r="AA1630" s="8">
        <v>12</v>
      </c>
      <c r="AB1630" s="9">
        <f t="shared" si="76"/>
        <v>46558</v>
      </c>
      <c r="AC1630" s="10">
        <v>20</v>
      </c>
      <c r="AD1630" s="7">
        <f t="shared" si="77"/>
        <v>3157</v>
      </c>
      <c r="AE1630" s="7">
        <f>IF(F1630="Bullet",H1630*AD1630,MIN(MAX(I1630,1),Assumptions!$B$6)*AD1630)</f>
        <v>6314</v>
      </c>
      <c r="AF1630" s="8">
        <f>IF(F1630="Bullet",MAX(0,Assumptions!$B$4-AB1630),MAX(0,Assumptions!$B$4-L1630))</f>
        <v>44</v>
      </c>
      <c r="AG1630" s="9">
        <v>46225</v>
      </c>
      <c r="AH1630" s="8">
        <f>IF(AG1630="","",Assumptions!$B$4-AG1630)</f>
        <v>73</v>
      </c>
      <c r="AI1630" s="5" t="s">
        <v>63</v>
      </c>
      <c r="AJ1630" s="8">
        <v>2</v>
      </c>
      <c r="AK1630" s="8">
        <v>0</v>
      </c>
      <c r="AL1630" s="8">
        <v>687</v>
      </c>
      <c r="AM1630" s="8">
        <v>2</v>
      </c>
      <c r="AN1630" s="5" t="s">
        <v>63</v>
      </c>
      <c r="AO1630" s="10">
        <v>65.599999999999994</v>
      </c>
      <c r="AP1630" s="8">
        <v>45</v>
      </c>
      <c r="AQ1630" s="9">
        <v>46290</v>
      </c>
      <c r="AR1630" s="5" t="s">
        <v>72</v>
      </c>
      <c r="AS1630" s="5" t="s">
        <v>181</v>
      </c>
    </row>
    <row r="1631" spans="1:45" x14ac:dyDescent="0.35">
      <c r="A1631" s="5" t="s">
        <v>6687</v>
      </c>
      <c r="B1631" s="5" t="s">
        <v>3860</v>
      </c>
      <c r="C1631" s="6" t="s">
        <v>6688</v>
      </c>
      <c r="D1631" s="7">
        <v>36800</v>
      </c>
      <c r="E1631" s="5" t="s">
        <v>48</v>
      </c>
      <c r="F1631" s="5" t="s">
        <v>49</v>
      </c>
      <c r="G1631" s="8"/>
      <c r="H1631" s="8" t="str">
        <f>IF(F1631="Bullet",MIN(G1631,Assumptions!$B$6),"")</f>
        <v/>
      </c>
      <c r="I1631" s="8">
        <v>1</v>
      </c>
      <c r="J1631" s="8">
        <f>IF(F1631="Monthly interest",MAX(0,Assumptions!$B$5-I1631),"")</f>
        <v>2</v>
      </c>
      <c r="K1631" s="7">
        <f t="shared" si="75"/>
        <v>675</v>
      </c>
      <c r="L1631" s="9">
        <v>46281</v>
      </c>
      <c r="M1631" s="5" t="s">
        <v>50</v>
      </c>
      <c r="N1631" s="5" t="s">
        <v>51</v>
      </c>
      <c r="O1631" s="5" t="s">
        <v>152</v>
      </c>
      <c r="P1631" s="5" t="s">
        <v>53</v>
      </c>
      <c r="Q1631" s="5" t="s">
        <v>154</v>
      </c>
      <c r="R1631" s="5" t="s">
        <v>155</v>
      </c>
      <c r="S1631" s="5" t="s">
        <v>185</v>
      </c>
      <c r="T1631" s="5" t="s">
        <v>57</v>
      </c>
      <c r="U1631" s="5" t="s">
        <v>86</v>
      </c>
      <c r="V1631" s="5" t="s">
        <v>200</v>
      </c>
      <c r="W1631" s="5" t="s">
        <v>433</v>
      </c>
      <c r="X1631" s="5" t="s">
        <v>434</v>
      </c>
      <c r="Y1631" s="5" t="s">
        <v>6689</v>
      </c>
      <c r="Z1631" s="9">
        <v>46189</v>
      </c>
      <c r="AA1631" s="8">
        <v>18</v>
      </c>
      <c r="AB1631" s="9">
        <f t="shared" si="76"/>
        <v>46737</v>
      </c>
      <c r="AC1631" s="10">
        <v>22</v>
      </c>
      <c r="AD1631" s="7">
        <f t="shared" si="77"/>
        <v>675</v>
      </c>
      <c r="AE1631" s="7">
        <f>IF(F1631="Bullet",H1631*AD1631,MIN(MAX(I1631,1),Assumptions!$B$6)*AD1631)</f>
        <v>675</v>
      </c>
      <c r="AF1631" s="8">
        <f>IF(F1631="Bullet",MAX(0,Assumptions!$B$4-AB1631),MAX(0,Assumptions!$B$4-L1631))</f>
        <v>17</v>
      </c>
      <c r="AG1631" s="9">
        <v>46253</v>
      </c>
      <c r="AH1631" s="8">
        <f>IF(AG1631="","",Assumptions!$B$4-AG1631)</f>
        <v>45</v>
      </c>
      <c r="AI1631" s="5" t="s">
        <v>63</v>
      </c>
      <c r="AJ1631" s="8">
        <v>1</v>
      </c>
      <c r="AK1631" s="8">
        <v>0</v>
      </c>
      <c r="AL1631" s="8" t="s">
        <v>80</v>
      </c>
      <c r="AM1631" s="8">
        <v>0</v>
      </c>
      <c r="AN1631" s="5" t="s">
        <v>63</v>
      </c>
      <c r="AO1631" s="10">
        <v>56.9</v>
      </c>
      <c r="AP1631" s="8">
        <v>20</v>
      </c>
      <c r="AQ1631" s="9">
        <v>46282</v>
      </c>
      <c r="AR1631" s="5" t="s">
        <v>51</v>
      </c>
      <c r="AS1631" s="5" t="s">
        <v>274</v>
      </c>
    </row>
    <row r="1632" spans="1:45" x14ac:dyDescent="0.35">
      <c r="A1632" s="5" t="s">
        <v>6690</v>
      </c>
      <c r="B1632" s="5" t="s">
        <v>6691</v>
      </c>
      <c r="C1632" s="6" t="s">
        <v>6692</v>
      </c>
      <c r="D1632" s="7">
        <v>425500</v>
      </c>
      <c r="E1632" s="5" t="s">
        <v>48</v>
      </c>
      <c r="F1632" s="5" t="s">
        <v>49</v>
      </c>
      <c r="G1632" s="8"/>
      <c r="H1632" s="8" t="str">
        <f>IF(F1632="Bullet",MIN(G1632,Assumptions!$B$6),"")</f>
        <v/>
      </c>
      <c r="I1632" s="8">
        <v>2</v>
      </c>
      <c r="J1632" s="8">
        <f>IF(F1632="Monthly interest",MAX(0,Assumptions!$B$5-I1632),"")</f>
        <v>1</v>
      </c>
      <c r="K1632" s="7">
        <f t="shared" si="75"/>
        <v>14184</v>
      </c>
      <c r="L1632" s="9">
        <v>46255</v>
      </c>
      <c r="M1632" s="5" t="s">
        <v>116</v>
      </c>
      <c r="N1632" s="5" t="s">
        <v>117</v>
      </c>
      <c r="O1632" s="5" t="s">
        <v>118</v>
      </c>
      <c r="P1632" s="5" t="s">
        <v>72</v>
      </c>
      <c r="Q1632" s="5" t="s">
        <v>119</v>
      </c>
      <c r="R1632" s="5" t="s">
        <v>120</v>
      </c>
      <c r="S1632" s="5" t="s">
        <v>56</v>
      </c>
      <c r="T1632" s="5" t="s">
        <v>57</v>
      </c>
      <c r="U1632" s="5" t="s">
        <v>86</v>
      </c>
      <c r="V1632" s="5" t="s">
        <v>59</v>
      </c>
      <c r="W1632" s="5" t="s">
        <v>300</v>
      </c>
      <c r="X1632" s="5" t="s">
        <v>511</v>
      </c>
      <c r="Y1632" s="5" t="s">
        <v>6693</v>
      </c>
      <c r="Z1632" s="9">
        <v>45982</v>
      </c>
      <c r="AA1632" s="8">
        <v>12</v>
      </c>
      <c r="AB1632" s="9">
        <f t="shared" si="76"/>
        <v>46347</v>
      </c>
      <c r="AC1632" s="10">
        <v>20</v>
      </c>
      <c r="AD1632" s="7">
        <f t="shared" si="77"/>
        <v>7092</v>
      </c>
      <c r="AE1632" s="7">
        <f>IF(F1632="Bullet",H1632*AD1632,MIN(MAX(I1632,1),Assumptions!$B$6)*AD1632)</f>
        <v>14184</v>
      </c>
      <c r="AF1632" s="8">
        <f>IF(F1632="Bullet",MAX(0,Assumptions!$B$4-AB1632),MAX(0,Assumptions!$B$4-L1632))</f>
        <v>43</v>
      </c>
      <c r="AG1632" s="9">
        <v>46226</v>
      </c>
      <c r="AH1632" s="8">
        <f>IF(AG1632="","",Assumptions!$B$4-AG1632)</f>
        <v>72</v>
      </c>
      <c r="AI1632" s="5" t="s">
        <v>57</v>
      </c>
      <c r="AJ1632" s="8">
        <v>2</v>
      </c>
      <c r="AK1632" s="8">
        <v>2</v>
      </c>
      <c r="AL1632" s="8">
        <v>551</v>
      </c>
      <c r="AM1632" s="8">
        <v>0</v>
      </c>
      <c r="AN1632" s="5" t="s">
        <v>63</v>
      </c>
      <c r="AO1632" s="10">
        <v>79.5</v>
      </c>
      <c r="AP1632" s="8">
        <v>72</v>
      </c>
      <c r="AQ1632" s="9">
        <v>46275</v>
      </c>
      <c r="AR1632" s="5" t="s">
        <v>51</v>
      </c>
      <c r="AS1632" s="5" t="s">
        <v>64</v>
      </c>
    </row>
    <row r="1633" spans="1:45" x14ac:dyDescent="0.35">
      <c r="A1633" s="5" t="s">
        <v>6694</v>
      </c>
      <c r="B1633" s="5" t="s">
        <v>5515</v>
      </c>
      <c r="C1633" s="6" t="s">
        <v>6695</v>
      </c>
      <c r="D1633" s="7">
        <v>164700</v>
      </c>
      <c r="E1633" s="5" t="s">
        <v>48</v>
      </c>
      <c r="F1633" s="5" t="s">
        <v>68</v>
      </c>
      <c r="G1633" s="8">
        <v>3</v>
      </c>
      <c r="H1633" s="8">
        <f>IF(F1633="Bullet",MIN(G1633,Assumptions!$B$6),"")</f>
        <v>2</v>
      </c>
      <c r="I1633" s="8"/>
      <c r="J1633" s="8" t="str">
        <f>IF(F1633="Monthly interest",MAX(0,Assumptions!$B$5-I1633),"")</f>
        <v/>
      </c>
      <c r="K1633" s="7">
        <f t="shared" si="75"/>
        <v>7413</v>
      </c>
      <c r="L1633" s="9">
        <v>46185</v>
      </c>
      <c r="M1633" s="5" t="s">
        <v>50</v>
      </c>
      <c r="N1633" s="5" t="s">
        <v>53</v>
      </c>
      <c r="O1633" s="5" t="s">
        <v>71</v>
      </c>
      <c r="P1633" s="5" t="s">
        <v>51</v>
      </c>
      <c r="Q1633" s="5" t="s">
        <v>73</v>
      </c>
      <c r="R1633" s="5" t="s">
        <v>74</v>
      </c>
      <c r="S1633" s="5" t="s">
        <v>185</v>
      </c>
      <c r="T1633" s="5" t="s">
        <v>57</v>
      </c>
      <c r="U1633" s="5" t="s">
        <v>104</v>
      </c>
      <c r="V1633" s="5" t="s">
        <v>200</v>
      </c>
      <c r="W1633" s="5" t="s">
        <v>1332</v>
      </c>
      <c r="X1633" s="5" t="s">
        <v>1333</v>
      </c>
      <c r="Y1633" s="5" t="s">
        <v>6696</v>
      </c>
      <c r="Z1633" s="9">
        <v>46185</v>
      </c>
      <c r="AA1633" s="8">
        <v>6</v>
      </c>
      <c r="AB1633" s="9">
        <f t="shared" si="76"/>
        <v>46368</v>
      </c>
      <c r="AC1633" s="10">
        <v>18</v>
      </c>
      <c r="AD1633" s="7">
        <f t="shared" si="77"/>
        <v>2471</v>
      </c>
      <c r="AE1633" s="7">
        <f>IF(F1633="Bullet",H1633*AD1633,MIN(MAX(I1633,1),Assumptions!$B$6)*AD1633)</f>
        <v>4942</v>
      </c>
      <c r="AF1633" s="8">
        <f>IF(F1633="Bullet",MAX(0,Assumptions!$B$4-AB1633),MAX(0,Assumptions!$B$4-L1633))</f>
        <v>0</v>
      </c>
      <c r="AG1633" s="9"/>
      <c r="AH1633" s="8" t="str">
        <f>IF(AG1633="","",Assumptions!$B$4-AG1633)</f>
        <v/>
      </c>
      <c r="AI1633" s="5" t="s">
        <v>80</v>
      </c>
      <c r="AJ1633" s="8"/>
      <c r="AK1633" s="8">
        <v>2</v>
      </c>
      <c r="AL1633" s="8">
        <v>791</v>
      </c>
      <c r="AM1633" s="8">
        <v>3</v>
      </c>
      <c r="AN1633" s="5" t="s">
        <v>63</v>
      </c>
      <c r="AO1633" s="10">
        <v>73.3</v>
      </c>
      <c r="AP1633" s="8">
        <v>25</v>
      </c>
      <c r="AQ1633" s="9">
        <v>46294</v>
      </c>
      <c r="AR1633" s="5" t="s">
        <v>70</v>
      </c>
      <c r="AS1633" s="5" t="s">
        <v>190</v>
      </c>
    </row>
    <row r="1634" spans="1:45" x14ac:dyDescent="0.35">
      <c r="A1634" s="5" t="s">
        <v>6697</v>
      </c>
      <c r="B1634" s="5" t="s">
        <v>2412</v>
      </c>
      <c r="C1634" s="6" t="s">
        <v>6698</v>
      </c>
      <c r="D1634" s="7">
        <v>72700</v>
      </c>
      <c r="E1634" s="5" t="s">
        <v>48</v>
      </c>
      <c r="F1634" s="5" t="s">
        <v>68</v>
      </c>
      <c r="G1634" s="8">
        <v>2</v>
      </c>
      <c r="H1634" s="8">
        <f>IF(F1634="Bullet",MIN(G1634,Assumptions!$B$6),"")</f>
        <v>2</v>
      </c>
      <c r="I1634" s="8"/>
      <c r="J1634" s="8" t="str">
        <f>IF(F1634="Monthly interest",MAX(0,Assumptions!$B$5-I1634),"")</f>
        <v/>
      </c>
      <c r="K1634" s="7">
        <f t="shared" si="75"/>
        <v>1696</v>
      </c>
      <c r="L1634" s="9">
        <v>46219</v>
      </c>
      <c r="M1634" s="5" t="s">
        <v>50</v>
      </c>
      <c r="N1634" s="5" t="s">
        <v>51</v>
      </c>
      <c r="O1634" s="5" t="s">
        <v>71</v>
      </c>
      <c r="P1634" s="5" t="s">
        <v>53</v>
      </c>
      <c r="Q1634" s="5" t="s">
        <v>73</v>
      </c>
      <c r="R1634" s="5" t="s">
        <v>74</v>
      </c>
      <c r="S1634" s="5" t="s">
        <v>85</v>
      </c>
      <c r="T1634" s="5" t="s">
        <v>57</v>
      </c>
      <c r="U1634" s="5" t="s">
        <v>58</v>
      </c>
      <c r="V1634" s="5" t="s">
        <v>177</v>
      </c>
      <c r="W1634" s="5" t="s">
        <v>178</v>
      </c>
      <c r="X1634" s="5" t="s">
        <v>222</v>
      </c>
      <c r="Y1634" s="5" t="s">
        <v>6699</v>
      </c>
      <c r="Z1634" s="9">
        <v>46219</v>
      </c>
      <c r="AA1634" s="8">
        <v>6</v>
      </c>
      <c r="AB1634" s="9">
        <f t="shared" si="76"/>
        <v>46403</v>
      </c>
      <c r="AC1634" s="10">
        <v>14</v>
      </c>
      <c r="AD1634" s="7">
        <f t="shared" si="77"/>
        <v>848</v>
      </c>
      <c r="AE1634" s="7">
        <f>IF(F1634="Bullet",H1634*AD1634,MIN(MAX(I1634,1),Assumptions!$B$6)*AD1634)</f>
        <v>1696</v>
      </c>
      <c r="AF1634" s="8">
        <f>IF(F1634="Bullet",MAX(0,Assumptions!$B$4-AB1634),MAX(0,Assumptions!$B$4-L1634))</f>
        <v>0</v>
      </c>
      <c r="AG1634" s="9"/>
      <c r="AH1634" s="8" t="str">
        <f>IF(AG1634="","",Assumptions!$B$4-AG1634)</f>
        <v/>
      </c>
      <c r="AI1634" s="5" t="s">
        <v>80</v>
      </c>
      <c r="AJ1634" s="8"/>
      <c r="AK1634" s="8">
        <v>0</v>
      </c>
      <c r="AL1634" s="8">
        <v>629</v>
      </c>
      <c r="AM1634" s="8">
        <v>1</v>
      </c>
      <c r="AN1634" s="5" t="s">
        <v>63</v>
      </c>
      <c r="AO1634" s="10">
        <v>50.5</v>
      </c>
      <c r="AP1634" s="8">
        <v>22</v>
      </c>
      <c r="AQ1634" s="9">
        <v>46284</v>
      </c>
      <c r="AR1634" s="5" t="s">
        <v>70</v>
      </c>
      <c r="AS1634" s="5" t="s">
        <v>91</v>
      </c>
    </row>
    <row r="1635" spans="1:45" x14ac:dyDescent="0.35">
      <c r="A1635" s="5" t="s">
        <v>6700</v>
      </c>
      <c r="B1635" s="5" t="s">
        <v>6701</v>
      </c>
      <c r="C1635" s="6" t="s">
        <v>6702</v>
      </c>
      <c r="D1635" s="7">
        <v>123100</v>
      </c>
      <c r="E1635" s="5" t="s">
        <v>48</v>
      </c>
      <c r="F1635" s="5" t="s">
        <v>68</v>
      </c>
      <c r="G1635" s="8">
        <v>6</v>
      </c>
      <c r="H1635" s="8">
        <f>IF(F1635="Bullet",MIN(G1635,Assumptions!$B$6),"")</f>
        <v>2</v>
      </c>
      <c r="I1635" s="8"/>
      <c r="J1635" s="8" t="str">
        <f>IF(F1635="Monthly interest",MAX(0,Assumptions!$B$5-I1635),"")</f>
        <v/>
      </c>
      <c r="K1635" s="7">
        <f t="shared" si="75"/>
        <v>9234</v>
      </c>
      <c r="L1635" s="9">
        <v>46106</v>
      </c>
      <c r="M1635" s="5" t="s">
        <v>69</v>
      </c>
      <c r="N1635" s="5" t="s">
        <v>53</v>
      </c>
      <c r="O1635" s="5" t="s">
        <v>168</v>
      </c>
      <c r="P1635" s="5" t="s">
        <v>70</v>
      </c>
      <c r="Q1635" s="5" t="s">
        <v>169</v>
      </c>
      <c r="R1635" s="5" t="s">
        <v>170</v>
      </c>
      <c r="S1635" s="5" t="s">
        <v>75</v>
      </c>
      <c r="T1635" s="5" t="s">
        <v>57</v>
      </c>
      <c r="U1635" s="5" t="s">
        <v>104</v>
      </c>
      <c r="V1635" s="5" t="s">
        <v>76</v>
      </c>
      <c r="W1635" s="5" t="s">
        <v>382</v>
      </c>
      <c r="X1635" s="5" t="s">
        <v>2691</v>
      </c>
      <c r="Y1635" s="5" t="s">
        <v>6703</v>
      </c>
      <c r="Z1635" s="9">
        <v>46106</v>
      </c>
      <c r="AA1635" s="8">
        <v>12</v>
      </c>
      <c r="AB1635" s="9">
        <f t="shared" si="76"/>
        <v>46471</v>
      </c>
      <c r="AC1635" s="10">
        <v>15</v>
      </c>
      <c r="AD1635" s="7">
        <f t="shared" si="77"/>
        <v>1539</v>
      </c>
      <c r="AE1635" s="7">
        <f>IF(F1635="Bullet",H1635*AD1635,MIN(MAX(I1635,1),Assumptions!$B$6)*AD1635)</f>
        <v>3078</v>
      </c>
      <c r="AF1635" s="8">
        <f>IF(F1635="Bullet",MAX(0,Assumptions!$B$4-AB1635),MAX(0,Assumptions!$B$4-L1635))</f>
        <v>0</v>
      </c>
      <c r="AG1635" s="9"/>
      <c r="AH1635" s="8" t="str">
        <f>IF(AG1635="","",Assumptions!$B$4-AG1635)</f>
        <v/>
      </c>
      <c r="AI1635" s="5" t="s">
        <v>80</v>
      </c>
      <c r="AJ1635" s="8"/>
      <c r="AK1635" s="8">
        <v>0</v>
      </c>
      <c r="AL1635" s="8">
        <v>672</v>
      </c>
      <c r="AM1635" s="8">
        <v>0</v>
      </c>
      <c r="AN1635" s="5" t="s">
        <v>63</v>
      </c>
      <c r="AO1635" s="10">
        <v>72.2</v>
      </c>
      <c r="AP1635" s="8">
        <v>45</v>
      </c>
      <c r="AQ1635" s="9">
        <v>46291</v>
      </c>
      <c r="AR1635" s="5" t="s">
        <v>70</v>
      </c>
      <c r="AS1635" s="5" t="s">
        <v>81</v>
      </c>
    </row>
    <row r="1636" spans="1:45" x14ac:dyDescent="0.35">
      <c r="A1636" s="5" t="s">
        <v>6704</v>
      </c>
      <c r="B1636" s="5" t="s">
        <v>1890</v>
      </c>
      <c r="C1636" s="6" t="s">
        <v>6705</v>
      </c>
      <c r="D1636" s="7">
        <v>257500</v>
      </c>
      <c r="E1636" s="5" t="s">
        <v>48</v>
      </c>
      <c r="F1636" s="5" t="s">
        <v>68</v>
      </c>
      <c r="G1636" s="8">
        <v>5</v>
      </c>
      <c r="H1636" s="8">
        <f>IF(F1636="Bullet",MIN(G1636,Assumptions!$B$6),"")</f>
        <v>2</v>
      </c>
      <c r="I1636" s="8"/>
      <c r="J1636" s="8" t="str">
        <f>IF(F1636="Monthly interest",MAX(0,Assumptions!$B$5-I1636),"")</f>
        <v/>
      </c>
      <c r="K1636" s="7">
        <f t="shared" si="75"/>
        <v>12875</v>
      </c>
      <c r="L1636" s="9">
        <v>46143</v>
      </c>
      <c r="M1636" s="5" t="s">
        <v>116</v>
      </c>
      <c r="N1636" s="5" t="s">
        <v>117</v>
      </c>
      <c r="O1636" s="5" t="s">
        <v>461</v>
      </c>
      <c r="P1636" s="5" t="s">
        <v>72</v>
      </c>
      <c r="Q1636" s="5" t="s">
        <v>169</v>
      </c>
      <c r="R1636" s="5" t="s">
        <v>170</v>
      </c>
      <c r="S1636" s="5" t="s">
        <v>56</v>
      </c>
      <c r="T1636" s="5" t="s">
        <v>63</v>
      </c>
      <c r="U1636" s="5" t="s">
        <v>86</v>
      </c>
      <c r="V1636" s="5" t="s">
        <v>59</v>
      </c>
      <c r="W1636" s="5" t="s">
        <v>418</v>
      </c>
      <c r="X1636" s="5" t="s">
        <v>1988</v>
      </c>
      <c r="Y1636" s="5" t="s">
        <v>6706</v>
      </c>
      <c r="Z1636" s="9">
        <v>46143</v>
      </c>
      <c r="AA1636" s="8">
        <v>3</v>
      </c>
      <c r="AB1636" s="9">
        <f t="shared" si="76"/>
        <v>46235</v>
      </c>
      <c r="AC1636" s="10">
        <v>12</v>
      </c>
      <c r="AD1636" s="7">
        <f t="shared" si="77"/>
        <v>2575</v>
      </c>
      <c r="AE1636" s="7">
        <f>IF(F1636="Bullet",H1636*AD1636,MIN(MAX(I1636,1),Assumptions!$B$6)*AD1636)</f>
        <v>5150</v>
      </c>
      <c r="AF1636" s="8">
        <f>IF(F1636="Bullet",MAX(0,Assumptions!$B$4-AB1636),MAX(0,Assumptions!$B$4-L1636))</f>
        <v>63</v>
      </c>
      <c r="AG1636" s="9"/>
      <c r="AH1636" s="8" t="str">
        <f>IF(AG1636="","",Assumptions!$B$4-AG1636)</f>
        <v/>
      </c>
      <c r="AI1636" s="5" t="s">
        <v>80</v>
      </c>
      <c r="AJ1636" s="8"/>
      <c r="AK1636" s="8">
        <v>1</v>
      </c>
      <c r="AL1636" s="8">
        <v>612</v>
      </c>
      <c r="AM1636" s="8">
        <v>1</v>
      </c>
      <c r="AN1636" s="5" t="s">
        <v>63</v>
      </c>
      <c r="AO1636" s="10">
        <v>80.7</v>
      </c>
      <c r="AP1636" s="8">
        <v>67</v>
      </c>
      <c r="AQ1636" s="9"/>
      <c r="AR1636" s="5"/>
      <c r="AS1636" s="5" t="s">
        <v>159</v>
      </c>
    </row>
    <row r="1637" spans="1:45" x14ac:dyDescent="0.35">
      <c r="A1637" s="5" t="s">
        <v>6707</v>
      </c>
      <c r="B1637" s="5" t="s">
        <v>6708</v>
      </c>
      <c r="C1637" s="6" t="s">
        <v>6709</v>
      </c>
      <c r="D1637" s="7">
        <v>184500</v>
      </c>
      <c r="E1637" s="5" t="s">
        <v>48</v>
      </c>
      <c r="F1637" s="5" t="s">
        <v>49</v>
      </c>
      <c r="G1637" s="8"/>
      <c r="H1637" s="8" t="str">
        <f>IF(F1637="Bullet",MIN(G1637,Assumptions!$B$6),"")</f>
        <v/>
      </c>
      <c r="I1637" s="8">
        <v>1</v>
      </c>
      <c r="J1637" s="8">
        <f>IF(F1637="Monthly interest",MAX(0,Assumptions!$B$5-I1637),"")</f>
        <v>2</v>
      </c>
      <c r="K1637" s="7">
        <f t="shared" si="75"/>
        <v>2153</v>
      </c>
      <c r="L1637" s="9">
        <v>46276</v>
      </c>
      <c r="M1637" s="5" t="s">
        <v>69</v>
      </c>
      <c r="N1637" s="5" t="s">
        <v>51</v>
      </c>
      <c r="O1637" s="5" t="s">
        <v>52</v>
      </c>
      <c r="P1637" s="5" t="s">
        <v>53</v>
      </c>
      <c r="Q1637" s="5" t="s">
        <v>54</v>
      </c>
      <c r="R1637" s="5" t="s">
        <v>55</v>
      </c>
      <c r="S1637" s="5" t="s">
        <v>185</v>
      </c>
      <c r="T1637" s="5" t="s">
        <v>57</v>
      </c>
      <c r="U1637" s="5" t="s">
        <v>86</v>
      </c>
      <c r="V1637" s="5" t="s">
        <v>186</v>
      </c>
      <c r="W1637" s="5" t="s">
        <v>187</v>
      </c>
      <c r="X1637" s="5" t="s">
        <v>2613</v>
      </c>
      <c r="Y1637" s="5" t="s">
        <v>6710</v>
      </c>
      <c r="Z1637" s="9">
        <v>46184</v>
      </c>
      <c r="AA1637" s="8">
        <v>12</v>
      </c>
      <c r="AB1637" s="9">
        <f t="shared" si="76"/>
        <v>46549</v>
      </c>
      <c r="AC1637" s="10">
        <v>14</v>
      </c>
      <c r="AD1637" s="7">
        <f t="shared" si="77"/>
        <v>2153</v>
      </c>
      <c r="AE1637" s="7">
        <f>IF(F1637="Bullet",H1637*AD1637,MIN(MAX(I1637,1),Assumptions!$B$6)*AD1637)</f>
        <v>2153</v>
      </c>
      <c r="AF1637" s="8">
        <f>IF(F1637="Bullet",MAX(0,Assumptions!$B$4-AB1637),MAX(0,Assumptions!$B$4-L1637))</f>
        <v>22</v>
      </c>
      <c r="AG1637" s="9">
        <v>46250</v>
      </c>
      <c r="AH1637" s="8">
        <f>IF(AG1637="","",Assumptions!$B$4-AG1637)</f>
        <v>48</v>
      </c>
      <c r="AI1637" s="5" t="s">
        <v>63</v>
      </c>
      <c r="AJ1637" s="8">
        <v>2</v>
      </c>
      <c r="AK1637" s="8">
        <v>0</v>
      </c>
      <c r="AL1637" s="8" t="s">
        <v>80</v>
      </c>
      <c r="AM1637" s="8">
        <v>5</v>
      </c>
      <c r="AN1637" s="5" t="s">
        <v>63</v>
      </c>
      <c r="AO1637" s="10">
        <v>65.599999999999994</v>
      </c>
      <c r="AP1637" s="8">
        <v>41</v>
      </c>
      <c r="AQ1637" s="9">
        <v>46282</v>
      </c>
      <c r="AR1637" s="5" t="s">
        <v>51</v>
      </c>
      <c r="AS1637" s="5" t="s">
        <v>64</v>
      </c>
    </row>
    <row r="1638" spans="1:45" x14ac:dyDescent="0.35">
      <c r="A1638" s="5" t="s">
        <v>6711</v>
      </c>
      <c r="B1638" s="5" t="s">
        <v>2141</v>
      </c>
      <c r="C1638" s="6" t="s">
        <v>6712</v>
      </c>
      <c r="D1638" s="7">
        <v>144700</v>
      </c>
      <c r="E1638" s="5" t="s">
        <v>48</v>
      </c>
      <c r="F1638" s="5" t="s">
        <v>68</v>
      </c>
      <c r="G1638" s="8">
        <v>4</v>
      </c>
      <c r="H1638" s="8">
        <f>IF(F1638="Bullet",MIN(G1638,Assumptions!$B$6),"")</f>
        <v>2</v>
      </c>
      <c r="I1638" s="8"/>
      <c r="J1638" s="8" t="str">
        <f>IF(F1638="Monthly interest",MAX(0,Assumptions!$B$5-I1638),"")</f>
        <v/>
      </c>
      <c r="K1638" s="7">
        <f t="shared" si="75"/>
        <v>8684</v>
      </c>
      <c r="L1638" s="9">
        <v>46162</v>
      </c>
      <c r="M1638" s="5" t="s">
        <v>116</v>
      </c>
      <c r="N1638" s="5" t="s">
        <v>117</v>
      </c>
      <c r="O1638" s="5" t="s">
        <v>207</v>
      </c>
      <c r="P1638" s="5" t="s">
        <v>72</v>
      </c>
      <c r="Q1638" s="5" t="s">
        <v>73</v>
      </c>
      <c r="R1638" s="5" t="s">
        <v>74</v>
      </c>
      <c r="S1638" s="5" t="s">
        <v>56</v>
      </c>
      <c r="T1638" s="5" t="s">
        <v>57</v>
      </c>
      <c r="U1638" s="5" t="s">
        <v>86</v>
      </c>
      <c r="V1638" s="5" t="s">
        <v>59</v>
      </c>
      <c r="W1638" s="5" t="s">
        <v>300</v>
      </c>
      <c r="X1638" s="5" t="s">
        <v>6278</v>
      </c>
      <c r="Y1638" s="5" t="s">
        <v>6713</v>
      </c>
      <c r="Z1638" s="9">
        <v>46162</v>
      </c>
      <c r="AA1638" s="8">
        <v>3</v>
      </c>
      <c r="AB1638" s="9">
        <f t="shared" si="76"/>
        <v>46254</v>
      </c>
      <c r="AC1638" s="10">
        <v>18</v>
      </c>
      <c r="AD1638" s="7">
        <f t="shared" si="77"/>
        <v>2171</v>
      </c>
      <c r="AE1638" s="7">
        <f>IF(F1638="Bullet",H1638*AD1638,MIN(MAX(I1638,1),Assumptions!$B$6)*AD1638)</f>
        <v>4342</v>
      </c>
      <c r="AF1638" s="8">
        <f>IF(F1638="Bullet",MAX(0,Assumptions!$B$4-AB1638),MAX(0,Assumptions!$B$4-L1638))</f>
        <v>44</v>
      </c>
      <c r="AG1638" s="9"/>
      <c r="AH1638" s="8" t="str">
        <f>IF(AG1638="","",Assumptions!$B$4-AG1638)</f>
        <v/>
      </c>
      <c r="AI1638" s="5" t="s">
        <v>80</v>
      </c>
      <c r="AJ1638" s="8"/>
      <c r="AK1638" s="8">
        <v>2</v>
      </c>
      <c r="AL1638" s="8">
        <v>709</v>
      </c>
      <c r="AM1638" s="8">
        <v>0</v>
      </c>
      <c r="AN1638" s="5" t="s">
        <v>57</v>
      </c>
      <c r="AO1638" s="10">
        <v>88</v>
      </c>
      <c r="AP1638" s="8">
        <v>67</v>
      </c>
      <c r="AQ1638" s="9">
        <v>46274</v>
      </c>
      <c r="AR1638" s="5" t="s">
        <v>51</v>
      </c>
      <c r="AS1638" s="5" t="s">
        <v>81</v>
      </c>
    </row>
    <row r="1639" spans="1:45" x14ac:dyDescent="0.35">
      <c r="A1639" s="5" t="s">
        <v>6714</v>
      </c>
      <c r="B1639" s="5" t="s">
        <v>4466</v>
      </c>
      <c r="C1639" s="6" t="s">
        <v>6715</v>
      </c>
      <c r="D1639" s="7">
        <v>244000</v>
      </c>
      <c r="E1639" s="5" t="s">
        <v>48</v>
      </c>
      <c r="F1639" s="5" t="s">
        <v>49</v>
      </c>
      <c r="G1639" s="8"/>
      <c r="H1639" s="8" t="str">
        <f>IF(F1639="Bullet",MIN(G1639,Assumptions!$B$6),"")</f>
        <v/>
      </c>
      <c r="I1639" s="8">
        <v>1</v>
      </c>
      <c r="J1639" s="8">
        <f>IF(F1639="Monthly interest",MAX(0,Assumptions!$B$5-I1639),"")</f>
        <v>2</v>
      </c>
      <c r="K1639" s="7">
        <f t="shared" si="75"/>
        <v>3253</v>
      </c>
      <c r="L1639" s="9">
        <v>46291</v>
      </c>
      <c r="M1639" s="5" t="s">
        <v>50</v>
      </c>
      <c r="N1639" s="5" t="s">
        <v>51</v>
      </c>
      <c r="O1639" s="5" t="s">
        <v>52</v>
      </c>
      <c r="P1639" s="5" t="s">
        <v>53</v>
      </c>
      <c r="Q1639" s="5" t="s">
        <v>54</v>
      </c>
      <c r="R1639" s="5" t="s">
        <v>55</v>
      </c>
      <c r="S1639" s="5" t="s">
        <v>56</v>
      </c>
      <c r="T1639" s="5" t="s">
        <v>57</v>
      </c>
      <c r="U1639" s="5" t="s">
        <v>58</v>
      </c>
      <c r="V1639" s="5" t="s">
        <v>59</v>
      </c>
      <c r="W1639" s="5" t="s">
        <v>156</v>
      </c>
      <c r="X1639" s="5" t="s">
        <v>506</v>
      </c>
      <c r="Y1639" s="5" t="s">
        <v>6716</v>
      </c>
      <c r="Z1639" s="9">
        <v>46138</v>
      </c>
      <c r="AA1639" s="8">
        <v>24</v>
      </c>
      <c r="AB1639" s="9">
        <f t="shared" si="76"/>
        <v>46869</v>
      </c>
      <c r="AC1639" s="10">
        <v>16</v>
      </c>
      <c r="AD1639" s="7">
        <f t="shared" si="77"/>
        <v>3253</v>
      </c>
      <c r="AE1639" s="7">
        <f>IF(F1639="Bullet",H1639*AD1639,MIN(MAX(I1639,1),Assumptions!$B$6)*AD1639)</f>
        <v>3253</v>
      </c>
      <c r="AF1639" s="8">
        <f>IF(F1639="Bullet",MAX(0,Assumptions!$B$4-AB1639),MAX(0,Assumptions!$B$4-L1639))</f>
        <v>7</v>
      </c>
      <c r="AG1639" s="9">
        <v>46262</v>
      </c>
      <c r="AH1639" s="8">
        <f>IF(AG1639="","",Assumptions!$B$4-AG1639)</f>
        <v>36</v>
      </c>
      <c r="AI1639" s="5" t="s">
        <v>63</v>
      </c>
      <c r="AJ1639" s="8">
        <v>1</v>
      </c>
      <c r="AK1639" s="8">
        <v>1</v>
      </c>
      <c r="AL1639" s="8">
        <v>682</v>
      </c>
      <c r="AM1639" s="8">
        <v>0</v>
      </c>
      <c r="AN1639" s="5" t="s">
        <v>63</v>
      </c>
      <c r="AO1639" s="10">
        <v>67.7</v>
      </c>
      <c r="AP1639" s="8">
        <v>29</v>
      </c>
      <c r="AQ1639" s="9">
        <v>46291</v>
      </c>
      <c r="AR1639" s="5" t="s">
        <v>53</v>
      </c>
      <c r="AS1639" s="5" t="s">
        <v>64</v>
      </c>
    </row>
    <row r="1640" spans="1:45" x14ac:dyDescent="0.35">
      <c r="A1640" s="5" t="s">
        <v>6717</v>
      </c>
      <c r="B1640" s="5" t="s">
        <v>6718</v>
      </c>
      <c r="C1640" s="6" t="s">
        <v>6719</v>
      </c>
      <c r="D1640" s="7">
        <v>60000</v>
      </c>
      <c r="E1640" s="5" t="s">
        <v>48</v>
      </c>
      <c r="F1640" s="5" t="s">
        <v>68</v>
      </c>
      <c r="G1640" s="8">
        <v>2</v>
      </c>
      <c r="H1640" s="8">
        <f>IF(F1640="Bullet",MIN(G1640,Assumptions!$B$6),"")</f>
        <v>2</v>
      </c>
      <c r="I1640" s="8"/>
      <c r="J1640" s="8" t="str">
        <f>IF(F1640="Monthly interest",MAX(0,Assumptions!$B$5-I1640),"")</f>
        <v/>
      </c>
      <c r="K1640" s="7">
        <f t="shared" si="75"/>
        <v>1300</v>
      </c>
      <c r="L1640" s="9">
        <v>46225</v>
      </c>
      <c r="M1640" s="5" t="s">
        <v>69</v>
      </c>
      <c r="N1640" s="5" t="s">
        <v>53</v>
      </c>
      <c r="O1640" s="5" t="s">
        <v>71</v>
      </c>
      <c r="P1640" s="5" t="s">
        <v>70</v>
      </c>
      <c r="Q1640" s="5" t="s">
        <v>73</v>
      </c>
      <c r="R1640" s="5" t="s">
        <v>74</v>
      </c>
      <c r="S1640" s="5" t="s">
        <v>56</v>
      </c>
      <c r="T1640" s="5" t="s">
        <v>63</v>
      </c>
      <c r="U1640" s="5" t="s">
        <v>86</v>
      </c>
      <c r="V1640" s="5" t="s">
        <v>59</v>
      </c>
      <c r="W1640" s="5" t="s">
        <v>126</v>
      </c>
      <c r="X1640" s="5" t="s">
        <v>423</v>
      </c>
      <c r="Y1640" s="5" t="s">
        <v>6720</v>
      </c>
      <c r="Z1640" s="9">
        <v>46225</v>
      </c>
      <c r="AA1640" s="8">
        <v>12</v>
      </c>
      <c r="AB1640" s="9">
        <f t="shared" si="76"/>
        <v>46590</v>
      </c>
      <c r="AC1640" s="10">
        <v>13</v>
      </c>
      <c r="AD1640" s="7">
        <f t="shared" si="77"/>
        <v>650</v>
      </c>
      <c r="AE1640" s="7">
        <f>IF(F1640="Bullet",H1640*AD1640,MIN(MAX(I1640,1),Assumptions!$B$6)*AD1640)</f>
        <v>1300</v>
      </c>
      <c r="AF1640" s="8">
        <f>IF(F1640="Bullet",MAX(0,Assumptions!$B$4-AB1640),MAX(0,Assumptions!$B$4-L1640))</f>
        <v>0</v>
      </c>
      <c r="AG1640" s="9"/>
      <c r="AH1640" s="8" t="str">
        <f>IF(AG1640="","",Assumptions!$B$4-AG1640)</f>
        <v/>
      </c>
      <c r="AI1640" s="5" t="s">
        <v>80</v>
      </c>
      <c r="AJ1640" s="8"/>
      <c r="AK1640" s="8">
        <v>2</v>
      </c>
      <c r="AL1640" s="8">
        <v>720</v>
      </c>
      <c r="AM1640" s="8">
        <v>2</v>
      </c>
      <c r="AN1640" s="5" t="s">
        <v>63</v>
      </c>
      <c r="AO1640" s="10">
        <v>59.9</v>
      </c>
      <c r="AP1640" s="8">
        <v>33</v>
      </c>
      <c r="AQ1640" s="9">
        <v>46295</v>
      </c>
      <c r="AR1640" s="5" t="s">
        <v>70</v>
      </c>
      <c r="AS1640" s="5" t="s">
        <v>81</v>
      </c>
    </row>
    <row r="1641" spans="1:45" x14ac:dyDescent="0.35">
      <c r="A1641" s="5" t="s">
        <v>6721</v>
      </c>
      <c r="B1641" s="5" t="s">
        <v>6722</v>
      </c>
      <c r="C1641" s="6" t="s">
        <v>6723</v>
      </c>
      <c r="D1641" s="7">
        <v>214000</v>
      </c>
      <c r="E1641" s="5" t="s">
        <v>48</v>
      </c>
      <c r="F1641" s="5" t="s">
        <v>68</v>
      </c>
      <c r="G1641" s="8">
        <v>1</v>
      </c>
      <c r="H1641" s="8">
        <f>IF(F1641="Bullet",MIN(G1641,Assumptions!$B$6),"")</f>
        <v>1</v>
      </c>
      <c r="I1641" s="8"/>
      <c r="J1641" s="8" t="str">
        <f>IF(F1641="Monthly interest",MAX(0,Assumptions!$B$5-I1641),"")</f>
        <v/>
      </c>
      <c r="K1641" s="7">
        <f t="shared" si="75"/>
        <v>2497</v>
      </c>
      <c r="L1641" s="9">
        <v>46249</v>
      </c>
      <c r="M1641" s="5" t="s">
        <v>50</v>
      </c>
      <c r="N1641" s="5" t="s">
        <v>53</v>
      </c>
      <c r="O1641" s="5" t="s">
        <v>103</v>
      </c>
      <c r="P1641" s="5" t="s">
        <v>51</v>
      </c>
      <c r="Q1641" s="5" t="s">
        <v>73</v>
      </c>
      <c r="R1641" s="5" t="s">
        <v>74</v>
      </c>
      <c r="S1641" s="5" t="s">
        <v>214</v>
      </c>
      <c r="T1641" s="5" t="s">
        <v>57</v>
      </c>
      <c r="U1641" s="5" t="s">
        <v>86</v>
      </c>
      <c r="V1641" s="5" t="s">
        <v>215</v>
      </c>
      <c r="W1641" s="5" t="s">
        <v>600</v>
      </c>
      <c r="X1641" s="5" t="s">
        <v>3661</v>
      </c>
      <c r="Y1641" s="5" t="s">
        <v>6724</v>
      </c>
      <c r="Z1641" s="9">
        <v>46249</v>
      </c>
      <c r="AA1641" s="8">
        <v>12</v>
      </c>
      <c r="AB1641" s="9">
        <f t="shared" si="76"/>
        <v>46614</v>
      </c>
      <c r="AC1641" s="10">
        <v>14</v>
      </c>
      <c r="AD1641" s="7">
        <f t="shared" si="77"/>
        <v>2497</v>
      </c>
      <c r="AE1641" s="7">
        <f>IF(F1641="Bullet",H1641*AD1641,MIN(MAX(I1641,1),Assumptions!$B$6)*AD1641)</f>
        <v>2497</v>
      </c>
      <c r="AF1641" s="8">
        <f>IF(F1641="Bullet",MAX(0,Assumptions!$B$4-AB1641),MAX(0,Assumptions!$B$4-L1641))</f>
        <v>0</v>
      </c>
      <c r="AG1641" s="9"/>
      <c r="AH1641" s="8" t="str">
        <f>IF(AG1641="","",Assumptions!$B$4-AG1641)</f>
        <v/>
      </c>
      <c r="AI1641" s="5" t="s">
        <v>80</v>
      </c>
      <c r="AJ1641" s="8"/>
      <c r="AK1641" s="8">
        <v>2</v>
      </c>
      <c r="AL1641" s="8">
        <v>826</v>
      </c>
      <c r="AM1641" s="8">
        <v>0</v>
      </c>
      <c r="AN1641" s="5" t="s">
        <v>63</v>
      </c>
      <c r="AO1641" s="10">
        <v>68.099999999999994</v>
      </c>
      <c r="AP1641" s="8">
        <v>5</v>
      </c>
      <c r="AQ1641" s="9">
        <v>46284</v>
      </c>
      <c r="AR1641" s="5" t="s">
        <v>51</v>
      </c>
      <c r="AS1641" s="5" t="s">
        <v>81</v>
      </c>
    </row>
    <row r="1642" spans="1:45" x14ac:dyDescent="0.35">
      <c r="A1642" s="5" t="s">
        <v>6725</v>
      </c>
      <c r="B1642" s="5" t="s">
        <v>6726</v>
      </c>
      <c r="C1642" s="6" t="s">
        <v>6727</v>
      </c>
      <c r="D1642" s="7">
        <v>110000</v>
      </c>
      <c r="E1642" s="5" t="s">
        <v>48</v>
      </c>
      <c r="F1642" s="5" t="s">
        <v>68</v>
      </c>
      <c r="G1642" s="8">
        <v>3</v>
      </c>
      <c r="H1642" s="8">
        <f>IF(F1642="Bullet",MIN(G1642,Assumptions!$B$6),"")</f>
        <v>2</v>
      </c>
      <c r="I1642" s="8"/>
      <c r="J1642" s="8" t="str">
        <f>IF(F1642="Monthly interest",MAX(0,Assumptions!$B$5-I1642),"")</f>
        <v/>
      </c>
      <c r="K1642" s="7">
        <f t="shared" si="75"/>
        <v>3576</v>
      </c>
      <c r="L1642" s="9">
        <v>46185</v>
      </c>
      <c r="M1642" s="5" t="s">
        <v>116</v>
      </c>
      <c r="N1642" s="5" t="s">
        <v>117</v>
      </c>
      <c r="O1642" s="5" t="s">
        <v>207</v>
      </c>
      <c r="P1642" s="5" t="s">
        <v>72</v>
      </c>
      <c r="Q1642" s="5" t="s">
        <v>73</v>
      </c>
      <c r="R1642" s="5" t="s">
        <v>74</v>
      </c>
      <c r="S1642" s="5" t="s">
        <v>214</v>
      </c>
      <c r="T1642" s="5" t="s">
        <v>57</v>
      </c>
      <c r="U1642" s="5" t="s">
        <v>58</v>
      </c>
      <c r="V1642" s="5" t="s">
        <v>215</v>
      </c>
      <c r="W1642" s="5" t="s">
        <v>232</v>
      </c>
      <c r="X1642" s="5" t="s">
        <v>4654</v>
      </c>
      <c r="Y1642" s="5" t="s">
        <v>6728</v>
      </c>
      <c r="Z1642" s="9">
        <v>46185</v>
      </c>
      <c r="AA1642" s="8">
        <v>3</v>
      </c>
      <c r="AB1642" s="9">
        <f t="shared" si="76"/>
        <v>46277</v>
      </c>
      <c r="AC1642" s="10">
        <v>13</v>
      </c>
      <c r="AD1642" s="7">
        <f t="shared" si="77"/>
        <v>1192</v>
      </c>
      <c r="AE1642" s="7">
        <f>IF(F1642="Bullet",H1642*AD1642,MIN(MAX(I1642,1),Assumptions!$B$6)*AD1642)</f>
        <v>2384</v>
      </c>
      <c r="AF1642" s="8">
        <f>IF(F1642="Bullet",MAX(0,Assumptions!$B$4-AB1642),MAX(0,Assumptions!$B$4-L1642))</f>
        <v>21</v>
      </c>
      <c r="AG1642" s="9"/>
      <c r="AH1642" s="8" t="str">
        <f>IF(AG1642="","",Assumptions!$B$4-AG1642)</f>
        <v/>
      </c>
      <c r="AI1642" s="5" t="s">
        <v>80</v>
      </c>
      <c r="AJ1642" s="8"/>
      <c r="AK1642" s="8">
        <v>2</v>
      </c>
      <c r="AL1642" s="8">
        <v>661</v>
      </c>
      <c r="AM1642" s="8">
        <v>1</v>
      </c>
      <c r="AN1642" s="5" t="s">
        <v>63</v>
      </c>
      <c r="AO1642" s="10">
        <v>61.8</v>
      </c>
      <c r="AP1642" s="8">
        <v>55</v>
      </c>
      <c r="AQ1642" s="9">
        <v>46273</v>
      </c>
      <c r="AR1642" s="5" t="s">
        <v>53</v>
      </c>
      <c r="AS1642" s="5" t="s">
        <v>64</v>
      </c>
    </row>
    <row r="1643" spans="1:45" x14ac:dyDescent="0.35">
      <c r="A1643" s="5" t="s">
        <v>6729</v>
      </c>
      <c r="B1643" s="5" t="s">
        <v>6730</v>
      </c>
      <c r="C1643" s="6" t="s">
        <v>6731</v>
      </c>
      <c r="D1643" s="7">
        <v>51400</v>
      </c>
      <c r="E1643" s="5" t="s">
        <v>48</v>
      </c>
      <c r="F1643" s="5" t="s">
        <v>68</v>
      </c>
      <c r="G1643" s="8">
        <v>3</v>
      </c>
      <c r="H1643" s="8">
        <f>IF(F1643="Bullet",MIN(G1643,Assumptions!$B$6),"")</f>
        <v>2</v>
      </c>
      <c r="I1643" s="8"/>
      <c r="J1643" s="8" t="str">
        <f>IF(F1643="Monthly interest",MAX(0,Assumptions!$B$5-I1643),"")</f>
        <v/>
      </c>
      <c r="K1643" s="7">
        <f t="shared" si="75"/>
        <v>2055</v>
      </c>
      <c r="L1643" s="9">
        <v>46195</v>
      </c>
      <c r="M1643" s="5" t="s">
        <v>69</v>
      </c>
      <c r="N1643" s="5" t="s">
        <v>53</v>
      </c>
      <c r="O1643" s="5" t="s">
        <v>71</v>
      </c>
      <c r="P1643" s="5" t="s">
        <v>70</v>
      </c>
      <c r="Q1643" s="5" t="s">
        <v>73</v>
      </c>
      <c r="R1643" s="5" t="s">
        <v>74</v>
      </c>
      <c r="S1643" s="5" t="s">
        <v>85</v>
      </c>
      <c r="T1643" s="5" t="s">
        <v>63</v>
      </c>
      <c r="U1643" s="5" t="s">
        <v>104</v>
      </c>
      <c r="V1643" s="5" t="s">
        <v>87</v>
      </c>
      <c r="W1643" s="5" t="s">
        <v>361</v>
      </c>
      <c r="X1643" s="5" t="s">
        <v>5828</v>
      </c>
      <c r="Y1643" s="5" t="s">
        <v>6732</v>
      </c>
      <c r="Z1643" s="9">
        <v>46195</v>
      </c>
      <c r="AA1643" s="8">
        <v>12</v>
      </c>
      <c r="AB1643" s="9">
        <f t="shared" si="76"/>
        <v>46560</v>
      </c>
      <c r="AC1643" s="10">
        <v>16</v>
      </c>
      <c r="AD1643" s="7">
        <f t="shared" si="77"/>
        <v>685</v>
      </c>
      <c r="AE1643" s="7">
        <f>IF(F1643="Bullet",H1643*AD1643,MIN(MAX(I1643,1),Assumptions!$B$6)*AD1643)</f>
        <v>1370</v>
      </c>
      <c r="AF1643" s="8">
        <f>IF(F1643="Bullet",MAX(0,Assumptions!$B$4-AB1643),MAX(0,Assumptions!$B$4-L1643))</f>
        <v>0</v>
      </c>
      <c r="AG1643" s="9"/>
      <c r="AH1643" s="8" t="str">
        <f>IF(AG1643="","",Assumptions!$B$4-AG1643)</f>
        <v/>
      </c>
      <c r="AI1643" s="5" t="s">
        <v>80</v>
      </c>
      <c r="AJ1643" s="8"/>
      <c r="AK1643" s="8">
        <v>1</v>
      </c>
      <c r="AL1643" s="8">
        <v>670</v>
      </c>
      <c r="AM1643" s="8">
        <v>2</v>
      </c>
      <c r="AN1643" s="5" t="s">
        <v>63</v>
      </c>
      <c r="AO1643" s="10">
        <v>72.900000000000006</v>
      </c>
      <c r="AP1643" s="8">
        <v>36</v>
      </c>
      <c r="AQ1643" s="9"/>
      <c r="AR1643" s="5"/>
      <c r="AS1643" s="5" t="s">
        <v>159</v>
      </c>
    </row>
    <row r="1644" spans="1:45" x14ac:dyDescent="0.35">
      <c r="A1644" s="5" t="s">
        <v>6733</v>
      </c>
      <c r="B1644" s="5" t="s">
        <v>6734</v>
      </c>
      <c r="C1644" s="6" t="s">
        <v>6735</v>
      </c>
      <c r="D1644" s="7">
        <v>135400</v>
      </c>
      <c r="E1644" s="5" t="s">
        <v>48</v>
      </c>
      <c r="F1644" s="5" t="s">
        <v>68</v>
      </c>
      <c r="G1644" s="8">
        <v>6</v>
      </c>
      <c r="H1644" s="8">
        <f>IF(F1644="Bullet",MIN(G1644,Assumptions!$B$6),"")</f>
        <v>2</v>
      </c>
      <c r="I1644" s="8"/>
      <c r="J1644" s="8" t="str">
        <f>IF(F1644="Monthly interest",MAX(0,Assumptions!$B$5-I1644),"")</f>
        <v/>
      </c>
      <c r="K1644" s="7">
        <f t="shared" si="75"/>
        <v>10158</v>
      </c>
      <c r="L1644" s="9">
        <v>46104</v>
      </c>
      <c r="M1644" s="5" t="s">
        <v>116</v>
      </c>
      <c r="N1644" s="5" t="s">
        <v>117</v>
      </c>
      <c r="O1644" s="5" t="s">
        <v>461</v>
      </c>
      <c r="P1644" s="5" t="s">
        <v>72</v>
      </c>
      <c r="Q1644" s="5" t="s">
        <v>169</v>
      </c>
      <c r="R1644" s="5" t="s">
        <v>170</v>
      </c>
      <c r="S1644" s="5" t="s">
        <v>75</v>
      </c>
      <c r="T1644" s="5" t="s">
        <v>63</v>
      </c>
      <c r="U1644" s="5" t="s">
        <v>86</v>
      </c>
      <c r="V1644" s="5" t="s">
        <v>76</v>
      </c>
      <c r="W1644" s="5" t="s">
        <v>382</v>
      </c>
      <c r="X1644" s="5" t="s">
        <v>2454</v>
      </c>
      <c r="Y1644" s="5" t="s">
        <v>6736</v>
      </c>
      <c r="Z1644" s="9">
        <v>46104</v>
      </c>
      <c r="AA1644" s="8">
        <v>6</v>
      </c>
      <c r="AB1644" s="9">
        <f t="shared" si="76"/>
        <v>46288</v>
      </c>
      <c r="AC1644" s="10">
        <v>15</v>
      </c>
      <c r="AD1644" s="7">
        <f t="shared" si="77"/>
        <v>1693</v>
      </c>
      <c r="AE1644" s="7">
        <f>IF(F1644="Bullet",H1644*AD1644,MIN(MAX(I1644,1),Assumptions!$B$6)*AD1644)</f>
        <v>3386</v>
      </c>
      <c r="AF1644" s="8">
        <f>IF(F1644="Bullet",MAX(0,Assumptions!$B$4-AB1644),MAX(0,Assumptions!$B$4-L1644))</f>
        <v>10</v>
      </c>
      <c r="AG1644" s="9"/>
      <c r="AH1644" s="8" t="str">
        <f>IF(AG1644="","",Assumptions!$B$4-AG1644)</f>
        <v/>
      </c>
      <c r="AI1644" s="5" t="s">
        <v>80</v>
      </c>
      <c r="AJ1644" s="8"/>
      <c r="AK1644" s="8">
        <v>0</v>
      </c>
      <c r="AL1644" s="8">
        <v>667</v>
      </c>
      <c r="AM1644" s="8">
        <v>1</v>
      </c>
      <c r="AN1644" s="5" t="s">
        <v>63</v>
      </c>
      <c r="AO1644" s="10">
        <v>72.599999999999994</v>
      </c>
      <c r="AP1644" s="8">
        <v>58</v>
      </c>
      <c r="AQ1644" s="9">
        <v>46286</v>
      </c>
      <c r="AR1644" s="5" t="s">
        <v>70</v>
      </c>
      <c r="AS1644" s="5" t="s">
        <v>81</v>
      </c>
    </row>
    <row r="1645" spans="1:45" x14ac:dyDescent="0.35">
      <c r="A1645" s="5" t="s">
        <v>6737</v>
      </c>
      <c r="B1645" s="5" t="s">
        <v>6738</v>
      </c>
      <c r="C1645" s="6" t="s">
        <v>6739</v>
      </c>
      <c r="D1645" s="7">
        <v>52900</v>
      </c>
      <c r="E1645" s="5" t="s">
        <v>48</v>
      </c>
      <c r="F1645" s="5" t="s">
        <v>68</v>
      </c>
      <c r="G1645" s="8">
        <v>5</v>
      </c>
      <c r="H1645" s="8">
        <f>IF(F1645="Bullet",MIN(G1645,Assumptions!$B$6),"")</f>
        <v>2</v>
      </c>
      <c r="I1645" s="8"/>
      <c r="J1645" s="8" t="str">
        <f>IF(F1645="Monthly interest",MAX(0,Assumptions!$B$5-I1645),"")</f>
        <v/>
      </c>
      <c r="K1645" s="7">
        <f t="shared" si="75"/>
        <v>2865</v>
      </c>
      <c r="L1645" s="9">
        <v>46139</v>
      </c>
      <c r="M1645" s="5" t="s">
        <v>116</v>
      </c>
      <c r="N1645" s="5" t="s">
        <v>117</v>
      </c>
      <c r="O1645" s="5" t="s">
        <v>461</v>
      </c>
      <c r="P1645" s="5" t="s">
        <v>72</v>
      </c>
      <c r="Q1645" s="5" t="s">
        <v>169</v>
      </c>
      <c r="R1645" s="5" t="s">
        <v>170</v>
      </c>
      <c r="S1645" s="5" t="s">
        <v>253</v>
      </c>
      <c r="T1645" s="5" t="s">
        <v>63</v>
      </c>
      <c r="U1645" s="5" t="s">
        <v>104</v>
      </c>
      <c r="V1645" s="5" t="s">
        <v>59</v>
      </c>
      <c r="W1645" s="5" t="s">
        <v>194</v>
      </c>
      <c r="X1645" s="5" t="s">
        <v>6740</v>
      </c>
      <c r="Y1645" s="5" t="s">
        <v>6741</v>
      </c>
      <c r="Z1645" s="9">
        <v>46139</v>
      </c>
      <c r="AA1645" s="8">
        <v>6</v>
      </c>
      <c r="AB1645" s="9">
        <f t="shared" si="76"/>
        <v>46322</v>
      </c>
      <c r="AC1645" s="10">
        <v>13</v>
      </c>
      <c r="AD1645" s="7">
        <f t="shared" si="77"/>
        <v>573</v>
      </c>
      <c r="AE1645" s="7">
        <f>IF(F1645="Bullet",H1645*AD1645,MIN(MAX(I1645,1),Assumptions!$B$6)*AD1645)</f>
        <v>1146</v>
      </c>
      <c r="AF1645" s="8">
        <f>IF(F1645="Bullet",MAX(0,Assumptions!$B$4-AB1645),MAX(0,Assumptions!$B$4-L1645))</f>
        <v>0</v>
      </c>
      <c r="AG1645" s="9"/>
      <c r="AH1645" s="8" t="str">
        <f>IF(AG1645="","",Assumptions!$B$4-AG1645)</f>
        <v/>
      </c>
      <c r="AI1645" s="5" t="s">
        <v>80</v>
      </c>
      <c r="AJ1645" s="8"/>
      <c r="AK1645" s="8">
        <v>3</v>
      </c>
      <c r="AL1645" s="8">
        <v>691</v>
      </c>
      <c r="AM1645" s="8">
        <v>1</v>
      </c>
      <c r="AN1645" s="5" t="s">
        <v>63</v>
      </c>
      <c r="AO1645" s="10">
        <v>60.1</v>
      </c>
      <c r="AP1645" s="8">
        <v>57</v>
      </c>
      <c r="AQ1645" s="9">
        <v>46293</v>
      </c>
      <c r="AR1645" s="5" t="s">
        <v>70</v>
      </c>
      <c r="AS1645" s="5" t="s">
        <v>64</v>
      </c>
    </row>
    <row r="1646" spans="1:45" x14ac:dyDescent="0.35">
      <c r="A1646" s="5" t="s">
        <v>6742</v>
      </c>
      <c r="B1646" s="5" t="s">
        <v>6743</v>
      </c>
      <c r="C1646" s="6" t="s">
        <v>6744</v>
      </c>
      <c r="D1646" s="7">
        <v>135800</v>
      </c>
      <c r="E1646" s="5" t="s">
        <v>48</v>
      </c>
      <c r="F1646" s="5" t="s">
        <v>49</v>
      </c>
      <c r="G1646" s="8"/>
      <c r="H1646" s="8" t="str">
        <f>IF(F1646="Bullet",MIN(G1646,Assumptions!$B$6),"")</f>
        <v/>
      </c>
      <c r="I1646" s="8">
        <v>1</v>
      </c>
      <c r="J1646" s="8">
        <f>IF(F1646="Monthly interest",MAX(0,Assumptions!$B$5-I1646),"")</f>
        <v>2</v>
      </c>
      <c r="K1646" s="7">
        <f t="shared" si="75"/>
        <v>1811</v>
      </c>
      <c r="L1646" s="9">
        <v>46283</v>
      </c>
      <c r="M1646" s="5" t="s">
        <v>50</v>
      </c>
      <c r="N1646" s="5" t="s">
        <v>51</v>
      </c>
      <c r="O1646" s="5" t="s">
        <v>52</v>
      </c>
      <c r="P1646" s="5" t="s">
        <v>53</v>
      </c>
      <c r="Q1646" s="5" t="s">
        <v>54</v>
      </c>
      <c r="R1646" s="5" t="s">
        <v>55</v>
      </c>
      <c r="S1646" s="5" t="s">
        <v>75</v>
      </c>
      <c r="T1646" s="5" t="s">
        <v>57</v>
      </c>
      <c r="U1646" s="5" t="s">
        <v>86</v>
      </c>
      <c r="V1646" s="5" t="s">
        <v>76</v>
      </c>
      <c r="W1646" s="5" t="s">
        <v>547</v>
      </c>
      <c r="X1646" s="5" t="s">
        <v>2409</v>
      </c>
      <c r="Y1646" s="5" t="s">
        <v>6745</v>
      </c>
      <c r="Z1646" s="9">
        <v>46191</v>
      </c>
      <c r="AA1646" s="8">
        <v>12</v>
      </c>
      <c r="AB1646" s="9">
        <f t="shared" si="76"/>
        <v>46556</v>
      </c>
      <c r="AC1646" s="10">
        <v>16</v>
      </c>
      <c r="AD1646" s="7">
        <f t="shared" si="77"/>
        <v>1811</v>
      </c>
      <c r="AE1646" s="7">
        <f>IF(F1646="Bullet",H1646*AD1646,MIN(MAX(I1646,1),Assumptions!$B$6)*AD1646)</f>
        <v>1811</v>
      </c>
      <c r="AF1646" s="8">
        <f>IF(F1646="Bullet",MAX(0,Assumptions!$B$4-AB1646),MAX(0,Assumptions!$B$4-L1646))</f>
        <v>15</v>
      </c>
      <c r="AG1646" s="9">
        <v>46255</v>
      </c>
      <c r="AH1646" s="8">
        <f>IF(AG1646="","",Assumptions!$B$4-AG1646)</f>
        <v>43</v>
      </c>
      <c r="AI1646" s="5" t="s">
        <v>63</v>
      </c>
      <c r="AJ1646" s="8">
        <v>3</v>
      </c>
      <c r="AK1646" s="8">
        <v>0</v>
      </c>
      <c r="AL1646" s="8">
        <v>695</v>
      </c>
      <c r="AM1646" s="8">
        <v>0</v>
      </c>
      <c r="AN1646" s="5" t="s">
        <v>63</v>
      </c>
      <c r="AO1646" s="10">
        <v>76.099999999999994</v>
      </c>
      <c r="AP1646" s="8">
        <v>30</v>
      </c>
      <c r="AQ1646" s="9">
        <v>46289</v>
      </c>
      <c r="AR1646" s="5" t="s">
        <v>53</v>
      </c>
      <c r="AS1646" s="5" t="s">
        <v>81</v>
      </c>
    </row>
    <row r="1647" spans="1:45" x14ac:dyDescent="0.35">
      <c r="A1647" s="5" t="s">
        <v>6746</v>
      </c>
      <c r="B1647" s="5" t="s">
        <v>6747</v>
      </c>
      <c r="C1647" s="6" t="s">
        <v>6748</v>
      </c>
      <c r="D1647" s="7">
        <v>60300</v>
      </c>
      <c r="E1647" s="5" t="s">
        <v>48</v>
      </c>
      <c r="F1647" s="5" t="s">
        <v>49</v>
      </c>
      <c r="G1647" s="8"/>
      <c r="H1647" s="8" t="str">
        <f>IF(F1647="Bullet",MIN(G1647,Assumptions!$B$6),"")</f>
        <v/>
      </c>
      <c r="I1647" s="8">
        <v>1</v>
      </c>
      <c r="J1647" s="8">
        <f>IF(F1647="Monthly interest",MAX(0,Assumptions!$B$5-I1647),"")</f>
        <v>2</v>
      </c>
      <c r="K1647" s="7">
        <f t="shared" si="75"/>
        <v>905</v>
      </c>
      <c r="L1647" s="9">
        <v>46273</v>
      </c>
      <c r="M1647" s="5" t="s">
        <v>50</v>
      </c>
      <c r="N1647" s="5" t="s">
        <v>51</v>
      </c>
      <c r="O1647" s="5" t="s">
        <v>52</v>
      </c>
      <c r="P1647" s="5" t="s">
        <v>53</v>
      </c>
      <c r="Q1647" s="5" t="s">
        <v>54</v>
      </c>
      <c r="R1647" s="5" t="s">
        <v>55</v>
      </c>
      <c r="S1647" s="5" t="s">
        <v>56</v>
      </c>
      <c r="T1647" s="5" t="s">
        <v>57</v>
      </c>
      <c r="U1647" s="5" t="s">
        <v>86</v>
      </c>
      <c r="V1647" s="5" t="s">
        <v>59</v>
      </c>
      <c r="W1647" s="5" t="s">
        <v>194</v>
      </c>
      <c r="X1647" s="5" t="s">
        <v>248</v>
      </c>
      <c r="Y1647" s="5" t="s">
        <v>6749</v>
      </c>
      <c r="Z1647" s="9">
        <v>46211</v>
      </c>
      <c r="AA1647" s="8">
        <v>12</v>
      </c>
      <c r="AB1647" s="9">
        <f t="shared" si="76"/>
        <v>46576</v>
      </c>
      <c r="AC1647" s="10">
        <v>18</v>
      </c>
      <c r="AD1647" s="7">
        <f t="shared" si="77"/>
        <v>905</v>
      </c>
      <c r="AE1647" s="7">
        <f>IF(F1647="Bullet",H1647*AD1647,MIN(MAX(I1647,1),Assumptions!$B$6)*AD1647)</f>
        <v>905</v>
      </c>
      <c r="AF1647" s="8">
        <f>IF(F1647="Bullet",MAX(0,Assumptions!$B$4-AB1647),MAX(0,Assumptions!$B$4-L1647))</f>
        <v>25</v>
      </c>
      <c r="AG1647" s="9">
        <v>46242</v>
      </c>
      <c r="AH1647" s="8">
        <f>IF(AG1647="","",Assumptions!$B$4-AG1647)</f>
        <v>56</v>
      </c>
      <c r="AI1647" s="5" t="s">
        <v>57</v>
      </c>
      <c r="AJ1647" s="8">
        <v>1</v>
      </c>
      <c r="AK1647" s="8">
        <v>2</v>
      </c>
      <c r="AL1647" s="8">
        <v>773</v>
      </c>
      <c r="AM1647" s="8">
        <v>2</v>
      </c>
      <c r="AN1647" s="5" t="s">
        <v>63</v>
      </c>
      <c r="AO1647" s="10">
        <v>66.900000000000006</v>
      </c>
      <c r="AP1647" s="8">
        <v>30</v>
      </c>
      <c r="AQ1647" s="9">
        <v>46294</v>
      </c>
      <c r="AR1647" s="5" t="s">
        <v>51</v>
      </c>
      <c r="AS1647" s="5" t="s">
        <v>274</v>
      </c>
    </row>
    <row r="1648" spans="1:45" x14ac:dyDescent="0.35">
      <c r="A1648" s="5" t="s">
        <v>6750</v>
      </c>
      <c r="B1648" s="5" t="s">
        <v>4315</v>
      </c>
      <c r="C1648" s="6" t="s">
        <v>6751</v>
      </c>
      <c r="D1648" s="7">
        <v>20300</v>
      </c>
      <c r="E1648" s="5" t="s">
        <v>48</v>
      </c>
      <c r="F1648" s="5" t="s">
        <v>49</v>
      </c>
      <c r="G1648" s="8"/>
      <c r="H1648" s="8" t="str">
        <f>IF(F1648="Bullet",MIN(G1648,Assumptions!$B$6),"")</f>
        <v/>
      </c>
      <c r="I1648" s="8">
        <v>2</v>
      </c>
      <c r="J1648" s="8">
        <f>IF(F1648="Monthly interest",MAX(0,Assumptions!$B$5-I1648),"")</f>
        <v>1</v>
      </c>
      <c r="K1648" s="7">
        <f t="shared" si="75"/>
        <v>610</v>
      </c>
      <c r="L1648" s="9">
        <v>46240</v>
      </c>
      <c r="M1648" s="5" t="s">
        <v>69</v>
      </c>
      <c r="N1648" s="5" t="s">
        <v>53</v>
      </c>
      <c r="O1648" s="5" t="s">
        <v>152</v>
      </c>
      <c r="P1648" s="5" t="s">
        <v>153</v>
      </c>
      <c r="Q1648" s="5" t="s">
        <v>154</v>
      </c>
      <c r="R1648" s="5" t="s">
        <v>155</v>
      </c>
      <c r="S1648" s="5" t="s">
        <v>85</v>
      </c>
      <c r="T1648" s="5" t="s">
        <v>57</v>
      </c>
      <c r="U1648" s="5" t="s">
        <v>86</v>
      </c>
      <c r="V1648" s="5" t="s">
        <v>177</v>
      </c>
      <c r="W1648" s="5" t="s">
        <v>178</v>
      </c>
      <c r="X1648" s="5" t="s">
        <v>6752</v>
      </c>
      <c r="Y1648" s="5" t="s">
        <v>6753</v>
      </c>
      <c r="Z1648" s="9">
        <v>46148</v>
      </c>
      <c r="AA1648" s="8">
        <v>12</v>
      </c>
      <c r="AB1648" s="9">
        <f t="shared" si="76"/>
        <v>46513</v>
      </c>
      <c r="AC1648" s="10">
        <v>18</v>
      </c>
      <c r="AD1648" s="7">
        <f t="shared" si="77"/>
        <v>305</v>
      </c>
      <c r="AE1648" s="7">
        <f>IF(F1648="Bullet",H1648*AD1648,MIN(MAX(I1648,1),Assumptions!$B$6)*AD1648)</f>
        <v>610</v>
      </c>
      <c r="AF1648" s="8">
        <f>IF(F1648="Bullet",MAX(0,Assumptions!$B$4-AB1648),MAX(0,Assumptions!$B$4-L1648))</f>
        <v>58</v>
      </c>
      <c r="AG1648" s="9">
        <v>46210</v>
      </c>
      <c r="AH1648" s="8">
        <f>IF(AG1648="","",Assumptions!$B$4-AG1648)</f>
        <v>88</v>
      </c>
      <c r="AI1648" s="5" t="s">
        <v>57</v>
      </c>
      <c r="AJ1648" s="8">
        <v>2</v>
      </c>
      <c r="AK1648" s="8">
        <v>0</v>
      </c>
      <c r="AL1648" s="8">
        <v>788</v>
      </c>
      <c r="AM1648" s="8">
        <v>1</v>
      </c>
      <c r="AN1648" s="5" t="s">
        <v>63</v>
      </c>
      <c r="AO1648" s="10">
        <v>69.3</v>
      </c>
      <c r="AP1648" s="8">
        <v>34</v>
      </c>
      <c r="AQ1648" s="9">
        <v>46295</v>
      </c>
      <c r="AR1648" s="5" t="s">
        <v>70</v>
      </c>
      <c r="AS1648" s="5" t="s">
        <v>274</v>
      </c>
    </row>
    <row r="1649" spans="1:45" x14ac:dyDescent="0.35">
      <c r="A1649" s="5" t="s">
        <v>6754</v>
      </c>
      <c r="B1649" s="5" t="s">
        <v>2003</v>
      </c>
      <c r="C1649" s="6" t="s">
        <v>6755</v>
      </c>
      <c r="D1649" s="7">
        <v>66700</v>
      </c>
      <c r="E1649" s="5" t="s">
        <v>48</v>
      </c>
      <c r="F1649" s="5" t="s">
        <v>49</v>
      </c>
      <c r="G1649" s="8"/>
      <c r="H1649" s="8" t="str">
        <f>IF(F1649="Bullet",MIN(G1649,Assumptions!$B$6),"")</f>
        <v/>
      </c>
      <c r="I1649" s="8">
        <v>1</v>
      </c>
      <c r="J1649" s="8">
        <f>IF(F1649="Monthly interest",MAX(0,Assumptions!$B$5-I1649),"")</f>
        <v>2</v>
      </c>
      <c r="K1649" s="7">
        <f t="shared" si="75"/>
        <v>1223</v>
      </c>
      <c r="L1649" s="9">
        <v>46269</v>
      </c>
      <c r="M1649" s="5" t="s">
        <v>50</v>
      </c>
      <c r="N1649" s="5" t="s">
        <v>51</v>
      </c>
      <c r="O1649" s="5" t="s">
        <v>52</v>
      </c>
      <c r="P1649" s="5" t="s">
        <v>53</v>
      </c>
      <c r="Q1649" s="5" t="s">
        <v>54</v>
      </c>
      <c r="R1649" s="5" t="s">
        <v>55</v>
      </c>
      <c r="S1649" s="5" t="s">
        <v>75</v>
      </c>
      <c r="T1649" s="5" t="s">
        <v>57</v>
      </c>
      <c r="U1649" s="5" t="s">
        <v>104</v>
      </c>
      <c r="V1649" s="5" t="s">
        <v>76</v>
      </c>
      <c r="W1649" s="5" t="s">
        <v>547</v>
      </c>
      <c r="X1649" s="5" t="s">
        <v>6756</v>
      </c>
      <c r="Y1649" s="5" t="s">
        <v>6757</v>
      </c>
      <c r="Z1649" s="9">
        <v>46146</v>
      </c>
      <c r="AA1649" s="8">
        <v>12</v>
      </c>
      <c r="AB1649" s="9">
        <f t="shared" si="76"/>
        <v>46511</v>
      </c>
      <c r="AC1649" s="10">
        <v>22</v>
      </c>
      <c r="AD1649" s="7">
        <f t="shared" si="77"/>
        <v>1223</v>
      </c>
      <c r="AE1649" s="7">
        <f>IF(F1649="Bullet",H1649*AD1649,MIN(MAX(I1649,1),Assumptions!$B$6)*AD1649)</f>
        <v>1223</v>
      </c>
      <c r="AF1649" s="8">
        <f>IF(F1649="Bullet",MAX(0,Assumptions!$B$4-AB1649),MAX(0,Assumptions!$B$4-L1649))</f>
        <v>29</v>
      </c>
      <c r="AG1649" s="9">
        <v>46240</v>
      </c>
      <c r="AH1649" s="8">
        <f>IF(AG1649="","",Assumptions!$B$4-AG1649)</f>
        <v>58</v>
      </c>
      <c r="AI1649" s="5" t="s">
        <v>63</v>
      </c>
      <c r="AJ1649" s="8">
        <v>1</v>
      </c>
      <c r="AK1649" s="8">
        <v>0</v>
      </c>
      <c r="AL1649" s="8">
        <v>727</v>
      </c>
      <c r="AM1649" s="8">
        <v>0</v>
      </c>
      <c r="AN1649" s="5" t="s">
        <v>63</v>
      </c>
      <c r="AO1649" s="10">
        <v>72.3</v>
      </c>
      <c r="AP1649" s="8">
        <v>19</v>
      </c>
      <c r="AQ1649" s="9">
        <v>46286</v>
      </c>
      <c r="AR1649" s="5" t="s">
        <v>51</v>
      </c>
      <c r="AS1649" s="5" t="s">
        <v>64</v>
      </c>
    </row>
    <row r="1650" spans="1:45" x14ac:dyDescent="0.35">
      <c r="A1650" s="5" t="s">
        <v>6758</v>
      </c>
      <c r="B1650" s="5" t="s">
        <v>6759</v>
      </c>
      <c r="C1650" s="6" t="s">
        <v>6760</v>
      </c>
      <c r="D1650" s="7">
        <v>122700</v>
      </c>
      <c r="E1650" s="5" t="s">
        <v>48</v>
      </c>
      <c r="F1650" s="5" t="s">
        <v>49</v>
      </c>
      <c r="G1650" s="8"/>
      <c r="H1650" s="8" t="str">
        <f>IF(F1650="Bullet",MIN(G1650,Assumptions!$B$6),"")</f>
        <v/>
      </c>
      <c r="I1650" s="8">
        <v>1</v>
      </c>
      <c r="J1650" s="8">
        <f>IF(F1650="Monthly interest",MAX(0,Assumptions!$B$5-I1650),"")</f>
        <v>2</v>
      </c>
      <c r="K1650" s="7">
        <f t="shared" si="75"/>
        <v>1636</v>
      </c>
      <c r="L1650" s="9">
        <v>46285</v>
      </c>
      <c r="M1650" s="5" t="s">
        <v>50</v>
      </c>
      <c r="N1650" s="5" t="s">
        <v>51</v>
      </c>
      <c r="O1650" s="5" t="s">
        <v>52</v>
      </c>
      <c r="P1650" s="5" t="s">
        <v>53</v>
      </c>
      <c r="Q1650" s="5" t="s">
        <v>54</v>
      </c>
      <c r="R1650" s="5" t="s">
        <v>55</v>
      </c>
      <c r="S1650" s="5" t="s">
        <v>56</v>
      </c>
      <c r="T1650" s="5" t="s">
        <v>57</v>
      </c>
      <c r="U1650" s="5" t="s">
        <v>104</v>
      </c>
      <c r="V1650" s="5" t="s">
        <v>59</v>
      </c>
      <c r="W1650" s="5" t="s">
        <v>323</v>
      </c>
      <c r="X1650" s="5" t="s">
        <v>1485</v>
      </c>
      <c r="Y1650" s="5" t="s">
        <v>6761</v>
      </c>
      <c r="Z1650" s="9">
        <v>46223</v>
      </c>
      <c r="AA1650" s="8">
        <v>12</v>
      </c>
      <c r="AB1650" s="9">
        <f t="shared" si="76"/>
        <v>46588</v>
      </c>
      <c r="AC1650" s="10">
        <v>16</v>
      </c>
      <c r="AD1650" s="7">
        <f t="shared" si="77"/>
        <v>1636</v>
      </c>
      <c r="AE1650" s="7">
        <f>IF(F1650="Bullet",H1650*AD1650,MIN(MAX(I1650,1),Assumptions!$B$6)*AD1650)</f>
        <v>1636</v>
      </c>
      <c r="AF1650" s="8">
        <f>IF(F1650="Bullet",MAX(0,Assumptions!$B$4-AB1650),MAX(0,Assumptions!$B$4-L1650))</f>
        <v>13</v>
      </c>
      <c r="AG1650" s="9">
        <v>46254</v>
      </c>
      <c r="AH1650" s="8">
        <f>IF(AG1650="","",Assumptions!$B$4-AG1650)</f>
        <v>44</v>
      </c>
      <c r="AI1650" s="5" t="s">
        <v>57</v>
      </c>
      <c r="AJ1650" s="8">
        <v>1</v>
      </c>
      <c r="AK1650" s="8">
        <v>0</v>
      </c>
      <c r="AL1650" s="8">
        <v>644</v>
      </c>
      <c r="AM1650" s="8">
        <v>0</v>
      </c>
      <c r="AN1650" s="5" t="s">
        <v>63</v>
      </c>
      <c r="AO1650" s="10">
        <v>65.8</v>
      </c>
      <c r="AP1650" s="8">
        <v>28</v>
      </c>
      <c r="AQ1650" s="9">
        <v>46274</v>
      </c>
      <c r="AR1650" s="5" t="s">
        <v>53</v>
      </c>
      <c r="AS1650" s="5" t="s">
        <v>81</v>
      </c>
    </row>
    <row r="1651" spans="1:45" x14ac:dyDescent="0.35">
      <c r="A1651" s="5" t="s">
        <v>6762</v>
      </c>
      <c r="B1651" s="5" t="s">
        <v>6763</v>
      </c>
      <c r="C1651" s="6" t="s">
        <v>6764</v>
      </c>
      <c r="D1651" s="7">
        <v>24900</v>
      </c>
      <c r="E1651" s="5" t="s">
        <v>48</v>
      </c>
      <c r="F1651" s="5" t="s">
        <v>49</v>
      </c>
      <c r="G1651" s="8"/>
      <c r="H1651" s="8" t="str">
        <f>IF(F1651="Bullet",MIN(G1651,Assumptions!$B$6),"")</f>
        <v/>
      </c>
      <c r="I1651" s="8">
        <v>2</v>
      </c>
      <c r="J1651" s="8">
        <f>IF(F1651="Monthly interest",MAX(0,Assumptions!$B$5-I1651),"")</f>
        <v>1</v>
      </c>
      <c r="K1651" s="7">
        <f t="shared" si="75"/>
        <v>996</v>
      </c>
      <c r="L1651" s="9">
        <v>46241</v>
      </c>
      <c r="M1651" s="5" t="s">
        <v>116</v>
      </c>
      <c r="N1651" s="5" t="s">
        <v>117</v>
      </c>
      <c r="O1651" s="5" t="s">
        <v>450</v>
      </c>
      <c r="P1651" s="5" t="s">
        <v>72</v>
      </c>
      <c r="Q1651" s="5" t="s">
        <v>154</v>
      </c>
      <c r="R1651" s="5" t="s">
        <v>155</v>
      </c>
      <c r="S1651" s="5" t="s">
        <v>56</v>
      </c>
      <c r="T1651" s="5" t="s">
        <v>63</v>
      </c>
      <c r="U1651" s="5" t="s">
        <v>104</v>
      </c>
      <c r="V1651" s="5" t="s">
        <v>59</v>
      </c>
      <c r="W1651" s="5" t="s">
        <v>418</v>
      </c>
      <c r="X1651" s="5" t="s">
        <v>2052</v>
      </c>
      <c r="Y1651" s="5" t="s">
        <v>6765</v>
      </c>
      <c r="Z1651" s="9">
        <v>45968</v>
      </c>
      <c r="AA1651" s="8">
        <v>12</v>
      </c>
      <c r="AB1651" s="9">
        <f t="shared" si="76"/>
        <v>46333</v>
      </c>
      <c r="AC1651" s="10">
        <v>24</v>
      </c>
      <c r="AD1651" s="7">
        <f t="shared" si="77"/>
        <v>498</v>
      </c>
      <c r="AE1651" s="7">
        <f>IF(F1651="Bullet",H1651*AD1651,MIN(MAX(I1651,1),Assumptions!$B$6)*AD1651)</f>
        <v>996</v>
      </c>
      <c r="AF1651" s="8">
        <f>IF(F1651="Bullet",MAX(0,Assumptions!$B$4-AB1651),MAX(0,Assumptions!$B$4-L1651))</f>
        <v>57</v>
      </c>
      <c r="AG1651" s="9">
        <v>46215</v>
      </c>
      <c r="AH1651" s="8">
        <f>IF(AG1651="","",Assumptions!$B$4-AG1651)</f>
        <v>83</v>
      </c>
      <c r="AI1651" s="5" t="s">
        <v>63</v>
      </c>
      <c r="AJ1651" s="8">
        <v>2</v>
      </c>
      <c r="AK1651" s="8">
        <v>2</v>
      </c>
      <c r="AL1651" s="8">
        <v>718</v>
      </c>
      <c r="AM1651" s="8">
        <v>3</v>
      </c>
      <c r="AN1651" s="5" t="s">
        <v>63</v>
      </c>
      <c r="AO1651" s="10">
        <v>84.3</v>
      </c>
      <c r="AP1651" s="8">
        <v>63</v>
      </c>
      <c r="AQ1651" s="9"/>
      <c r="AR1651" s="5"/>
      <c r="AS1651" s="5" t="s">
        <v>159</v>
      </c>
    </row>
    <row r="1652" spans="1:45" x14ac:dyDescent="0.35">
      <c r="A1652" s="5" t="s">
        <v>6766</v>
      </c>
      <c r="B1652" s="5" t="s">
        <v>6270</v>
      </c>
      <c r="C1652" s="6" t="s">
        <v>6767</v>
      </c>
      <c r="D1652" s="7">
        <v>331700</v>
      </c>
      <c r="E1652" s="5" t="s">
        <v>48</v>
      </c>
      <c r="F1652" s="5" t="s">
        <v>68</v>
      </c>
      <c r="G1652" s="8">
        <v>1</v>
      </c>
      <c r="H1652" s="8">
        <f>IF(F1652="Bullet",MIN(G1652,Assumptions!$B$6),"")</f>
        <v>1</v>
      </c>
      <c r="I1652" s="8"/>
      <c r="J1652" s="8" t="str">
        <f>IF(F1652="Monthly interest",MAX(0,Assumptions!$B$5-I1652),"")</f>
        <v/>
      </c>
      <c r="K1652" s="7">
        <f t="shared" si="75"/>
        <v>4146</v>
      </c>
      <c r="L1652" s="9">
        <v>46255</v>
      </c>
      <c r="M1652" s="5" t="s">
        <v>50</v>
      </c>
      <c r="N1652" s="5" t="s">
        <v>51</v>
      </c>
      <c r="O1652" s="5" t="s">
        <v>71</v>
      </c>
      <c r="P1652" s="5" t="s">
        <v>53</v>
      </c>
      <c r="Q1652" s="5" t="s">
        <v>73</v>
      </c>
      <c r="R1652" s="5" t="s">
        <v>74</v>
      </c>
      <c r="S1652" s="5" t="s">
        <v>85</v>
      </c>
      <c r="T1652" s="5" t="s">
        <v>57</v>
      </c>
      <c r="U1652" s="5" t="s">
        <v>104</v>
      </c>
      <c r="V1652" s="5" t="s">
        <v>96</v>
      </c>
      <c r="W1652" s="5" t="s">
        <v>171</v>
      </c>
      <c r="X1652" s="5" t="s">
        <v>3657</v>
      </c>
      <c r="Y1652" s="5" t="s">
        <v>6768</v>
      </c>
      <c r="Z1652" s="9">
        <v>46255</v>
      </c>
      <c r="AA1652" s="8">
        <v>12</v>
      </c>
      <c r="AB1652" s="9">
        <f t="shared" si="76"/>
        <v>46620</v>
      </c>
      <c r="AC1652" s="10">
        <v>15</v>
      </c>
      <c r="AD1652" s="7">
        <f t="shared" si="77"/>
        <v>4146</v>
      </c>
      <c r="AE1652" s="7">
        <f>IF(F1652="Bullet",H1652*AD1652,MIN(MAX(I1652,1),Assumptions!$B$6)*AD1652)</f>
        <v>4146</v>
      </c>
      <c r="AF1652" s="8">
        <f>IF(F1652="Bullet",MAX(0,Assumptions!$B$4-AB1652),MAX(0,Assumptions!$B$4-L1652))</f>
        <v>0</v>
      </c>
      <c r="AG1652" s="9"/>
      <c r="AH1652" s="8" t="str">
        <f>IF(AG1652="","",Assumptions!$B$4-AG1652)</f>
        <v/>
      </c>
      <c r="AI1652" s="5" t="s">
        <v>80</v>
      </c>
      <c r="AJ1652" s="8"/>
      <c r="AK1652" s="8">
        <v>0</v>
      </c>
      <c r="AL1652" s="8">
        <v>696</v>
      </c>
      <c r="AM1652" s="8">
        <v>2</v>
      </c>
      <c r="AN1652" s="5" t="s">
        <v>63</v>
      </c>
      <c r="AO1652" s="10">
        <v>74.3</v>
      </c>
      <c r="AP1652" s="8">
        <v>3</v>
      </c>
      <c r="AQ1652" s="9"/>
      <c r="AR1652" s="5"/>
      <c r="AS1652" s="5" t="s">
        <v>159</v>
      </c>
    </row>
    <row r="1653" spans="1:45" x14ac:dyDescent="0.35">
      <c r="A1653" s="5" t="s">
        <v>6769</v>
      </c>
      <c r="B1653" s="5" t="s">
        <v>386</v>
      </c>
      <c r="C1653" s="6" t="s">
        <v>6770</v>
      </c>
      <c r="D1653" s="7">
        <v>249600</v>
      </c>
      <c r="E1653" s="5" t="s">
        <v>48</v>
      </c>
      <c r="F1653" s="5" t="s">
        <v>49</v>
      </c>
      <c r="G1653" s="8"/>
      <c r="H1653" s="8" t="str">
        <f>IF(F1653="Bullet",MIN(G1653,Assumptions!$B$6),"")</f>
        <v/>
      </c>
      <c r="I1653" s="8">
        <v>1</v>
      </c>
      <c r="J1653" s="8">
        <f>IF(F1653="Monthly interest",MAX(0,Assumptions!$B$5-I1653),"")</f>
        <v>2</v>
      </c>
      <c r="K1653" s="7">
        <f t="shared" si="75"/>
        <v>3120</v>
      </c>
      <c r="L1653" s="9">
        <v>46285</v>
      </c>
      <c r="M1653" s="5" t="s">
        <v>69</v>
      </c>
      <c r="N1653" s="5" t="s">
        <v>51</v>
      </c>
      <c r="O1653" s="5" t="s">
        <v>52</v>
      </c>
      <c r="P1653" s="5" t="s">
        <v>53</v>
      </c>
      <c r="Q1653" s="5" t="s">
        <v>54</v>
      </c>
      <c r="R1653" s="5" t="s">
        <v>55</v>
      </c>
      <c r="S1653" s="5" t="s">
        <v>85</v>
      </c>
      <c r="T1653" s="5" t="s">
        <v>57</v>
      </c>
      <c r="U1653" s="5" t="s">
        <v>104</v>
      </c>
      <c r="V1653" s="5" t="s">
        <v>133</v>
      </c>
      <c r="W1653" s="5" t="s">
        <v>317</v>
      </c>
      <c r="X1653" s="5" t="s">
        <v>3436</v>
      </c>
      <c r="Y1653" s="5" t="s">
        <v>6771</v>
      </c>
      <c r="Z1653" s="9">
        <v>46042</v>
      </c>
      <c r="AA1653" s="8">
        <v>18</v>
      </c>
      <c r="AB1653" s="9">
        <f t="shared" si="76"/>
        <v>46588</v>
      </c>
      <c r="AC1653" s="10">
        <v>15</v>
      </c>
      <c r="AD1653" s="7">
        <f t="shared" si="77"/>
        <v>3120</v>
      </c>
      <c r="AE1653" s="7">
        <f>IF(F1653="Bullet",H1653*AD1653,MIN(MAX(I1653,1),Assumptions!$B$6)*AD1653)</f>
        <v>3120</v>
      </c>
      <c r="AF1653" s="8">
        <f>IF(F1653="Bullet",MAX(0,Assumptions!$B$4-AB1653),MAX(0,Assumptions!$B$4-L1653))</f>
        <v>13</v>
      </c>
      <c r="AG1653" s="9">
        <v>46254</v>
      </c>
      <c r="AH1653" s="8">
        <f>IF(AG1653="","",Assumptions!$B$4-AG1653)</f>
        <v>44</v>
      </c>
      <c r="AI1653" s="5" t="s">
        <v>63</v>
      </c>
      <c r="AJ1653" s="8">
        <v>1</v>
      </c>
      <c r="AK1653" s="8">
        <v>0</v>
      </c>
      <c r="AL1653" s="8" t="s">
        <v>80</v>
      </c>
      <c r="AM1653" s="8">
        <v>4</v>
      </c>
      <c r="AN1653" s="5" t="s">
        <v>63</v>
      </c>
      <c r="AO1653" s="10">
        <v>64.8</v>
      </c>
      <c r="AP1653" s="8">
        <v>34</v>
      </c>
      <c r="AQ1653" s="9"/>
      <c r="AR1653" s="5"/>
      <c r="AS1653" s="5" t="s">
        <v>159</v>
      </c>
    </row>
    <row r="1654" spans="1:45" x14ac:dyDescent="0.35">
      <c r="A1654" s="5" t="s">
        <v>6772</v>
      </c>
      <c r="B1654" s="5" t="s">
        <v>732</v>
      </c>
      <c r="C1654" s="6" t="s">
        <v>6773</v>
      </c>
      <c r="D1654" s="7">
        <v>23000</v>
      </c>
      <c r="E1654" s="5" t="s">
        <v>48</v>
      </c>
      <c r="F1654" s="5" t="s">
        <v>68</v>
      </c>
      <c r="G1654" s="8">
        <v>3</v>
      </c>
      <c r="H1654" s="8">
        <f>IF(F1654="Bullet",MIN(G1654,Assumptions!$B$6),"")</f>
        <v>2</v>
      </c>
      <c r="I1654" s="8"/>
      <c r="J1654" s="8" t="str">
        <f>IF(F1654="Monthly interest",MAX(0,Assumptions!$B$5-I1654),"")</f>
        <v/>
      </c>
      <c r="K1654" s="7">
        <f t="shared" si="75"/>
        <v>864</v>
      </c>
      <c r="L1654" s="9">
        <v>46200</v>
      </c>
      <c r="M1654" s="5" t="s">
        <v>50</v>
      </c>
      <c r="N1654" s="5" t="s">
        <v>53</v>
      </c>
      <c r="O1654" s="5" t="s">
        <v>152</v>
      </c>
      <c r="P1654" s="5" t="s">
        <v>153</v>
      </c>
      <c r="Q1654" s="5" t="s">
        <v>154</v>
      </c>
      <c r="R1654" s="5" t="s">
        <v>155</v>
      </c>
      <c r="S1654" s="5" t="s">
        <v>253</v>
      </c>
      <c r="T1654" s="5" t="s">
        <v>63</v>
      </c>
      <c r="U1654" s="5" t="s">
        <v>104</v>
      </c>
      <c r="V1654" s="5" t="s">
        <v>186</v>
      </c>
      <c r="W1654" s="5" t="s">
        <v>187</v>
      </c>
      <c r="X1654" s="5" t="s">
        <v>481</v>
      </c>
      <c r="Y1654" s="5" t="s">
        <v>6774</v>
      </c>
      <c r="Z1654" s="9">
        <v>46200</v>
      </c>
      <c r="AA1654" s="8">
        <v>12</v>
      </c>
      <c r="AB1654" s="9">
        <f t="shared" si="76"/>
        <v>46565</v>
      </c>
      <c r="AC1654" s="10">
        <v>15</v>
      </c>
      <c r="AD1654" s="7">
        <f t="shared" si="77"/>
        <v>288</v>
      </c>
      <c r="AE1654" s="7">
        <f>IF(F1654="Bullet",H1654*AD1654,MIN(MAX(I1654,1),Assumptions!$B$6)*AD1654)</f>
        <v>576</v>
      </c>
      <c r="AF1654" s="8">
        <f>IF(F1654="Bullet",MAX(0,Assumptions!$B$4-AB1654),MAX(0,Assumptions!$B$4-L1654))</f>
        <v>0</v>
      </c>
      <c r="AG1654" s="9"/>
      <c r="AH1654" s="8" t="str">
        <f>IF(AG1654="","",Assumptions!$B$4-AG1654)</f>
        <v/>
      </c>
      <c r="AI1654" s="5" t="s">
        <v>80</v>
      </c>
      <c r="AJ1654" s="8"/>
      <c r="AK1654" s="8">
        <v>0</v>
      </c>
      <c r="AL1654" s="8" t="s">
        <v>80</v>
      </c>
      <c r="AM1654" s="8">
        <v>0</v>
      </c>
      <c r="AN1654" s="5" t="s">
        <v>63</v>
      </c>
      <c r="AO1654" s="10">
        <v>67.400000000000006</v>
      </c>
      <c r="AP1654" s="8">
        <v>28</v>
      </c>
      <c r="AQ1654" s="9">
        <v>46295</v>
      </c>
      <c r="AR1654" s="5" t="s">
        <v>70</v>
      </c>
      <c r="AS1654" s="5" t="s">
        <v>81</v>
      </c>
    </row>
    <row r="1655" spans="1:45" x14ac:dyDescent="0.35">
      <c r="A1655" s="5" t="s">
        <v>6775</v>
      </c>
      <c r="B1655" s="5" t="s">
        <v>6330</v>
      </c>
      <c r="C1655" s="6" t="s">
        <v>6776</v>
      </c>
      <c r="D1655" s="7">
        <v>34000</v>
      </c>
      <c r="E1655" s="5" t="s">
        <v>48</v>
      </c>
      <c r="F1655" s="5" t="s">
        <v>68</v>
      </c>
      <c r="G1655" s="8">
        <v>6</v>
      </c>
      <c r="H1655" s="8">
        <f>IF(F1655="Bullet",MIN(G1655,Assumptions!$B$6),"")</f>
        <v>2</v>
      </c>
      <c r="I1655" s="8"/>
      <c r="J1655" s="8" t="str">
        <f>IF(F1655="Monthly interest",MAX(0,Assumptions!$B$5-I1655),"")</f>
        <v/>
      </c>
      <c r="K1655" s="7">
        <f t="shared" si="75"/>
        <v>2550</v>
      </c>
      <c r="L1655" s="9">
        <v>46106</v>
      </c>
      <c r="M1655" s="5" t="s">
        <v>116</v>
      </c>
      <c r="N1655" s="5" t="s">
        <v>117</v>
      </c>
      <c r="O1655" s="5" t="s">
        <v>461</v>
      </c>
      <c r="P1655" s="5" t="s">
        <v>72</v>
      </c>
      <c r="Q1655" s="5" t="s">
        <v>169</v>
      </c>
      <c r="R1655" s="5" t="s">
        <v>170</v>
      </c>
      <c r="S1655" s="5" t="s">
        <v>56</v>
      </c>
      <c r="T1655" s="5" t="s">
        <v>63</v>
      </c>
      <c r="U1655" s="5" t="s">
        <v>86</v>
      </c>
      <c r="V1655" s="5" t="s">
        <v>59</v>
      </c>
      <c r="W1655" s="5" t="s">
        <v>300</v>
      </c>
      <c r="X1655" s="5" t="s">
        <v>2310</v>
      </c>
      <c r="Y1655" s="5" t="s">
        <v>6777</v>
      </c>
      <c r="Z1655" s="9">
        <v>46106</v>
      </c>
      <c r="AA1655" s="8">
        <v>6</v>
      </c>
      <c r="AB1655" s="9">
        <f t="shared" si="76"/>
        <v>46290</v>
      </c>
      <c r="AC1655" s="10">
        <v>15</v>
      </c>
      <c r="AD1655" s="7">
        <f t="shared" si="77"/>
        <v>425</v>
      </c>
      <c r="AE1655" s="7">
        <f>IF(F1655="Bullet",H1655*AD1655,MIN(MAX(I1655,1),Assumptions!$B$6)*AD1655)</f>
        <v>850</v>
      </c>
      <c r="AF1655" s="8">
        <f>IF(F1655="Bullet",MAX(0,Assumptions!$B$4-AB1655),MAX(0,Assumptions!$B$4-L1655))</f>
        <v>8</v>
      </c>
      <c r="AG1655" s="9"/>
      <c r="AH1655" s="8" t="str">
        <f>IF(AG1655="","",Assumptions!$B$4-AG1655)</f>
        <v/>
      </c>
      <c r="AI1655" s="5" t="s">
        <v>80</v>
      </c>
      <c r="AJ1655" s="8"/>
      <c r="AK1655" s="8">
        <v>0</v>
      </c>
      <c r="AL1655" s="8">
        <v>685</v>
      </c>
      <c r="AM1655" s="8">
        <v>1</v>
      </c>
      <c r="AN1655" s="5" t="s">
        <v>57</v>
      </c>
      <c r="AO1655" s="10">
        <v>72.3</v>
      </c>
      <c r="AP1655" s="8">
        <v>61</v>
      </c>
      <c r="AQ1655" s="9">
        <v>46281</v>
      </c>
      <c r="AR1655" s="5" t="s">
        <v>51</v>
      </c>
      <c r="AS1655" s="5" t="s">
        <v>81</v>
      </c>
    </row>
    <row r="1656" spans="1:45" x14ac:dyDescent="0.35">
      <c r="A1656" s="5" t="s">
        <v>6778</v>
      </c>
      <c r="B1656" s="5" t="s">
        <v>1027</v>
      </c>
      <c r="C1656" s="6" t="s">
        <v>6779</v>
      </c>
      <c r="D1656" s="7">
        <v>196200</v>
      </c>
      <c r="E1656" s="5" t="s">
        <v>48</v>
      </c>
      <c r="F1656" s="5" t="s">
        <v>49</v>
      </c>
      <c r="G1656" s="8"/>
      <c r="H1656" s="8" t="str">
        <f>IF(F1656="Bullet",MIN(G1656,Assumptions!$B$6),"")</f>
        <v/>
      </c>
      <c r="I1656" s="8">
        <v>2</v>
      </c>
      <c r="J1656" s="8">
        <f>IF(F1656="Monthly interest",MAX(0,Assumptions!$B$5-I1656),"")</f>
        <v>1</v>
      </c>
      <c r="K1656" s="7">
        <f t="shared" si="75"/>
        <v>5232</v>
      </c>
      <c r="L1656" s="9">
        <v>46247</v>
      </c>
      <c r="M1656" s="5" t="s">
        <v>116</v>
      </c>
      <c r="N1656" s="5" t="s">
        <v>117</v>
      </c>
      <c r="O1656" s="5" t="s">
        <v>118</v>
      </c>
      <c r="P1656" s="5" t="s">
        <v>72</v>
      </c>
      <c r="Q1656" s="5" t="s">
        <v>119</v>
      </c>
      <c r="R1656" s="5" t="s">
        <v>120</v>
      </c>
      <c r="S1656" s="5" t="s">
        <v>85</v>
      </c>
      <c r="T1656" s="5" t="s">
        <v>63</v>
      </c>
      <c r="U1656" s="5" t="s">
        <v>104</v>
      </c>
      <c r="V1656" s="5" t="s">
        <v>177</v>
      </c>
      <c r="W1656" s="5" t="s">
        <v>345</v>
      </c>
      <c r="X1656" s="5" t="s">
        <v>6224</v>
      </c>
      <c r="Y1656" s="5" t="s">
        <v>6780</v>
      </c>
      <c r="Z1656" s="9">
        <v>46004</v>
      </c>
      <c r="AA1656" s="8">
        <v>12</v>
      </c>
      <c r="AB1656" s="9">
        <f t="shared" si="76"/>
        <v>46369</v>
      </c>
      <c r="AC1656" s="10">
        <v>16</v>
      </c>
      <c r="AD1656" s="7">
        <f t="shared" si="77"/>
        <v>2616</v>
      </c>
      <c r="AE1656" s="7">
        <f>IF(F1656="Bullet",H1656*AD1656,MIN(MAX(I1656,1),Assumptions!$B$6)*AD1656)</f>
        <v>5232</v>
      </c>
      <c r="AF1656" s="8">
        <f>IF(F1656="Bullet",MAX(0,Assumptions!$B$4-AB1656),MAX(0,Assumptions!$B$4-L1656))</f>
        <v>51</v>
      </c>
      <c r="AG1656" s="9">
        <v>46220</v>
      </c>
      <c r="AH1656" s="8">
        <f>IF(AG1656="","",Assumptions!$B$4-AG1656)</f>
        <v>78</v>
      </c>
      <c r="AI1656" s="5" t="s">
        <v>57</v>
      </c>
      <c r="AJ1656" s="8">
        <v>2</v>
      </c>
      <c r="AK1656" s="8">
        <v>3</v>
      </c>
      <c r="AL1656" s="8">
        <v>764</v>
      </c>
      <c r="AM1656" s="8">
        <v>0</v>
      </c>
      <c r="AN1656" s="5" t="s">
        <v>57</v>
      </c>
      <c r="AO1656" s="10">
        <v>58.4</v>
      </c>
      <c r="AP1656" s="8">
        <v>61</v>
      </c>
      <c r="AQ1656" s="9">
        <v>46279</v>
      </c>
      <c r="AR1656" s="5" t="s">
        <v>70</v>
      </c>
      <c r="AS1656" s="5" t="s">
        <v>64</v>
      </c>
    </row>
    <row r="1657" spans="1:45" x14ac:dyDescent="0.35">
      <c r="A1657" s="5" t="s">
        <v>6781</v>
      </c>
      <c r="B1657" s="5" t="s">
        <v>1981</v>
      </c>
      <c r="C1657" s="6" t="s">
        <v>6782</v>
      </c>
      <c r="D1657" s="7">
        <v>474500</v>
      </c>
      <c r="E1657" s="5" t="s">
        <v>48</v>
      </c>
      <c r="F1657" s="5" t="s">
        <v>68</v>
      </c>
      <c r="G1657" s="8">
        <v>5</v>
      </c>
      <c r="H1657" s="8">
        <f>IF(F1657="Bullet",MIN(G1657,Assumptions!$B$6),"")</f>
        <v>2</v>
      </c>
      <c r="I1657" s="8"/>
      <c r="J1657" s="8" t="str">
        <f>IF(F1657="Monthly interest",MAX(0,Assumptions!$B$5-I1657),"")</f>
        <v/>
      </c>
      <c r="K1657" s="7">
        <f t="shared" si="75"/>
        <v>23725</v>
      </c>
      <c r="L1657" s="9">
        <v>46134</v>
      </c>
      <c r="M1657" s="5" t="s">
        <v>116</v>
      </c>
      <c r="N1657" s="5" t="s">
        <v>117</v>
      </c>
      <c r="O1657" s="5" t="s">
        <v>461</v>
      </c>
      <c r="P1657" s="5" t="s">
        <v>72</v>
      </c>
      <c r="Q1657" s="5" t="s">
        <v>169</v>
      </c>
      <c r="R1657" s="5" t="s">
        <v>170</v>
      </c>
      <c r="S1657" s="5" t="s">
        <v>75</v>
      </c>
      <c r="T1657" s="5" t="s">
        <v>57</v>
      </c>
      <c r="U1657" s="5" t="s">
        <v>86</v>
      </c>
      <c r="V1657" s="5" t="s">
        <v>76</v>
      </c>
      <c r="W1657" s="5" t="s">
        <v>444</v>
      </c>
      <c r="X1657" s="5" t="s">
        <v>4342</v>
      </c>
      <c r="Y1657" s="5" t="s">
        <v>6783</v>
      </c>
      <c r="Z1657" s="9">
        <v>46134</v>
      </c>
      <c r="AA1657" s="8">
        <v>6</v>
      </c>
      <c r="AB1657" s="9">
        <f t="shared" si="76"/>
        <v>46317</v>
      </c>
      <c r="AC1657" s="10">
        <v>12</v>
      </c>
      <c r="AD1657" s="7">
        <f t="shared" si="77"/>
        <v>4745</v>
      </c>
      <c r="AE1657" s="7">
        <f>IF(F1657="Bullet",H1657*AD1657,MIN(MAX(I1657,1),Assumptions!$B$6)*AD1657)</f>
        <v>9490</v>
      </c>
      <c r="AF1657" s="8">
        <f>IF(F1657="Bullet",MAX(0,Assumptions!$B$4-AB1657),MAX(0,Assumptions!$B$4-L1657))</f>
        <v>0</v>
      </c>
      <c r="AG1657" s="9"/>
      <c r="AH1657" s="8" t="str">
        <f>IF(AG1657="","",Assumptions!$B$4-AG1657)</f>
        <v/>
      </c>
      <c r="AI1657" s="5" t="s">
        <v>80</v>
      </c>
      <c r="AJ1657" s="8"/>
      <c r="AK1657" s="8">
        <v>0</v>
      </c>
      <c r="AL1657" s="8">
        <v>657</v>
      </c>
      <c r="AM1657" s="8">
        <v>2</v>
      </c>
      <c r="AN1657" s="5" t="s">
        <v>63</v>
      </c>
      <c r="AO1657" s="10">
        <v>73.2</v>
      </c>
      <c r="AP1657" s="8">
        <v>48</v>
      </c>
      <c r="AQ1657" s="9">
        <v>46291</v>
      </c>
      <c r="AR1657" s="5" t="s">
        <v>70</v>
      </c>
      <c r="AS1657" s="5" t="s">
        <v>81</v>
      </c>
    </row>
    <row r="1658" spans="1:45" x14ac:dyDescent="0.35">
      <c r="A1658" s="5" t="s">
        <v>6784</v>
      </c>
      <c r="B1658" s="5" t="s">
        <v>5837</v>
      </c>
      <c r="C1658" s="6" t="s">
        <v>6785</v>
      </c>
      <c r="D1658" s="7">
        <v>205800</v>
      </c>
      <c r="E1658" s="5" t="s">
        <v>48</v>
      </c>
      <c r="F1658" s="5" t="s">
        <v>49</v>
      </c>
      <c r="G1658" s="8"/>
      <c r="H1658" s="8" t="str">
        <f>IF(F1658="Bullet",MIN(G1658,Assumptions!$B$6),"")</f>
        <v/>
      </c>
      <c r="I1658" s="8">
        <v>1</v>
      </c>
      <c r="J1658" s="8">
        <f>IF(F1658="Monthly interest",MAX(0,Assumptions!$B$5-I1658),"")</f>
        <v>2</v>
      </c>
      <c r="K1658" s="7">
        <f t="shared" si="75"/>
        <v>2401</v>
      </c>
      <c r="L1658" s="9">
        <v>46297</v>
      </c>
      <c r="M1658" s="5" t="s">
        <v>50</v>
      </c>
      <c r="N1658" s="5" t="s">
        <v>53</v>
      </c>
      <c r="O1658" s="5" t="s">
        <v>103</v>
      </c>
      <c r="P1658" s="5" t="s">
        <v>51</v>
      </c>
      <c r="Q1658" s="5" t="s">
        <v>54</v>
      </c>
      <c r="R1658" s="5" t="s">
        <v>55</v>
      </c>
      <c r="S1658" s="5" t="s">
        <v>185</v>
      </c>
      <c r="T1658" s="5" t="s">
        <v>57</v>
      </c>
      <c r="U1658" s="5" t="s">
        <v>104</v>
      </c>
      <c r="V1658" s="5" t="s">
        <v>186</v>
      </c>
      <c r="W1658" s="5" t="s">
        <v>694</v>
      </c>
      <c r="X1658" s="5" t="s">
        <v>1099</v>
      </c>
      <c r="Y1658" s="5" t="s">
        <v>6786</v>
      </c>
      <c r="Z1658" s="9">
        <v>46024</v>
      </c>
      <c r="AA1658" s="8">
        <v>12</v>
      </c>
      <c r="AB1658" s="9">
        <f t="shared" si="76"/>
        <v>46389</v>
      </c>
      <c r="AC1658" s="10">
        <v>14</v>
      </c>
      <c r="AD1658" s="7">
        <f t="shared" si="77"/>
        <v>2401</v>
      </c>
      <c r="AE1658" s="7">
        <f>IF(F1658="Bullet",H1658*AD1658,MIN(MAX(I1658,1),Assumptions!$B$6)*AD1658)</f>
        <v>2401</v>
      </c>
      <c r="AF1658" s="8">
        <f>IF(F1658="Bullet",MAX(0,Assumptions!$B$4-AB1658),MAX(0,Assumptions!$B$4-L1658))</f>
        <v>1</v>
      </c>
      <c r="AG1658" s="9">
        <v>46271</v>
      </c>
      <c r="AH1658" s="8">
        <f>IF(AG1658="","",Assumptions!$B$4-AG1658)</f>
        <v>27</v>
      </c>
      <c r="AI1658" s="5" t="s">
        <v>63</v>
      </c>
      <c r="AJ1658" s="8">
        <v>1</v>
      </c>
      <c r="AK1658" s="8">
        <v>0</v>
      </c>
      <c r="AL1658" s="8">
        <v>806</v>
      </c>
      <c r="AM1658" s="8">
        <v>0</v>
      </c>
      <c r="AN1658" s="5" t="s">
        <v>63</v>
      </c>
      <c r="AO1658" s="10">
        <v>52.4</v>
      </c>
      <c r="AP1658" s="8">
        <v>7</v>
      </c>
      <c r="AQ1658" s="9">
        <v>46295</v>
      </c>
      <c r="AR1658" s="5" t="s">
        <v>51</v>
      </c>
      <c r="AS1658" s="5" t="s">
        <v>81</v>
      </c>
    </row>
    <row r="1659" spans="1:45" x14ac:dyDescent="0.35">
      <c r="A1659" s="5" t="s">
        <v>6787</v>
      </c>
      <c r="B1659" s="5" t="s">
        <v>6788</v>
      </c>
      <c r="C1659" s="6" t="s">
        <v>6789</v>
      </c>
      <c r="D1659" s="7">
        <v>75400</v>
      </c>
      <c r="E1659" s="5" t="s">
        <v>48</v>
      </c>
      <c r="F1659" s="5" t="s">
        <v>68</v>
      </c>
      <c r="G1659" s="8">
        <v>6</v>
      </c>
      <c r="H1659" s="8">
        <f>IF(F1659="Bullet",MIN(G1659,Assumptions!$B$6),"")</f>
        <v>2</v>
      </c>
      <c r="I1659" s="8"/>
      <c r="J1659" s="8" t="str">
        <f>IF(F1659="Monthly interest",MAX(0,Assumptions!$B$5-I1659),"")</f>
        <v/>
      </c>
      <c r="K1659" s="7">
        <f t="shared" si="75"/>
        <v>5658</v>
      </c>
      <c r="L1659" s="9">
        <v>46092</v>
      </c>
      <c r="M1659" s="5" t="s">
        <v>116</v>
      </c>
      <c r="N1659" s="5" t="s">
        <v>117</v>
      </c>
      <c r="O1659" s="5" t="s">
        <v>461</v>
      </c>
      <c r="P1659" s="5" t="s">
        <v>72</v>
      </c>
      <c r="Q1659" s="5" t="s">
        <v>169</v>
      </c>
      <c r="R1659" s="5" t="s">
        <v>170</v>
      </c>
      <c r="S1659" s="5" t="s">
        <v>85</v>
      </c>
      <c r="T1659" s="5" t="s">
        <v>57</v>
      </c>
      <c r="U1659" s="5" t="s">
        <v>104</v>
      </c>
      <c r="V1659" s="5" t="s">
        <v>133</v>
      </c>
      <c r="W1659" s="5" t="s">
        <v>134</v>
      </c>
      <c r="X1659" s="5" t="s">
        <v>2678</v>
      </c>
      <c r="Y1659" s="5" t="s">
        <v>6790</v>
      </c>
      <c r="Z1659" s="9">
        <v>46092</v>
      </c>
      <c r="AA1659" s="8">
        <v>12</v>
      </c>
      <c r="AB1659" s="9">
        <f t="shared" si="76"/>
        <v>46457</v>
      </c>
      <c r="AC1659" s="10">
        <v>15</v>
      </c>
      <c r="AD1659" s="7">
        <f t="shared" si="77"/>
        <v>943</v>
      </c>
      <c r="AE1659" s="7">
        <f>IF(F1659="Bullet",H1659*AD1659,MIN(MAX(I1659,1),Assumptions!$B$6)*AD1659)</f>
        <v>1886</v>
      </c>
      <c r="AF1659" s="8">
        <f>IF(F1659="Bullet",MAX(0,Assumptions!$B$4-AB1659),MAX(0,Assumptions!$B$4-L1659))</f>
        <v>0</v>
      </c>
      <c r="AG1659" s="9"/>
      <c r="AH1659" s="8" t="str">
        <f>IF(AG1659="","",Assumptions!$B$4-AG1659)</f>
        <v/>
      </c>
      <c r="AI1659" s="5" t="s">
        <v>80</v>
      </c>
      <c r="AJ1659" s="8"/>
      <c r="AK1659" s="8">
        <v>3</v>
      </c>
      <c r="AL1659" s="8">
        <v>642</v>
      </c>
      <c r="AM1659" s="8">
        <v>1</v>
      </c>
      <c r="AN1659" s="5" t="s">
        <v>57</v>
      </c>
      <c r="AO1659" s="10">
        <v>76.3</v>
      </c>
      <c r="AP1659" s="8">
        <v>70</v>
      </c>
      <c r="AQ1659" s="9">
        <v>46277</v>
      </c>
      <c r="AR1659" s="5" t="s">
        <v>70</v>
      </c>
      <c r="AS1659" s="5" t="s">
        <v>64</v>
      </c>
    </row>
    <row r="1660" spans="1:45" x14ac:dyDescent="0.35">
      <c r="A1660" s="5" t="s">
        <v>6791</v>
      </c>
      <c r="B1660" s="5" t="s">
        <v>5649</v>
      </c>
      <c r="C1660" s="6" t="s">
        <v>6792</v>
      </c>
      <c r="D1660" s="7">
        <v>154500</v>
      </c>
      <c r="E1660" s="5" t="s">
        <v>48</v>
      </c>
      <c r="F1660" s="5" t="s">
        <v>68</v>
      </c>
      <c r="G1660" s="8">
        <v>2</v>
      </c>
      <c r="H1660" s="8">
        <f>IF(F1660="Bullet",MIN(G1660,Assumptions!$B$6),"")</f>
        <v>2</v>
      </c>
      <c r="I1660" s="8"/>
      <c r="J1660" s="8" t="str">
        <f>IF(F1660="Monthly interest",MAX(0,Assumptions!$B$5-I1660),"")</f>
        <v/>
      </c>
      <c r="K1660" s="7">
        <f t="shared" si="75"/>
        <v>3090</v>
      </c>
      <c r="L1660" s="9">
        <v>46223</v>
      </c>
      <c r="M1660" s="5" t="s">
        <v>50</v>
      </c>
      <c r="N1660" s="5" t="s">
        <v>51</v>
      </c>
      <c r="O1660" s="5" t="s">
        <v>71</v>
      </c>
      <c r="P1660" s="5" t="s">
        <v>53</v>
      </c>
      <c r="Q1660" s="5" t="s">
        <v>73</v>
      </c>
      <c r="R1660" s="5" t="s">
        <v>74</v>
      </c>
      <c r="S1660" s="5" t="s">
        <v>56</v>
      </c>
      <c r="T1660" s="5" t="s">
        <v>57</v>
      </c>
      <c r="U1660" s="5" t="s">
        <v>58</v>
      </c>
      <c r="V1660" s="5" t="s">
        <v>59</v>
      </c>
      <c r="W1660" s="5" t="s">
        <v>323</v>
      </c>
      <c r="X1660" s="5" t="s">
        <v>611</v>
      </c>
      <c r="Y1660" s="5" t="s">
        <v>6793</v>
      </c>
      <c r="Z1660" s="9">
        <v>46223</v>
      </c>
      <c r="AA1660" s="8">
        <v>6</v>
      </c>
      <c r="AB1660" s="9">
        <f t="shared" si="76"/>
        <v>46407</v>
      </c>
      <c r="AC1660" s="10">
        <v>12</v>
      </c>
      <c r="AD1660" s="7">
        <f t="shared" si="77"/>
        <v>1545</v>
      </c>
      <c r="AE1660" s="7">
        <f>IF(F1660="Bullet",H1660*AD1660,MIN(MAX(I1660,1),Assumptions!$B$6)*AD1660)</f>
        <v>3090</v>
      </c>
      <c r="AF1660" s="8">
        <f>IF(F1660="Bullet",MAX(0,Assumptions!$B$4-AB1660),MAX(0,Assumptions!$B$4-L1660))</f>
        <v>0</v>
      </c>
      <c r="AG1660" s="9"/>
      <c r="AH1660" s="8" t="str">
        <f>IF(AG1660="","",Assumptions!$B$4-AG1660)</f>
        <v/>
      </c>
      <c r="AI1660" s="5" t="s">
        <v>80</v>
      </c>
      <c r="AJ1660" s="8"/>
      <c r="AK1660" s="8">
        <v>0</v>
      </c>
      <c r="AL1660" s="8">
        <v>790</v>
      </c>
      <c r="AM1660" s="8">
        <v>1</v>
      </c>
      <c r="AN1660" s="5" t="s">
        <v>63</v>
      </c>
      <c r="AO1660" s="10">
        <v>72.099999999999994</v>
      </c>
      <c r="AP1660" s="8">
        <v>7</v>
      </c>
      <c r="AQ1660" s="9">
        <v>46280</v>
      </c>
      <c r="AR1660" s="5" t="s">
        <v>70</v>
      </c>
      <c r="AS1660" s="5" t="s">
        <v>190</v>
      </c>
    </row>
    <row r="1661" spans="1:45" x14ac:dyDescent="0.35">
      <c r="A1661" s="5" t="s">
        <v>6794</v>
      </c>
      <c r="B1661" s="5" t="s">
        <v>4500</v>
      </c>
      <c r="C1661" s="6" t="s">
        <v>6795</v>
      </c>
      <c r="D1661" s="7">
        <v>49200</v>
      </c>
      <c r="E1661" s="5" t="s">
        <v>48</v>
      </c>
      <c r="F1661" s="5" t="s">
        <v>49</v>
      </c>
      <c r="G1661" s="8"/>
      <c r="H1661" s="8" t="str">
        <f>IF(F1661="Bullet",MIN(G1661,Assumptions!$B$6),"")</f>
        <v/>
      </c>
      <c r="I1661" s="8">
        <v>1</v>
      </c>
      <c r="J1661" s="8">
        <f>IF(F1661="Monthly interest",MAX(0,Assumptions!$B$5-I1661),"")</f>
        <v>2</v>
      </c>
      <c r="K1661" s="7">
        <f t="shared" si="75"/>
        <v>656</v>
      </c>
      <c r="L1661" s="9">
        <v>46297</v>
      </c>
      <c r="M1661" s="5" t="s">
        <v>50</v>
      </c>
      <c r="N1661" s="5" t="s">
        <v>53</v>
      </c>
      <c r="O1661" s="5" t="s">
        <v>103</v>
      </c>
      <c r="P1661" s="5" t="s">
        <v>153</v>
      </c>
      <c r="Q1661" s="5" t="s">
        <v>154</v>
      </c>
      <c r="R1661" s="5" t="s">
        <v>155</v>
      </c>
      <c r="S1661" s="5" t="s">
        <v>85</v>
      </c>
      <c r="T1661" s="5" t="s">
        <v>57</v>
      </c>
      <c r="U1661" s="5" t="s">
        <v>86</v>
      </c>
      <c r="V1661" s="5" t="s">
        <v>96</v>
      </c>
      <c r="W1661" s="5" t="s">
        <v>265</v>
      </c>
      <c r="X1661" s="5" t="s">
        <v>2847</v>
      </c>
      <c r="Y1661" s="5" t="s">
        <v>6796</v>
      </c>
      <c r="Z1661" s="9">
        <v>46024</v>
      </c>
      <c r="AA1661" s="8">
        <v>18</v>
      </c>
      <c r="AB1661" s="9">
        <f t="shared" si="76"/>
        <v>46570</v>
      </c>
      <c r="AC1661" s="10">
        <v>16</v>
      </c>
      <c r="AD1661" s="7">
        <f t="shared" si="77"/>
        <v>656</v>
      </c>
      <c r="AE1661" s="7">
        <f>IF(F1661="Bullet",H1661*AD1661,MIN(MAX(I1661,1),Assumptions!$B$6)*AD1661)</f>
        <v>656</v>
      </c>
      <c r="AF1661" s="8">
        <f>IF(F1661="Bullet",MAX(0,Assumptions!$B$4-AB1661),MAX(0,Assumptions!$B$4-L1661))</f>
        <v>1</v>
      </c>
      <c r="AG1661" s="9">
        <v>46268</v>
      </c>
      <c r="AH1661" s="8">
        <f>IF(AG1661="","",Assumptions!$B$4-AG1661)</f>
        <v>30</v>
      </c>
      <c r="AI1661" s="5" t="s">
        <v>57</v>
      </c>
      <c r="AJ1661" s="8">
        <v>2</v>
      </c>
      <c r="AK1661" s="8">
        <v>1</v>
      </c>
      <c r="AL1661" s="8">
        <v>740</v>
      </c>
      <c r="AM1661" s="8">
        <v>5</v>
      </c>
      <c r="AN1661" s="5" t="s">
        <v>63</v>
      </c>
      <c r="AO1661" s="10">
        <v>65</v>
      </c>
      <c r="AP1661" s="8">
        <v>30</v>
      </c>
      <c r="AQ1661" s="9">
        <v>46278</v>
      </c>
      <c r="AR1661" s="5" t="s">
        <v>51</v>
      </c>
      <c r="AS1661" s="5" t="s">
        <v>81</v>
      </c>
    </row>
    <row r="1662" spans="1:45" x14ac:dyDescent="0.35">
      <c r="A1662" s="5" t="s">
        <v>6797</v>
      </c>
      <c r="B1662" s="5" t="s">
        <v>6798</v>
      </c>
      <c r="C1662" s="6" t="s">
        <v>6799</v>
      </c>
      <c r="D1662" s="7">
        <v>114600</v>
      </c>
      <c r="E1662" s="5" t="s">
        <v>48</v>
      </c>
      <c r="F1662" s="5" t="s">
        <v>49</v>
      </c>
      <c r="G1662" s="8"/>
      <c r="H1662" s="8" t="str">
        <f>IF(F1662="Bullet",MIN(G1662,Assumptions!$B$6),"")</f>
        <v/>
      </c>
      <c r="I1662" s="8">
        <v>1</v>
      </c>
      <c r="J1662" s="8">
        <f>IF(F1662="Monthly interest",MAX(0,Assumptions!$B$5-I1662),"")</f>
        <v>2</v>
      </c>
      <c r="K1662" s="7">
        <f t="shared" si="75"/>
        <v>1433</v>
      </c>
      <c r="L1662" s="9">
        <v>46290</v>
      </c>
      <c r="M1662" s="5" t="s">
        <v>50</v>
      </c>
      <c r="N1662" s="5" t="s">
        <v>53</v>
      </c>
      <c r="O1662" s="5" t="s">
        <v>103</v>
      </c>
      <c r="P1662" s="5" t="s">
        <v>51</v>
      </c>
      <c r="Q1662" s="5" t="s">
        <v>54</v>
      </c>
      <c r="R1662" s="5" t="s">
        <v>55</v>
      </c>
      <c r="S1662" s="5" t="s">
        <v>253</v>
      </c>
      <c r="T1662" s="5" t="s">
        <v>57</v>
      </c>
      <c r="U1662" s="5" t="s">
        <v>104</v>
      </c>
      <c r="V1662" s="5" t="s">
        <v>76</v>
      </c>
      <c r="W1662" s="5" t="s">
        <v>105</v>
      </c>
      <c r="X1662" s="5" t="s">
        <v>565</v>
      </c>
      <c r="Y1662" s="5" t="s">
        <v>6800</v>
      </c>
      <c r="Z1662" s="9">
        <v>46137</v>
      </c>
      <c r="AA1662" s="8">
        <v>12</v>
      </c>
      <c r="AB1662" s="9">
        <f t="shared" si="76"/>
        <v>46502</v>
      </c>
      <c r="AC1662" s="10">
        <v>15</v>
      </c>
      <c r="AD1662" s="7">
        <f t="shared" si="77"/>
        <v>1433</v>
      </c>
      <c r="AE1662" s="7">
        <f>IF(F1662="Bullet",H1662*AD1662,MIN(MAX(I1662,1),Assumptions!$B$6)*AD1662)</f>
        <v>1433</v>
      </c>
      <c r="AF1662" s="8">
        <f>IF(F1662="Bullet",MAX(0,Assumptions!$B$4-AB1662),MAX(0,Assumptions!$B$4-L1662))</f>
        <v>8</v>
      </c>
      <c r="AG1662" s="9">
        <v>46262</v>
      </c>
      <c r="AH1662" s="8">
        <f>IF(AG1662="","",Assumptions!$B$4-AG1662)</f>
        <v>36</v>
      </c>
      <c r="AI1662" s="5" t="s">
        <v>63</v>
      </c>
      <c r="AJ1662" s="8">
        <v>2</v>
      </c>
      <c r="AK1662" s="8">
        <v>0</v>
      </c>
      <c r="AL1662" s="8">
        <v>745</v>
      </c>
      <c r="AM1662" s="8">
        <v>1</v>
      </c>
      <c r="AN1662" s="5" t="s">
        <v>63</v>
      </c>
      <c r="AO1662" s="10">
        <v>64.8</v>
      </c>
      <c r="AP1662" s="8">
        <v>16</v>
      </c>
      <c r="AQ1662" s="9">
        <v>46281</v>
      </c>
      <c r="AR1662" s="5" t="s">
        <v>51</v>
      </c>
      <c r="AS1662" s="5" t="s">
        <v>81</v>
      </c>
    </row>
    <row r="1663" spans="1:45" x14ac:dyDescent="0.35">
      <c r="A1663" s="5" t="s">
        <v>6801</v>
      </c>
      <c r="B1663" s="5" t="s">
        <v>6326</v>
      </c>
      <c r="C1663" s="6" t="s">
        <v>6802</v>
      </c>
      <c r="D1663" s="7">
        <v>55300</v>
      </c>
      <c r="E1663" s="5" t="s">
        <v>48</v>
      </c>
      <c r="F1663" s="5" t="s">
        <v>49</v>
      </c>
      <c r="G1663" s="8"/>
      <c r="H1663" s="8" t="str">
        <f>IF(F1663="Bullet",MIN(G1663,Assumptions!$B$6),"")</f>
        <v/>
      </c>
      <c r="I1663" s="8">
        <v>2</v>
      </c>
      <c r="J1663" s="8">
        <f>IF(F1663="Monthly interest",MAX(0,Assumptions!$B$5-I1663),"")</f>
        <v>1</v>
      </c>
      <c r="K1663" s="7">
        <f t="shared" si="75"/>
        <v>1844</v>
      </c>
      <c r="L1663" s="9">
        <v>46241</v>
      </c>
      <c r="M1663" s="5" t="s">
        <v>116</v>
      </c>
      <c r="N1663" s="5" t="s">
        <v>117</v>
      </c>
      <c r="O1663" s="5" t="s">
        <v>118</v>
      </c>
      <c r="P1663" s="5" t="s">
        <v>72</v>
      </c>
      <c r="Q1663" s="5" t="s">
        <v>119</v>
      </c>
      <c r="R1663" s="5" t="s">
        <v>120</v>
      </c>
      <c r="S1663" s="5" t="s">
        <v>85</v>
      </c>
      <c r="T1663" s="5" t="s">
        <v>57</v>
      </c>
      <c r="U1663" s="5" t="s">
        <v>86</v>
      </c>
      <c r="V1663" s="5" t="s">
        <v>96</v>
      </c>
      <c r="W1663" s="5" t="s">
        <v>171</v>
      </c>
      <c r="X1663" s="5" t="s">
        <v>172</v>
      </c>
      <c r="Y1663" s="5" t="s">
        <v>6803</v>
      </c>
      <c r="Z1663" s="9">
        <v>45968</v>
      </c>
      <c r="AA1663" s="8">
        <v>12</v>
      </c>
      <c r="AB1663" s="9">
        <f t="shared" si="76"/>
        <v>46333</v>
      </c>
      <c r="AC1663" s="10">
        <v>20</v>
      </c>
      <c r="AD1663" s="7">
        <f t="shared" si="77"/>
        <v>922</v>
      </c>
      <c r="AE1663" s="7">
        <f>IF(F1663="Bullet",H1663*AD1663,MIN(MAX(I1663,1),Assumptions!$B$6)*AD1663)</f>
        <v>1844</v>
      </c>
      <c r="AF1663" s="8">
        <f>IF(F1663="Bullet",MAX(0,Assumptions!$B$4-AB1663),MAX(0,Assumptions!$B$4-L1663))</f>
        <v>57</v>
      </c>
      <c r="AG1663" s="9">
        <v>46214</v>
      </c>
      <c r="AH1663" s="8">
        <f>IF(AG1663="","",Assumptions!$B$4-AG1663)</f>
        <v>84</v>
      </c>
      <c r="AI1663" s="5" t="s">
        <v>57</v>
      </c>
      <c r="AJ1663" s="8">
        <v>2</v>
      </c>
      <c r="AK1663" s="8">
        <v>2</v>
      </c>
      <c r="AL1663" s="8">
        <v>603</v>
      </c>
      <c r="AM1663" s="8">
        <v>0</v>
      </c>
      <c r="AN1663" s="5" t="s">
        <v>63</v>
      </c>
      <c r="AO1663" s="10">
        <v>83.3</v>
      </c>
      <c r="AP1663" s="8">
        <v>75</v>
      </c>
      <c r="AQ1663" s="9">
        <v>46281</v>
      </c>
      <c r="AR1663" s="5" t="s">
        <v>70</v>
      </c>
      <c r="AS1663" s="5" t="s">
        <v>64</v>
      </c>
    </row>
    <row r="1664" spans="1:45" x14ac:dyDescent="0.35">
      <c r="A1664" s="5" t="s">
        <v>6804</v>
      </c>
      <c r="B1664" s="5" t="s">
        <v>6611</v>
      </c>
      <c r="C1664" s="6" t="s">
        <v>6805</v>
      </c>
      <c r="D1664" s="7">
        <v>136600</v>
      </c>
      <c r="E1664" s="5" t="s">
        <v>48</v>
      </c>
      <c r="F1664" s="5" t="s">
        <v>49</v>
      </c>
      <c r="G1664" s="8"/>
      <c r="H1664" s="8" t="str">
        <f>IF(F1664="Bullet",MIN(G1664,Assumptions!$B$6),"")</f>
        <v/>
      </c>
      <c r="I1664" s="8">
        <v>1</v>
      </c>
      <c r="J1664" s="8">
        <f>IF(F1664="Monthly interest",MAX(0,Assumptions!$B$5-I1664),"")</f>
        <v>2</v>
      </c>
      <c r="K1664" s="7">
        <f t="shared" si="75"/>
        <v>2732</v>
      </c>
      <c r="L1664" s="9">
        <v>46287</v>
      </c>
      <c r="M1664" s="5" t="s">
        <v>50</v>
      </c>
      <c r="N1664" s="5" t="s">
        <v>53</v>
      </c>
      <c r="O1664" s="5" t="s">
        <v>132</v>
      </c>
      <c r="P1664" s="5" t="s">
        <v>51</v>
      </c>
      <c r="Q1664" s="5" t="s">
        <v>54</v>
      </c>
      <c r="R1664" s="5" t="s">
        <v>55</v>
      </c>
      <c r="S1664" s="5" t="s">
        <v>214</v>
      </c>
      <c r="T1664" s="5" t="s">
        <v>57</v>
      </c>
      <c r="U1664" s="5" t="s">
        <v>86</v>
      </c>
      <c r="V1664" s="5" t="s">
        <v>215</v>
      </c>
      <c r="W1664" s="5" t="s">
        <v>284</v>
      </c>
      <c r="X1664" s="5" t="s">
        <v>1731</v>
      </c>
      <c r="Y1664" s="5" t="s">
        <v>6806</v>
      </c>
      <c r="Z1664" s="9">
        <v>46044</v>
      </c>
      <c r="AA1664" s="8">
        <v>12</v>
      </c>
      <c r="AB1664" s="9">
        <f t="shared" si="76"/>
        <v>46409</v>
      </c>
      <c r="AC1664" s="10">
        <v>24</v>
      </c>
      <c r="AD1664" s="7">
        <f t="shared" si="77"/>
        <v>2732</v>
      </c>
      <c r="AE1664" s="7">
        <f>IF(F1664="Bullet",H1664*AD1664,MIN(MAX(I1664,1),Assumptions!$B$6)*AD1664)</f>
        <v>2732</v>
      </c>
      <c r="AF1664" s="8">
        <f>IF(F1664="Bullet",MAX(0,Assumptions!$B$4-AB1664),MAX(0,Assumptions!$B$4-L1664))</f>
        <v>11</v>
      </c>
      <c r="AG1664" s="9">
        <v>46259</v>
      </c>
      <c r="AH1664" s="8">
        <f>IF(AG1664="","",Assumptions!$B$4-AG1664)</f>
        <v>39</v>
      </c>
      <c r="AI1664" s="5" t="s">
        <v>63</v>
      </c>
      <c r="AJ1664" s="8">
        <v>1</v>
      </c>
      <c r="AK1664" s="8">
        <v>0</v>
      </c>
      <c r="AL1664" s="8">
        <v>783</v>
      </c>
      <c r="AM1664" s="8">
        <v>2</v>
      </c>
      <c r="AN1664" s="5" t="s">
        <v>63</v>
      </c>
      <c r="AO1664" s="10">
        <v>66</v>
      </c>
      <c r="AP1664" s="8">
        <v>16</v>
      </c>
      <c r="AQ1664" s="9">
        <v>46281</v>
      </c>
      <c r="AR1664" s="5" t="s">
        <v>51</v>
      </c>
      <c r="AS1664" s="5" t="s">
        <v>91</v>
      </c>
    </row>
    <row r="1665" spans="1:45" x14ac:dyDescent="0.35">
      <c r="A1665" s="5" t="s">
        <v>6807</v>
      </c>
      <c r="B1665" s="5" t="s">
        <v>6808</v>
      </c>
      <c r="C1665" s="6" t="s">
        <v>6809</v>
      </c>
      <c r="D1665" s="7">
        <v>38900</v>
      </c>
      <c r="E1665" s="5" t="s">
        <v>48</v>
      </c>
      <c r="F1665" s="5" t="s">
        <v>49</v>
      </c>
      <c r="G1665" s="8"/>
      <c r="H1665" s="8" t="str">
        <f>IF(F1665="Bullet",MIN(G1665,Assumptions!$B$6),"")</f>
        <v/>
      </c>
      <c r="I1665" s="8">
        <v>1</v>
      </c>
      <c r="J1665" s="8">
        <f>IF(F1665="Monthly interest",MAX(0,Assumptions!$B$5-I1665),"")</f>
        <v>2</v>
      </c>
      <c r="K1665" s="7">
        <f t="shared" si="75"/>
        <v>648</v>
      </c>
      <c r="L1665" s="9">
        <v>46296</v>
      </c>
      <c r="M1665" s="5" t="s">
        <v>50</v>
      </c>
      <c r="N1665" s="5" t="s">
        <v>53</v>
      </c>
      <c r="O1665" s="5" t="s">
        <v>132</v>
      </c>
      <c r="P1665" s="5" t="s">
        <v>153</v>
      </c>
      <c r="Q1665" s="5" t="s">
        <v>154</v>
      </c>
      <c r="R1665" s="5" t="s">
        <v>155</v>
      </c>
      <c r="S1665" s="5" t="s">
        <v>75</v>
      </c>
      <c r="T1665" s="5" t="s">
        <v>57</v>
      </c>
      <c r="U1665" s="5" t="s">
        <v>86</v>
      </c>
      <c r="V1665" s="5" t="s">
        <v>76</v>
      </c>
      <c r="W1665" s="5" t="s">
        <v>146</v>
      </c>
      <c r="X1665" s="5" t="s">
        <v>1809</v>
      </c>
      <c r="Y1665" s="5" t="s">
        <v>6810</v>
      </c>
      <c r="Z1665" s="9">
        <v>46143</v>
      </c>
      <c r="AA1665" s="8">
        <v>12</v>
      </c>
      <c r="AB1665" s="9">
        <f t="shared" si="76"/>
        <v>46508</v>
      </c>
      <c r="AC1665" s="10">
        <v>20</v>
      </c>
      <c r="AD1665" s="7">
        <f t="shared" si="77"/>
        <v>648</v>
      </c>
      <c r="AE1665" s="7">
        <f>IF(F1665="Bullet",H1665*AD1665,MIN(MAX(I1665,1),Assumptions!$B$6)*AD1665)</f>
        <v>648</v>
      </c>
      <c r="AF1665" s="8">
        <f>IF(F1665="Bullet",MAX(0,Assumptions!$B$4-AB1665),MAX(0,Assumptions!$B$4-L1665))</f>
        <v>2</v>
      </c>
      <c r="AG1665" s="9">
        <v>46266</v>
      </c>
      <c r="AH1665" s="8">
        <f>IF(AG1665="","",Assumptions!$B$4-AG1665)</f>
        <v>32</v>
      </c>
      <c r="AI1665" s="5" t="s">
        <v>63</v>
      </c>
      <c r="AJ1665" s="8">
        <v>1</v>
      </c>
      <c r="AK1665" s="8">
        <v>0</v>
      </c>
      <c r="AL1665" s="8">
        <v>662</v>
      </c>
      <c r="AM1665" s="8">
        <v>0</v>
      </c>
      <c r="AN1665" s="5" t="s">
        <v>63</v>
      </c>
      <c r="AO1665" s="10">
        <v>60.6</v>
      </c>
      <c r="AP1665" s="8">
        <v>24</v>
      </c>
      <c r="AQ1665" s="9">
        <v>46276</v>
      </c>
      <c r="AR1665" s="5" t="s">
        <v>51</v>
      </c>
      <c r="AS1665" s="5" t="s">
        <v>91</v>
      </c>
    </row>
    <row r="1666" spans="1:45" x14ac:dyDescent="0.35">
      <c r="A1666" s="5" t="s">
        <v>6811</v>
      </c>
      <c r="B1666" s="5" t="s">
        <v>6812</v>
      </c>
      <c r="C1666" s="6" t="s">
        <v>6813</v>
      </c>
      <c r="D1666" s="7">
        <v>38400</v>
      </c>
      <c r="E1666" s="5" t="s">
        <v>48</v>
      </c>
      <c r="F1666" s="5" t="s">
        <v>68</v>
      </c>
      <c r="G1666" s="8">
        <v>1</v>
      </c>
      <c r="H1666" s="8">
        <f>IF(F1666="Bullet",MIN(G1666,Assumptions!$B$6),"")</f>
        <v>1</v>
      </c>
      <c r="I1666" s="8"/>
      <c r="J1666" s="8" t="str">
        <f>IF(F1666="Monthly interest",MAX(0,Assumptions!$B$5-I1666),"")</f>
        <v/>
      </c>
      <c r="K1666" s="7">
        <f t="shared" ref="K1666:K1729" si="78">IF(F1666="Bullet",G1666*AD1666,MAX(I1666,1)*AD1666)</f>
        <v>576</v>
      </c>
      <c r="L1666" s="9">
        <v>46248</v>
      </c>
      <c r="M1666" s="5" t="s">
        <v>50</v>
      </c>
      <c r="N1666" s="5" t="s">
        <v>53</v>
      </c>
      <c r="O1666" s="5" t="s">
        <v>132</v>
      </c>
      <c r="P1666" s="5" t="s">
        <v>153</v>
      </c>
      <c r="Q1666" s="5" t="s">
        <v>154</v>
      </c>
      <c r="R1666" s="5" t="s">
        <v>155</v>
      </c>
      <c r="S1666" s="5" t="s">
        <v>214</v>
      </c>
      <c r="T1666" s="5" t="s">
        <v>57</v>
      </c>
      <c r="U1666" s="5" t="s">
        <v>104</v>
      </c>
      <c r="V1666" s="5" t="s">
        <v>215</v>
      </c>
      <c r="W1666" s="5" t="s">
        <v>284</v>
      </c>
      <c r="X1666" s="5" t="s">
        <v>4107</v>
      </c>
      <c r="Y1666" s="5" t="s">
        <v>6814</v>
      </c>
      <c r="Z1666" s="9">
        <v>46248</v>
      </c>
      <c r="AA1666" s="8">
        <v>6</v>
      </c>
      <c r="AB1666" s="9">
        <f t="shared" ref="AB1666:AB1729" si="79">EDATE(Z1666,AA1666)</f>
        <v>46432</v>
      </c>
      <c r="AC1666" s="10">
        <v>18</v>
      </c>
      <c r="AD1666" s="7">
        <f t="shared" ref="AD1666:AD1729" si="80">ROUND(D1666*AC1666/100/12,0)</f>
        <v>576</v>
      </c>
      <c r="AE1666" s="7">
        <f>IF(F1666="Bullet",H1666*AD1666,MIN(MAX(I1666,1),Assumptions!$B$6)*AD1666)</f>
        <v>576</v>
      </c>
      <c r="AF1666" s="8">
        <f>IF(F1666="Bullet",MAX(0,Assumptions!$B$4-AB1666),MAX(0,Assumptions!$B$4-L1666))</f>
        <v>0</v>
      </c>
      <c r="AG1666" s="9"/>
      <c r="AH1666" s="8" t="str">
        <f>IF(AG1666="","",Assumptions!$B$4-AG1666)</f>
        <v/>
      </c>
      <c r="AI1666" s="5" t="s">
        <v>80</v>
      </c>
      <c r="AJ1666" s="8"/>
      <c r="AK1666" s="8">
        <v>0</v>
      </c>
      <c r="AL1666" s="8">
        <v>690</v>
      </c>
      <c r="AM1666" s="8">
        <v>1</v>
      </c>
      <c r="AN1666" s="5" t="s">
        <v>63</v>
      </c>
      <c r="AO1666" s="10">
        <v>64.8</v>
      </c>
      <c r="AP1666" s="8">
        <v>9</v>
      </c>
      <c r="AQ1666" s="9">
        <v>46275</v>
      </c>
      <c r="AR1666" s="5" t="s">
        <v>51</v>
      </c>
      <c r="AS1666" s="5" t="s">
        <v>91</v>
      </c>
    </row>
    <row r="1667" spans="1:45" x14ac:dyDescent="0.35">
      <c r="A1667" s="5" t="s">
        <v>6815</v>
      </c>
      <c r="B1667" s="5" t="s">
        <v>2474</v>
      </c>
      <c r="C1667" s="6" t="s">
        <v>6816</v>
      </c>
      <c r="D1667" s="7">
        <v>38200</v>
      </c>
      <c r="E1667" s="5" t="s">
        <v>48</v>
      </c>
      <c r="F1667" s="5" t="s">
        <v>49</v>
      </c>
      <c r="G1667" s="8"/>
      <c r="H1667" s="8" t="str">
        <f>IF(F1667="Bullet",MIN(G1667,Assumptions!$B$6),"")</f>
        <v/>
      </c>
      <c r="I1667" s="8">
        <v>1</v>
      </c>
      <c r="J1667" s="8">
        <f>IF(F1667="Monthly interest",MAX(0,Assumptions!$B$5-I1667),"")</f>
        <v>2</v>
      </c>
      <c r="K1667" s="7">
        <f t="shared" si="78"/>
        <v>509</v>
      </c>
      <c r="L1667" s="9">
        <v>46296</v>
      </c>
      <c r="M1667" s="5" t="s">
        <v>69</v>
      </c>
      <c r="N1667" s="5" t="s">
        <v>53</v>
      </c>
      <c r="O1667" s="5" t="s">
        <v>103</v>
      </c>
      <c r="P1667" s="5" t="s">
        <v>153</v>
      </c>
      <c r="Q1667" s="5" t="s">
        <v>154</v>
      </c>
      <c r="R1667" s="5" t="s">
        <v>155</v>
      </c>
      <c r="S1667" s="5" t="s">
        <v>56</v>
      </c>
      <c r="T1667" s="5" t="s">
        <v>57</v>
      </c>
      <c r="U1667" s="5" t="s">
        <v>104</v>
      </c>
      <c r="V1667" s="5" t="s">
        <v>59</v>
      </c>
      <c r="W1667" s="5" t="s">
        <v>126</v>
      </c>
      <c r="X1667" s="5" t="s">
        <v>6504</v>
      </c>
      <c r="Y1667" s="5" t="s">
        <v>6817</v>
      </c>
      <c r="Z1667" s="9">
        <v>46054</v>
      </c>
      <c r="AA1667" s="8">
        <v>12</v>
      </c>
      <c r="AB1667" s="9">
        <f t="shared" si="79"/>
        <v>46419</v>
      </c>
      <c r="AC1667" s="10">
        <v>16</v>
      </c>
      <c r="AD1667" s="7">
        <f t="shared" si="80"/>
        <v>509</v>
      </c>
      <c r="AE1667" s="7">
        <f>IF(F1667="Bullet",H1667*AD1667,MIN(MAX(I1667,1),Assumptions!$B$6)*AD1667)</f>
        <v>509</v>
      </c>
      <c r="AF1667" s="8">
        <f>IF(F1667="Bullet",MAX(0,Assumptions!$B$4-AB1667),MAX(0,Assumptions!$B$4-L1667))</f>
        <v>2</v>
      </c>
      <c r="AG1667" s="9">
        <v>46271</v>
      </c>
      <c r="AH1667" s="8">
        <f>IF(AG1667="","",Assumptions!$B$4-AG1667)</f>
        <v>27</v>
      </c>
      <c r="AI1667" s="5" t="s">
        <v>63</v>
      </c>
      <c r="AJ1667" s="8">
        <v>3</v>
      </c>
      <c r="AK1667" s="8">
        <v>1</v>
      </c>
      <c r="AL1667" s="8">
        <v>760</v>
      </c>
      <c r="AM1667" s="8">
        <v>1</v>
      </c>
      <c r="AN1667" s="5" t="s">
        <v>57</v>
      </c>
      <c r="AO1667" s="10">
        <v>79.2</v>
      </c>
      <c r="AP1667" s="8">
        <v>46</v>
      </c>
      <c r="AQ1667" s="9">
        <v>46296</v>
      </c>
      <c r="AR1667" s="5" t="s">
        <v>51</v>
      </c>
      <c r="AS1667" s="5" t="s">
        <v>81</v>
      </c>
    </row>
    <row r="1668" spans="1:45" x14ac:dyDescent="0.35">
      <c r="A1668" s="5" t="s">
        <v>6818</v>
      </c>
      <c r="B1668" s="5" t="s">
        <v>6819</v>
      </c>
      <c r="C1668" s="6" t="s">
        <v>6820</v>
      </c>
      <c r="D1668" s="7">
        <v>415700</v>
      </c>
      <c r="E1668" s="5" t="s">
        <v>48</v>
      </c>
      <c r="F1668" s="5" t="s">
        <v>49</v>
      </c>
      <c r="G1668" s="8"/>
      <c r="H1668" s="8" t="str">
        <f>IF(F1668="Bullet",MIN(G1668,Assumptions!$B$6),"")</f>
        <v/>
      </c>
      <c r="I1668" s="8">
        <v>2</v>
      </c>
      <c r="J1668" s="8">
        <f>IF(F1668="Monthly interest",MAX(0,Assumptions!$B$5-I1668),"")</f>
        <v>1</v>
      </c>
      <c r="K1668" s="7">
        <f t="shared" si="78"/>
        <v>10392</v>
      </c>
      <c r="L1668" s="9">
        <v>46242</v>
      </c>
      <c r="M1668" s="5" t="s">
        <v>116</v>
      </c>
      <c r="N1668" s="5" t="s">
        <v>117</v>
      </c>
      <c r="O1668" s="5" t="s">
        <v>118</v>
      </c>
      <c r="P1668" s="5" t="s">
        <v>72</v>
      </c>
      <c r="Q1668" s="5" t="s">
        <v>119</v>
      </c>
      <c r="R1668" s="5" t="s">
        <v>120</v>
      </c>
      <c r="S1668" s="5" t="s">
        <v>185</v>
      </c>
      <c r="T1668" s="5" t="s">
        <v>57</v>
      </c>
      <c r="U1668" s="5" t="s">
        <v>58</v>
      </c>
      <c r="V1668" s="5" t="s">
        <v>186</v>
      </c>
      <c r="W1668" s="5" t="s">
        <v>187</v>
      </c>
      <c r="X1668" s="5" t="s">
        <v>734</v>
      </c>
      <c r="Y1668" s="5" t="s">
        <v>6821</v>
      </c>
      <c r="Z1668" s="9">
        <v>46150</v>
      </c>
      <c r="AA1668" s="8">
        <v>12</v>
      </c>
      <c r="AB1668" s="9">
        <f t="shared" si="79"/>
        <v>46515</v>
      </c>
      <c r="AC1668" s="10">
        <v>15</v>
      </c>
      <c r="AD1668" s="7">
        <f t="shared" si="80"/>
        <v>5196</v>
      </c>
      <c r="AE1668" s="7">
        <f>IF(F1668="Bullet",H1668*AD1668,MIN(MAX(I1668,1),Assumptions!$B$6)*AD1668)</f>
        <v>10392</v>
      </c>
      <c r="AF1668" s="8">
        <f>IF(F1668="Bullet",MAX(0,Assumptions!$B$4-AB1668),MAX(0,Assumptions!$B$4-L1668))</f>
        <v>56</v>
      </c>
      <c r="AG1668" s="9">
        <v>46211</v>
      </c>
      <c r="AH1668" s="8">
        <f>IF(AG1668="","",Assumptions!$B$4-AG1668)</f>
        <v>87</v>
      </c>
      <c r="AI1668" s="5" t="s">
        <v>57</v>
      </c>
      <c r="AJ1668" s="8">
        <v>5</v>
      </c>
      <c r="AK1668" s="8">
        <v>0</v>
      </c>
      <c r="AL1668" s="8">
        <v>560</v>
      </c>
      <c r="AM1668" s="8">
        <v>0</v>
      </c>
      <c r="AN1668" s="5" t="s">
        <v>57</v>
      </c>
      <c r="AO1668" s="10">
        <v>73.5</v>
      </c>
      <c r="AP1668" s="8">
        <v>72</v>
      </c>
      <c r="AQ1668" s="9">
        <v>46281</v>
      </c>
      <c r="AR1668" s="5" t="s">
        <v>53</v>
      </c>
      <c r="AS1668" s="5" t="s">
        <v>91</v>
      </c>
    </row>
    <row r="1669" spans="1:45" x14ac:dyDescent="0.35">
      <c r="A1669" s="5" t="s">
        <v>6822</v>
      </c>
      <c r="B1669" s="5" t="s">
        <v>2970</v>
      </c>
      <c r="C1669" s="6" t="s">
        <v>6823</v>
      </c>
      <c r="D1669" s="7">
        <v>86700</v>
      </c>
      <c r="E1669" s="5" t="s">
        <v>48</v>
      </c>
      <c r="F1669" s="5" t="s">
        <v>68</v>
      </c>
      <c r="G1669" s="8">
        <v>3</v>
      </c>
      <c r="H1669" s="8">
        <f>IF(F1669="Bullet",MIN(G1669,Assumptions!$B$6),"")</f>
        <v>2</v>
      </c>
      <c r="I1669" s="8"/>
      <c r="J1669" s="8" t="str">
        <f>IF(F1669="Monthly interest",MAX(0,Assumptions!$B$5-I1669),"")</f>
        <v/>
      </c>
      <c r="K1669" s="7">
        <f t="shared" si="78"/>
        <v>3036</v>
      </c>
      <c r="L1669" s="9">
        <v>46190</v>
      </c>
      <c r="M1669" s="5" t="s">
        <v>50</v>
      </c>
      <c r="N1669" s="5" t="s">
        <v>53</v>
      </c>
      <c r="O1669" s="5" t="s">
        <v>71</v>
      </c>
      <c r="P1669" s="5" t="s">
        <v>51</v>
      </c>
      <c r="Q1669" s="5" t="s">
        <v>73</v>
      </c>
      <c r="R1669" s="5" t="s">
        <v>74</v>
      </c>
      <c r="S1669" s="5" t="s">
        <v>75</v>
      </c>
      <c r="T1669" s="5" t="s">
        <v>57</v>
      </c>
      <c r="U1669" s="5" t="s">
        <v>58</v>
      </c>
      <c r="V1669" s="5" t="s">
        <v>76</v>
      </c>
      <c r="W1669" s="5" t="s">
        <v>140</v>
      </c>
      <c r="X1669" s="5" t="s">
        <v>237</v>
      </c>
      <c r="Y1669" s="5" t="s">
        <v>6824</v>
      </c>
      <c r="Z1669" s="9">
        <v>46190</v>
      </c>
      <c r="AA1669" s="8">
        <v>6</v>
      </c>
      <c r="AB1669" s="9">
        <f t="shared" si="79"/>
        <v>46373</v>
      </c>
      <c r="AC1669" s="10">
        <v>14</v>
      </c>
      <c r="AD1669" s="7">
        <f t="shared" si="80"/>
        <v>1012</v>
      </c>
      <c r="AE1669" s="7">
        <f>IF(F1669="Bullet",H1669*AD1669,MIN(MAX(I1669,1),Assumptions!$B$6)*AD1669)</f>
        <v>2024</v>
      </c>
      <c r="AF1669" s="8">
        <f>IF(F1669="Bullet",MAX(0,Assumptions!$B$4-AB1669),MAX(0,Assumptions!$B$4-L1669))</f>
        <v>0</v>
      </c>
      <c r="AG1669" s="9"/>
      <c r="AH1669" s="8" t="str">
        <f>IF(AG1669="","",Assumptions!$B$4-AG1669)</f>
        <v/>
      </c>
      <c r="AI1669" s="5" t="s">
        <v>80</v>
      </c>
      <c r="AJ1669" s="8"/>
      <c r="AK1669" s="8">
        <v>2</v>
      </c>
      <c r="AL1669" s="8">
        <v>789</v>
      </c>
      <c r="AM1669" s="8">
        <v>0</v>
      </c>
      <c r="AN1669" s="5" t="s">
        <v>63</v>
      </c>
      <c r="AO1669" s="10">
        <v>63.1</v>
      </c>
      <c r="AP1669" s="8">
        <v>14</v>
      </c>
      <c r="AQ1669" s="9">
        <v>46273</v>
      </c>
      <c r="AR1669" s="5" t="s">
        <v>72</v>
      </c>
      <c r="AS1669" s="5" t="s">
        <v>81</v>
      </c>
    </row>
    <row r="1670" spans="1:45" x14ac:dyDescent="0.35">
      <c r="A1670" s="5" t="s">
        <v>6825</v>
      </c>
      <c r="B1670" s="5" t="s">
        <v>1369</v>
      </c>
      <c r="C1670" s="6" t="s">
        <v>6826</v>
      </c>
      <c r="D1670" s="7">
        <v>23400</v>
      </c>
      <c r="E1670" s="5" t="s">
        <v>48</v>
      </c>
      <c r="F1670" s="5" t="s">
        <v>68</v>
      </c>
      <c r="G1670" s="8">
        <v>2</v>
      </c>
      <c r="H1670" s="8">
        <f>IF(F1670="Bullet",MIN(G1670,Assumptions!$B$6),"")</f>
        <v>2</v>
      </c>
      <c r="I1670" s="8"/>
      <c r="J1670" s="8" t="str">
        <f>IF(F1670="Monthly interest",MAX(0,Assumptions!$B$5-I1670),"")</f>
        <v/>
      </c>
      <c r="K1670" s="7">
        <f t="shared" si="78"/>
        <v>702</v>
      </c>
      <c r="L1670" s="9">
        <v>46231</v>
      </c>
      <c r="M1670" s="5" t="s">
        <v>50</v>
      </c>
      <c r="N1670" s="5" t="s">
        <v>53</v>
      </c>
      <c r="O1670" s="5" t="s">
        <v>152</v>
      </c>
      <c r="P1670" s="5" t="s">
        <v>153</v>
      </c>
      <c r="Q1670" s="5" t="s">
        <v>154</v>
      </c>
      <c r="R1670" s="5" t="s">
        <v>155</v>
      </c>
      <c r="S1670" s="5" t="s">
        <v>85</v>
      </c>
      <c r="T1670" s="5" t="s">
        <v>57</v>
      </c>
      <c r="U1670" s="5" t="s">
        <v>86</v>
      </c>
      <c r="V1670" s="5" t="s">
        <v>87</v>
      </c>
      <c r="W1670" s="5" t="s">
        <v>361</v>
      </c>
      <c r="X1670" s="5" t="s">
        <v>6827</v>
      </c>
      <c r="Y1670" s="5" t="s">
        <v>6828</v>
      </c>
      <c r="Z1670" s="9">
        <v>46231</v>
      </c>
      <c r="AA1670" s="8">
        <v>6</v>
      </c>
      <c r="AB1670" s="9">
        <f t="shared" si="79"/>
        <v>46415</v>
      </c>
      <c r="AC1670" s="10">
        <v>18</v>
      </c>
      <c r="AD1670" s="7">
        <f t="shared" si="80"/>
        <v>351</v>
      </c>
      <c r="AE1670" s="7">
        <f>IF(F1670="Bullet",H1670*AD1670,MIN(MAX(I1670,1),Assumptions!$B$6)*AD1670)</f>
        <v>702</v>
      </c>
      <c r="AF1670" s="8">
        <f>IF(F1670="Bullet",MAX(0,Assumptions!$B$4-AB1670),MAX(0,Assumptions!$B$4-L1670))</f>
        <v>0</v>
      </c>
      <c r="AG1670" s="9"/>
      <c r="AH1670" s="8" t="str">
        <f>IF(AG1670="","",Assumptions!$B$4-AG1670)</f>
        <v/>
      </c>
      <c r="AI1670" s="5" t="s">
        <v>80</v>
      </c>
      <c r="AJ1670" s="8"/>
      <c r="AK1670" s="8">
        <v>0</v>
      </c>
      <c r="AL1670" s="8">
        <v>747</v>
      </c>
      <c r="AM1670" s="8">
        <v>1</v>
      </c>
      <c r="AN1670" s="5" t="s">
        <v>63</v>
      </c>
      <c r="AO1670" s="10">
        <v>62.8</v>
      </c>
      <c r="AP1670" s="8">
        <v>14</v>
      </c>
      <c r="AQ1670" s="9">
        <v>46288</v>
      </c>
      <c r="AR1670" s="5" t="s">
        <v>53</v>
      </c>
      <c r="AS1670" s="5" t="s">
        <v>181</v>
      </c>
    </row>
    <row r="1671" spans="1:45" x14ac:dyDescent="0.35">
      <c r="A1671" s="5" t="s">
        <v>6829</v>
      </c>
      <c r="B1671" s="5" t="s">
        <v>6830</v>
      </c>
      <c r="C1671" s="6" t="s">
        <v>6831</v>
      </c>
      <c r="D1671" s="7">
        <v>195800</v>
      </c>
      <c r="E1671" s="5" t="s">
        <v>48</v>
      </c>
      <c r="F1671" s="5" t="s">
        <v>49</v>
      </c>
      <c r="G1671" s="8"/>
      <c r="H1671" s="8" t="str">
        <f>IF(F1671="Bullet",MIN(G1671,Assumptions!$B$6),"")</f>
        <v/>
      </c>
      <c r="I1671" s="8">
        <v>2</v>
      </c>
      <c r="J1671" s="8">
        <f>IF(F1671="Monthly interest",MAX(0,Assumptions!$B$5-I1671),"")</f>
        <v>1</v>
      </c>
      <c r="K1671" s="7">
        <f t="shared" si="78"/>
        <v>6526</v>
      </c>
      <c r="L1671" s="9">
        <v>46242</v>
      </c>
      <c r="M1671" s="5" t="s">
        <v>116</v>
      </c>
      <c r="N1671" s="5" t="s">
        <v>117</v>
      </c>
      <c r="O1671" s="5" t="s">
        <v>118</v>
      </c>
      <c r="P1671" s="5" t="s">
        <v>72</v>
      </c>
      <c r="Q1671" s="5" t="s">
        <v>119</v>
      </c>
      <c r="R1671" s="5" t="s">
        <v>120</v>
      </c>
      <c r="S1671" s="5" t="s">
        <v>56</v>
      </c>
      <c r="T1671" s="5" t="s">
        <v>57</v>
      </c>
      <c r="U1671" s="5" t="s">
        <v>104</v>
      </c>
      <c r="V1671" s="5" t="s">
        <v>59</v>
      </c>
      <c r="W1671" s="5" t="s">
        <v>156</v>
      </c>
      <c r="X1671" s="5" t="s">
        <v>1500</v>
      </c>
      <c r="Y1671" s="5" t="s">
        <v>6832</v>
      </c>
      <c r="Z1671" s="9">
        <v>46181</v>
      </c>
      <c r="AA1671" s="8">
        <v>18</v>
      </c>
      <c r="AB1671" s="9">
        <f t="shared" si="79"/>
        <v>46729</v>
      </c>
      <c r="AC1671" s="10">
        <v>20</v>
      </c>
      <c r="AD1671" s="7">
        <f t="shared" si="80"/>
        <v>3263</v>
      </c>
      <c r="AE1671" s="7">
        <f>IF(F1671="Bullet",H1671*AD1671,MIN(MAX(I1671,1),Assumptions!$B$6)*AD1671)</f>
        <v>6526</v>
      </c>
      <c r="AF1671" s="8">
        <f>IF(F1671="Bullet",MAX(0,Assumptions!$B$4-AB1671),MAX(0,Assumptions!$B$4-L1671))</f>
        <v>56</v>
      </c>
      <c r="AG1671" s="9">
        <v>46216</v>
      </c>
      <c r="AH1671" s="8">
        <f>IF(AG1671="","",Assumptions!$B$4-AG1671)</f>
        <v>82</v>
      </c>
      <c r="AI1671" s="5" t="s">
        <v>63</v>
      </c>
      <c r="AJ1671" s="8">
        <v>3</v>
      </c>
      <c r="AK1671" s="8">
        <v>2</v>
      </c>
      <c r="AL1671" s="8">
        <v>789</v>
      </c>
      <c r="AM1671" s="8">
        <v>0</v>
      </c>
      <c r="AN1671" s="5" t="s">
        <v>63</v>
      </c>
      <c r="AO1671" s="10">
        <v>61.3</v>
      </c>
      <c r="AP1671" s="8">
        <v>51</v>
      </c>
      <c r="AQ1671" s="9">
        <v>46285</v>
      </c>
      <c r="AR1671" s="5" t="s">
        <v>51</v>
      </c>
      <c r="AS1671" s="5" t="s">
        <v>274</v>
      </c>
    </row>
    <row r="1672" spans="1:45" x14ac:dyDescent="0.35">
      <c r="A1672" s="5" t="s">
        <v>6833</v>
      </c>
      <c r="B1672" s="5" t="s">
        <v>6417</v>
      </c>
      <c r="C1672" s="6" t="s">
        <v>6834</v>
      </c>
      <c r="D1672" s="7">
        <v>43800</v>
      </c>
      <c r="E1672" s="5" t="s">
        <v>48</v>
      </c>
      <c r="F1672" s="5" t="s">
        <v>49</v>
      </c>
      <c r="G1672" s="8"/>
      <c r="H1672" s="8" t="str">
        <f>IF(F1672="Bullet",MIN(G1672,Assumptions!$B$6),"")</f>
        <v/>
      </c>
      <c r="I1672" s="8">
        <v>2</v>
      </c>
      <c r="J1672" s="8">
        <f>IF(F1672="Monthly interest",MAX(0,Assumptions!$B$5-I1672),"")</f>
        <v>1</v>
      </c>
      <c r="K1672" s="7">
        <f t="shared" si="78"/>
        <v>1460</v>
      </c>
      <c r="L1672" s="9">
        <v>46253</v>
      </c>
      <c r="M1672" s="5" t="s">
        <v>69</v>
      </c>
      <c r="N1672" s="5" t="s">
        <v>53</v>
      </c>
      <c r="O1672" s="5" t="s">
        <v>152</v>
      </c>
      <c r="P1672" s="5" t="s">
        <v>153</v>
      </c>
      <c r="Q1672" s="5" t="s">
        <v>154</v>
      </c>
      <c r="R1672" s="5" t="s">
        <v>155</v>
      </c>
      <c r="S1672" s="5" t="s">
        <v>185</v>
      </c>
      <c r="T1672" s="5" t="s">
        <v>57</v>
      </c>
      <c r="U1672" s="5" t="s">
        <v>104</v>
      </c>
      <c r="V1672" s="5" t="s">
        <v>200</v>
      </c>
      <c r="W1672" s="5" t="s">
        <v>1332</v>
      </c>
      <c r="X1672" s="5" t="s">
        <v>3821</v>
      </c>
      <c r="Y1672" s="5" t="s">
        <v>6835</v>
      </c>
      <c r="Z1672" s="9">
        <v>46100</v>
      </c>
      <c r="AA1672" s="8">
        <v>18</v>
      </c>
      <c r="AB1672" s="9">
        <f t="shared" si="79"/>
        <v>46649</v>
      </c>
      <c r="AC1672" s="10">
        <v>20</v>
      </c>
      <c r="AD1672" s="7">
        <f t="shared" si="80"/>
        <v>730</v>
      </c>
      <c r="AE1672" s="7">
        <f>IF(F1672="Bullet",H1672*AD1672,MIN(MAX(I1672,1),Assumptions!$B$6)*AD1672)</f>
        <v>1460</v>
      </c>
      <c r="AF1672" s="8">
        <f>IF(F1672="Bullet",MAX(0,Assumptions!$B$4-AB1672),MAX(0,Assumptions!$B$4-L1672))</f>
        <v>45</v>
      </c>
      <c r="AG1672" s="9">
        <v>46224</v>
      </c>
      <c r="AH1672" s="8">
        <f>IF(AG1672="","",Assumptions!$B$4-AG1672)</f>
        <v>74</v>
      </c>
      <c r="AI1672" s="5" t="s">
        <v>63</v>
      </c>
      <c r="AJ1672" s="8">
        <v>3</v>
      </c>
      <c r="AK1672" s="8">
        <v>0</v>
      </c>
      <c r="AL1672" s="8">
        <v>766</v>
      </c>
      <c r="AM1672" s="8">
        <v>3</v>
      </c>
      <c r="AN1672" s="5" t="s">
        <v>63</v>
      </c>
      <c r="AO1672" s="10">
        <v>74.3</v>
      </c>
      <c r="AP1672" s="8">
        <v>41</v>
      </c>
      <c r="AQ1672" s="9">
        <v>46292</v>
      </c>
      <c r="AR1672" s="5" t="s">
        <v>51</v>
      </c>
      <c r="AS1672" s="5" t="s">
        <v>64</v>
      </c>
    </row>
    <row r="1673" spans="1:45" x14ac:dyDescent="0.35">
      <c r="A1673" s="5" t="s">
        <v>6836</v>
      </c>
      <c r="B1673" s="5" t="s">
        <v>6837</v>
      </c>
      <c r="C1673" s="6" t="s">
        <v>6838</v>
      </c>
      <c r="D1673" s="7">
        <v>522400</v>
      </c>
      <c r="E1673" s="5" t="s">
        <v>48</v>
      </c>
      <c r="F1673" s="5" t="s">
        <v>49</v>
      </c>
      <c r="G1673" s="8"/>
      <c r="H1673" s="8" t="str">
        <f>IF(F1673="Bullet",MIN(G1673,Assumptions!$B$6),"")</f>
        <v/>
      </c>
      <c r="I1673" s="8">
        <v>1</v>
      </c>
      <c r="J1673" s="8">
        <f>IF(F1673="Monthly interest",MAX(0,Assumptions!$B$5-I1673),"")</f>
        <v>2</v>
      </c>
      <c r="K1673" s="7">
        <f t="shared" si="78"/>
        <v>6095</v>
      </c>
      <c r="L1673" s="9">
        <v>46273</v>
      </c>
      <c r="M1673" s="5" t="s">
        <v>50</v>
      </c>
      <c r="N1673" s="5" t="s">
        <v>53</v>
      </c>
      <c r="O1673" s="5" t="s">
        <v>103</v>
      </c>
      <c r="P1673" s="5" t="s">
        <v>51</v>
      </c>
      <c r="Q1673" s="5" t="s">
        <v>54</v>
      </c>
      <c r="R1673" s="5" t="s">
        <v>55</v>
      </c>
      <c r="S1673" s="5" t="s">
        <v>85</v>
      </c>
      <c r="T1673" s="5" t="s">
        <v>57</v>
      </c>
      <c r="U1673" s="5" t="s">
        <v>58</v>
      </c>
      <c r="V1673" s="5" t="s">
        <v>177</v>
      </c>
      <c r="W1673" s="5" t="s">
        <v>208</v>
      </c>
      <c r="X1673" s="5" t="s">
        <v>209</v>
      </c>
      <c r="Y1673" s="5" t="s">
        <v>6839</v>
      </c>
      <c r="Z1673" s="9">
        <v>46150</v>
      </c>
      <c r="AA1673" s="8">
        <v>12</v>
      </c>
      <c r="AB1673" s="9">
        <f t="shared" si="79"/>
        <v>46515</v>
      </c>
      <c r="AC1673" s="10">
        <v>14</v>
      </c>
      <c r="AD1673" s="7">
        <f t="shared" si="80"/>
        <v>6095</v>
      </c>
      <c r="AE1673" s="7">
        <f>IF(F1673="Bullet",H1673*AD1673,MIN(MAX(I1673,1),Assumptions!$B$6)*AD1673)</f>
        <v>6095</v>
      </c>
      <c r="AF1673" s="8">
        <f>IF(F1673="Bullet",MAX(0,Assumptions!$B$4-AB1673),MAX(0,Assumptions!$B$4-L1673))</f>
        <v>25</v>
      </c>
      <c r="AG1673" s="9">
        <v>46245</v>
      </c>
      <c r="AH1673" s="8">
        <f>IF(AG1673="","",Assumptions!$B$4-AG1673)</f>
        <v>53</v>
      </c>
      <c r="AI1673" s="5" t="s">
        <v>63</v>
      </c>
      <c r="AJ1673" s="8">
        <v>1</v>
      </c>
      <c r="AK1673" s="8">
        <v>1</v>
      </c>
      <c r="AL1673" s="8">
        <v>752</v>
      </c>
      <c r="AM1673" s="8">
        <v>0</v>
      </c>
      <c r="AN1673" s="5" t="s">
        <v>63</v>
      </c>
      <c r="AO1673" s="10">
        <v>80.7</v>
      </c>
      <c r="AP1673" s="8">
        <v>28</v>
      </c>
      <c r="AQ1673" s="9">
        <v>46290</v>
      </c>
      <c r="AR1673" s="5" t="s">
        <v>51</v>
      </c>
      <c r="AS1673" s="5" t="s">
        <v>81</v>
      </c>
    </row>
    <row r="1674" spans="1:45" x14ac:dyDescent="0.35">
      <c r="A1674" s="5" t="s">
        <v>6840</v>
      </c>
      <c r="B1674" s="5" t="s">
        <v>4363</v>
      </c>
      <c r="C1674" s="6" t="s">
        <v>6841</v>
      </c>
      <c r="D1674" s="7">
        <v>249500</v>
      </c>
      <c r="E1674" s="5" t="s">
        <v>48</v>
      </c>
      <c r="F1674" s="5" t="s">
        <v>49</v>
      </c>
      <c r="G1674" s="8"/>
      <c r="H1674" s="8" t="str">
        <f>IF(F1674="Bullet",MIN(G1674,Assumptions!$B$6),"")</f>
        <v/>
      </c>
      <c r="I1674" s="8">
        <v>1</v>
      </c>
      <c r="J1674" s="8">
        <f>IF(F1674="Monthly interest",MAX(0,Assumptions!$B$5-I1674),"")</f>
        <v>2</v>
      </c>
      <c r="K1674" s="7">
        <f t="shared" si="78"/>
        <v>2911</v>
      </c>
      <c r="L1674" s="9">
        <v>46289</v>
      </c>
      <c r="M1674" s="5" t="s">
        <v>50</v>
      </c>
      <c r="N1674" s="5" t="s">
        <v>51</v>
      </c>
      <c r="O1674" s="5" t="s">
        <v>52</v>
      </c>
      <c r="P1674" s="5" t="s">
        <v>53</v>
      </c>
      <c r="Q1674" s="5" t="s">
        <v>54</v>
      </c>
      <c r="R1674" s="5" t="s">
        <v>55</v>
      </c>
      <c r="S1674" s="5" t="s">
        <v>185</v>
      </c>
      <c r="T1674" s="5" t="s">
        <v>57</v>
      </c>
      <c r="U1674" s="5" t="s">
        <v>86</v>
      </c>
      <c r="V1674" s="5" t="s">
        <v>186</v>
      </c>
      <c r="W1674" s="5" t="s">
        <v>329</v>
      </c>
      <c r="X1674" s="5" t="s">
        <v>5307</v>
      </c>
      <c r="Y1674" s="5" t="s">
        <v>6842</v>
      </c>
      <c r="Z1674" s="9">
        <v>46166</v>
      </c>
      <c r="AA1674" s="8">
        <v>24</v>
      </c>
      <c r="AB1674" s="9">
        <f t="shared" si="79"/>
        <v>46897</v>
      </c>
      <c r="AC1674" s="10">
        <v>14</v>
      </c>
      <c r="AD1674" s="7">
        <f t="shared" si="80"/>
        <v>2911</v>
      </c>
      <c r="AE1674" s="7">
        <f>IF(F1674="Bullet",H1674*AD1674,MIN(MAX(I1674,1),Assumptions!$B$6)*AD1674)</f>
        <v>2911</v>
      </c>
      <c r="AF1674" s="8">
        <f>IF(F1674="Bullet",MAX(0,Assumptions!$B$4-AB1674),MAX(0,Assumptions!$B$4-L1674))</f>
        <v>9</v>
      </c>
      <c r="AG1674" s="9">
        <v>46260</v>
      </c>
      <c r="AH1674" s="8">
        <f>IF(AG1674="","",Assumptions!$B$4-AG1674)</f>
        <v>38</v>
      </c>
      <c r="AI1674" s="5" t="s">
        <v>63</v>
      </c>
      <c r="AJ1674" s="8">
        <v>1</v>
      </c>
      <c r="AK1674" s="8">
        <v>0</v>
      </c>
      <c r="AL1674" s="8">
        <v>761</v>
      </c>
      <c r="AM1674" s="8">
        <v>1</v>
      </c>
      <c r="AN1674" s="5" t="s">
        <v>63</v>
      </c>
      <c r="AO1674" s="10">
        <v>62.4</v>
      </c>
      <c r="AP1674" s="8">
        <v>18</v>
      </c>
      <c r="AQ1674" s="9">
        <v>46293</v>
      </c>
      <c r="AR1674" s="5" t="s">
        <v>53</v>
      </c>
      <c r="AS1674" s="5" t="s">
        <v>91</v>
      </c>
    </row>
    <row r="1675" spans="1:45" x14ac:dyDescent="0.35">
      <c r="A1675" s="5" t="s">
        <v>6843</v>
      </c>
      <c r="B1675" s="5" t="s">
        <v>6844</v>
      </c>
      <c r="C1675" s="6" t="s">
        <v>6845</v>
      </c>
      <c r="D1675" s="7">
        <v>75400</v>
      </c>
      <c r="E1675" s="5" t="s">
        <v>48</v>
      </c>
      <c r="F1675" s="5" t="s">
        <v>49</v>
      </c>
      <c r="G1675" s="8"/>
      <c r="H1675" s="8" t="str">
        <f>IF(F1675="Bullet",MIN(G1675,Assumptions!$B$6),"")</f>
        <v/>
      </c>
      <c r="I1675" s="8">
        <v>1</v>
      </c>
      <c r="J1675" s="8">
        <f>IF(F1675="Monthly interest",MAX(0,Assumptions!$B$5-I1675),"")</f>
        <v>2</v>
      </c>
      <c r="K1675" s="7">
        <f t="shared" si="78"/>
        <v>1508</v>
      </c>
      <c r="L1675" s="9">
        <v>46272</v>
      </c>
      <c r="M1675" s="5" t="s">
        <v>50</v>
      </c>
      <c r="N1675" s="5" t="s">
        <v>51</v>
      </c>
      <c r="O1675" s="5" t="s">
        <v>52</v>
      </c>
      <c r="P1675" s="5" t="s">
        <v>53</v>
      </c>
      <c r="Q1675" s="5" t="s">
        <v>54</v>
      </c>
      <c r="R1675" s="5" t="s">
        <v>55</v>
      </c>
      <c r="S1675" s="5" t="s">
        <v>85</v>
      </c>
      <c r="T1675" s="5" t="s">
        <v>57</v>
      </c>
      <c r="U1675" s="5" t="s">
        <v>86</v>
      </c>
      <c r="V1675" s="5" t="s">
        <v>553</v>
      </c>
      <c r="W1675" s="5" t="s">
        <v>1029</v>
      </c>
      <c r="X1675" s="5" t="s">
        <v>5583</v>
      </c>
      <c r="Y1675" s="5" t="s">
        <v>6846</v>
      </c>
      <c r="Z1675" s="9">
        <v>46088</v>
      </c>
      <c r="AA1675" s="8">
        <v>18</v>
      </c>
      <c r="AB1675" s="9">
        <f t="shared" si="79"/>
        <v>46637</v>
      </c>
      <c r="AC1675" s="10">
        <v>24</v>
      </c>
      <c r="AD1675" s="7">
        <f t="shared" si="80"/>
        <v>1508</v>
      </c>
      <c r="AE1675" s="7">
        <f>IF(F1675="Bullet",H1675*AD1675,MIN(MAX(I1675,1),Assumptions!$B$6)*AD1675)</f>
        <v>1508</v>
      </c>
      <c r="AF1675" s="8">
        <f>IF(F1675="Bullet",MAX(0,Assumptions!$B$4-AB1675),MAX(0,Assumptions!$B$4-L1675))</f>
        <v>26</v>
      </c>
      <c r="AG1675" s="9">
        <v>46245</v>
      </c>
      <c r="AH1675" s="8">
        <f>IF(AG1675="","",Assumptions!$B$4-AG1675)</f>
        <v>53</v>
      </c>
      <c r="AI1675" s="5" t="s">
        <v>63</v>
      </c>
      <c r="AJ1675" s="8">
        <v>1</v>
      </c>
      <c r="AK1675" s="8">
        <v>0</v>
      </c>
      <c r="AL1675" s="8">
        <v>714</v>
      </c>
      <c r="AM1675" s="8">
        <v>0</v>
      </c>
      <c r="AN1675" s="5" t="s">
        <v>63</v>
      </c>
      <c r="AO1675" s="10">
        <v>77</v>
      </c>
      <c r="AP1675" s="8">
        <v>25</v>
      </c>
      <c r="AQ1675" s="9">
        <v>46279</v>
      </c>
      <c r="AR1675" s="5" t="s">
        <v>70</v>
      </c>
      <c r="AS1675" s="5" t="s">
        <v>81</v>
      </c>
    </row>
    <row r="1676" spans="1:45" x14ac:dyDescent="0.35">
      <c r="A1676" s="5" t="s">
        <v>6847</v>
      </c>
      <c r="B1676" s="5" t="s">
        <v>4737</v>
      </c>
      <c r="C1676" s="6" t="s">
        <v>6848</v>
      </c>
      <c r="D1676" s="7">
        <v>120900</v>
      </c>
      <c r="E1676" s="5" t="s">
        <v>48</v>
      </c>
      <c r="F1676" s="5" t="s">
        <v>49</v>
      </c>
      <c r="G1676" s="8"/>
      <c r="H1676" s="8" t="str">
        <f>IF(F1676="Bullet",MIN(G1676,Assumptions!$B$6),"")</f>
        <v/>
      </c>
      <c r="I1676" s="8">
        <v>2</v>
      </c>
      <c r="J1676" s="8">
        <f>IF(F1676="Monthly interest",MAX(0,Assumptions!$B$5-I1676),"")</f>
        <v>1</v>
      </c>
      <c r="K1676" s="7">
        <f t="shared" si="78"/>
        <v>2822</v>
      </c>
      <c r="L1676" s="9">
        <v>46245</v>
      </c>
      <c r="M1676" s="5" t="s">
        <v>69</v>
      </c>
      <c r="N1676" s="5" t="s">
        <v>53</v>
      </c>
      <c r="O1676" s="5" t="s">
        <v>71</v>
      </c>
      <c r="P1676" s="5" t="s">
        <v>70</v>
      </c>
      <c r="Q1676" s="5" t="s">
        <v>73</v>
      </c>
      <c r="R1676" s="5" t="s">
        <v>74</v>
      </c>
      <c r="S1676" s="5" t="s">
        <v>75</v>
      </c>
      <c r="T1676" s="5" t="s">
        <v>57</v>
      </c>
      <c r="U1676" s="5" t="s">
        <v>58</v>
      </c>
      <c r="V1676" s="5" t="s">
        <v>76</v>
      </c>
      <c r="W1676" s="5" t="s">
        <v>105</v>
      </c>
      <c r="X1676" s="5" t="s">
        <v>4406</v>
      </c>
      <c r="Y1676" s="5" t="s">
        <v>6849</v>
      </c>
      <c r="Z1676" s="9">
        <v>46184</v>
      </c>
      <c r="AA1676" s="8">
        <v>12</v>
      </c>
      <c r="AB1676" s="9">
        <f t="shared" si="79"/>
        <v>46549</v>
      </c>
      <c r="AC1676" s="10">
        <v>14</v>
      </c>
      <c r="AD1676" s="7">
        <f t="shared" si="80"/>
        <v>1411</v>
      </c>
      <c r="AE1676" s="7">
        <f>IF(F1676="Bullet",H1676*AD1676,MIN(MAX(I1676,1),Assumptions!$B$6)*AD1676)</f>
        <v>2822</v>
      </c>
      <c r="AF1676" s="8">
        <f>IF(F1676="Bullet",MAX(0,Assumptions!$B$4-AB1676),MAX(0,Assumptions!$B$4-L1676))</f>
        <v>53</v>
      </c>
      <c r="AG1676" s="9">
        <v>46219</v>
      </c>
      <c r="AH1676" s="8">
        <f>IF(AG1676="","",Assumptions!$B$4-AG1676)</f>
        <v>79</v>
      </c>
      <c r="AI1676" s="5" t="s">
        <v>63</v>
      </c>
      <c r="AJ1676" s="8">
        <v>2</v>
      </c>
      <c r="AK1676" s="8">
        <v>0</v>
      </c>
      <c r="AL1676" s="8">
        <v>735</v>
      </c>
      <c r="AM1676" s="8">
        <v>0</v>
      </c>
      <c r="AN1676" s="5" t="s">
        <v>63</v>
      </c>
      <c r="AO1676" s="10">
        <v>74.900000000000006</v>
      </c>
      <c r="AP1676" s="8">
        <v>37</v>
      </c>
      <c r="AQ1676" s="9">
        <v>46293</v>
      </c>
      <c r="AR1676" s="5" t="s">
        <v>72</v>
      </c>
      <c r="AS1676" s="5" t="s">
        <v>81</v>
      </c>
    </row>
    <row r="1677" spans="1:45" x14ac:dyDescent="0.35">
      <c r="A1677" s="5" t="s">
        <v>6850</v>
      </c>
      <c r="B1677" s="5" t="s">
        <v>6851</v>
      </c>
      <c r="C1677" s="6" t="s">
        <v>6852</v>
      </c>
      <c r="D1677" s="7">
        <v>107600</v>
      </c>
      <c r="E1677" s="5" t="s">
        <v>48</v>
      </c>
      <c r="F1677" s="5" t="s">
        <v>49</v>
      </c>
      <c r="G1677" s="8"/>
      <c r="H1677" s="8" t="str">
        <f>IF(F1677="Bullet",MIN(G1677,Assumptions!$B$6),"")</f>
        <v/>
      </c>
      <c r="I1677" s="8">
        <v>2</v>
      </c>
      <c r="J1677" s="8">
        <f>IF(F1677="Monthly interest",MAX(0,Assumptions!$B$5-I1677),"")</f>
        <v>1</v>
      </c>
      <c r="K1677" s="7">
        <f t="shared" si="78"/>
        <v>3946</v>
      </c>
      <c r="L1677" s="9">
        <v>46259</v>
      </c>
      <c r="M1677" s="5" t="s">
        <v>69</v>
      </c>
      <c r="N1677" s="5" t="s">
        <v>53</v>
      </c>
      <c r="O1677" s="5" t="s">
        <v>71</v>
      </c>
      <c r="P1677" s="5" t="s">
        <v>70</v>
      </c>
      <c r="Q1677" s="5" t="s">
        <v>73</v>
      </c>
      <c r="R1677" s="5" t="s">
        <v>74</v>
      </c>
      <c r="S1677" s="5" t="s">
        <v>185</v>
      </c>
      <c r="T1677" s="5" t="s">
        <v>57</v>
      </c>
      <c r="U1677" s="5" t="s">
        <v>86</v>
      </c>
      <c r="V1677" s="5" t="s">
        <v>186</v>
      </c>
      <c r="W1677" s="5" t="s">
        <v>376</v>
      </c>
      <c r="X1677" s="5" t="s">
        <v>1010</v>
      </c>
      <c r="Y1677" s="5" t="s">
        <v>6853</v>
      </c>
      <c r="Z1677" s="9">
        <v>46106</v>
      </c>
      <c r="AA1677" s="8">
        <v>24</v>
      </c>
      <c r="AB1677" s="9">
        <f t="shared" si="79"/>
        <v>46837</v>
      </c>
      <c r="AC1677" s="10">
        <v>22</v>
      </c>
      <c r="AD1677" s="7">
        <f t="shared" si="80"/>
        <v>1973</v>
      </c>
      <c r="AE1677" s="7">
        <f>IF(F1677="Bullet",H1677*AD1677,MIN(MAX(I1677,1),Assumptions!$B$6)*AD1677)</f>
        <v>3946</v>
      </c>
      <c r="AF1677" s="8">
        <f>IF(F1677="Bullet",MAX(0,Assumptions!$B$4-AB1677),MAX(0,Assumptions!$B$4-L1677))</f>
        <v>39</v>
      </c>
      <c r="AG1677" s="9">
        <v>46233</v>
      </c>
      <c r="AH1677" s="8">
        <f>IF(AG1677="","",Assumptions!$B$4-AG1677)</f>
        <v>65</v>
      </c>
      <c r="AI1677" s="5" t="s">
        <v>63</v>
      </c>
      <c r="AJ1677" s="8">
        <v>2</v>
      </c>
      <c r="AK1677" s="8">
        <v>3</v>
      </c>
      <c r="AL1677" s="8">
        <v>715</v>
      </c>
      <c r="AM1677" s="8">
        <v>1</v>
      </c>
      <c r="AN1677" s="5" t="s">
        <v>63</v>
      </c>
      <c r="AO1677" s="10">
        <v>46.7</v>
      </c>
      <c r="AP1677" s="8">
        <v>46</v>
      </c>
      <c r="AQ1677" s="9">
        <v>46286</v>
      </c>
      <c r="AR1677" s="5" t="s">
        <v>51</v>
      </c>
      <c r="AS1677" s="5" t="s">
        <v>64</v>
      </c>
    </row>
    <row r="1678" spans="1:45" x14ac:dyDescent="0.35">
      <c r="A1678" s="5" t="s">
        <v>6854</v>
      </c>
      <c r="B1678" s="5" t="s">
        <v>1964</v>
      </c>
      <c r="C1678" s="6" t="s">
        <v>6855</v>
      </c>
      <c r="D1678" s="7">
        <v>77400</v>
      </c>
      <c r="E1678" s="5" t="s">
        <v>48</v>
      </c>
      <c r="F1678" s="5" t="s">
        <v>49</v>
      </c>
      <c r="G1678" s="8"/>
      <c r="H1678" s="8" t="str">
        <f>IF(F1678="Bullet",MIN(G1678,Assumptions!$B$6),"")</f>
        <v/>
      </c>
      <c r="I1678" s="8">
        <v>2</v>
      </c>
      <c r="J1678" s="8">
        <f>IF(F1678="Monthly interest",MAX(0,Assumptions!$B$5-I1678),"")</f>
        <v>1</v>
      </c>
      <c r="K1678" s="7">
        <f t="shared" si="78"/>
        <v>1806</v>
      </c>
      <c r="L1678" s="9">
        <v>46246</v>
      </c>
      <c r="M1678" s="5" t="s">
        <v>69</v>
      </c>
      <c r="N1678" s="5" t="s">
        <v>53</v>
      </c>
      <c r="O1678" s="5" t="s">
        <v>71</v>
      </c>
      <c r="P1678" s="5" t="s">
        <v>70</v>
      </c>
      <c r="Q1678" s="5" t="s">
        <v>73</v>
      </c>
      <c r="R1678" s="5" t="s">
        <v>74</v>
      </c>
      <c r="S1678" s="5" t="s">
        <v>253</v>
      </c>
      <c r="T1678" s="5" t="s">
        <v>63</v>
      </c>
      <c r="U1678" s="5" t="s">
        <v>86</v>
      </c>
      <c r="V1678" s="5" t="s">
        <v>186</v>
      </c>
      <c r="W1678" s="5" t="s">
        <v>329</v>
      </c>
      <c r="X1678" s="5" t="s">
        <v>330</v>
      </c>
      <c r="Y1678" s="5" t="s">
        <v>6856</v>
      </c>
      <c r="Z1678" s="9">
        <v>46124</v>
      </c>
      <c r="AA1678" s="8">
        <v>12</v>
      </c>
      <c r="AB1678" s="9">
        <f t="shared" si="79"/>
        <v>46489</v>
      </c>
      <c r="AC1678" s="10">
        <v>14</v>
      </c>
      <c r="AD1678" s="7">
        <f t="shared" si="80"/>
        <v>903</v>
      </c>
      <c r="AE1678" s="7">
        <f>IF(F1678="Bullet",H1678*AD1678,MIN(MAX(I1678,1),Assumptions!$B$6)*AD1678)</f>
        <v>1806</v>
      </c>
      <c r="AF1678" s="8">
        <f>IF(F1678="Bullet",MAX(0,Assumptions!$B$4-AB1678),MAX(0,Assumptions!$B$4-L1678))</f>
        <v>52</v>
      </c>
      <c r="AG1678" s="9">
        <v>46218</v>
      </c>
      <c r="AH1678" s="8">
        <f>IF(AG1678="","",Assumptions!$B$4-AG1678)</f>
        <v>80</v>
      </c>
      <c r="AI1678" s="5" t="s">
        <v>63</v>
      </c>
      <c r="AJ1678" s="8">
        <v>2</v>
      </c>
      <c r="AK1678" s="8">
        <v>0</v>
      </c>
      <c r="AL1678" s="8">
        <v>661</v>
      </c>
      <c r="AM1678" s="8">
        <v>0</v>
      </c>
      <c r="AN1678" s="5" t="s">
        <v>63</v>
      </c>
      <c r="AO1678" s="10">
        <v>65.2</v>
      </c>
      <c r="AP1678" s="8">
        <v>47</v>
      </c>
      <c r="AQ1678" s="9">
        <v>46276</v>
      </c>
      <c r="AR1678" s="5" t="s">
        <v>70</v>
      </c>
      <c r="AS1678" s="5" t="s">
        <v>91</v>
      </c>
    </row>
    <row r="1679" spans="1:45" x14ac:dyDescent="0.35">
      <c r="A1679" s="5" t="s">
        <v>6857</v>
      </c>
      <c r="B1679" s="5" t="s">
        <v>6858</v>
      </c>
      <c r="C1679" s="6" t="s">
        <v>6859</v>
      </c>
      <c r="D1679" s="7">
        <v>82800</v>
      </c>
      <c r="E1679" s="5" t="s">
        <v>48</v>
      </c>
      <c r="F1679" s="5" t="s">
        <v>49</v>
      </c>
      <c r="G1679" s="8"/>
      <c r="H1679" s="8" t="str">
        <f>IF(F1679="Bullet",MIN(G1679,Assumptions!$B$6),"")</f>
        <v/>
      </c>
      <c r="I1679" s="8">
        <v>1</v>
      </c>
      <c r="J1679" s="8">
        <f>IF(F1679="Monthly interest",MAX(0,Assumptions!$B$5-I1679),"")</f>
        <v>2</v>
      </c>
      <c r="K1679" s="7">
        <f t="shared" si="78"/>
        <v>966</v>
      </c>
      <c r="L1679" s="9">
        <v>46283</v>
      </c>
      <c r="M1679" s="5" t="s">
        <v>50</v>
      </c>
      <c r="N1679" s="5" t="s">
        <v>51</v>
      </c>
      <c r="O1679" s="5" t="s">
        <v>52</v>
      </c>
      <c r="P1679" s="5" t="s">
        <v>53</v>
      </c>
      <c r="Q1679" s="5" t="s">
        <v>54</v>
      </c>
      <c r="R1679" s="5" t="s">
        <v>55</v>
      </c>
      <c r="S1679" s="5" t="s">
        <v>56</v>
      </c>
      <c r="T1679" s="5" t="s">
        <v>57</v>
      </c>
      <c r="U1679" s="5" t="s">
        <v>86</v>
      </c>
      <c r="V1679" s="5" t="s">
        <v>59</v>
      </c>
      <c r="W1679" s="5" t="s">
        <v>60</v>
      </c>
      <c r="X1679" s="5" t="s">
        <v>2867</v>
      </c>
      <c r="Y1679" s="5" t="s">
        <v>6860</v>
      </c>
      <c r="Z1679" s="9">
        <v>46009</v>
      </c>
      <c r="AA1679" s="8">
        <v>18</v>
      </c>
      <c r="AB1679" s="9">
        <f t="shared" si="79"/>
        <v>46556</v>
      </c>
      <c r="AC1679" s="10">
        <v>14</v>
      </c>
      <c r="AD1679" s="7">
        <f t="shared" si="80"/>
        <v>966</v>
      </c>
      <c r="AE1679" s="7">
        <f>IF(F1679="Bullet",H1679*AD1679,MIN(MAX(I1679,1),Assumptions!$B$6)*AD1679)</f>
        <v>966</v>
      </c>
      <c r="AF1679" s="8">
        <f>IF(F1679="Bullet",MAX(0,Assumptions!$B$4-AB1679),MAX(0,Assumptions!$B$4-L1679))</f>
        <v>15</v>
      </c>
      <c r="AG1679" s="9">
        <v>46252</v>
      </c>
      <c r="AH1679" s="8">
        <f>IF(AG1679="","",Assumptions!$B$4-AG1679)</f>
        <v>46</v>
      </c>
      <c r="AI1679" s="5" t="s">
        <v>63</v>
      </c>
      <c r="AJ1679" s="8">
        <v>1</v>
      </c>
      <c r="AK1679" s="8">
        <v>1</v>
      </c>
      <c r="AL1679" s="8">
        <v>774</v>
      </c>
      <c r="AM1679" s="8">
        <v>2</v>
      </c>
      <c r="AN1679" s="5" t="s">
        <v>63</v>
      </c>
      <c r="AO1679" s="10">
        <v>62</v>
      </c>
      <c r="AP1679" s="8">
        <v>19</v>
      </c>
      <c r="AQ1679" s="9">
        <v>46295</v>
      </c>
      <c r="AR1679" s="5" t="s">
        <v>51</v>
      </c>
      <c r="AS1679" s="5" t="s">
        <v>181</v>
      </c>
    </row>
    <row r="1680" spans="1:45" x14ac:dyDescent="0.35">
      <c r="A1680" s="5" t="s">
        <v>6861</v>
      </c>
      <c r="B1680" s="5" t="s">
        <v>6862</v>
      </c>
      <c r="C1680" s="6" t="s">
        <v>6863</v>
      </c>
      <c r="D1680" s="7">
        <v>88900</v>
      </c>
      <c r="E1680" s="5" t="s">
        <v>48</v>
      </c>
      <c r="F1680" s="5" t="s">
        <v>49</v>
      </c>
      <c r="G1680" s="8"/>
      <c r="H1680" s="8" t="str">
        <f>IF(F1680="Bullet",MIN(G1680,Assumptions!$B$6),"")</f>
        <v/>
      </c>
      <c r="I1680" s="8">
        <v>1</v>
      </c>
      <c r="J1680" s="8">
        <f>IF(F1680="Monthly interest",MAX(0,Assumptions!$B$5-I1680),"")</f>
        <v>2</v>
      </c>
      <c r="K1680" s="7">
        <f t="shared" si="78"/>
        <v>1630</v>
      </c>
      <c r="L1680" s="9">
        <v>46284</v>
      </c>
      <c r="M1680" s="5" t="s">
        <v>69</v>
      </c>
      <c r="N1680" s="5" t="s">
        <v>53</v>
      </c>
      <c r="O1680" s="5" t="s">
        <v>103</v>
      </c>
      <c r="P1680" s="5" t="s">
        <v>70</v>
      </c>
      <c r="Q1680" s="5" t="s">
        <v>54</v>
      </c>
      <c r="R1680" s="5" t="s">
        <v>55</v>
      </c>
      <c r="S1680" s="5" t="s">
        <v>185</v>
      </c>
      <c r="T1680" s="5" t="s">
        <v>57</v>
      </c>
      <c r="U1680" s="5" t="s">
        <v>104</v>
      </c>
      <c r="V1680" s="5" t="s">
        <v>186</v>
      </c>
      <c r="W1680" s="5" t="s">
        <v>376</v>
      </c>
      <c r="X1680" s="5" t="s">
        <v>495</v>
      </c>
      <c r="Y1680" s="5" t="s">
        <v>6864</v>
      </c>
      <c r="Z1680" s="9">
        <v>46192</v>
      </c>
      <c r="AA1680" s="8">
        <v>12</v>
      </c>
      <c r="AB1680" s="9">
        <f t="shared" si="79"/>
        <v>46557</v>
      </c>
      <c r="AC1680" s="10">
        <v>22</v>
      </c>
      <c r="AD1680" s="7">
        <f t="shared" si="80"/>
        <v>1630</v>
      </c>
      <c r="AE1680" s="7">
        <f>IF(F1680="Bullet",H1680*AD1680,MIN(MAX(I1680,1),Assumptions!$B$6)*AD1680)</f>
        <v>1630</v>
      </c>
      <c r="AF1680" s="8">
        <f>IF(F1680="Bullet",MAX(0,Assumptions!$B$4-AB1680),MAX(0,Assumptions!$B$4-L1680))</f>
        <v>14</v>
      </c>
      <c r="AG1680" s="9">
        <v>46258</v>
      </c>
      <c r="AH1680" s="8">
        <f>IF(AG1680="","",Assumptions!$B$4-AG1680)</f>
        <v>40</v>
      </c>
      <c r="AI1680" s="5" t="s">
        <v>63</v>
      </c>
      <c r="AJ1680" s="8">
        <v>1</v>
      </c>
      <c r="AK1680" s="8">
        <v>0</v>
      </c>
      <c r="AL1680" s="8">
        <v>635</v>
      </c>
      <c r="AM1680" s="8">
        <v>1</v>
      </c>
      <c r="AN1680" s="5" t="s">
        <v>63</v>
      </c>
      <c r="AO1680" s="10">
        <v>75.2</v>
      </c>
      <c r="AP1680" s="8">
        <v>36</v>
      </c>
      <c r="AQ1680" s="9">
        <v>46281</v>
      </c>
      <c r="AR1680" s="5" t="s">
        <v>51</v>
      </c>
      <c r="AS1680" s="5" t="s">
        <v>81</v>
      </c>
    </row>
    <row r="1681" spans="1:45" x14ac:dyDescent="0.35">
      <c r="A1681" s="5" t="s">
        <v>6865</v>
      </c>
      <c r="B1681" s="5" t="s">
        <v>6866</v>
      </c>
      <c r="C1681" s="6" t="s">
        <v>6867</v>
      </c>
      <c r="D1681" s="7">
        <v>30700</v>
      </c>
      <c r="E1681" s="5" t="s">
        <v>48</v>
      </c>
      <c r="F1681" s="5" t="s">
        <v>49</v>
      </c>
      <c r="G1681" s="8"/>
      <c r="H1681" s="8" t="str">
        <f>IF(F1681="Bullet",MIN(G1681,Assumptions!$B$6),"")</f>
        <v/>
      </c>
      <c r="I1681" s="8">
        <v>1</v>
      </c>
      <c r="J1681" s="8">
        <f>IF(F1681="Monthly interest",MAX(0,Assumptions!$B$5-I1681),"")</f>
        <v>2</v>
      </c>
      <c r="K1681" s="7">
        <f t="shared" si="78"/>
        <v>563</v>
      </c>
      <c r="L1681" s="9">
        <v>46286</v>
      </c>
      <c r="M1681" s="5" t="s">
        <v>69</v>
      </c>
      <c r="N1681" s="5" t="s">
        <v>51</v>
      </c>
      <c r="O1681" s="5" t="s">
        <v>152</v>
      </c>
      <c r="P1681" s="5" t="s">
        <v>53</v>
      </c>
      <c r="Q1681" s="5" t="s">
        <v>154</v>
      </c>
      <c r="R1681" s="5" t="s">
        <v>155</v>
      </c>
      <c r="S1681" s="5" t="s">
        <v>75</v>
      </c>
      <c r="T1681" s="5" t="s">
        <v>57</v>
      </c>
      <c r="U1681" s="5" t="s">
        <v>104</v>
      </c>
      <c r="V1681" s="5" t="s">
        <v>76</v>
      </c>
      <c r="W1681" s="5" t="s">
        <v>547</v>
      </c>
      <c r="X1681" s="5" t="s">
        <v>2409</v>
      </c>
      <c r="Y1681" s="5" t="s">
        <v>6868</v>
      </c>
      <c r="Z1681" s="9">
        <v>46224</v>
      </c>
      <c r="AA1681" s="8">
        <v>12</v>
      </c>
      <c r="AB1681" s="9">
        <f t="shared" si="79"/>
        <v>46589</v>
      </c>
      <c r="AC1681" s="10">
        <v>22</v>
      </c>
      <c r="AD1681" s="7">
        <f t="shared" si="80"/>
        <v>563</v>
      </c>
      <c r="AE1681" s="7">
        <f>IF(F1681="Bullet",H1681*AD1681,MIN(MAX(I1681,1),Assumptions!$B$6)*AD1681)</f>
        <v>563</v>
      </c>
      <c r="AF1681" s="8">
        <f>IF(F1681="Bullet",MAX(0,Assumptions!$B$4-AB1681),MAX(0,Assumptions!$B$4-L1681))</f>
        <v>12</v>
      </c>
      <c r="AG1681" s="9">
        <v>46256</v>
      </c>
      <c r="AH1681" s="8">
        <f>IF(AG1681="","",Assumptions!$B$4-AG1681)</f>
        <v>42</v>
      </c>
      <c r="AI1681" s="5" t="s">
        <v>63</v>
      </c>
      <c r="AJ1681" s="8">
        <v>1</v>
      </c>
      <c r="AK1681" s="8">
        <v>0</v>
      </c>
      <c r="AL1681" s="8">
        <v>668</v>
      </c>
      <c r="AM1681" s="8">
        <v>3</v>
      </c>
      <c r="AN1681" s="5" t="s">
        <v>63</v>
      </c>
      <c r="AO1681" s="10">
        <v>69.5</v>
      </c>
      <c r="AP1681" s="8">
        <v>38</v>
      </c>
      <c r="AQ1681" s="9">
        <v>46274</v>
      </c>
      <c r="AR1681" s="5" t="s">
        <v>53</v>
      </c>
      <c r="AS1681" s="5" t="s">
        <v>81</v>
      </c>
    </row>
    <row r="1682" spans="1:45" x14ac:dyDescent="0.35">
      <c r="A1682" s="5" t="s">
        <v>6869</v>
      </c>
      <c r="B1682" s="5" t="s">
        <v>1041</v>
      </c>
      <c r="C1682" s="6" t="s">
        <v>6870</v>
      </c>
      <c r="D1682" s="7">
        <v>162700</v>
      </c>
      <c r="E1682" s="5" t="s">
        <v>48</v>
      </c>
      <c r="F1682" s="5" t="s">
        <v>49</v>
      </c>
      <c r="G1682" s="8"/>
      <c r="H1682" s="8" t="str">
        <f>IF(F1682="Bullet",MIN(G1682,Assumptions!$B$6),"")</f>
        <v/>
      </c>
      <c r="I1682" s="8">
        <v>1</v>
      </c>
      <c r="J1682" s="8">
        <f>IF(F1682="Monthly interest",MAX(0,Assumptions!$B$5-I1682),"")</f>
        <v>2</v>
      </c>
      <c r="K1682" s="7">
        <f t="shared" si="78"/>
        <v>2034</v>
      </c>
      <c r="L1682" s="9">
        <v>46290</v>
      </c>
      <c r="M1682" s="5" t="s">
        <v>69</v>
      </c>
      <c r="N1682" s="5" t="s">
        <v>53</v>
      </c>
      <c r="O1682" s="5" t="s">
        <v>103</v>
      </c>
      <c r="P1682" s="5" t="s">
        <v>70</v>
      </c>
      <c r="Q1682" s="5" t="s">
        <v>54</v>
      </c>
      <c r="R1682" s="5" t="s">
        <v>55</v>
      </c>
      <c r="S1682" s="5" t="s">
        <v>75</v>
      </c>
      <c r="T1682" s="5" t="s">
        <v>57</v>
      </c>
      <c r="U1682" s="5" t="s">
        <v>104</v>
      </c>
      <c r="V1682" s="5" t="s">
        <v>76</v>
      </c>
      <c r="W1682" s="5" t="s">
        <v>77</v>
      </c>
      <c r="X1682" s="5" t="s">
        <v>1565</v>
      </c>
      <c r="Y1682" s="5" t="s">
        <v>6871</v>
      </c>
      <c r="Z1682" s="9">
        <v>46167</v>
      </c>
      <c r="AA1682" s="8">
        <v>18</v>
      </c>
      <c r="AB1682" s="9">
        <f t="shared" si="79"/>
        <v>46716</v>
      </c>
      <c r="AC1682" s="10">
        <v>15</v>
      </c>
      <c r="AD1682" s="7">
        <f t="shared" si="80"/>
        <v>2034</v>
      </c>
      <c r="AE1682" s="7">
        <f>IF(F1682="Bullet",H1682*AD1682,MIN(MAX(I1682,1),Assumptions!$B$6)*AD1682)</f>
        <v>2034</v>
      </c>
      <c r="AF1682" s="8">
        <f>IF(F1682="Bullet",MAX(0,Assumptions!$B$4-AB1682),MAX(0,Assumptions!$B$4-L1682))</f>
        <v>8</v>
      </c>
      <c r="AG1682" s="9">
        <v>46261</v>
      </c>
      <c r="AH1682" s="8">
        <f>IF(AG1682="","",Assumptions!$B$4-AG1682)</f>
        <v>37</v>
      </c>
      <c r="AI1682" s="5" t="s">
        <v>63</v>
      </c>
      <c r="AJ1682" s="8">
        <v>2</v>
      </c>
      <c r="AK1682" s="8">
        <v>0</v>
      </c>
      <c r="AL1682" s="8">
        <v>659</v>
      </c>
      <c r="AM1682" s="8">
        <v>2</v>
      </c>
      <c r="AN1682" s="5" t="s">
        <v>63</v>
      </c>
      <c r="AO1682" s="10">
        <v>56.6</v>
      </c>
      <c r="AP1682" s="8">
        <v>35</v>
      </c>
      <c r="AQ1682" s="9">
        <v>46274</v>
      </c>
      <c r="AR1682" s="5" t="s">
        <v>51</v>
      </c>
      <c r="AS1682" s="5" t="s">
        <v>81</v>
      </c>
    </row>
    <row r="1683" spans="1:45" x14ac:dyDescent="0.35">
      <c r="A1683" s="5" t="s">
        <v>6872</v>
      </c>
      <c r="B1683" s="5" t="s">
        <v>4050</v>
      </c>
      <c r="C1683" s="6" t="s">
        <v>6873</v>
      </c>
      <c r="D1683" s="7">
        <v>115400</v>
      </c>
      <c r="E1683" s="5" t="s">
        <v>48</v>
      </c>
      <c r="F1683" s="5" t="s">
        <v>68</v>
      </c>
      <c r="G1683" s="8">
        <v>1</v>
      </c>
      <c r="H1683" s="8">
        <f>IF(F1683="Bullet",MIN(G1683,Assumptions!$B$6),"")</f>
        <v>1</v>
      </c>
      <c r="I1683" s="8"/>
      <c r="J1683" s="8" t="str">
        <f>IF(F1683="Monthly interest",MAX(0,Assumptions!$B$5-I1683),"")</f>
        <v/>
      </c>
      <c r="K1683" s="7">
        <f t="shared" si="78"/>
        <v>1443</v>
      </c>
      <c r="L1683" s="9">
        <v>46249</v>
      </c>
      <c r="M1683" s="5" t="s">
        <v>50</v>
      </c>
      <c r="N1683" s="5" t="s">
        <v>53</v>
      </c>
      <c r="O1683" s="5" t="s">
        <v>103</v>
      </c>
      <c r="P1683" s="5" t="s">
        <v>51</v>
      </c>
      <c r="Q1683" s="5" t="s">
        <v>73</v>
      </c>
      <c r="R1683" s="5" t="s">
        <v>74</v>
      </c>
      <c r="S1683" s="5" t="s">
        <v>56</v>
      </c>
      <c r="T1683" s="5" t="s">
        <v>57</v>
      </c>
      <c r="U1683" s="5" t="s">
        <v>86</v>
      </c>
      <c r="V1683" s="5" t="s">
        <v>59</v>
      </c>
      <c r="W1683" s="5" t="s">
        <v>300</v>
      </c>
      <c r="X1683" s="5" t="s">
        <v>1747</v>
      </c>
      <c r="Y1683" s="5" t="s">
        <v>6874</v>
      </c>
      <c r="Z1683" s="9">
        <v>46249</v>
      </c>
      <c r="AA1683" s="8">
        <v>12</v>
      </c>
      <c r="AB1683" s="9">
        <f t="shared" si="79"/>
        <v>46614</v>
      </c>
      <c r="AC1683" s="10">
        <v>15</v>
      </c>
      <c r="AD1683" s="7">
        <f t="shared" si="80"/>
        <v>1443</v>
      </c>
      <c r="AE1683" s="7">
        <f>IF(F1683="Bullet",H1683*AD1683,MIN(MAX(I1683,1),Assumptions!$B$6)*AD1683)</f>
        <v>1443</v>
      </c>
      <c r="AF1683" s="8">
        <f>IF(F1683="Bullet",MAX(0,Assumptions!$B$4-AB1683),MAX(0,Assumptions!$B$4-L1683))</f>
        <v>0</v>
      </c>
      <c r="AG1683" s="9"/>
      <c r="AH1683" s="8" t="str">
        <f>IF(AG1683="","",Assumptions!$B$4-AG1683)</f>
        <v/>
      </c>
      <c r="AI1683" s="5" t="s">
        <v>80</v>
      </c>
      <c r="AJ1683" s="8"/>
      <c r="AK1683" s="8">
        <v>0</v>
      </c>
      <c r="AL1683" s="8">
        <v>747</v>
      </c>
      <c r="AM1683" s="8">
        <v>3</v>
      </c>
      <c r="AN1683" s="5" t="s">
        <v>63</v>
      </c>
      <c r="AO1683" s="10">
        <v>69.099999999999994</v>
      </c>
      <c r="AP1683" s="8">
        <v>9</v>
      </c>
      <c r="AQ1683" s="9">
        <v>46284</v>
      </c>
      <c r="AR1683" s="5" t="s">
        <v>51</v>
      </c>
      <c r="AS1683" s="5" t="s">
        <v>81</v>
      </c>
    </row>
    <row r="1684" spans="1:45" x14ac:dyDescent="0.35">
      <c r="A1684" s="5" t="s">
        <v>6875</v>
      </c>
      <c r="B1684" s="5" t="s">
        <v>1033</v>
      </c>
      <c r="C1684" s="6" t="s">
        <v>6876</v>
      </c>
      <c r="D1684" s="7">
        <v>60100</v>
      </c>
      <c r="E1684" s="5" t="s">
        <v>48</v>
      </c>
      <c r="F1684" s="5" t="s">
        <v>49</v>
      </c>
      <c r="G1684" s="8"/>
      <c r="H1684" s="8" t="str">
        <f>IF(F1684="Bullet",MIN(G1684,Assumptions!$B$6),"")</f>
        <v/>
      </c>
      <c r="I1684" s="8">
        <v>1</v>
      </c>
      <c r="J1684" s="8">
        <f>IF(F1684="Monthly interest",MAX(0,Assumptions!$B$5-I1684),"")</f>
        <v>2</v>
      </c>
      <c r="K1684" s="7">
        <f t="shared" si="78"/>
        <v>751</v>
      </c>
      <c r="L1684" s="9">
        <v>46288</v>
      </c>
      <c r="M1684" s="5" t="s">
        <v>50</v>
      </c>
      <c r="N1684" s="5" t="s">
        <v>53</v>
      </c>
      <c r="O1684" s="5" t="s">
        <v>95</v>
      </c>
      <c r="P1684" s="5" t="s">
        <v>70</v>
      </c>
      <c r="Q1684" s="5" t="s">
        <v>54</v>
      </c>
      <c r="R1684" s="5" t="s">
        <v>55</v>
      </c>
      <c r="S1684" s="5" t="s">
        <v>56</v>
      </c>
      <c r="T1684" s="5" t="s">
        <v>63</v>
      </c>
      <c r="U1684" s="5" t="s">
        <v>58</v>
      </c>
      <c r="V1684" s="5" t="s">
        <v>59</v>
      </c>
      <c r="W1684" s="5" t="s">
        <v>418</v>
      </c>
      <c r="X1684" s="5" t="s">
        <v>1184</v>
      </c>
      <c r="Y1684" s="5" t="s">
        <v>6877</v>
      </c>
      <c r="Z1684" s="9">
        <v>46014</v>
      </c>
      <c r="AA1684" s="8">
        <v>12</v>
      </c>
      <c r="AB1684" s="9">
        <f t="shared" si="79"/>
        <v>46379</v>
      </c>
      <c r="AC1684" s="10">
        <v>15</v>
      </c>
      <c r="AD1684" s="7">
        <f t="shared" si="80"/>
        <v>751</v>
      </c>
      <c r="AE1684" s="7">
        <f>IF(F1684="Bullet",H1684*AD1684,MIN(MAX(I1684,1),Assumptions!$B$6)*AD1684)</f>
        <v>751</v>
      </c>
      <c r="AF1684" s="8">
        <f>IF(F1684="Bullet",MAX(0,Assumptions!$B$4-AB1684),MAX(0,Assumptions!$B$4-L1684))</f>
        <v>10</v>
      </c>
      <c r="AG1684" s="9">
        <v>46257</v>
      </c>
      <c r="AH1684" s="8">
        <f>IF(AG1684="","",Assumptions!$B$4-AG1684)</f>
        <v>41</v>
      </c>
      <c r="AI1684" s="5" t="s">
        <v>63</v>
      </c>
      <c r="AJ1684" s="8">
        <v>1</v>
      </c>
      <c r="AK1684" s="8">
        <v>0</v>
      </c>
      <c r="AL1684" s="8">
        <v>767</v>
      </c>
      <c r="AM1684" s="8">
        <v>0</v>
      </c>
      <c r="AN1684" s="5" t="s">
        <v>63</v>
      </c>
      <c r="AO1684" s="10">
        <v>73.8</v>
      </c>
      <c r="AP1684" s="8">
        <v>8</v>
      </c>
      <c r="AQ1684" s="9">
        <v>46278</v>
      </c>
      <c r="AR1684" s="5" t="s">
        <v>53</v>
      </c>
      <c r="AS1684" s="5" t="s">
        <v>91</v>
      </c>
    </row>
    <row r="1685" spans="1:45" x14ac:dyDescent="0.35">
      <c r="A1685" s="5" t="s">
        <v>6878</v>
      </c>
      <c r="B1685" s="5" t="s">
        <v>6879</v>
      </c>
      <c r="C1685" s="6" t="s">
        <v>6880</v>
      </c>
      <c r="D1685" s="7">
        <v>113500</v>
      </c>
      <c r="E1685" s="5" t="s">
        <v>48</v>
      </c>
      <c r="F1685" s="5" t="s">
        <v>49</v>
      </c>
      <c r="G1685" s="8"/>
      <c r="H1685" s="8" t="str">
        <f>IF(F1685="Bullet",MIN(G1685,Assumptions!$B$6),"")</f>
        <v/>
      </c>
      <c r="I1685" s="8">
        <v>1</v>
      </c>
      <c r="J1685" s="8">
        <f>IF(F1685="Monthly interest",MAX(0,Assumptions!$B$5-I1685),"")</f>
        <v>2</v>
      </c>
      <c r="K1685" s="7">
        <f t="shared" si="78"/>
        <v>1513</v>
      </c>
      <c r="L1685" s="9">
        <v>46298</v>
      </c>
      <c r="M1685" s="5" t="s">
        <v>50</v>
      </c>
      <c r="N1685" s="5" t="s">
        <v>51</v>
      </c>
      <c r="O1685" s="5" t="s">
        <v>52</v>
      </c>
      <c r="P1685" s="5" t="s">
        <v>53</v>
      </c>
      <c r="Q1685" s="5" t="s">
        <v>54</v>
      </c>
      <c r="R1685" s="5" t="s">
        <v>55</v>
      </c>
      <c r="S1685" s="5" t="s">
        <v>75</v>
      </c>
      <c r="T1685" s="5" t="s">
        <v>57</v>
      </c>
      <c r="U1685" s="5" t="s">
        <v>104</v>
      </c>
      <c r="V1685" s="5" t="s">
        <v>76</v>
      </c>
      <c r="W1685" s="5" t="s">
        <v>547</v>
      </c>
      <c r="X1685" s="5" t="s">
        <v>6756</v>
      </c>
      <c r="Y1685" s="5" t="s">
        <v>6881</v>
      </c>
      <c r="Z1685" s="9">
        <v>46176</v>
      </c>
      <c r="AA1685" s="8">
        <v>18</v>
      </c>
      <c r="AB1685" s="9">
        <f t="shared" si="79"/>
        <v>46724</v>
      </c>
      <c r="AC1685" s="10">
        <v>16</v>
      </c>
      <c r="AD1685" s="7">
        <f t="shared" si="80"/>
        <v>1513</v>
      </c>
      <c r="AE1685" s="7">
        <f>IF(F1685="Bullet",H1685*AD1685,MIN(MAX(I1685,1),Assumptions!$B$6)*AD1685)</f>
        <v>1513</v>
      </c>
      <c r="AF1685" s="8">
        <f>IF(F1685="Bullet",MAX(0,Assumptions!$B$4-AB1685),MAX(0,Assumptions!$B$4-L1685))</f>
        <v>0</v>
      </c>
      <c r="AG1685" s="9">
        <v>46272</v>
      </c>
      <c r="AH1685" s="8">
        <f>IF(AG1685="","",Assumptions!$B$4-AG1685)</f>
        <v>26</v>
      </c>
      <c r="AI1685" s="5" t="s">
        <v>57</v>
      </c>
      <c r="AJ1685" s="8">
        <v>1</v>
      </c>
      <c r="AK1685" s="8">
        <v>0</v>
      </c>
      <c r="AL1685" s="8">
        <v>745</v>
      </c>
      <c r="AM1685" s="8">
        <v>1</v>
      </c>
      <c r="AN1685" s="5" t="s">
        <v>63</v>
      </c>
      <c r="AO1685" s="10">
        <v>77.5</v>
      </c>
      <c r="AP1685" s="8">
        <v>19</v>
      </c>
      <c r="AQ1685" s="9">
        <v>46292</v>
      </c>
      <c r="AR1685" s="5" t="s">
        <v>53</v>
      </c>
      <c r="AS1685" s="5" t="s">
        <v>190</v>
      </c>
    </row>
    <row r="1686" spans="1:45" x14ac:dyDescent="0.35">
      <c r="A1686" s="5" t="s">
        <v>6882</v>
      </c>
      <c r="B1686" s="5" t="s">
        <v>4792</v>
      </c>
      <c r="C1686" s="6" t="s">
        <v>6883</v>
      </c>
      <c r="D1686" s="7">
        <v>107800</v>
      </c>
      <c r="E1686" s="5" t="s">
        <v>48</v>
      </c>
      <c r="F1686" s="5" t="s">
        <v>68</v>
      </c>
      <c r="G1686" s="8">
        <v>2</v>
      </c>
      <c r="H1686" s="8">
        <f>IF(F1686="Bullet",MIN(G1686,Assumptions!$B$6),"")</f>
        <v>2</v>
      </c>
      <c r="I1686" s="8"/>
      <c r="J1686" s="8" t="str">
        <f>IF(F1686="Monthly interest",MAX(0,Assumptions!$B$5-I1686),"")</f>
        <v/>
      </c>
      <c r="K1686" s="7">
        <f t="shared" si="78"/>
        <v>2516</v>
      </c>
      <c r="L1686" s="9">
        <v>46234</v>
      </c>
      <c r="M1686" s="5" t="s">
        <v>69</v>
      </c>
      <c r="N1686" s="5" t="s">
        <v>53</v>
      </c>
      <c r="O1686" s="5" t="s">
        <v>71</v>
      </c>
      <c r="P1686" s="5" t="s">
        <v>70</v>
      </c>
      <c r="Q1686" s="5" t="s">
        <v>73</v>
      </c>
      <c r="R1686" s="5" t="s">
        <v>74</v>
      </c>
      <c r="S1686" s="5" t="s">
        <v>56</v>
      </c>
      <c r="T1686" s="5" t="s">
        <v>57</v>
      </c>
      <c r="U1686" s="5" t="s">
        <v>86</v>
      </c>
      <c r="V1686" s="5" t="s">
        <v>59</v>
      </c>
      <c r="W1686" s="5" t="s">
        <v>194</v>
      </c>
      <c r="X1686" s="5" t="s">
        <v>6740</v>
      </c>
      <c r="Y1686" s="5" t="s">
        <v>6884</v>
      </c>
      <c r="Z1686" s="9">
        <v>46234</v>
      </c>
      <c r="AA1686" s="8">
        <v>3</v>
      </c>
      <c r="AB1686" s="9">
        <f t="shared" si="79"/>
        <v>46326</v>
      </c>
      <c r="AC1686" s="10">
        <v>14</v>
      </c>
      <c r="AD1686" s="7">
        <f t="shared" si="80"/>
        <v>1258</v>
      </c>
      <c r="AE1686" s="7">
        <f>IF(F1686="Bullet",H1686*AD1686,MIN(MAX(I1686,1),Assumptions!$B$6)*AD1686)</f>
        <v>2516</v>
      </c>
      <c r="AF1686" s="8">
        <f>IF(F1686="Bullet",MAX(0,Assumptions!$B$4-AB1686),MAX(0,Assumptions!$B$4-L1686))</f>
        <v>0</v>
      </c>
      <c r="AG1686" s="9"/>
      <c r="AH1686" s="8" t="str">
        <f>IF(AG1686="","",Assumptions!$B$4-AG1686)</f>
        <v/>
      </c>
      <c r="AI1686" s="5" t="s">
        <v>80</v>
      </c>
      <c r="AJ1686" s="8"/>
      <c r="AK1686" s="8">
        <v>1</v>
      </c>
      <c r="AL1686" s="8" t="s">
        <v>80</v>
      </c>
      <c r="AM1686" s="8">
        <v>1</v>
      </c>
      <c r="AN1686" s="5" t="s">
        <v>63</v>
      </c>
      <c r="AO1686" s="10">
        <v>74.400000000000006</v>
      </c>
      <c r="AP1686" s="8">
        <v>33</v>
      </c>
      <c r="AQ1686" s="9">
        <v>46285</v>
      </c>
      <c r="AR1686" s="5" t="s">
        <v>70</v>
      </c>
      <c r="AS1686" s="5" t="s">
        <v>81</v>
      </c>
    </row>
    <row r="1687" spans="1:45" x14ac:dyDescent="0.35">
      <c r="A1687" s="5" t="s">
        <v>6885</v>
      </c>
      <c r="B1687" s="5" t="s">
        <v>5883</v>
      </c>
      <c r="C1687" s="6" t="s">
        <v>6886</v>
      </c>
      <c r="D1687" s="7">
        <v>285500</v>
      </c>
      <c r="E1687" s="5" t="s">
        <v>48</v>
      </c>
      <c r="F1687" s="5" t="s">
        <v>49</v>
      </c>
      <c r="G1687" s="8"/>
      <c r="H1687" s="8" t="str">
        <f>IF(F1687="Bullet",MIN(G1687,Assumptions!$B$6),"")</f>
        <v/>
      </c>
      <c r="I1687" s="8">
        <v>2</v>
      </c>
      <c r="J1687" s="8">
        <f>IF(F1687="Monthly interest",MAX(0,Assumptions!$B$5-I1687),"")</f>
        <v>1</v>
      </c>
      <c r="K1687" s="7">
        <f t="shared" si="78"/>
        <v>9516</v>
      </c>
      <c r="L1687" s="9">
        <v>46268</v>
      </c>
      <c r="M1687" s="5" t="s">
        <v>69</v>
      </c>
      <c r="N1687" s="5" t="s">
        <v>70</v>
      </c>
      <c r="O1687" s="5" t="s">
        <v>71</v>
      </c>
      <c r="P1687" s="5" t="s">
        <v>72</v>
      </c>
      <c r="Q1687" s="5" t="s">
        <v>73</v>
      </c>
      <c r="R1687" s="5" t="s">
        <v>74</v>
      </c>
      <c r="S1687" s="5" t="s">
        <v>56</v>
      </c>
      <c r="T1687" s="5" t="s">
        <v>57</v>
      </c>
      <c r="U1687" s="5" t="s">
        <v>104</v>
      </c>
      <c r="V1687" s="5" t="s">
        <v>59</v>
      </c>
      <c r="W1687" s="5" t="s">
        <v>156</v>
      </c>
      <c r="X1687" s="5" t="s">
        <v>1500</v>
      </c>
      <c r="Y1687" s="5" t="s">
        <v>6887</v>
      </c>
      <c r="Z1687" s="9">
        <v>46084</v>
      </c>
      <c r="AA1687" s="8">
        <v>12</v>
      </c>
      <c r="AB1687" s="9">
        <f t="shared" si="79"/>
        <v>46449</v>
      </c>
      <c r="AC1687" s="10">
        <v>20</v>
      </c>
      <c r="AD1687" s="7">
        <f t="shared" si="80"/>
        <v>4758</v>
      </c>
      <c r="AE1687" s="7">
        <f>IF(F1687="Bullet",H1687*AD1687,MIN(MAX(I1687,1),Assumptions!$B$6)*AD1687)</f>
        <v>9516</v>
      </c>
      <c r="AF1687" s="8">
        <f>IF(F1687="Bullet",MAX(0,Assumptions!$B$4-AB1687),MAX(0,Assumptions!$B$4-L1687))</f>
        <v>30</v>
      </c>
      <c r="AG1687" s="9">
        <v>46238</v>
      </c>
      <c r="AH1687" s="8">
        <f>IF(AG1687="","",Assumptions!$B$4-AG1687)</f>
        <v>60</v>
      </c>
      <c r="AI1687" s="5" t="s">
        <v>63</v>
      </c>
      <c r="AJ1687" s="8">
        <v>2</v>
      </c>
      <c r="AK1687" s="8">
        <v>1</v>
      </c>
      <c r="AL1687" s="8">
        <v>740</v>
      </c>
      <c r="AM1687" s="8">
        <v>1</v>
      </c>
      <c r="AN1687" s="5" t="s">
        <v>63</v>
      </c>
      <c r="AO1687" s="10">
        <v>76.5</v>
      </c>
      <c r="AP1687" s="8">
        <v>45</v>
      </c>
      <c r="AQ1687" s="9"/>
      <c r="AR1687" s="5"/>
      <c r="AS1687" s="5" t="s">
        <v>159</v>
      </c>
    </row>
    <row r="1688" spans="1:45" x14ac:dyDescent="0.35">
      <c r="A1688" s="5" t="s">
        <v>6888</v>
      </c>
      <c r="B1688" s="5" t="s">
        <v>6889</v>
      </c>
      <c r="C1688" s="6" t="s">
        <v>6890</v>
      </c>
      <c r="D1688" s="7">
        <v>38000</v>
      </c>
      <c r="E1688" s="5" t="s">
        <v>48</v>
      </c>
      <c r="F1688" s="5" t="s">
        <v>49</v>
      </c>
      <c r="G1688" s="8"/>
      <c r="H1688" s="8" t="str">
        <f>IF(F1688="Bullet",MIN(G1688,Assumptions!$B$6),"")</f>
        <v/>
      </c>
      <c r="I1688" s="8">
        <v>1</v>
      </c>
      <c r="J1688" s="8">
        <f>IF(F1688="Monthly interest",MAX(0,Assumptions!$B$5-I1688),"")</f>
        <v>2</v>
      </c>
      <c r="K1688" s="7">
        <f t="shared" si="78"/>
        <v>633</v>
      </c>
      <c r="L1688" s="9">
        <v>46288</v>
      </c>
      <c r="M1688" s="5" t="s">
        <v>50</v>
      </c>
      <c r="N1688" s="5" t="s">
        <v>53</v>
      </c>
      <c r="O1688" s="5" t="s">
        <v>103</v>
      </c>
      <c r="P1688" s="5" t="s">
        <v>153</v>
      </c>
      <c r="Q1688" s="5" t="s">
        <v>154</v>
      </c>
      <c r="R1688" s="5" t="s">
        <v>155</v>
      </c>
      <c r="S1688" s="5" t="s">
        <v>56</v>
      </c>
      <c r="T1688" s="5" t="s">
        <v>57</v>
      </c>
      <c r="U1688" s="5" t="s">
        <v>58</v>
      </c>
      <c r="V1688" s="5" t="s">
        <v>59</v>
      </c>
      <c r="W1688" s="5" t="s">
        <v>418</v>
      </c>
      <c r="X1688" s="5" t="s">
        <v>1184</v>
      </c>
      <c r="Y1688" s="5" t="s">
        <v>6891</v>
      </c>
      <c r="Z1688" s="9">
        <v>46045</v>
      </c>
      <c r="AA1688" s="8">
        <v>24</v>
      </c>
      <c r="AB1688" s="9">
        <f t="shared" si="79"/>
        <v>46775</v>
      </c>
      <c r="AC1688" s="10">
        <v>20</v>
      </c>
      <c r="AD1688" s="7">
        <f t="shared" si="80"/>
        <v>633</v>
      </c>
      <c r="AE1688" s="7">
        <f>IF(F1688="Bullet",H1688*AD1688,MIN(MAX(I1688,1),Assumptions!$B$6)*AD1688)</f>
        <v>633</v>
      </c>
      <c r="AF1688" s="8">
        <f>IF(F1688="Bullet",MAX(0,Assumptions!$B$4-AB1688),MAX(0,Assumptions!$B$4-L1688))</f>
        <v>10</v>
      </c>
      <c r="AG1688" s="9">
        <v>46257</v>
      </c>
      <c r="AH1688" s="8">
        <f>IF(AG1688="","",Assumptions!$B$4-AG1688)</f>
        <v>41</v>
      </c>
      <c r="AI1688" s="5" t="s">
        <v>63</v>
      </c>
      <c r="AJ1688" s="8">
        <v>1</v>
      </c>
      <c r="AK1688" s="8">
        <v>0</v>
      </c>
      <c r="AL1688" s="8">
        <v>756</v>
      </c>
      <c r="AM1688" s="8">
        <v>0</v>
      </c>
      <c r="AN1688" s="5" t="s">
        <v>63</v>
      </c>
      <c r="AO1688" s="10">
        <v>56.3</v>
      </c>
      <c r="AP1688" s="8">
        <v>12</v>
      </c>
      <c r="AQ1688" s="9">
        <v>46282</v>
      </c>
      <c r="AR1688" s="5" t="s">
        <v>51</v>
      </c>
      <c r="AS1688" s="5" t="s">
        <v>81</v>
      </c>
    </row>
    <row r="1689" spans="1:45" x14ac:dyDescent="0.35">
      <c r="A1689" s="5" t="s">
        <v>6892</v>
      </c>
      <c r="B1689" s="5" t="s">
        <v>6893</v>
      </c>
      <c r="C1689" s="6" t="s">
        <v>6894</v>
      </c>
      <c r="D1689" s="7">
        <v>81500</v>
      </c>
      <c r="E1689" s="5" t="s">
        <v>48</v>
      </c>
      <c r="F1689" s="5" t="s">
        <v>49</v>
      </c>
      <c r="G1689" s="8"/>
      <c r="H1689" s="8" t="str">
        <f>IF(F1689="Bullet",MIN(G1689,Assumptions!$B$6),"")</f>
        <v/>
      </c>
      <c r="I1689" s="8">
        <v>1</v>
      </c>
      <c r="J1689" s="8">
        <f>IF(F1689="Monthly interest",MAX(0,Assumptions!$B$5-I1689),"")</f>
        <v>2</v>
      </c>
      <c r="K1689" s="7">
        <f t="shared" si="78"/>
        <v>1019</v>
      </c>
      <c r="L1689" s="9">
        <v>46275</v>
      </c>
      <c r="M1689" s="5" t="s">
        <v>50</v>
      </c>
      <c r="N1689" s="5" t="s">
        <v>53</v>
      </c>
      <c r="O1689" s="5" t="s">
        <v>103</v>
      </c>
      <c r="P1689" s="5" t="s">
        <v>70</v>
      </c>
      <c r="Q1689" s="5" t="s">
        <v>54</v>
      </c>
      <c r="R1689" s="5" t="s">
        <v>55</v>
      </c>
      <c r="S1689" s="5" t="s">
        <v>56</v>
      </c>
      <c r="T1689" s="5" t="s">
        <v>63</v>
      </c>
      <c r="U1689" s="5" t="s">
        <v>104</v>
      </c>
      <c r="V1689" s="5" t="s">
        <v>59</v>
      </c>
      <c r="W1689" s="5" t="s">
        <v>60</v>
      </c>
      <c r="X1689" s="5" t="s">
        <v>2867</v>
      </c>
      <c r="Y1689" s="5" t="s">
        <v>6895</v>
      </c>
      <c r="Z1689" s="9">
        <v>46063</v>
      </c>
      <c r="AA1689" s="8">
        <v>24</v>
      </c>
      <c r="AB1689" s="9">
        <f t="shared" si="79"/>
        <v>46793</v>
      </c>
      <c r="AC1689" s="10">
        <v>15</v>
      </c>
      <c r="AD1689" s="7">
        <f t="shared" si="80"/>
        <v>1019</v>
      </c>
      <c r="AE1689" s="7">
        <f>IF(F1689="Bullet",H1689*AD1689,MIN(MAX(I1689,1),Assumptions!$B$6)*AD1689)</f>
        <v>1019</v>
      </c>
      <c r="AF1689" s="8">
        <f>IF(F1689="Bullet",MAX(0,Assumptions!$B$4-AB1689),MAX(0,Assumptions!$B$4-L1689))</f>
        <v>23</v>
      </c>
      <c r="AG1689" s="9">
        <v>46248</v>
      </c>
      <c r="AH1689" s="8">
        <f>IF(AG1689="","",Assumptions!$B$4-AG1689)</f>
        <v>50</v>
      </c>
      <c r="AI1689" s="5" t="s">
        <v>63</v>
      </c>
      <c r="AJ1689" s="8">
        <v>1</v>
      </c>
      <c r="AK1689" s="8">
        <v>0</v>
      </c>
      <c r="AL1689" s="8">
        <v>766</v>
      </c>
      <c r="AM1689" s="8">
        <v>1</v>
      </c>
      <c r="AN1689" s="5" t="s">
        <v>63</v>
      </c>
      <c r="AO1689" s="10">
        <v>75.400000000000006</v>
      </c>
      <c r="AP1689" s="8">
        <v>21</v>
      </c>
      <c r="AQ1689" s="9">
        <v>46277</v>
      </c>
      <c r="AR1689" s="5" t="s">
        <v>51</v>
      </c>
      <c r="AS1689" s="5" t="s">
        <v>81</v>
      </c>
    </row>
    <row r="1690" spans="1:45" x14ac:dyDescent="0.35">
      <c r="A1690" s="5" t="s">
        <v>6896</v>
      </c>
      <c r="B1690" s="5" t="s">
        <v>3087</v>
      </c>
      <c r="C1690" s="6" t="s">
        <v>6897</v>
      </c>
      <c r="D1690" s="7">
        <v>146900</v>
      </c>
      <c r="E1690" s="5" t="s">
        <v>48</v>
      </c>
      <c r="F1690" s="5" t="s">
        <v>68</v>
      </c>
      <c r="G1690" s="8">
        <v>5</v>
      </c>
      <c r="H1690" s="8">
        <f>IF(F1690="Bullet",MIN(G1690,Assumptions!$B$6),"")</f>
        <v>2</v>
      </c>
      <c r="I1690" s="8"/>
      <c r="J1690" s="8" t="str">
        <f>IF(F1690="Monthly interest",MAX(0,Assumptions!$B$5-I1690),"")</f>
        <v/>
      </c>
      <c r="K1690" s="7">
        <f t="shared" si="78"/>
        <v>7345</v>
      </c>
      <c r="L1690" s="9">
        <v>46144</v>
      </c>
      <c r="M1690" s="5" t="s">
        <v>69</v>
      </c>
      <c r="N1690" s="5" t="s">
        <v>53</v>
      </c>
      <c r="O1690" s="5" t="s">
        <v>168</v>
      </c>
      <c r="P1690" s="5" t="s">
        <v>70</v>
      </c>
      <c r="Q1690" s="5" t="s">
        <v>169</v>
      </c>
      <c r="R1690" s="5" t="s">
        <v>170</v>
      </c>
      <c r="S1690" s="5" t="s">
        <v>56</v>
      </c>
      <c r="T1690" s="5" t="s">
        <v>57</v>
      </c>
      <c r="U1690" s="5" t="s">
        <v>58</v>
      </c>
      <c r="V1690" s="5" t="s">
        <v>59</v>
      </c>
      <c r="W1690" s="5" t="s">
        <v>156</v>
      </c>
      <c r="X1690" s="5" t="s">
        <v>2761</v>
      </c>
      <c r="Y1690" s="5" t="s">
        <v>6898</v>
      </c>
      <c r="Z1690" s="9">
        <v>46144</v>
      </c>
      <c r="AA1690" s="8">
        <v>12</v>
      </c>
      <c r="AB1690" s="9">
        <f t="shared" si="79"/>
        <v>46509</v>
      </c>
      <c r="AC1690" s="10">
        <v>12</v>
      </c>
      <c r="AD1690" s="7">
        <f t="shared" si="80"/>
        <v>1469</v>
      </c>
      <c r="AE1690" s="7">
        <f>IF(F1690="Bullet",H1690*AD1690,MIN(MAX(I1690,1),Assumptions!$B$6)*AD1690)</f>
        <v>2938</v>
      </c>
      <c r="AF1690" s="8">
        <f>IF(F1690="Bullet",MAX(0,Assumptions!$B$4-AB1690),MAX(0,Assumptions!$B$4-L1690))</f>
        <v>0</v>
      </c>
      <c r="AG1690" s="9"/>
      <c r="AH1690" s="8" t="str">
        <f>IF(AG1690="","",Assumptions!$B$4-AG1690)</f>
        <v/>
      </c>
      <c r="AI1690" s="5" t="s">
        <v>80</v>
      </c>
      <c r="AJ1690" s="8"/>
      <c r="AK1690" s="8">
        <v>1</v>
      </c>
      <c r="AL1690" s="8">
        <v>728</v>
      </c>
      <c r="AM1690" s="8">
        <v>1</v>
      </c>
      <c r="AN1690" s="5" t="s">
        <v>63</v>
      </c>
      <c r="AO1690" s="10">
        <v>77.900000000000006</v>
      </c>
      <c r="AP1690" s="8">
        <v>42</v>
      </c>
      <c r="AQ1690" s="9">
        <v>46292</v>
      </c>
      <c r="AR1690" s="5" t="s">
        <v>70</v>
      </c>
      <c r="AS1690" s="5" t="s">
        <v>81</v>
      </c>
    </row>
    <row r="1691" spans="1:45" x14ac:dyDescent="0.35">
      <c r="A1691" s="5" t="s">
        <v>6899</v>
      </c>
      <c r="B1691" s="5" t="s">
        <v>3964</v>
      </c>
      <c r="C1691" s="6" t="s">
        <v>6900</v>
      </c>
      <c r="D1691" s="7">
        <v>50200</v>
      </c>
      <c r="E1691" s="5" t="s">
        <v>48</v>
      </c>
      <c r="F1691" s="5" t="s">
        <v>49</v>
      </c>
      <c r="G1691" s="8"/>
      <c r="H1691" s="8" t="str">
        <f>IF(F1691="Bullet",MIN(G1691,Assumptions!$B$6),"")</f>
        <v/>
      </c>
      <c r="I1691" s="8">
        <v>1</v>
      </c>
      <c r="J1691" s="8">
        <f>IF(F1691="Monthly interest",MAX(0,Assumptions!$B$5-I1691),"")</f>
        <v>2</v>
      </c>
      <c r="K1691" s="7">
        <f t="shared" si="78"/>
        <v>920</v>
      </c>
      <c r="L1691" s="9">
        <v>46275</v>
      </c>
      <c r="M1691" s="5" t="s">
        <v>50</v>
      </c>
      <c r="N1691" s="5" t="s">
        <v>51</v>
      </c>
      <c r="O1691" s="5" t="s">
        <v>52</v>
      </c>
      <c r="P1691" s="5" t="s">
        <v>53</v>
      </c>
      <c r="Q1691" s="5" t="s">
        <v>54</v>
      </c>
      <c r="R1691" s="5" t="s">
        <v>55</v>
      </c>
      <c r="S1691" s="5" t="s">
        <v>75</v>
      </c>
      <c r="T1691" s="5" t="s">
        <v>57</v>
      </c>
      <c r="U1691" s="5" t="s">
        <v>86</v>
      </c>
      <c r="V1691" s="5" t="s">
        <v>76</v>
      </c>
      <c r="W1691" s="5" t="s">
        <v>77</v>
      </c>
      <c r="X1691" s="5" t="s">
        <v>260</v>
      </c>
      <c r="Y1691" s="5" t="s">
        <v>6901</v>
      </c>
      <c r="Z1691" s="9">
        <v>46183</v>
      </c>
      <c r="AA1691" s="8">
        <v>12</v>
      </c>
      <c r="AB1691" s="9">
        <f t="shared" si="79"/>
        <v>46548</v>
      </c>
      <c r="AC1691" s="10">
        <v>22</v>
      </c>
      <c r="AD1691" s="7">
        <f t="shared" si="80"/>
        <v>920</v>
      </c>
      <c r="AE1691" s="7">
        <f>IF(F1691="Bullet",H1691*AD1691,MIN(MAX(I1691,1),Assumptions!$B$6)*AD1691)</f>
        <v>920</v>
      </c>
      <c r="AF1691" s="8">
        <f>IF(F1691="Bullet",MAX(0,Assumptions!$B$4-AB1691),MAX(0,Assumptions!$B$4-L1691))</f>
        <v>23</v>
      </c>
      <c r="AG1691" s="9">
        <v>46249</v>
      </c>
      <c r="AH1691" s="8">
        <f>IF(AG1691="","",Assumptions!$B$4-AG1691)</f>
        <v>49</v>
      </c>
      <c r="AI1691" s="5" t="s">
        <v>63</v>
      </c>
      <c r="AJ1691" s="8">
        <v>1</v>
      </c>
      <c r="AK1691" s="8">
        <v>1</v>
      </c>
      <c r="AL1691" s="8" t="s">
        <v>80</v>
      </c>
      <c r="AM1691" s="8">
        <v>0</v>
      </c>
      <c r="AN1691" s="5" t="s">
        <v>63</v>
      </c>
      <c r="AO1691" s="10">
        <v>68.099999999999994</v>
      </c>
      <c r="AP1691" s="8">
        <v>28</v>
      </c>
      <c r="AQ1691" s="9">
        <v>46294</v>
      </c>
      <c r="AR1691" s="5" t="s">
        <v>51</v>
      </c>
      <c r="AS1691" s="5" t="s">
        <v>190</v>
      </c>
    </row>
    <row r="1692" spans="1:45" x14ac:dyDescent="0.35">
      <c r="A1692" s="5" t="s">
        <v>6902</v>
      </c>
      <c r="B1692" s="5" t="s">
        <v>6903</v>
      </c>
      <c r="C1692" s="6" t="s">
        <v>6904</v>
      </c>
      <c r="D1692" s="7">
        <v>53000</v>
      </c>
      <c r="E1692" s="5" t="s">
        <v>48</v>
      </c>
      <c r="F1692" s="5" t="s">
        <v>49</v>
      </c>
      <c r="G1692" s="8"/>
      <c r="H1692" s="8" t="str">
        <f>IF(F1692="Bullet",MIN(G1692,Assumptions!$B$6),"")</f>
        <v/>
      </c>
      <c r="I1692" s="8">
        <v>1</v>
      </c>
      <c r="J1692" s="8">
        <f>IF(F1692="Monthly interest",MAX(0,Assumptions!$B$5-I1692),"")</f>
        <v>2</v>
      </c>
      <c r="K1692" s="7">
        <f t="shared" si="78"/>
        <v>663</v>
      </c>
      <c r="L1692" s="9">
        <v>46291</v>
      </c>
      <c r="M1692" s="5" t="s">
        <v>69</v>
      </c>
      <c r="N1692" s="5" t="s">
        <v>51</v>
      </c>
      <c r="O1692" s="5" t="s">
        <v>52</v>
      </c>
      <c r="P1692" s="5" t="s">
        <v>53</v>
      </c>
      <c r="Q1692" s="5" t="s">
        <v>54</v>
      </c>
      <c r="R1692" s="5" t="s">
        <v>55</v>
      </c>
      <c r="S1692" s="5" t="s">
        <v>85</v>
      </c>
      <c r="T1692" s="5" t="s">
        <v>57</v>
      </c>
      <c r="U1692" s="5" t="s">
        <v>104</v>
      </c>
      <c r="V1692" s="5" t="s">
        <v>87</v>
      </c>
      <c r="W1692" s="5" t="s">
        <v>361</v>
      </c>
      <c r="X1692" s="5" t="s">
        <v>6827</v>
      </c>
      <c r="Y1692" s="5" t="s">
        <v>6905</v>
      </c>
      <c r="Z1692" s="9">
        <v>46229</v>
      </c>
      <c r="AA1692" s="8">
        <v>12</v>
      </c>
      <c r="AB1692" s="9">
        <f t="shared" si="79"/>
        <v>46594</v>
      </c>
      <c r="AC1692" s="10">
        <v>15</v>
      </c>
      <c r="AD1692" s="7">
        <f t="shared" si="80"/>
        <v>663</v>
      </c>
      <c r="AE1692" s="7">
        <f>IF(F1692="Bullet",H1692*AD1692,MIN(MAX(I1692,1),Assumptions!$B$6)*AD1692)</f>
        <v>663</v>
      </c>
      <c r="AF1692" s="8">
        <f>IF(F1692="Bullet",MAX(0,Assumptions!$B$4-AB1692),MAX(0,Assumptions!$B$4-L1692))</f>
        <v>7</v>
      </c>
      <c r="AG1692" s="9">
        <v>46263</v>
      </c>
      <c r="AH1692" s="8">
        <f>IF(AG1692="","",Assumptions!$B$4-AG1692)</f>
        <v>35</v>
      </c>
      <c r="AI1692" s="5" t="s">
        <v>63</v>
      </c>
      <c r="AJ1692" s="8">
        <v>2</v>
      </c>
      <c r="AK1692" s="8">
        <v>0</v>
      </c>
      <c r="AL1692" s="8">
        <v>672</v>
      </c>
      <c r="AM1692" s="8">
        <v>2</v>
      </c>
      <c r="AN1692" s="5" t="s">
        <v>63</v>
      </c>
      <c r="AO1692" s="10">
        <v>76.599999999999994</v>
      </c>
      <c r="AP1692" s="8">
        <v>40</v>
      </c>
      <c r="AQ1692" s="9">
        <v>46277</v>
      </c>
      <c r="AR1692" s="5" t="s">
        <v>51</v>
      </c>
      <c r="AS1692" s="5" t="s">
        <v>64</v>
      </c>
    </row>
    <row r="1693" spans="1:45" x14ac:dyDescent="0.35">
      <c r="A1693" s="5" t="s">
        <v>6906</v>
      </c>
      <c r="B1693" s="5" t="s">
        <v>5047</v>
      </c>
      <c r="C1693" s="6" t="s">
        <v>6907</v>
      </c>
      <c r="D1693" s="7">
        <v>36600</v>
      </c>
      <c r="E1693" s="5" t="s">
        <v>48</v>
      </c>
      <c r="F1693" s="5" t="s">
        <v>49</v>
      </c>
      <c r="G1693" s="8"/>
      <c r="H1693" s="8" t="str">
        <f>IF(F1693="Bullet",MIN(G1693,Assumptions!$B$6),"")</f>
        <v/>
      </c>
      <c r="I1693" s="8">
        <v>2</v>
      </c>
      <c r="J1693" s="8">
        <f>IF(F1693="Monthly interest",MAX(0,Assumptions!$B$5-I1693),"")</f>
        <v>1</v>
      </c>
      <c r="K1693" s="7">
        <f t="shared" si="78"/>
        <v>976</v>
      </c>
      <c r="L1693" s="9">
        <v>46240</v>
      </c>
      <c r="M1693" s="5" t="s">
        <v>116</v>
      </c>
      <c r="N1693" s="5" t="s">
        <v>117</v>
      </c>
      <c r="O1693" s="5" t="s">
        <v>450</v>
      </c>
      <c r="P1693" s="5" t="s">
        <v>72</v>
      </c>
      <c r="Q1693" s="5" t="s">
        <v>154</v>
      </c>
      <c r="R1693" s="5" t="s">
        <v>155</v>
      </c>
      <c r="S1693" s="5" t="s">
        <v>85</v>
      </c>
      <c r="T1693" s="5" t="s">
        <v>57</v>
      </c>
      <c r="U1693" s="5" t="s">
        <v>104</v>
      </c>
      <c r="V1693" s="5" t="s">
        <v>96</v>
      </c>
      <c r="W1693" s="5" t="s">
        <v>819</v>
      </c>
      <c r="X1693" s="5" t="s">
        <v>2076</v>
      </c>
      <c r="Y1693" s="5" t="s">
        <v>6908</v>
      </c>
      <c r="Z1693" s="9">
        <v>46087</v>
      </c>
      <c r="AA1693" s="8">
        <v>12</v>
      </c>
      <c r="AB1693" s="9">
        <f t="shared" si="79"/>
        <v>46452</v>
      </c>
      <c r="AC1693" s="10">
        <v>16</v>
      </c>
      <c r="AD1693" s="7">
        <f t="shared" si="80"/>
        <v>488</v>
      </c>
      <c r="AE1693" s="7">
        <f>IF(F1693="Bullet",H1693*AD1693,MIN(MAX(I1693,1),Assumptions!$B$6)*AD1693)</f>
        <v>976</v>
      </c>
      <c r="AF1693" s="8">
        <f>IF(F1693="Bullet",MAX(0,Assumptions!$B$4-AB1693),MAX(0,Assumptions!$B$4-L1693))</f>
        <v>58</v>
      </c>
      <c r="AG1693" s="9">
        <v>46214</v>
      </c>
      <c r="AH1693" s="8">
        <f>IF(AG1693="","",Assumptions!$B$4-AG1693)</f>
        <v>84</v>
      </c>
      <c r="AI1693" s="5" t="s">
        <v>63</v>
      </c>
      <c r="AJ1693" s="8">
        <v>3</v>
      </c>
      <c r="AK1693" s="8">
        <v>0</v>
      </c>
      <c r="AL1693" s="8">
        <v>767</v>
      </c>
      <c r="AM1693" s="8">
        <v>1</v>
      </c>
      <c r="AN1693" s="5" t="s">
        <v>63</v>
      </c>
      <c r="AO1693" s="10">
        <v>85.4</v>
      </c>
      <c r="AP1693" s="8">
        <v>50</v>
      </c>
      <c r="AQ1693" s="9">
        <v>46274</v>
      </c>
      <c r="AR1693" s="5" t="s">
        <v>51</v>
      </c>
      <c r="AS1693" s="5" t="s">
        <v>274</v>
      </c>
    </row>
    <row r="1694" spans="1:45" x14ac:dyDescent="0.35">
      <c r="A1694" s="5" t="s">
        <v>6909</v>
      </c>
      <c r="B1694" s="5" t="s">
        <v>2386</v>
      </c>
      <c r="C1694" s="6" t="s">
        <v>6910</v>
      </c>
      <c r="D1694" s="7">
        <v>427900</v>
      </c>
      <c r="E1694" s="5" t="s">
        <v>48</v>
      </c>
      <c r="F1694" s="5" t="s">
        <v>49</v>
      </c>
      <c r="G1694" s="8"/>
      <c r="H1694" s="8" t="str">
        <f>IF(F1694="Bullet",MIN(G1694,Assumptions!$B$6),"")</f>
        <v/>
      </c>
      <c r="I1694" s="8">
        <v>1</v>
      </c>
      <c r="J1694" s="8">
        <f>IF(F1694="Monthly interest",MAX(0,Assumptions!$B$5-I1694),"")</f>
        <v>2</v>
      </c>
      <c r="K1694" s="7">
        <f t="shared" si="78"/>
        <v>6419</v>
      </c>
      <c r="L1694" s="9">
        <v>46274</v>
      </c>
      <c r="M1694" s="5" t="s">
        <v>69</v>
      </c>
      <c r="N1694" s="5" t="s">
        <v>53</v>
      </c>
      <c r="O1694" s="5" t="s">
        <v>95</v>
      </c>
      <c r="P1694" s="5" t="s">
        <v>70</v>
      </c>
      <c r="Q1694" s="5" t="s">
        <v>54</v>
      </c>
      <c r="R1694" s="5" t="s">
        <v>55</v>
      </c>
      <c r="S1694" s="5" t="s">
        <v>185</v>
      </c>
      <c r="T1694" s="5" t="s">
        <v>63</v>
      </c>
      <c r="U1694" s="5" t="s">
        <v>104</v>
      </c>
      <c r="V1694" s="5" t="s">
        <v>186</v>
      </c>
      <c r="W1694" s="5" t="s">
        <v>187</v>
      </c>
      <c r="X1694" s="5" t="s">
        <v>1792</v>
      </c>
      <c r="Y1694" s="5" t="s">
        <v>6911</v>
      </c>
      <c r="Z1694" s="9">
        <v>46212</v>
      </c>
      <c r="AA1694" s="8">
        <v>12</v>
      </c>
      <c r="AB1694" s="9">
        <f t="shared" si="79"/>
        <v>46577</v>
      </c>
      <c r="AC1694" s="10">
        <v>18</v>
      </c>
      <c r="AD1694" s="7">
        <f t="shared" si="80"/>
        <v>6419</v>
      </c>
      <c r="AE1694" s="7">
        <f>IF(F1694="Bullet",H1694*AD1694,MIN(MAX(I1694,1),Assumptions!$B$6)*AD1694)</f>
        <v>6419</v>
      </c>
      <c r="AF1694" s="8">
        <f>IF(F1694="Bullet",MAX(0,Assumptions!$B$4-AB1694),MAX(0,Assumptions!$B$4-L1694))</f>
        <v>24</v>
      </c>
      <c r="AG1694" s="9">
        <v>46248</v>
      </c>
      <c r="AH1694" s="8">
        <f>IF(AG1694="","",Assumptions!$B$4-AG1694)</f>
        <v>50</v>
      </c>
      <c r="AI1694" s="5" t="s">
        <v>57</v>
      </c>
      <c r="AJ1694" s="8">
        <v>1</v>
      </c>
      <c r="AK1694" s="8">
        <v>0</v>
      </c>
      <c r="AL1694" s="8" t="s">
        <v>80</v>
      </c>
      <c r="AM1694" s="8">
        <v>1</v>
      </c>
      <c r="AN1694" s="5" t="s">
        <v>63</v>
      </c>
      <c r="AO1694" s="10">
        <v>59.4</v>
      </c>
      <c r="AP1694" s="8">
        <v>31</v>
      </c>
      <c r="AQ1694" s="9">
        <v>46288</v>
      </c>
      <c r="AR1694" s="5" t="s">
        <v>51</v>
      </c>
      <c r="AS1694" s="5" t="s">
        <v>64</v>
      </c>
    </row>
    <row r="1695" spans="1:45" x14ac:dyDescent="0.35">
      <c r="A1695" s="5" t="s">
        <v>6912</v>
      </c>
      <c r="B1695" s="5" t="s">
        <v>6913</v>
      </c>
      <c r="C1695" s="6" t="s">
        <v>6914</v>
      </c>
      <c r="D1695" s="7">
        <v>81700</v>
      </c>
      <c r="E1695" s="5" t="s">
        <v>48</v>
      </c>
      <c r="F1695" s="5" t="s">
        <v>68</v>
      </c>
      <c r="G1695" s="8">
        <v>2</v>
      </c>
      <c r="H1695" s="8">
        <f>IF(F1695="Bullet",MIN(G1695,Assumptions!$B$6),"")</f>
        <v>2</v>
      </c>
      <c r="I1695" s="8"/>
      <c r="J1695" s="8" t="str">
        <f>IF(F1695="Monthly interest",MAX(0,Assumptions!$B$5-I1695),"")</f>
        <v/>
      </c>
      <c r="K1695" s="7">
        <f t="shared" si="78"/>
        <v>2042</v>
      </c>
      <c r="L1695" s="9">
        <v>46222</v>
      </c>
      <c r="M1695" s="5" t="s">
        <v>69</v>
      </c>
      <c r="N1695" s="5" t="s">
        <v>53</v>
      </c>
      <c r="O1695" s="5" t="s">
        <v>71</v>
      </c>
      <c r="P1695" s="5" t="s">
        <v>70</v>
      </c>
      <c r="Q1695" s="5" t="s">
        <v>73</v>
      </c>
      <c r="R1695" s="5" t="s">
        <v>74</v>
      </c>
      <c r="S1695" s="5" t="s">
        <v>56</v>
      </c>
      <c r="T1695" s="5" t="s">
        <v>57</v>
      </c>
      <c r="U1695" s="5" t="s">
        <v>86</v>
      </c>
      <c r="V1695" s="5" t="s">
        <v>59</v>
      </c>
      <c r="W1695" s="5" t="s">
        <v>194</v>
      </c>
      <c r="X1695" s="5" t="s">
        <v>248</v>
      </c>
      <c r="Y1695" s="5" t="s">
        <v>6915</v>
      </c>
      <c r="Z1695" s="9">
        <v>46222</v>
      </c>
      <c r="AA1695" s="8">
        <v>3</v>
      </c>
      <c r="AB1695" s="9">
        <f t="shared" si="79"/>
        <v>46314</v>
      </c>
      <c r="AC1695" s="10">
        <v>15</v>
      </c>
      <c r="AD1695" s="7">
        <f t="shared" si="80"/>
        <v>1021</v>
      </c>
      <c r="AE1695" s="7">
        <f>IF(F1695="Bullet",H1695*AD1695,MIN(MAX(I1695,1),Assumptions!$B$6)*AD1695)</f>
        <v>2042</v>
      </c>
      <c r="AF1695" s="8">
        <f>IF(F1695="Bullet",MAX(0,Assumptions!$B$4-AB1695),MAX(0,Assumptions!$B$4-L1695))</f>
        <v>0</v>
      </c>
      <c r="AG1695" s="9"/>
      <c r="AH1695" s="8" t="str">
        <f>IF(AG1695="","",Assumptions!$B$4-AG1695)</f>
        <v/>
      </c>
      <c r="AI1695" s="5" t="s">
        <v>80</v>
      </c>
      <c r="AJ1695" s="8"/>
      <c r="AK1695" s="8">
        <v>2</v>
      </c>
      <c r="AL1695" s="8">
        <v>663</v>
      </c>
      <c r="AM1695" s="8">
        <v>0</v>
      </c>
      <c r="AN1695" s="5" t="s">
        <v>63</v>
      </c>
      <c r="AO1695" s="10">
        <v>67.400000000000006</v>
      </c>
      <c r="AP1695" s="8">
        <v>36</v>
      </c>
      <c r="AQ1695" s="9">
        <v>46292</v>
      </c>
      <c r="AR1695" s="5" t="s">
        <v>51</v>
      </c>
      <c r="AS1695" s="5" t="s">
        <v>81</v>
      </c>
    </row>
    <row r="1696" spans="1:45" x14ac:dyDescent="0.35">
      <c r="A1696" s="5" t="s">
        <v>6916</v>
      </c>
      <c r="B1696" s="5" t="s">
        <v>4489</v>
      </c>
      <c r="C1696" s="6" t="s">
        <v>6917</v>
      </c>
      <c r="D1696" s="7">
        <v>115300</v>
      </c>
      <c r="E1696" s="5" t="s">
        <v>48</v>
      </c>
      <c r="F1696" s="5" t="s">
        <v>49</v>
      </c>
      <c r="G1696" s="8"/>
      <c r="H1696" s="8" t="str">
        <f>IF(F1696="Bullet",MIN(G1696,Assumptions!$B$6),"")</f>
        <v/>
      </c>
      <c r="I1696" s="8">
        <v>1</v>
      </c>
      <c r="J1696" s="8">
        <f>IF(F1696="Monthly interest",MAX(0,Assumptions!$B$5-I1696),"")</f>
        <v>2</v>
      </c>
      <c r="K1696" s="7">
        <f t="shared" si="78"/>
        <v>1922</v>
      </c>
      <c r="L1696" s="9">
        <v>46287</v>
      </c>
      <c r="M1696" s="5" t="s">
        <v>69</v>
      </c>
      <c r="N1696" s="5" t="s">
        <v>53</v>
      </c>
      <c r="O1696" s="5" t="s">
        <v>132</v>
      </c>
      <c r="P1696" s="5" t="s">
        <v>70</v>
      </c>
      <c r="Q1696" s="5" t="s">
        <v>54</v>
      </c>
      <c r="R1696" s="5" t="s">
        <v>55</v>
      </c>
      <c r="S1696" s="5" t="s">
        <v>185</v>
      </c>
      <c r="T1696" s="5" t="s">
        <v>57</v>
      </c>
      <c r="U1696" s="5" t="s">
        <v>86</v>
      </c>
      <c r="V1696" s="5" t="s">
        <v>200</v>
      </c>
      <c r="W1696" s="5" t="s">
        <v>500</v>
      </c>
      <c r="X1696" s="5" t="s">
        <v>1495</v>
      </c>
      <c r="Y1696" s="5" t="s">
        <v>6918</v>
      </c>
      <c r="Z1696" s="9">
        <v>46134</v>
      </c>
      <c r="AA1696" s="8">
        <v>18</v>
      </c>
      <c r="AB1696" s="9">
        <f t="shared" si="79"/>
        <v>46682</v>
      </c>
      <c r="AC1696" s="10">
        <v>20</v>
      </c>
      <c r="AD1696" s="7">
        <f t="shared" si="80"/>
        <v>1922</v>
      </c>
      <c r="AE1696" s="7">
        <f>IF(F1696="Bullet",H1696*AD1696,MIN(MAX(I1696,1),Assumptions!$B$6)*AD1696)</f>
        <v>1922</v>
      </c>
      <c r="AF1696" s="8">
        <f>IF(F1696="Bullet",MAX(0,Assumptions!$B$4-AB1696),MAX(0,Assumptions!$B$4-L1696))</f>
        <v>11</v>
      </c>
      <c r="AG1696" s="9">
        <v>46260</v>
      </c>
      <c r="AH1696" s="8">
        <f>IF(AG1696="","",Assumptions!$B$4-AG1696)</f>
        <v>38</v>
      </c>
      <c r="AI1696" s="5" t="s">
        <v>57</v>
      </c>
      <c r="AJ1696" s="8">
        <v>2</v>
      </c>
      <c r="AK1696" s="8">
        <v>0</v>
      </c>
      <c r="AL1696" s="8" t="s">
        <v>80</v>
      </c>
      <c r="AM1696" s="8">
        <v>1</v>
      </c>
      <c r="AN1696" s="5" t="s">
        <v>63</v>
      </c>
      <c r="AO1696" s="10">
        <v>79.400000000000006</v>
      </c>
      <c r="AP1696" s="8">
        <v>43</v>
      </c>
      <c r="AQ1696" s="9">
        <v>46282</v>
      </c>
      <c r="AR1696" s="5" t="s">
        <v>51</v>
      </c>
      <c r="AS1696" s="5" t="s">
        <v>91</v>
      </c>
    </row>
    <row r="1697" spans="1:45" x14ac:dyDescent="0.35">
      <c r="A1697" s="5" t="s">
        <v>6919</v>
      </c>
      <c r="B1697" s="5" t="s">
        <v>3557</v>
      </c>
      <c r="C1697" s="6" t="s">
        <v>6920</v>
      </c>
      <c r="D1697" s="7">
        <v>57100</v>
      </c>
      <c r="E1697" s="5" t="s">
        <v>48</v>
      </c>
      <c r="F1697" s="5" t="s">
        <v>49</v>
      </c>
      <c r="G1697" s="8"/>
      <c r="H1697" s="8" t="str">
        <f>IF(F1697="Bullet",MIN(G1697,Assumptions!$B$6),"")</f>
        <v/>
      </c>
      <c r="I1697" s="8">
        <v>2</v>
      </c>
      <c r="J1697" s="8">
        <f>IF(F1697="Monthly interest",MAX(0,Assumptions!$B$5-I1697),"")</f>
        <v>1</v>
      </c>
      <c r="K1697" s="7">
        <f t="shared" si="78"/>
        <v>1428</v>
      </c>
      <c r="L1697" s="9">
        <v>46241</v>
      </c>
      <c r="M1697" s="5" t="s">
        <v>116</v>
      </c>
      <c r="N1697" s="5" t="s">
        <v>117</v>
      </c>
      <c r="O1697" s="5" t="s">
        <v>118</v>
      </c>
      <c r="P1697" s="5" t="s">
        <v>72</v>
      </c>
      <c r="Q1697" s="5" t="s">
        <v>119</v>
      </c>
      <c r="R1697" s="5" t="s">
        <v>120</v>
      </c>
      <c r="S1697" s="5" t="s">
        <v>56</v>
      </c>
      <c r="T1697" s="5" t="s">
        <v>57</v>
      </c>
      <c r="U1697" s="5" t="s">
        <v>86</v>
      </c>
      <c r="V1697" s="5" t="s">
        <v>59</v>
      </c>
      <c r="W1697" s="5" t="s">
        <v>126</v>
      </c>
      <c r="X1697" s="5" t="s">
        <v>2383</v>
      </c>
      <c r="Y1697" s="5" t="s">
        <v>6921</v>
      </c>
      <c r="Z1697" s="9">
        <v>46088</v>
      </c>
      <c r="AA1697" s="8">
        <v>18</v>
      </c>
      <c r="AB1697" s="9">
        <f t="shared" si="79"/>
        <v>46637</v>
      </c>
      <c r="AC1697" s="10">
        <v>15</v>
      </c>
      <c r="AD1697" s="7">
        <f t="shared" si="80"/>
        <v>714</v>
      </c>
      <c r="AE1697" s="7">
        <f>IF(F1697="Bullet",H1697*AD1697,MIN(MAX(I1697,1),Assumptions!$B$6)*AD1697)</f>
        <v>1428</v>
      </c>
      <c r="AF1697" s="8">
        <f>IF(F1697="Bullet",MAX(0,Assumptions!$B$4-AB1697),MAX(0,Assumptions!$B$4-L1697))</f>
        <v>57</v>
      </c>
      <c r="AG1697" s="9">
        <v>46215</v>
      </c>
      <c r="AH1697" s="8">
        <f>IF(AG1697="","",Assumptions!$B$4-AG1697)</f>
        <v>83</v>
      </c>
      <c r="AI1697" s="5" t="s">
        <v>57</v>
      </c>
      <c r="AJ1697" s="8">
        <v>3</v>
      </c>
      <c r="AK1697" s="8">
        <v>1</v>
      </c>
      <c r="AL1697" s="8">
        <v>616</v>
      </c>
      <c r="AM1697" s="8">
        <v>2</v>
      </c>
      <c r="AN1697" s="5" t="s">
        <v>63</v>
      </c>
      <c r="AO1697" s="10">
        <v>73.3</v>
      </c>
      <c r="AP1697" s="8">
        <v>58</v>
      </c>
      <c r="AQ1697" s="9">
        <v>46292</v>
      </c>
      <c r="AR1697" s="5" t="s">
        <v>53</v>
      </c>
      <c r="AS1697" s="5" t="s">
        <v>64</v>
      </c>
    </row>
    <row r="1698" spans="1:45" x14ac:dyDescent="0.35">
      <c r="A1698" s="5" t="s">
        <v>6922</v>
      </c>
      <c r="B1698" s="5" t="s">
        <v>6498</v>
      </c>
      <c r="C1698" s="6" t="s">
        <v>6923</v>
      </c>
      <c r="D1698" s="7">
        <v>61900</v>
      </c>
      <c r="E1698" s="5" t="s">
        <v>48</v>
      </c>
      <c r="F1698" s="5" t="s">
        <v>49</v>
      </c>
      <c r="G1698" s="8"/>
      <c r="H1698" s="8" t="str">
        <f>IF(F1698="Bullet",MIN(G1698,Assumptions!$B$6),"")</f>
        <v/>
      </c>
      <c r="I1698" s="8">
        <v>1</v>
      </c>
      <c r="J1698" s="8">
        <f>IF(F1698="Monthly interest",MAX(0,Assumptions!$B$5-I1698),"")</f>
        <v>2</v>
      </c>
      <c r="K1698" s="7">
        <f t="shared" si="78"/>
        <v>1238</v>
      </c>
      <c r="L1698" s="9">
        <v>46288</v>
      </c>
      <c r="M1698" s="5" t="s">
        <v>69</v>
      </c>
      <c r="N1698" s="5" t="s">
        <v>53</v>
      </c>
      <c r="O1698" s="5" t="s">
        <v>103</v>
      </c>
      <c r="P1698" s="5" t="s">
        <v>70</v>
      </c>
      <c r="Q1698" s="5" t="s">
        <v>54</v>
      </c>
      <c r="R1698" s="5" t="s">
        <v>55</v>
      </c>
      <c r="S1698" s="5" t="s">
        <v>214</v>
      </c>
      <c r="T1698" s="5" t="s">
        <v>57</v>
      </c>
      <c r="U1698" s="5" t="s">
        <v>58</v>
      </c>
      <c r="V1698" s="5" t="s">
        <v>215</v>
      </c>
      <c r="W1698" s="5" t="s">
        <v>232</v>
      </c>
      <c r="X1698" s="5" t="s">
        <v>3503</v>
      </c>
      <c r="Y1698" s="5" t="s">
        <v>6924</v>
      </c>
      <c r="Z1698" s="9">
        <v>46226</v>
      </c>
      <c r="AA1698" s="8">
        <v>12</v>
      </c>
      <c r="AB1698" s="9">
        <f t="shared" si="79"/>
        <v>46591</v>
      </c>
      <c r="AC1698" s="10">
        <v>24</v>
      </c>
      <c r="AD1698" s="7">
        <f t="shared" si="80"/>
        <v>1238</v>
      </c>
      <c r="AE1698" s="7">
        <f>IF(F1698="Bullet",H1698*AD1698,MIN(MAX(I1698,1),Assumptions!$B$6)*AD1698)</f>
        <v>1238</v>
      </c>
      <c r="AF1698" s="8">
        <f>IF(F1698="Bullet",MAX(0,Assumptions!$B$4-AB1698),MAX(0,Assumptions!$B$4-L1698))</f>
        <v>10</v>
      </c>
      <c r="AG1698" s="9">
        <v>46259</v>
      </c>
      <c r="AH1698" s="8">
        <f>IF(AG1698="","",Assumptions!$B$4-AG1698)</f>
        <v>39</v>
      </c>
      <c r="AI1698" s="5" t="s">
        <v>63</v>
      </c>
      <c r="AJ1698" s="8">
        <v>2</v>
      </c>
      <c r="AK1698" s="8">
        <v>0</v>
      </c>
      <c r="AL1698" s="8">
        <v>630</v>
      </c>
      <c r="AM1698" s="8">
        <v>1</v>
      </c>
      <c r="AN1698" s="5" t="s">
        <v>63</v>
      </c>
      <c r="AO1698" s="10">
        <v>59.4</v>
      </c>
      <c r="AP1698" s="8">
        <v>42</v>
      </c>
      <c r="AQ1698" s="9">
        <v>46282</v>
      </c>
      <c r="AR1698" s="5" t="s">
        <v>51</v>
      </c>
      <c r="AS1698" s="5" t="s">
        <v>81</v>
      </c>
    </row>
    <row r="1699" spans="1:45" x14ac:dyDescent="0.35">
      <c r="A1699" s="5" t="s">
        <v>6925</v>
      </c>
      <c r="B1699" s="5" t="s">
        <v>2624</v>
      </c>
      <c r="C1699" s="6" t="s">
        <v>6926</v>
      </c>
      <c r="D1699" s="7">
        <v>218400</v>
      </c>
      <c r="E1699" s="5" t="s">
        <v>48</v>
      </c>
      <c r="F1699" s="5" t="s">
        <v>49</v>
      </c>
      <c r="G1699" s="8"/>
      <c r="H1699" s="8" t="str">
        <f>IF(F1699="Bullet",MIN(G1699,Assumptions!$B$6),"")</f>
        <v/>
      </c>
      <c r="I1699" s="8">
        <v>1</v>
      </c>
      <c r="J1699" s="8">
        <f>IF(F1699="Monthly interest",MAX(0,Assumptions!$B$5-I1699),"")</f>
        <v>2</v>
      </c>
      <c r="K1699" s="7">
        <f t="shared" si="78"/>
        <v>2912</v>
      </c>
      <c r="L1699" s="9">
        <v>46290</v>
      </c>
      <c r="M1699" s="5" t="s">
        <v>50</v>
      </c>
      <c r="N1699" s="5" t="s">
        <v>51</v>
      </c>
      <c r="O1699" s="5" t="s">
        <v>52</v>
      </c>
      <c r="P1699" s="5" t="s">
        <v>53</v>
      </c>
      <c r="Q1699" s="5" t="s">
        <v>54</v>
      </c>
      <c r="R1699" s="5" t="s">
        <v>55</v>
      </c>
      <c r="S1699" s="5" t="s">
        <v>56</v>
      </c>
      <c r="T1699" s="5" t="s">
        <v>57</v>
      </c>
      <c r="U1699" s="5" t="s">
        <v>86</v>
      </c>
      <c r="V1699" s="5" t="s">
        <v>59</v>
      </c>
      <c r="W1699" s="5" t="s">
        <v>126</v>
      </c>
      <c r="X1699" s="5" t="s">
        <v>4836</v>
      </c>
      <c r="Y1699" s="5" t="s">
        <v>6927</v>
      </c>
      <c r="Z1699" s="9">
        <v>46047</v>
      </c>
      <c r="AA1699" s="8">
        <v>12</v>
      </c>
      <c r="AB1699" s="9">
        <f t="shared" si="79"/>
        <v>46412</v>
      </c>
      <c r="AC1699" s="10">
        <v>16</v>
      </c>
      <c r="AD1699" s="7">
        <f t="shared" si="80"/>
        <v>2912</v>
      </c>
      <c r="AE1699" s="7">
        <f>IF(F1699="Bullet",H1699*AD1699,MIN(MAX(I1699,1),Assumptions!$B$6)*AD1699)</f>
        <v>2912</v>
      </c>
      <c r="AF1699" s="8">
        <f>IF(F1699="Bullet",MAX(0,Assumptions!$B$4-AB1699),MAX(0,Assumptions!$B$4-L1699))</f>
        <v>8</v>
      </c>
      <c r="AG1699" s="9">
        <v>46259</v>
      </c>
      <c r="AH1699" s="8">
        <f>IF(AG1699="","",Assumptions!$B$4-AG1699)</f>
        <v>39</v>
      </c>
      <c r="AI1699" s="5" t="s">
        <v>57</v>
      </c>
      <c r="AJ1699" s="8">
        <v>1</v>
      </c>
      <c r="AK1699" s="8">
        <v>0</v>
      </c>
      <c r="AL1699" s="8">
        <v>717</v>
      </c>
      <c r="AM1699" s="8">
        <v>2</v>
      </c>
      <c r="AN1699" s="5" t="s">
        <v>63</v>
      </c>
      <c r="AO1699" s="10">
        <v>56.6</v>
      </c>
      <c r="AP1699" s="8">
        <v>28</v>
      </c>
      <c r="AQ1699" s="9">
        <v>46290</v>
      </c>
      <c r="AR1699" s="5" t="s">
        <v>53</v>
      </c>
      <c r="AS1699" s="5" t="s">
        <v>181</v>
      </c>
    </row>
    <row r="1700" spans="1:45" x14ac:dyDescent="0.35">
      <c r="A1700" s="5" t="s">
        <v>6928</v>
      </c>
      <c r="B1700" s="5" t="s">
        <v>6487</v>
      </c>
      <c r="C1700" s="6" t="s">
        <v>6929</v>
      </c>
      <c r="D1700" s="7">
        <v>19000</v>
      </c>
      <c r="E1700" s="5" t="s">
        <v>48</v>
      </c>
      <c r="F1700" s="5" t="s">
        <v>49</v>
      </c>
      <c r="G1700" s="8"/>
      <c r="H1700" s="8" t="str">
        <f>IF(F1700="Bullet",MIN(G1700,Assumptions!$B$6),"")</f>
        <v/>
      </c>
      <c r="I1700" s="8">
        <v>2</v>
      </c>
      <c r="J1700" s="8">
        <f>IF(F1700="Monthly interest",MAX(0,Assumptions!$B$5-I1700),"")</f>
        <v>1</v>
      </c>
      <c r="K1700" s="7">
        <f t="shared" si="78"/>
        <v>696</v>
      </c>
      <c r="L1700" s="9">
        <v>46244</v>
      </c>
      <c r="M1700" s="5" t="s">
        <v>116</v>
      </c>
      <c r="N1700" s="5" t="s">
        <v>117</v>
      </c>
      <c r="O1700" s="5" t="s">
        <v>450</v>
      </c>
      <c r="P1700" s="5" t="s">
        <v>72</v>
      </c>
      <c r="Q1700" s="5" t="s">
        <v>154</v>
      </c>
      <c r="R1700" s="5" t="s">
        <v>155</v>
      </c>
      <c r="S1700" s="5" t="s">
        <v>85</v>
      </c>
      <c r="T1700" s="5" t="s">
        <v>57</v>
      </c>
      <c r="U1700" s="5" t="s">
        <v>104</v>
      </c>
      <c r="V1700" s="5" t="s">
        <v>133</v>
      </c>
      <c r="W1700" s="5" t="s">
        <v>594</v>
      </c>
      <c r="X1700" s="5" t="s">
        <v>4734</v>
      </c>
      <c r="Y1700" s="5" t="s">
        <v>6930</v>
      </c>
      <c r="Z1700" s="9">
        <v>46122</v>
      </c>
      <c r="AA1700" s="8">
        <v>12</v>
      </c>
      <c r="AB1700" s="9">
        <f t="shared" si="79"/>
        <v>46487</v>
      </c>
      <c r="AC1700" s="10">
        <v>22</v>
      </c>
      <c r="AD1700" s="7">
        <f t="shared" si="80"/>
        <v>348</v>
      </c>
      <c r="AE1700" s="7">
        <f>IF(F1700="Bullet",H1700*AD1700,MIN(MAX(I1700,1),Assumptions!$B$6)*AD1700)</f>
        <v>696</v>
      </c>
      <c r="AF1700" s="8">
        <f>IF(F1700="Bullet",MAX(0,Assumptions!$B$4-AB1700),MAX(0,Assumptions!$B$4-L1700))</f>
        <v>54</v>
      </c>
      <c r="AG1700" s="9">
        <v>46213</v>
      </c>
      <c r="AH1700" s="8">
        <f>IF(AG1700="","",Assumptions!$B$4-AG1700)</f>
        <v>85</v>
      </c>
      <c r="AI1700" s="5" t="s">
        <v>57</v>
      </c>
      <c r="AJ1700" s="8">
        <v>4</v>
      </c>
      <c r="AK1700" s="8">
        <v>0</v>
      </c>
      <c r="AL1700" s="8" t="s">
        <v>80</v>
      </c>
      <c r="AM1700" s="8">
        <v>1</v>
      </c>
      <c r="AN1700" s="5" t="s">
        <v>63</v>
      </c>
      <c r="AO1700" s="10">
        <v>66.599999999999994</v>
      </c>
      <c r="AP1700" s="8">
        <v>52</v>
      </c>
      <c r="AQ1700" s="9">
        <v>46288</v>
      </c>
      <c r="AR1700" s="5" t="s">
        <v>70</v>
      </c>
      <c r="AS1700" s="5" t="s">
        <v>91</v>
      </c>
    </row>
    <row r="1701" spans="1:45" x14ac:dyDescent="0.35">
      <c r="A1701" s="5" t="s">
        <v>6931</v>
      </c>
      <c r="B1701" s="5" t="s">
        <v>288</v>
      </c>
      <c r="C1701" s="6" t="s">
        <v>6932</v>
      </c>
      <c r="D1701" s="7">
        <v>183300</v>
      </c>
      <c r="E1701" s="5" t="s">
        <v>48</v>
      </c>
      <c r="F1701" s="5" t="s">
        <v>49</v>
      </c>
      <c r="G1701" s="8"/>
      <c r="H1701" s="8" t="str">
        <f>IF(F1701="Bullet",MIN(G1701,Assumptions!$B$6),"")</f>
        <v/>
      </c>
      <c r="I1701" s="8">
        <v>2</v>
      </c>
      <c r="J1701" s="8">
        <f>IF(F1701="Monthly interest",MAX(0,Assumptions!$B$5-I1701),"")</f>
        <v>1</v>
      </c>
      <c r="K1701" s="7">
        <f t="shared" si="78"/>
        <v>6110</v>
      </c>
      <c r="L1701" s="9">
        <v>46246</v>
      </c>
      <c r="M1701" s="5" t="s">
        <v>69</v>
      </c>
      <c r="N1701" s="5" t="s">
        <v>53</v>
      </c>
      <c r="O1701" s="5" t="s">
        <v>71</v>
      </c>
      <c r="P1701" s="5" t="s">
        <v>70</v>
      </c>
      <c r="Q1701" s="5" t="s">
        <v>73</v>
      </c>
      <c r="R1701" s="5" t="s">
        <v>74</v>
      </c>
      <c r="S1701" s="5" t="s">
        <v>185</v>
      </c>
      <c r="T1701" s="5" t="s">
        <v>57</v>
      </c>
      <c r="U1701" s="5" t="s">
        <v>86</v>
      </c>
      <c r="V1701" s="5" t="s">
        <v>186</v>
      </c>
      <c r="W1701" s="5" t="s">
        <v>187</v>
      </c>
      <c r="X1701" s="5" t="s">
        <v>481</v>
      </c>
      <c r="Y1701" s="5" t="s">
        <v>6933</v>
      </c>
      <c r="Z1701" s="9">
        <v>46124</v>
      </c>
      <c r="AA1701" s="8">
        <v>12</v>
      </c>
      <c r="AB1701" s="9">
        <f t="shared" si="79"/>
        <v>46489</v>
      </c>
      <c r="AC1701" s="10">
        <v>20</v>
      </c>
      <c r="AD1701" s="7">
        <f t="shared" si="80"/>
        <v>3055</v>
      </c>
      <c r="AE1701" s="7">
        <f>IF(F1701="Bullet",H1701*AD1701,MIN(MAX(I1701,1),Assumptions!$B$6)*AD1701)</f>
        <v>6110</v>
      </c>
      <c r="AF1701" s="8">
        <f>IF(F1701="Bullet",MAX(0,Assumptions!$B$4-AB1701),MAX(0,Assumptions!$B$4-L1701))</f>
        <v>52</v>
      </c>
      <c r="AG1701" s="9">
        <v>46218</v>
      </c>
      <c r="AH1701" s="8">
        <f>IF(AG1701="","",Assumptions!$B$4-AG1701)</f>
        <v>80</v>
      </c>
      <c r="AI1701" s="5" t="s">
        <v>63</v>
      </c>
      <c r="AJ1701" s="8">
        <v>4</v>
      </c>
      <c r="AK1701" s="8">
        <v>1</v>
      </c>
      <c r="AL1701" s="8">
        <v>722</v>
      </c>
      <c r="AM1701" s="8">
        <v>0</v>
      </c>
      <c r="AN1701" s="5" t="s">
        <v>63</v>
      </c>
      <c r="AO1701" s="10">
        <v>54.5</v>
      </c>
      <c r="AP1701" s="8">
        <v>47</v>
      </c>
      <c r="AQ1701" s="9"/>
      <c r="AR1701" s="5"/>
      <c r="AS1701" s="5" t="s">
        <v>159</v>
      </c>
    </row>
    <row r="1702" spans="1:45" x14ac:dyDescent="0.35">
      <c r="A1702" s="5" t="s">
        <v>6934</v>
      </c>
      <c r="B1702" s="5" t="s">
        <v>4573</v>
      </c>
      <c r="C1702" s="6" t="s">
        <v>6935</v>
      </c>
      <c r="D1702" s="7">
        <v>239400</v>
      </c>
      <c r="E1702" s="5" t="s">
        <v>48</v>
      </c>
      <c r="F1702" s="5" t="s">
        <v>68</v>
      </c>
      <c r="G1702" s="8">
        <v>6</v>
      </c>
      <c r="H1702" s="8">
        <f>IF(F1702="Bullet",MIN(G1702,Assumptions!$B$6),"")</f>
        <v>2</v>
      </c>
      <c r="I1702" s="8"/>
      <c r="J1702" s="8" t="str">
        <f>IF(F1702="Monthly interest",MAX(0,Assumptions!$B$5-I1702),"")</f>
        <v/>
      </c>
      <c r="K1702" s="7">
        <f t="shared" si="78"/>
        <v>19152</v>
      </c>
      <c r="L1702" s="9">
        <v>46098</v>
      </c>
      <c r="M1702" s="5" t="s">
        <v>116</v>
      </c>
      <c r="N1702" s="5" t="s">
        <v>117</v>
      </c>
      <c r="O1702" s="5" t="s">
        <v>461</v>
      </c>
      <c r="P1702" s="5" t="s">
        <v>72</v>
      </c>
      <c r="Q1702" s="5" t="s">
        <v>169</v>
      </c>
      <c r="R1702" s="5" t="s">
        <v>170</v>
      </c>
      <c r="S1702" s="5" t="s">
        <v>75</v>
      </c>
      <c r="T1702" s="5" t="s">
        <v>57</v>
      </c>
      <c r="U1702" s="5" t="s">
        <v>104</v>
      </c>
      <c r="V1702" s="5" t="s">
        <v>76</v>
      </c>
      <c r="W1702" s="5" t="s">
        <v>306</v>
      </c>
      <c r="X1702" s="5" t="s">
        <v>6936</v>
      </c>
      <c r="Y1702" s="5" t="s">
        <v>6937</v>
      </c>
      <c r="Z1702" s="9">
        <v>46098</v>
      </c>
      <c r="AA1702" s="8">
        <v>6</v>
      </c>
      <c r="AB1702" s="9">
        <f t="shared" si="79"/>
        <v>46282</v>
      </c>
      <c r="AC1702" s="10">
        <v>16</v>
      </c>
      <c r="AD1702" s="7">
        <f t="shared" si="80"/>
        <v>3192</v>
      </c>
      <c r="AE1702" s="7">
        <f>IF(F1702="Bullet",H1702*AD1702,MIN(MAX(I1702,1),Assumptions!$B$6)*AD1702)</f>
        <v>6384</v>
      </c>
      <c r="AF1702" s="8">
        <f>IF(F1702="Bullet",MAX(0,Assumptions!$B$4-AB1702),MAX(0,Assumptions!$B$4-L1702))</f>
        <v>16</v>
      </c>
      <c r="AG1702" s="9"/>
      <c r="AH1702" s="8" t="str">
        <f>IF(AG1702="","",Assumptions!$B$4-AG1702)</f>
        <v/>
      </c>
      <c r="AI1702" s="5" t="s">
        <v>80</v>
      </c>
      <c r="AJ1702" s="8"/>
      <c r="AK1702" s="8">
        <v>0</v>
      </c>
      <c r="AL1702" s="8">
        <v>567</v>
      </c>
      <c r="AM1702" s="8">
        <v>1</v>
      </c>
      <c r="AN1702" s="5" t="s">
        <v>63</v>
      </c>
      <c r="AO1702" s="10">
        <v>66.2</v>
      </c>
      <c r="AP1702" s="8">
        <v>72</v>
      </c>
      <c r="AQ1702" s="9">
        <v>46287</v>
      </c>
      <c r="AR1702" s="5" t="s">
        <v>53</v>
      </c>
      <c r="AS1702" s="5" t="s">
        <v>91</v>
      </c>
    </row>
    <row r="1703" spans="1:45" x14ac:dyDescent="0.35">
      <c r="A1703" s="5" t="s">
        <v>6938</v>
      </c>
      <c r="B1703" s="5" t="s">
        <v>3474</v>
      </c>
      <c r="C1703" s="6" t="s">
        <v>6939</v>
      </c>
      <c r="D1703" s="7">
        <v>727900</v>
      </c>
      <c r="E1703" s="5" t="s">
        <v>48</v>
      </c>
      <c r="F1703" s="5" t="s">
        <v>49</v>
      </c>
      <c r="G1703" s="8"/>
      <c r="H1703" s="8" t="str">
        <f>IF(F1703="Bullet",MIN(G1703,Assumptions!$B$6),"")</f>
        <v/>
      </c>
      <c r="I1703" s="8">
        <v>2</v>
      </c>
      <c r="J1703" s="8">
        <f>IF(F1703="Monthly interest",MAX(0,Assumptions!$B$5-I1703),"")</f>
        <v>1</v>
      </c>
      <c r="K1703" s="7">
        <f t="shared" si="78"/>
        <v>19410</v>
      </c>
      <c r="L1703" s="9">
        <v>46239</v>
      </c>
      <c r="M1703" s="5" t="s">
        <v>116</v>
      </c>
      <c r="N1703" s="5" t="s">
        <v>117</v>
      </c>
      <c r="O1703" s="5" t="s">
        <v>118</v>
      </c>
      <c r="P1703" s="5" t="s">
        <v>72</v>
      </c>
      <c r="Q1703" s="5" t="s">
        <v>119</v>
      </c>
      <c r="R1703" s="5" t="s">
        <v>120</v>
      </c>
      <c r="S1703" s="5" t="s">
        <v>185</v>
      </c>
      <c r="T1703" s="5" t="s">
        <v>57</v>
      </c>
      <c r="U1703" s="5" t="s">
        <v>86</v>
      </c>
      <c r="V1703" s="5" t="s">
        <v>200</v>
      </c>
      <c r="W1703" s="5" t="s">
        <v>767</v>
      </c>
      <c r="X1703" s="5" t="s">
        <v>3459</v>
      </c>
      <c r="Y1703" s="5" t="s">
        <v>6940</v>
      </c>
      <c r="Z1703" s="9">
        <v>46086</v>
      </c>
      <c r="AA1703" s="8">
        <v>24</v>
      </c>
      <c r="AB1703" s="9">
        <f t="shared" si="79"/>
        <v>46817</v>
      </c>
      <c r="AC1703" s="10">
        <v>16</v>
      </c>
      <c r="AD1703" s="7">
        <f t="shared" si="80"/>
        <v>9705</v>
      </c>
      <c r="AE1703" s="7">
        <f>IF(F1703="Bullet",H1703*AD1703,MIN(MAX(I1703,1),Assumptions!$B$6)*AD1703)</f>
        <v>19410</v>
      </c>
      <c r="AF1703" s="8">
        <f>IF(F1703="Bullet",MAX(0,Assumptions!$B$4-AB1703),MAX(0,Assumptions!$B$4-L1703))</f>
        <v>59</v>
      </c>
      <c r="AG1703" s="9">
        <v>46212</v>
      </c>
      <c r="AH1703" s="8">
        <f>IF(AG1703="","",Assumptions!$B$4-AG1703)</f>
        <v>86</v>
      </c>
      <c r="AI1703" s="5" t="s">
        <v>63</v>
      </c>
      <c r="AJ1703" s="8">
        <v>2</v>
      </c>
      <c r="AK1703" s="8">
        <v>0</v>
      </c>
      <c r="AL1703" s="8" t="s">
        <v>80</v>
      </c>
      <c r="AM1703" s="8">
        <v>3</v>
      </c>
      <c r="AN1703" s="5" t="s">
        <v>57</v>
      </c>
      <c r="AO1703" s="10">
        <v>64.900000000000006</v>
      </c>
      <c r="AP1703" s="8">
        <v>58</v>
      </c>
      <c r="AQ1703" s="9">
        <v>46284</v>
      </c>
      <c r="AR1703" s="5" t="s">
        <v>51</v>
      </c>
      <c r="AS1703" s="5" t="s">
        <v>181</v>
      </c>
    </row>
    <row r="1704" spans="1:45" x14ac:dyDescent="0.35">
      <c r="A1704" s="5" t="s">
        <v>6941</v>
      </c>
      <c r="B1704" s="5" t="s">
        <v>6722</v>
      </c>
      <c r="C1704" s="6" t="s">
        <v>6942</v>
      </c>
      <c r="D1704" s="7">
        <v>243500</v>
      </c>
      <c r="E1704" s="5" t="s">
        <v>48</v>
      </c>
      <c r="F1704" s="5" t="s">
        <v>68</v>
      </c>
      <c r="G1704" s="8">
        <v>4</v>
      </c>
      <c r="H1704" s="8">
        <f>IF(F1704="Bullet",MIN(G1704,Assumptions!$B$6),"")</f>
        <v>2</v>
      </c>
      <c r="I1704" s="8"/>
      <c r="J1704" s="8" t="str">
        <f>IF(F1704="Monthly interest",MAX(0,Assumptions!$B$5-I1704),"")</f>
        <v/>
      </c>
      <c r="K1704" s="7">
        <f t="shared" si="78"/>
        <v>9740</v>
      </c>
      <c r="L1704" s="9">
        <v>46158</v>
      </c>
      <c r="M1704" s="5" t="s">
        <v>69</v>
      </c>
      <c r="N1704" s="5" t="s">
        <v>70</v>
      </c>
      <c r="O1704" s="5" t="s">
        <v>71</v>
      </c>
      <c r="P1704" s="5" t="s">
        <v>72</v>
      </c>
      <c r="Q1704" s="5" t="s">
        <v>73</v>
      </c>
      <c r="R1704" s="5" t="s">
        <v>74</v>
      </c>
      <c r="S1704" s="5" t="s">
        <v>214</v>
      </c>
      <c r="T1704" s="5" t="s">
        <v>57</v>
      </c>
      <c r="U1704" s="5" t="s">
        <v>86</v>
      </c>
      <c r="V1704" s="5" t="s">
        <v>215</v>
      </c>
      <c r="W1704" s="5" t="s">
        <v>216</v>
      </c>
      <c r="X1704" s="5" t="s">
        <v>1578</v>
      </c>
      <c r="Y1704" s="5" t="s">
        <v>6943</v>
      </c>
      <c r="Z1704" s="9">
        <v>46158</v>
      </c>
      <c r="AA1704" s="8">
        <v>12</v>
      </c>
      <c r="AB1704" s="9">
        <f t="shared" si="79"/>
        <v>46523</v>
      </c>
      <c r="AC1704" s="10">
        <v>12</v>
      </c>
      <c r="AD1704" s="7">
        <f t="shared" si="80"/>
        <v>2435</v>
      </c>
      <c r="AE1704" s="7">
        <f>IF(F1704="Bullet",H1704*AD1704,MIN(MAX(I1704,1),Assumptions!$B$6)*AD1704)</f>
        <v>4870</v>
      </c>
      <c r="AF1704" s="8">
        <f>IF(F1704="Bullet",MAX(0,Assumptions!$B$4-AB1704),MAX(0,Assumptions!$B$4-L1704))</f>
        <v>0</v>
      </c>
      <c r="AG1704" s="9"/>
      <c r="AH1704" s="8" t="str">
        <f>IF(AG1704="","",Assumptions!$B$4-AG1704)</f>
        <v/>
      </c>
      <c r="AI1704" s="5" t="s">
        <v>80</v>
      </c>
      <c r="AJ1704" s="8"/>
      <c r="AK1704" s="8">
        <v>2</v>
      </c>
      <c r="AL1704" s="8">
        <v>702</v>
      </c>
      <c r="AM1704" s="8">
        <v>2</v>
      </c>
      <c r="AN1704" s="5" t="s">
        <v>63</v>
      </c>
      <c r="AO1704" s="10">
        <v>74.2</v>
      </c>
      <c r="AP1704" s="8">
        <v>32</v>
      </c>
      <c r="AQ1704" s="9">
        <v>46290</v>
      </c>
      <c r="AR1704" s="5" t="s">
        <v>70</v>
      </c>
      <c r="AS1704" s="5" t="s">
        <v>81</v>
      </c>
    </row>
    <row r="1705" spans="1:45" x14ac:dyDescent="0.35">
      <c r="A1705" s="5" t="s">
        <v>6944</v>
      </c>
      <c r="B1705" s="5" t="s">
        <v>6945</v>
      </c>
      <c r="C1705" s="6" t="s">
        <v>6946</v>
      </c>
      <c r="D1705" s="7">
        <v>583700</v>
      </c>
      <c r="E1705" s="5" t="s">
        <v>48</v>
      </c>
      <c r="F1705" s="5" t="s">
        <v>49</v>
      </c>
      <c r="G1705" s="8"/>
      <c r="H1705" s="8" t="str">
        <f>IF(F1705="Bullet",MIN(G1705,Assumptions!$B$6),"")</f>
        <v/>
      </c>
      <c r="I1705" s="8">
        <v>2</v>
      </c>
      <c r="J1705" s="8">
        <f>IF(F1705="Monthly interest",MAX(0,Assumptions!$B$5-I1705),"")</f>
        <v>1</v>
      </c>
      <c r="K1705" s="7">
        <f t="shared" si="78"/>
        <v>19456</v>
      </c>
      <c r="L1705" s="9">
        <v>46249</v>
      </c>
      <c r="M1705" s="5" t="s">
        <v>116</v>
      </c>
      <c r="N1705" s="5" t="s">
        <v>117</v>
      </c>
      <c r="O1705" s="5" t="s">
        <v>118</v>
      </c>
      <c r="P1705" s="5" t="s">
        <v>72</v>
      </c>
      <c r="Q1705" s="5" t="s">
        <v>119</v>
      </c>
      <c r="R1705" s="5" t="s">
        <v>120</v>
      </c>
      <c r="S1705" s="5" t="s">
        <v>253</v>
      </c>
      <c r="T1705" s="5" t="s">
        <v>57</v>
      </c>
      <c r="U1705" s="5" t="s">
        <v>58</v>
      </c>
      <c r="V1705" s="5" t="s">
        <v>59</v>
      </c>
      <c r="W1705" s="5" t="s">
        <v>194</v>
      </c>
      <c r="X1705" s="5" t="s">
        <v>1437</v>
      </c>
      <c r="Y1705" s="5" t="s">
        <v>6947</v>
      </c>
      <c r="Z1705" s="9">
        <v>46037</v>
      </c>
      <c r="AA1705" s="8">
        <v>12</v>
      </c>
      <c r="AB1705" s="9">
        <f t="shared" si="79"/>
        <v>46402</v>
      </c>
      <c r="AC1705" s="10">
        <v>20</v>
      </c>
      <c r="AD1705" s="7">
        <f t="shared" si="80"/>
        <v>9728</v>
      </c>
      <c r="AE1705" s="7">
        <f>IF(F1705="Bullet",H1705*AD1705,MIN(MAX(I1705,1),Assumptions!$B$6)*AD1705)</f>
        <v>19456</v>
      </c>
      <c r="AF1705" s="8">
        <f>IF(F1705="Bullet",MAX(0,Assumptions!$B$4-AB1705),MAX(0,Assumptions!$B$4-L1705))</f>
        <v>49</v>
      </c>
      <c r="AG1705" s="9">
        <v>46220</v>
      </c>
      <c r="AH1705" s="8">
        <f>IF(AG1705="","",Assumptions!$B$4-AG1705)</f>
        <v>78</v>
      </c>
      <c r="AI1705" s="5" t="s">
        <v>57</v>
      </c>
      <c r="AJ1705" s="8">
        <v>2</v>
      </c>
      <c r="AK1705" s="8">
        <v>0</v>
      </c>
      <c r="AL1705" s="8">
        <v>700</v>
      </c>
      <c r="AM1705" s="8">
        <v>3</v>
      </c>
      <c r="AN1705" s="5" t="s">
        <v>63</v>
      </c>
      <c r="AO1705" s="10">
        <v>65.2</v>
      </c>
      <c r="AP1705" s="8">
        <v>58</v>
      </c>
      <c r="AQ1705" s="9">
        <v>46281</v>
      </c>
      <c r="AR1705" s="5" t="s">
        <v>70</v>
      </c>
      <c r="AS1705" s="5" t="s">
        <v>81</v>
      </c>
    </row>
    <row r="1706" spans="1:45" x14ac:dyDescent="0.35">
      <c r="A1706" s="5" t="s">
        <v>6948</v>
      </c>
      <c r="B1706" s="5" t="s">
        <v>6079</v>
      </c>
      <c r="C1706" s="6" t="s">
        <v>6949</v>
      </c>
      <c r="D1706" s="7">
        <v>420200</v>
      </c>
      <c r="E1706" s="5" t="s">
        <v>48</v>
      </c>
      <c r="F1706" s="5" t="s">
        <v>49</v>
      </c>
      <c r="G1706" s="8"/>
      <c r="H1706" s="8" t="str">
        <f>IF(F1706="Bullet",MIN(G1706,Assumptions!$B$6),"")</f>
        <v/>
      </c>
      <c r="I1706" s="8">
        <v>2</v>
      </c>
      <c r="J1706" s="8">
        <f>IF(F1706="Monthly interest",MAX(0,Assumptions!$B$5-I1706),"")</f>
        <v>1</v>
      </c>
      <c r="K1706" s="7">
        <f t="shared" si="78"/>
        <v>14006</v>
      </c>
      <c r="L1706" s="9">
        <v>46242</v>
      </c>
      <c r="M1706" s="5" t="s">
        <v>116</v>
      </c>
      <c r="N1706" s="5" t="s">
        <v>117</v>
      </c>
      <c r="O1706" s="5" t="s">
        <v>118</v>
      </c>
      <c r="P1706" s="5" t="s">
        <v>72</v>
      </c>
      <c r="Q1706" s="5" t="s">
        <v>119</v>
      </c>
      <c r="R1706" s="5" t="s">
        <v>120</v>
      </c>
      <c r="S1706" s="5" t="s">
        <v>56</v>
      </c>
      <c r="T1706" s="5" t="s">
        <v>63</v>
      </c>
      <c r="U1706" s="5" t="s">
        <v>86</v>
      </c>
      <c r="V1706" s="5" t="s">
        <v>59</v>
      </c>
      <c r="W1706" s="5" t="s">
        <v>126</v>
      </c>
      <c r="X1706" s="5" t="s">
        <v>423</v>
      </c>
      <c r="Y1706" s="5" t="s">
        <v>6950</v>
      </c>
      <c r="Z1706" s="9">
        <v>46120</v>
      </c>
      <c r="AA1706" s="8">
        <v>12</v>
      </c>
      <c r="AB1706" s="9">
        <f t="shared" si="79"/>
        <v>46485</v>
      </c>
      <c r="AC1706" s="10">
        <v>20</v>
      </c>
      <c r="AD1706" s="7">
        <f t="shared" si="80"/>
        <v>7003</v>
      </c>
      <c r="AE1706" s="7">
        <f>IF(F1706="Bullet",H1706*AD1706,MIN(MAX(I1706,1),Assumptions!$B$6)*AD1706)</f>
        <v>14006</v>
      </c>
      <c r="AF1706" s="8">
        <f>IF(F1706="Bullet",MAX(0,Assumptions!$B$4-AB1706),MAX(0,Assumptions!$B$4-L1706))</f>
        <v>56</v>
      </c>
      <c r="AG1706" s="9">
        <v>46214</v>
      </c>
      <c r="AH1706" s="8">
        <f>IF(AG1706="","",Assumptions!$B$4-AG1706)</f>
        <v>84</v>
      </c>
      <c r="AI1706" s="5" t="s">
        <v>63</v>
      </c>
      <c r="AJ1706" s="8">
        <v>3</v>
      </c>
      <c r="AK1706" s="8">
        <v>1</v>
      </c>
      <c r="AL1706" s="8">
        <v>646</v>
      </c>
      <c r="AM1706" s="8">
        <v>1</v>
      </c>
      <c r="AN1706" s="5" t="s">
        <v>63</v>
      </c>
      <c r="AO1706" s="10">
        <v>63</v>
      </c>
      <c r="AP1706" s="8">
        <v>58</v>
      </c>
      <c r="AQ1706" s="9">
        <v>46279</v>
      </c>
      <c r="AR1706" s="5" t="s">
        <v>51</v>
      </c>
      <c r="AS1706" s="5" t="s">
        <v>91</v>
      </c>
    </row>
    <row r="1707" spans="1:45" x14ac:dyDescent="0.35">
      <c r="A1707" s="5" t="s">
        <v>6951</v>
      </c>
      <c r="B1707" s="5" t="s">
        <v>5725</v>
      </c>
      <c r="C1707" s="6" t="s">
        <v>6952</v>
      </c>
      <c r="D1707" s="7">
        <v>453900</v>
      </c>
      <c r="E1707" s="5" t="s">
        <v>48</v>
      </c>
      <c r="F1707" s="5" t="s">
        <v>68</v>
      </c>
      <c r="G1707" s="8">
        <v>5</v>
      </c>
      <c r="H1707" s="8">
        <f>IF(F1707="Bullet",MIN(G1707,Assumptions!$B$6),"")</f>
        <v>2</v>
      </c>
      <c r="I1707" s="8"/>
      <c r="J1707" s="8" t="str">
        <f>IF(F1707="Monthly interest",MAX(0,Assumptions!$B$5-I1707),"")</f>
        <v/>
      </c>
      <c r="K1707" s="7">
        <f t="shared" si="78"/>
        <v>26480</v>
      </c>
      <c r="L1707" s="9">
        <v>46140</v>
      </c>
      <c r="M1707" s="5" t="s">
        <v>116</v>
      </c>
      <c r="N1707" s="5" t="s">
        <v>117</v>
      </c>
      <c r="O1707" s="5" t="s">
        <v>461</v>
      </c>
      <c r="P1707" s="5" t="s">
        <v>72</v>
      </c>
      <c r="Q1707" s="5" t="s">
        <v>169</v>
      </c>
      <c r="R1707" s="5" t="s">
        <v>170</v>
      </c>
      <c r="S1707" s="5" t="s">
        <v>56</v>
      </c>
      <c r="T1707" s="5" t="s">
        <v>57</v>
      </c>
      <c r="U1707" s="5" t="s">
        <v>58</v>
      </c>
      <c r="V1707" s="5" t="s">
        <v>59</v>
      </c>
      <c r="W1707" s="5" t="s">
        <v>126</v>
      </c>
      <c r="X1707" s="5" t="s">
        <v>2821</v>
      </c>
      <c r="Y1707" s="5" t="s">
        <v>6953</v>
      </c>
      <c r="Z1707" s="9">
        <v>46140</v>
      </c>
      <c r="AA1707" s="8">
        <v>6</v>
      </c>
      <c r="AB1707" s="9">
        <f t="shared" si="79"/>
        <v>46323</v>
      </c>
      <c r="AC1707" s="10">
        <v>14</v>
      </c>
      <c r="AD1707" s="7">
        <f t="shared" si="80"/>
        <v>5296</v>
      </c>
      <c r="AE1707" s="7">
        <f>IF(F1707="Bullet",H1707*AD1707,MIN(MAX(I1707,1),Assumptions!$B$6)*AD1707)</f>
        <v>10592</v>
      </c>
      <c r="AF1707" s="8">
        <f>IF(F1707="Bullet",MAX(0,Assumptions!$B$4-AB1707),MAX(0,Assumptions!$B$4-L1707))</f>
        <v>0</v>
      </c>
      <c r="AG1707" s="9"/>
      <c r="AH1707" s="8" t="str">
        <f>IF(AG1707="","",Assumptions!$B$4-AG1707)</f>
        <v/>
      </c>
      <c r="AI1707" s="5" t="s">
        <v>80</v>
      </c>
      <c r="AJ1707" s="8"/>
      <c r="AK1707" s="8">
        <v>2</v>
      </c>
      <c r="AL1707" s="8">
        <v>596</v>
      </c>
      <c r="AM1707" s="8">
        <v>2</v>
      </c>
      <c r="AN1707" s="5" t="s">
        <v>63</v>
      </c>
      <c r="AO1707" s="10">
        <v>67.599999999999994</v>
      </c>
      <c r="AP1707" s="8">
        <v>72</v>
      </c>
      <c r="AQ1707" s="9">
        <v>46281</v>
      </c>
      <c r="AR1707" s="5" t="s">
        <v>51</v>
      </c>
      <c r="AS1707" s="5" t="s">
        <v>81</v>
      </c>
    </row>
    <row r="1708" spans="1:45" x14ac:dyDescent="0.35">
      <c r="A1708" s="5" t="s">
        <v>6954</v>
      </c>
      <c r="B1708" s="5" t="s">
        <v>6955</v>
      </c>
      <c r="C1708" s="6" t="s">
        <v>6956</v>
      </c>
      <c r="D1708" s="7">
        <v>92000</v>
      </c>
      <c r="E1708" s="5" t="s">
        <v>48</v>
      </c>
      <c r="F1708" s="5" t="s">
        <v>68</v>
      </c>
      <c r="G1708" s="8">
        <v>3</v>
      </c>
      <c r="H1708" s="8">
        <f>IF(F1708="Bullet",MIN(G1708,Assumptions!$B$6),"")</f>
        <v>2</v>
      </c>
      <c r="I1708" s="8"/>
      <c r="J1708" s="8" t="str">
        <f>IF(F1708="Monthly interest",MAX(0,Assumptions!$B$5-I1708),"")</f>
        <v/>
      </c>
      <c r="K1708" s="7">
        <f t="shared" si="78"/>
        <v>3219</v>
      </c>
      <c r="L1708" s="9">
        <v>46191</v>
      </c>
      <c r="M1708" s="5" t="s">
        <v>50</v>
      </c>
      <c r="N1708" s="5" t="s">
        <v>53</v>
      </c>
      <c r="O1708" s="5" t="s">
        <v>71</v>
      </c>
      <c r="P1708" s="5" t="s">
        <v>51</v>
      </c>
      <c r="Q1708" s="5" t="s">
        <v>73</v>
      </c>
      <c r="R1708" s="5" t="s">
        <v>74</v>
      </c>
      <c r="S1708" s="5" t="s">
        <v>85</v>
      </c>
      <c r="T1708" s="5" t="s">
        <v>57</v>
      </c>
      <c r="U1708" s="5" t="s">
        <v>86</v>
      </c>
      <c r="V1708" s="5" t="s">
        <v>177</v>
      </c>
      <c r="W1708" s="5" t="s">
        <v>208</v>
      </c>
      <c r="X1708" s="5" t="s">
        <v>1665</v>
      </c>
      <c r="Y1708" s="5" t="s">
        <v>6957</v>
      </c>
      <c r="Z1708" s="9">
        <v>46191</v>
      </c>
      <c r="AA1708" s="8">
        <v>6</v>
      </c>
      <c r="AB1708" s="9">
        <f t="shared" si="79"/>
        <v>46374</v>
      </c>
      <c r="AC1708" s="10">
        <v>14</v>
      </c>
      <c r="AD1708" s="7">
        <f t="shared" si="80"/>
        <v>1073</v>
      </c>
      <c r="AE1708" s="7">
        <f>IF(F1708="Bullet",H1708*AD1708,MIN(MAX(I1708,1),Assumptions!$B$6)*AD1708)</f>
        <v>2146</v>
      </c>
      <c r="AF1708" s="8">
        <f>IF(F1708="Bullet",MAX(0,Assumptions!$B$4-AB1708),MAX(0,Assumptions!$B$4-L1708))</f>
        <v>0</v>
      </c>
      <c r="AG1708" s="9"/>
      <c r="AH1708" s="8" t="str">
        <f>IF(AG1708="","",Assumptions!$B$4-AG1708)</f>
        <v/>
      </c>
      <c r="AI1708" s="5" t="s">
        <v>80</v>
      </c>
      <c r="AJ1708" s="8"/>
      <c r="AK1708" s="8">
        <v>2</v>
      </c>
      <c r="AL1708" s="8" t="s">
        <v>80</v>
      </c>
      <c r="AM1708" s="8">
        <v>0</v>
      </c>
      <c r="AN1708" s="5" t="s">
        <v>63</v>
      </c>
      <c r="AO1708" s="10">
        <v>63.9</v>
      </c>
      <c r="AP1708" s="8">
        <v>28</v>
      </c>
      <c r="AQ1708" s="9">
        <v>46296</v>
      </c>
      <c r="AR1708" s="5" t="s">
        <v>51</v>
      </c>
      <c r="AS1708" s="5" t="s">
        <v>91</v>
      </c>
    </row>
    <row r="1709" spans="1:45" x14ac:dyDescent="0.35">
      <c r="A1709" s="5" t="s">
        <v>6958</v>
      </c>
      <c r="B1709" s="5" t="s">
        <v>3808</v>
      </c>
      <c r="C1709" s="6" t="s">
        <v>6959</v>
      </c>
      <c r="D1709" s="7">
        <v>59800</v>
      </c>
      <c r="E1709" s="5" t="s">
        <v>48</v>
      </c>
      <c r="F1709" s="5" t="s">
        <v>49</v>
      </c>
      <c r="G1709" s="8"/>
      <c r="H1709" s="8" t="str">
        <f>IF(F1709="Bullet",MIN(G1709,Assumptions!$B$6),"")</f>
        <v/>
      </c>
      <c r="I1709" s="8">
        <v>1</v>
      </c>
      <c r="J1709" s="8">
        <f>IF(F1709="Monthly interest",MAX(0,Assumptions!$B$5-I1709),"")</f>
        <v>2</v>
      </c>
      <c r="K1709" s="7">
        <f t="shared" si="78"/>
        <v>698</v>
      </c>
      <c r="L1709" s="9">
        <v>46269</v>
      </c>
      <c r="M1709" s="5" t="s">
        <v>50</v>
      </c>
      <c r="N1709" s="5" t="s">
        <v>53</v>
      </c>
      <c r="O1709" s="5" t="s">
        <v>95</v>
      </c>
      <c r="P1709" s="5" t="s">
        <v>70</v>
      </c>
      <c r="Q1709" s="5" t="s">
        <v>54</v>
      </c>
      <c r="R1709" s="5" t="s">
        <v>55</v>
      </c>
      <c r="S1709" s="5" t="s">
        <v>85</v>
      </c>
      <c r="T1709" s="5" t="s">
        <v>63</v>
      </c>
      <c r="U1709" s="5" t="s">
        <v>86</v>
      </c>
      <c r="V1709" s="5" t="s">
        <v>96</v>
      </c>
      <c r="W1709" s="5" t="s">
        <v>97</v>
      </c>
      <c r="X1709" s="5" t="s">
        <v>3118</v>
      </c>
      <c r="Y1709" s="5" t="s">
        <v>6960</v>
      </c>
      <c r="Z1709" s="9">
        <v>46207</v>
      </c>
      <c r="AA1709" s="8">
        <v>12</v>
      </c>
      <c r="AB1709" s="9">
        <f t="shared" si="79"/>
        <v>46572</v>
      </c>
      <c r="AC1709" s="10">
        <v>14</v>
      </c>
      <c r="AD1709" s="7">
        <f t="shared" si="80"/>
        <v>698</v>
      </c>
      <c r="AE1709" s="7">
        <f>IF(F1709="Bullet",H1709*AD1709,MIN(MAX(I1709,1),Assumptions!$B$6)*AD1709)</f>
        <v>698</v>
      </c>
      <c r="AF1709" s="8">
        <f>IF(F1709="Bullet",MAX(0,Assumptions!$B$4-AB1709),MAX(0,Assumptions!$B$4-L1709))</f>
        <v>29</v>
      </c>
      <c r="AG1709" s="9">
        <v>46238</v>
      </c>
      <c r="AH1709" s="8">
        <f>IF(AG1709="","",Assumptions!$B$4-AG1709)</f>
        <v>60</v>
      </c>
      <c r="AI1709" s="5" t="s">
        <v>63</v>
      </c>
      <c r="AJ1709" s="8">
        <v>1</v>
      </c>
      <c r="AK1709" s="8">
        <v>0</v>
      </c>
      <c r="AL1709" s="8">
        <v>628</v>
      </c>
      <c r="AM1709" s="8">
        <v>0</v>
      </c>
      <c r="AN1709" s="5" t="s">
        <v>63</v>
      </c>
      <c r="AO1709" s="10">
        <v>64.5</v>
      </c>
      <c r="AP1709" s="8">
        <v>28</v>
      </c>
      <c r="AQ1709" s="9">
        <v>46281</v>
      </c>
      <c r="AR1709" s="5" t="s">
        <v>70</v>
      </c>
      <c r="AS1709" s="5" t="s">
        <v>190</v>
      </c>
    </row>
    <row r="1710" spans="1:45" x14ac:dyDescent="0.35">
      <c r="A1710" s="5" t="s">
        <v>6961</v>
      </c>
      <c r="B1710" s="5" t="s">
        <v>687</v>
      </c>
      <c r="C1710" s="6" t="s">
        <v>6962</v>
      </c>
      <c r="D1710" s="7">
        <v>264500</v>
      </c>
      <c r="E1710" s="5" t="s">
        <v>48</v>
      </c>
      <c r="F1710" s="5" t="s">
        <v>49</v>
      </c>
      <c r="G1710" s="8"/>
      <c r="H1710" s="8" t="str">
        <f>IF(F1710="Bullet",MIN(G1710,Assumptions!$B$6),"")</f>
        <v/>
      </c>
      <c r="I1710" s="8">
        <v>1</v>
      </c>
      <c r="J1710" s="8">
        <f>IF(F1710="Monthly interest",MAX(0,Assumptions!$B$5-I1710),"")</f>
        <v>2</v>
      </c>
      <c r="K1710" s="7">
        <f t="shared" si="78"/>
        <v>5290</v>
      </c>
      <c r="L1710" s="9">
        <v>46296</v>
      </c>
      <c r="M1710" s="5" t="s">
        <v>69</v>
      </c>
      <c r="N1710" s="5" t="s">
        <v>53</v>
      </c>
      <c r="O1710" s="5" t="s">
        <v>103</v>
      </c>
      <c r="P1710" s="5" t="s">
        <v>70</v>
      </c>
      <c r="Q1710" s="5" t="s">
        <v>54</v>
      </c>
      <c r="R1710" s="5" t="s">
        <v>55</v>
      </c>
      <c r="S1710" s="5" t="s">
        <v>185</v>
      </c>
      <c r="T1710" s="5" t="s">
        <v>57</v>
      </c>
      <c r="U1710" s="5" t="s">
        <v>58</v>
      </c>
      <c r="V1710" s="5" t="s">
        <v>186</v>
      </c>
      <c r="W1710" s="5" t="s">
        <v>694</v>
      </c>
      <c r="X1710" s="5" t="s">
        <v>3791</v>
      </c>
      <c r="Y1710" s="5" t="s">
        <v>6963</v>
      </c>
      <c r="Z1710" s="9">
        <v>46082</v>
      </c>
      <c r="AA1710" s="8">
        <v>24</v>
      </c>
      <c r="AB1710" s="9">
        <f t="shared" si="79"/>
        <v>46813</v>
      </c>
      <c r="AC1710" s="10">
        <v>24</v>
      </c>
      <c r="AD1710" s="7">
        <f t="shared" si="80"/>
        <v>5290</v>
      </c>
      <c r="AE1710" s="7">
        <f>IF(F1710="Bullet",H1710*AD1710,MIN(MAX(I1710,1),Assumptions!$B$6)*AD1710)</f>
        <v>5290</v>
      </c>
      <c r="AF1710" s="8">
        <f>IF(F1710="Bullet",MAX(0,Assumptions!$B$4-AB1710),MAX(0,Assumptions!$B$4-L1710))</f>
        <v>2</v>
      </c>
      <c r="AG1710" s="9">
        <v>46267</v>
      </c>
      <c r="AH1710" s="8">
        <f>IF(AG1710="","",Assumptions!$B$4-AG1710)</f>
        <v>31</v>
      </c>
      <c r="AI1710" s="5" t="s">
        <v>63</v>
      </c>
      <c r="AJ1710" s="8">
        <v>1</v>
      </c>
      <c r="AK1710" s="8">
        <v>0</v>
      </c>
      <c r="AL1710" s="8" t="s">
        <v>80</v>
      </c>
      <c r="AM1710" s="8">
        <v>3</v>
      </c>
      <c r="AN1710" s="5" t="s">
        <v>63</v>
      </c>
      <c r="AO1710" s="10">
        <v>88</v>
      </c>
      <c r="AP1710" s="8">
        <v>46</v>
      </c>
      <c r="AQ1710" s="9">
        <v>46292</v>
      </c>
      <c r="AR1710" s="5" t="s">
        <v>51</v>
      </c>
      <c r="AS1710" s="5" t="s">
        <v>81</v>
      </c>
    </row>
    <row r="1711" spans="1:45" x14ac:dyDescent="0.35">
      <c r="A1711" s="5" t="s">
        <v>6964</v>
      </c>
      <c r="B1711" s="5" t="s">
        <v>6965</v>
      </c>
      <c r="C1711" s="6" t="s">
        <v>6966</v>
      </c>
      <c r="D1711" s="7">
        <v>263700</v>
      </c>
      <c r="E1711" s="5" t="s">
        <v>48</v>
      </c>
      <c r="F1711" s="5" t="s">
        <v>68</v>
      </c>
      <c r="G1711" s="8">
        <v>4</v>
      </c>
      <c r="H1711" s="8">
        <f>IF(F1711="Bullet",MIN(G1711,Assumptions!$B$6),"")</f>
        <v>2</v>
      </c>
      <c r="I1711" s="8"/>
      <c r="J1711" s="8" t="str">
        <f>IF(F1711="Monthly interest",MAX(0,Assumptions!$B$5-I1711),"")</f>
        <v/>
      </c>
      <c r="K1711" s="7">
        <f t="shared" si="78"/>
        <v>13184</v>
      </c>
      <c r="L1711" s="9">
        <v>46175</v>
      </c>
      <c r="M1711" s="5" t="s">
        <v>50</v>
      </c>
      <c r="N1711" s="5" t="s">
        <v>53</v>
      </c>
      <c r="O1711" s="5" t="s">
        <v>71</v>
      </c>
      <c r="P1711" s="5" t="s">
        <v>51</v>
      </c>
      <c r="Q1711" s="5" t="s">
        <v>73</v>
      </c>
      <c r="R1711" s="5" t="s">
        <v>74</v>
      </c>
      <c r="S1711" s="5" t="s">
        <v>214</v>
      </c>
      <c r="T1711" s="5" t="s">
        <v>57</v>
      </c>
      <c r="U1711" s="5" t="s">
        <v>86</v>
      </c>
      <c r="V1711" s="5" t="s">
        <v>215</v>
      </c>
      <c r="W1711" s="5" t="s">
        <v>278</v>
      </c>
      <c r="X1711" s="5" t="s">
        <v>2305</v>
      </c>
      <c r="Y1711" s="5" t="s">
        <v>6967</v>
      </c>
      <c r="Z1711" s="9">
        <v>46175</v>
      </c>
      <c r="AA1711" s="8">
        <v>12</v>
      </c>
      <c r="AB1711" s="9">
        <f t="shared" si="79"/>
        <v>46540</v>
      </c>
      <c r="AC1711" s="10">
        <v>15</v>
      </c>
      <c r="AD1711" s="7">
        <f t="shared" si="80"/>
        <v>3296</v>
      </c>
      <c r="AE1711" s="7">
        <f>IF(F1711="Bullet",H1711*AD1711,MIN(MAX(I1711,1),Assumptions!$B$6)*AD1711)</f>
        <v>6592</v>
      </c>
      <c r="AF1711" s="8">
        <f>IF(F1711="Bullet",MAX(0,Assumptions!$B$4-AB1711),MAX(0,Assumptions!$B$4-L1711))</f>
        <v>0</v>
      </c>
      <c r="AG1711" s="9"/>
      <c r="AH1711" s="8" t="str">
        <f>IF(AG1711="","",Assumptions!$B$4-AG1711)</f>
        <v/>
      </c>
      <c r="AI1711" s="5" t="s">
        <v>80</v>
      </c>
      <c r="AJ1711" s="8"/>
      <c r="AK1711" s="8">
        <v>1</v>
      </c>
      <c r="AL1711" s="8">
        <v>676</v>
      </c>
      <c r="AM1711" s="8">
        <v>1</v>
      </c>
      <c r="AN1711" s="5" t="s">
        <v>63</v>
      </c>
      <c r="AO1711" s="10">
        <v>65.400000000000006</v>
      </c>
      <c r="AP1711" s="8">
        <v>30</v>
      </c>
      <c r="AQ1711" s="9">
        <v>46294</v>
      </c>
      <c r="AR1711" s="5" t="s">
        <v>51</v>
      </c>
      <c r="AS1711" s="5" t="s">
        <v>91</v>
      </c>
    </row>
    <row r="1712" spans="1:45" x14ac:dyDescent="0.35">
      <c r="A1712" s="5" t="s">
        <v>6968</v>
      </c>
      <c r="B1712" s="5" t="s">
        <v>3557</v>
      </c>
      <c r="C1712" s="6" t="s">
        <v>6969</v>
      </c>
      <c r="D1712" s="7">
        <v>302900</v>
      </c>
      <c r="E1712" s="5" t="s">
        <v>48</v>
      </c>
      <c r="F1712" s="5" t="s">
        <v>68</v>
      </c>
      <c r="G1712" s="8">
        <v>6</v>
      </c>
      <c r="H1712" s="8">
        <f>IF(F1712="Bullet",MIN(G1712,Assumptions!$B$6),"")</f>
        <v>2</v>
      </c>
      <c r="I1712" s="8"/>
      <c r="J1712" s="8" t="str">
        <f>IF(F1712="Monthly interest",MAX(0,Assumptions!$B$5-I1712),"")</f>
        <v/>
      </c>
      <c r="K1712" s="7">
        <f t="shared" si="78"/>
        <v>24234</v>
      </c>
      <c r="L1712" s="9">
        <v>46108</v>
      </c>
      <c r="M1712" s="5" t="s">
        <v>116</v>
      </c>
      <c r="N1712" s="5" t="s">
        <v>117</v>
      </c>
      <c r="O1712" s="5" t="s">
        <v>461</v>
      </c>
      <c r="P1712" s="5" t="s">
        <v>72</v>
      </c>
      <c r="Q1712" s="5" t="s">
        <v>169</v>
      </c>
      <c r="R1712" s="5" t="s">
        <v>170</v>
      </c>
      <c r="S1712" s="5" t="s">
        <v>253</v>
      </c>
      <c r="T1712" s="5" t="s">
        <v>57</v>
      </c>
      <c r="U1712" s="5" t="s">
        <v>86</v>
      </c>
      <c r="V1712" s="5" t="s">
        <v>59</v>
      </c>
      <c r="W1712" s="5" t="s">
        <v>60</v>
      </c>
      <c r="X1712" s="5" t="s">
        <v>1595</v>
      </c>
      <c r="Y1712" s="5" t="s">
        <v>6970</v>
      </c>
      <c r="Z1712" s="9">
        <v>46108</v>
      </c>
      <c r="AA1712" s="8">
        <v>6</v>
      </c>
      <c r="AB1712" s="9">
        <f t="shared" si="79"/>
        <v>46292</v>
      </c>
      <c r="AC1712" s="10">
        <v>16</v>
      </c>
      <c r="AD1712" s="7">
        <f t="shared" si="80"/>
        <v>4039</v>
      </c>
      <c r="AE1712" s="7">
        <f>IF(F1712="Bullet",H1712*AD1712,MIN(MAX(I1712,1),Assumptions!$B$6)*AD1712)</f>
        <v>8078</v>
      </c>
      <c r="AF1712" s="8">
        <f>IF(F1712="Bullet",MAX(0,Assumptions!$B$4-AB1712),MAX(0,Assumptions!$B$4-L1712))</f>
        <v>6</v>
      </c>
      <c r="AG1712" s="9"/>
      <c r="AH1712" s="8" t="str">
        <f>IF(AG1712="","",Assumptions!$B$4-AG1712)</f>
        <v/>
      </c>
      <c r="AI1712" s="5" t="s">
        <v>80</v>
      </c>
      <c r="AJ1712" s="8"/>
      <c r="AK1712" s="8">
        <v>4</v>
      </c>
      <c r="AL1712" s="8">
        <v>723</v>
      </c>
      <c r="AM1712" s="8">
        <v>2</v>
      </c>
      <c r="AN1712" s="5" t="s">
        <v>63</v>
      </c>
      <c r="AO1712" s="10">
        <v>81.2</v>
      </c>
      <c r="AP1712" s="8">
        <v>77</v>
      </c>
      <c r="AQ1712" s="9"/>
      <c r="AR1712" s="5"/>
      <c r="AS1712" s="5" t="s">
        <v>159</v>
      </c>
    </row>
    <row r="1713" spans="1:45" x14ac:dyDescent="0.35">
      <c r="A1713" s="5" t="s">
        <v>6971</v>
      </c>
      <c r="B1713" s="5" t="s">
        <v>6972</v>
      </c>
      <c r="C1713" s="6" t="s">
        <v>6973</v>
      </c>
      <c r="D1713" s="7">
        <v>31700</v>
      </c>
      <c r="E1713" s="5" t="s">
        <v>48</v>
      </c>
      <c r="F1713" s="5" t="s">
        <v>49</v>
      </c>
      <c r="G1713" s="8"/>
      <c r="H1713" s="8" t="str">
        <f>IF(F1713="Bullet",MIN(G1713,Assumptions!$B$6),"")</f>
        <v/>
      </c>
      <c r="I1713" s="8">
        <v>1</v>
      </c>
      <c r="J1713" s="8">
        <f>IF(F1713="Monthly interest",MAX(0,Assumptions!$B$5-I1713),"")</f>
        <v>2</v>
      </c>
      <c r="K1713" s="7">
        <f t="shared" si="78"/>
        <v>396</v>
      </c>
      <c r="L1713" s="9">
        <v>46273</v>
      </c>
      <c r="M1713" s="5" t="s">
        <v>50</v>
      </c>
      <c r="N1713" s="5" t="s">
        <v>53</v>
      </c>
      <c r="O1713" s="5" t="s">
        <v>103</v>
      </c>
      <c r="P1713" s="5" t="s">
        <v>153</v>
      </c>
      <c r="Q1713" s="5" t="s">
        <v>154</v>
      </c>
      <c r="R1713" s="5" t="s">
        <v>155</v>
      </c>
      <c r="S1713" s="5" t="s">
        <v>253</v>
      </c>
      <c r="T1713" s="5" t="s">
        <v>57</v>
      </c>
      <c r="U1713" s="5" t="s">
        <v>58</v>
      </c>
      <c r="V1713" s="5" t="s">
        <v>186</v>
      </c>
      <c r="W1713" s="5" t="s">
        <v>329</v>
      </c>
      <c r="X1713" s="5" t="s">
        <v>2343</v>
      </c>
      <c r="Y1713" s="5" t="s">
        <v>6974</v>
      </c>
      <c r="Z1713" s="9">
        <v>46211</v>
      </c>
      <c r="AA1713" s="8">
        <v>18</v>
      </c>
      <c r="AB1713" s="9">
        <f t="shared" si="79"/>
        <v>46760</v>
      </c>
      <c r="AC1713" s="10">
        <v>15</v>
      </c>
      <c r="AD1713" s="7">
        <f t="shared" si="80"/>
        <v>396</v>
      </c>
      <c r="AE1713" s="7">
        <f>IF(F1713="Bullet",H1713*AD1713,MIN(MAX(I1713,1),Assumptions!$B$6)*AD1713)</f>
        <v>396</v>
      </c>
      <c r="AF1713" s="8">
        <f>IF(F1713="Bullet",MAX(0,Assumptions!$B$4-AB1713),MAX(0,Assumptions!$B$4-L1713))</f>
        <v>25</v>
      </c>
      <c r="AG1713" s="9">
        <v>46242</v>
      </c>
      <c r="AH1713" s="8">
        <f>IF(AG1713="","",Assumptions!$B$4-AG1713)</f>
        <v>56</v>
      </c>
      <c r="AI1713" s="5" t="s">
        <v>63</v>
      </c>
      <c r="AJ1713" s="8">
        <v>1</v>
      </c>
      <c r="AK1713" s="8">
        <v>0</v>
      </c>
      <c r="AL1713" s="8">
        <v>724</v>
      </c>
      <c r="AM1713" s="8">
        <v>0</v>
      </c>
      <c r="AN1713" s="5" t="s">
        <v>63</v>
      </c>
      <c r="AO1713" s="10">
        <v>78.5</v>
      </c>
      <c r="AP1713" s="8">
        <v>27</v>
      </c>
      <c r="AQ1713" s="9">
        <v>46276</v>
      </c>
      <c r="AR1713" s="5" t="s">
        <v>51</v>
      </c>
      <c r="AS1713" s="5" t="s">
        <v>81</v>
      </c>
    </row>
    <row r="1714" spans="1:45" x14ac:dyDescent="0.35">
      <c r="A1714" s="5" t="s">
        <v>6975</v>
      </c>
      <c r="B1714" s="5" t="s">
        <v>6976</v>
      </c>
      <c r="C1714" s="6" t="s">
        <v>6977</v>
      </c>
      <c r="D1714" s="7">
        <v>114200</v>
      </c>
      <c r="E1714" s="5" t="s">
        <v>48</v>
      </c>
      <c r="F1714" s="5" t="s">
        <v>49</v>
      </c>
      <c r="G1714" s="8"/>
      <c r="H1714" s="8" t="str">
        <f>IF(F1714="Bullet",MIN(G1714,Assumptions!$B$6),"")</f>
        <v/>
      </c>
      <c r="I1714" s="8">
        <v>2</v>
      </c>
      <c r="J1714" s="8">
        <f>IF(F1714="Monthly interest",MAX(0,Assumptions!$B$5-I1714),"")</f>
        <v>1</v>
      </c>
      <c r="K1714" s="7">
        <f t="shared" si="78"/>
        <v>4188</v>
      </c>
      <c r="L1714" s="9">
        <v>46253</v>
      </c>
      <c r="M1714" s="5" t="s">
        <v>69</v>
      </c>
      <c r="N1714" s="5" t="s">
        <v>53</v>
      </c>
      <c r="O1714" s="5" t="s">
        <v>71</v>
      </c>
      <c r="P1714" s="5" t="s">
        <v>70</v>
      </c>
      <c r="Q1714" s="5" t="s">
        <v>73</v>
      </c>
      <c r="R1714" s="5" t="s">
        <v>74</v>
      </c>
      <c r="S1714" s="5" t="s">
        <v>56</v>
      </c>
      <c r="T1714" s="5" t="s">
        <v>57</v>
      </c>
      <c r="U1714" s="5" t="s">
        <v>86</v>
      </c>
      <c r="V1714" s="5" t="s">
        <v>59</v>
      </c>
      <c r="W1714" s="5" t="s">
        <v>323</v>
      </c>
      <c r="X1714" s="5" t="s">
        <v>5901</v>
      </c>
      <c r="Y1714" s="5" t="s">
        <v>6978</v>
      </c>
      <c r="Z1714" s="9">
        <v>46041</v>
      </c>
      <c r="AA1714" s="8">
        <v>18</v>
      </c>
      <c r="AB1714" s="9">
        <f t="shared" si="79"/>
        <v>46587</v>
      </c>
      <c r="AC1714" s="10">
        <v>22</v>
      </c>
      <c r="AD1714" s="7">
        <f t="shared" si="80"/>
        <v>2094</v>
      </c>
      <c r="AE1714" s="7">
        <f>IF(F1714="Bullet",H1714*AD1714,MIN(MAX(I1714,1),Assumptions!$B$6)*AD1714)</f>
        <v>4188</v>
      </c>
      <c r="AF1714" s="8">
        <f>IF(F1714="Bullet",MAX(0,Assumptions!$B$4-AB1714),MAX(0,Assumptions!$B$4-L1714))</f>
        <v>45</v>
      </c>
      <c r="AG1714" s="9">
        <v>46225</v>
      </c>
      <c r="AH1714" s="8">
        <f>IF(AG1714="","",Assumptions!$B$4-AG1714)</f>
        <v>73</v>
      </c>
      <c r="AI1714" s="5" t="s">
        <v>63</v>
      </c>
      <c r="AJ1714" s="8">
        <v>2</v>
      </c>
      <c r="AK1714" s="8">
        <v>1</v>
      </c>
      <c r="AL1714" s="8">
        <v>724</v>
      </c>
      <c r="AM1714" s="8">
        <v>0</v>
      </c>
      <c r="AN1714" s="5" t="s">
        <v>63</v>
      </c>
      <c r="AO1714" s="10">
        <v>68.5</v>
      </c>
      <c r="AP1714" s="8">
        <v>39</v>
      </c>
      <c r="AQ1714" s="9">
        <v>46285</v>
      </c>
      <c r="AR1714" s="5" t="s">
        <v>70</v>
      </c>
      <c r="AS1714" s="5" t="s">
        <v>64</v>
      </c>
    </row>
    <row r="1715" spans="1:45" x14ac:dyDescent="0.35">
      <c r="A1715" s="5" t="s">
        <v>6979</v>
      </c>
      <c r="B1715" s="5" t="s">
        <v>6980</v>
      </c>
      <c r="C1715" s="6" t="s">
        <v>6981</v>
      </c>
      <c r="D1715" s="7">
        <v>44400</v>
      </c>
      <c r="E1715" s="5" t="s">
        <v>48</v>
      </c>
      <c r="F1715" s="5" t="s">
        <v>49</v>
      </c>
      <c r="G1715" s="8"/>
      <c r="H1715" s="8" t="str">
        <f>IF(F1715="Bullet",MIN(G1715,Assumptions!$B$6),"")</f>
        <v/>
      </c>
      <c r="I1715" s="8">
        <v>1</v>
      </c>
      <c r="J1715" s="8">
        <f>IF(F1715="Monthly interest",MAX(0,Assumptions!$B$5-I1715),"")</f>
        <v>2</v>
      </c>
      <c r="K1715" s="7">
        <f t="shared" si="78"/>
        <v>740</v>
      </c>
      <c r="L1715" s="9">
        <v>46287</v>
      </c>
      <c r="M1715" s="5" t="s">
        <v>50</v>
      </c>
      <c r="N1715" s="5" t="s">
        <v>51</v>
      </c>
      <c r="O1715" s="5" t="s">
        <v>152</v>
      </c>
      <c r="P1715" s="5" t="s">
        <v>53</v>
      </c>
      <c r="Q1715" s="5" t="s">
        <v>154</v>
      </c>
      <c r="R1715" s="5" t="s">
        <v>155</v>
      </c>
      <c r="S1715" s="5" t="s">
        <v>214</v>
      </c>
      <c r="T1715" s="5" t="s">
        <v>57</v>
      </c>
      <c r="U1715" s="5" t="s">
        <v>58</v>
      </c>
      <c r="V1715" s="5" t="s">
        <v>215</v>
      </c>
      <c r="W1715" s="5" t="s">
        <v>284</v>
      </c>
      <c r="X1715" s="5" t="s">
        <v>3331</v>
      </c>
      <c r="Y1715" s="5" t="s">
        <v>6982</v>
      </c>
      <c r="Z1715" s="9">
        <v>46195</v>
      </c>
      <c r="AA1715" s="8">
        <v>12</v>
      </c>
      <c r="AB1715" s="9">
        <f t="shared" si="79"/>
        <v>46560</v>
      </c>
      <c r="AC1715" s="10">
        <v>20</v>
      </c>
      <c r="AD1715" s="7">
        <f t="shared" si="80"/>
        <v>740</v>
      </c>
      <c r="AE1715" s="7">
        <f>IF(F1715="Bullet",H1715*AD1715,MIN(MAX(I1715,1),Assumptions!$B$6)*AD1715)</f>
        <v>740</v>
      </c>
      <c r="AF1715" s="8">
        <f>IF(F1715="Bullet",MAX(0,Assumptions!$B$4-AB1715),MAX(0,Assumptions!$B$4-L1715))</f>
        <v>11</v>
      </c>
      <c r="AG1715" s="9">
        <v>46256</v>
      </c>
      <c r="AH1715" s="8">
        <f>IF(AG1715="","",Assumptions!$B$4-AG1715)</f>
        <v>42</v>
      </c>
      <c r="AI1715" s="5" t="s">
        <v>57</v>
      </c>
      <c r="AJ1715" s="8">
        <v>1</v>
      </c>
      <c r="AK1715" s="8">
        <v>0</v>
      </c>
      <c r="AL1715" s="8">
        <v>714</v>
      </c>
      <c r="AM1715" s="8">
        <v>2</v>
      </c>
      <c r="AN1715" s="5" t="s">
        <v>63</v>
      </c>
      <c r="AO1715" s="10">
        <v>79.400000000000006</v>
      </c>
      <c r="AP1715" s="8">
        <v>24</v>
      </c>
      <c r="AQ1715" s="9">
        <v>46277</v>
      </c>
      <c r="AR1715" s="5" t="s">
        <v>51</v>
      </c>
      <c r="AS1715" s="5" t="s">
        <v>181</v>
      </c>
    </row>
    <row r="1716" spans="1:45" x14ac:dyDescent="0.35">
      <c r="A1716" s="5" t="s">
        <v>6983</v>
      </c>
      <c r="B1716" s="5" t="s">
        <v>2548</v>
      </c>
      <c r="C1716" s="6" t="s">
        <v>6984</v>
      </c>
      <c r="D1716" s="7">
        <v>24700</v>
      </c>
      <c r="E1716" s="5" t="s">
        <v>48</v>
      </c>
      <c r="F1716" s="5" t="s">
        <v>49</v>
      </c>
      <c r="G1716" s="8"/>
      <c r="H1716" s="8" t="str">
        <f>IF(F1716="Bullet",MIN(G1716,Assumptions!$B$6),"")</f>
        <v/>
      </c>
      <c r="I1716" s="8">
        <v>2</v>
      </c>
      <c r="J1716" s="8">
        <f>IF(F1716="Monthly interest",MAX(0,Assumptions!$B$5-I1716),"")</f>
        <v>1</v>
      </c>
      <c r="K1716" s="7">
        <f t="shared" si="78"/>
        <v>742</v>
      </c>
      <c r="L1716" s="9">
        <v>46256</v>
      </c>
      <c r="M1716" s="5" t="s">
        <v>116</v>
      </c>
      <c r="N1716" s="5" t="s">
        <v>117</v>
      </c>
      <c r="O1716" s="5" t="s">
        <v>450</v>
      </c>
      <c r="P1716" s="5" t="s">
        <v>72</v>
      </c>
      <c r="Q1716" s="5" t="s">
        <v>154</v>
      </c>
      <c r="R1716" s="5" t="s">
        <v>155</v>
      </c>
      <c r="S1716" s="5" t="s">
        <v>253</v>
      </c>
      <c r="T1716" s="5" t="s">
        <v>57</v>
      </c>
      <c r="U1716" s="5" t="s">
        <v>86</v>
      </c>
      <c r="V1716" s="5" t="s">
        <v>59</v>
      </c>
      <c r="W1716" s="5" t="s">
        <v>300</v>
      </c>
      <c r="X1716" s="5" t="s">
        <v>511</v>
      </c>
      <c r="Y1716" s="5" t="s">
        <v>6985</v>
      </c>
      <c r="Z1716" s="9">
        <v>46075</v>
      </c>
      <c r="AA1716" s="8">
        <v>12</v>
      </c>
      <c r="AB1716" s="9">
        <f t="shared" si="79"/>
        <v>46440</v>
      </c>
      <c r="AC1716" s="10">
        <v>18</v>
      </c>
      <c r="AD1716" s="7">
        <f t="shared" si="80"/>
        <v>371</v>
      </c>
      <c r="AE1716" s="7">
        <f>IF(F1716="Bullet",H1716*AD1716,MIN(MAX(I1716,1),Assumptions!$B$6)*AD1716)</f>
        <v>742</v>
      </c>
      <c r="AF1716" s="8">
        <f>IF(F1716="Bullet",MAX(0,Assumptions!$B$4-AB1716),MAX(0,Assumptions!$B$4-L1716))</f>
        <v>42</v>
      </c>
      <c r="AG1716" s="9">
        <v>46230</v>
      </c>
      <c r="AH1716" s="8">
        <f>IF(AG1716="","",Assumptions!$B$4-AG1716)</f>
        <v>68</v>
      </c>
      <c r="AI1716" s="5" t="s">
        <v>57</v>
      </c>
      <c r="AJ1716" s="8">
        <v>2</v>
      </c>
      <c r="AK1716" s="8">
        <v>0</v>
      </c>
      <c r="AL1716" s="8">
        <v>668</v>
      </c>
      <c r="AM1716" s="8">
        <v>3</v>
      </c>
      <c r="AN1716" s="5" t="s">
        <v>63</v>
      </c>
      <c r="AO1716" s="10">
        <v>65.099999999999994</v>
      </c>
      <c r="AP1716" s="8">
        <v>55</v>
      </c>
      <c r="AQ1716" s="9">
        <v>46277</v>
      </c>
      <c r="AR1716" s="5" t="s">
        <v>51</v>
      </c>
      <c r="AS1716" s="5" t="s">
        <v>81</v>
      </c>
    </row>
    <row r="1717" spans="1:45" x14ac:dyDescent="0.35">
      <c r="A1717" s="5" t="s">
        <v>6986</v>
      </c>
      <c r="B1717" s="5" t="s">
        <v>3474</v>
      </c>
      <c r="C1717" s="6" t="s">
        <v>6987</v>
      </c>
      <c r="D1717" s="7">
        <v>54600</v>
      </c>
      <c r="E1717" s="5" t="s">
        <v>48</v>
      </c>
      <c r="F1717" s="5" t="s">
        <v>49</v>
      </c>
      <c r="G1717" s="8"/>
      <c r="H1717" s="8" t="str">
        <f>IF(F1717="Bullet",MIN(G1717,Assumptions!$B$6),"")</f>
        <v/>
      </c>
      <c r="I1717" s="8">
        <v>1</v>
      </c>
      <c r="J1717" s="8">
        <f>IF(F1717="Monthly interest",MAX(0,Assumptions!$B$5-I1717),"")</f>
        <v>2</v>
      </c>
      <c r="K1717" s="7">
        <f t="shared" si="78"/>
        <v>910</v>
      </c>
      <c r="L1717" s="9">
        <v>46290</v>
      </c>
      <c r="M1717" s="5" t="s">
        <v>50</v>
      </c>
      <c r="N1717" s="5" t="s">
        <v>53</v>
      </c>
      <c r="O1717" s="5" t="s">
        <v>95</v>
      </c>
      <c r="P1717" s="5" t="s">
        <v>70</v>
      </c>
      <c r="Q1717" s="5" t="s">
        <v>54</v>
      </c>
      <c r="R1717" s="5" t="s">
        <v>55</v>
      </c>
      <c r="S1717" s="5" t="s">
        <v>185</v>
      </c>
      <c r="T1717" s="5" t="s">
        <v>63</v>
      </c>
      <c r="U1717" s="5" t="s">
        <v>58</v>
      </c>
      <c r="V1717" s="5" t="s">
        <v>186</v>
      </c>
      <c r="W1717" s="5" t="s">
        <v>376</v>
      </c>
      <c r="X1717" s="5" t="s">
        <v>2747</v>
      </c>
      <c r="Y1717" s="5" t="s">
        <v>6988</v>
      </c>
      <c r="Z1717" s="9">
        <v>46078</v>
      </c>
      <c r="AA1717" s="8">
        <v>12</v>
      </c>
      <c r="AB1717" s="9">
        <f t="shared" si="79"/>
        <v>46443</v>
      </c>
      <c r="AC1717" s="10">
        <v>20</v>
      </c>
      <c r="AD1717" s="7">
        <f t="shared" si="80"/>
        <v>910</v>
      </c>
      <c r="AE1717" s="7">
        <f>IF(F1717="Bullet",H1717*AD1717,MIN(MAX(I1717,1),Assumptions!$B$6)*AD1717)</f>
        <v>910</v>
      </c>
      <c r="AF1717" s="8">
        <f>IF(F1717="Bullet",MAX(0,Assumptions!$B$4-AB1717),MAX(0,Assumptions!$B$4-L1717))</f>
        <v>8</v>
      </c>
      <c r="AG1717" s="9">
        <v>46261</v>
      </c>
      <c r="AH1717" s="8">
        <f>IF(AG1717="","",Assumptions!$B$4-AG1717)</f>
        <v>37</v>
      </c>
      <c r="AI1717" s="5" t="s">
        <v>57</v>
      </c>
      <c r="AJ1717" s="8">
        <v>1</v>
      </c>
      <c r="AK1717" s="8">
        <v>0</v>
      </c>
      <c r="AL1717" s="8">
        <v>767</v>
      </c>
      <c r="AM1717" s="8">
        <v>1</v>
      </c>
      <c r="AN1717" s="5" t="s">
        <v>63</v>
      </c>
      <c r="AO1717" s="10">
        <v>76.900000000000006</v>
      </c>
      <c r="AP1717" s="8">
        <v>15</v>
      </c>
      <c r="AQ1717" s="9">
        <v>46282</v>
      </c>
      <c r="AR1717" s="5" t="s">
        <v>51</v>
      </c>
      <c r="AS1717" s="5" t="s">
        <v>190</v>
      </c>
    </row>
    <row r="1718" spans="1:45" x14ac:dyDescent="0.35">
      <c r="A1718" s="5" t="s">
        <v>6989</v>
      </c>
      <c r="B1718" s="5" t="s">
        <v>6990</v>
      </c>
      <c r="C1718" s="6" t="s">
        <v>6991</v>
      </c>
      <c r="D1718" s="7">
        <v>91900</v>
      </c>
      <c r="E1718" s="5" t="s">
        <v>48</v>
      </c>
      <c r="F1718" s="5" t="s">
        <v>49</v>
      </c>
      <c r="G1718" s="8"/>
      <c r="H1718" s="8" t="str">
        <f>IF(F1718="Bullet",MIN(G1718,Assumptions!$B$6),"")</f>
        <v/>
      </c>
      <c r="I1718" s="8">
        <v>2</v>
      </c>
      <c r="J1718" s="8">
        <f>IF(F1718="Monthly interest",MAX(0,Assumptions!$B$5-I1718),"")</f>
        <v>1</v>
      </c>
      <c r="K1718" s="7">
        <f t="shared" si="78"/>
        <v>2758</v>
      </c>
      <c r="L1718" s="9">
        <v>46242</v>
      </c>
      <c r="M1718" s="5" t="s">
        <v>69</v>
      </c>
      <c r="N1718" s="5" t="s">
        <v>70</v>
      </c>
      <c r="O1718" s="5" t="s">
        <v>271</v>
      </c>
      <c r="P1718" s="5" t="s">
        <v>72</v>
      </c>
      <c r="Q1718" s="5" t="s">
        <v>73</v>
      </c>
      <c r="R1718" s="5" t="s">
        <v>74</v>
      </c>
      <c r="S1718" s="5" t="s">
        <v>56</v>
      </c>
      <c r="T1718" s="5" t="s">
        <v>57</v>
      </c>
      <c r="U1718" s="5" t="s">
        <v>86</v>
      </c>
      <c r="V1718" s="5" t="s">
        <v>59</v>
      </c>
      <c r="W1718" s="5" t="s">
        <v>60</v>
      </c>
      <c r="X1718" s="5" t="s">
        <v>61</v>
      </c>
      <c r="Y1718" s="5" t="s">
        <v>6992</v>
      </c>
      <c r="Z1718" s="9">
        <v>46120</v>
      </c>
      <c r="AA1718" s="8">
        <v>18</v>
      </c>
      <c r="AB1718" s="9">
        <f t="shared" si="79"/>
        <v>46668</v>
      </c>
      <c r="AC1718" s="10">
        <v>18</v>
      </c>
      <c r="AD1718" s="7">
        <f t="shared" si="80"/>
        <v>1379</v>
      </c>
      <c r="AE1718" s="7">
        <f>IF(F1718="Bullet",H1718*AD1718,MIN(MAX(I1718,1),Assumptions!$B$6)*AD1718)</f>
        <v>2758</v>
      </c>
      <c r="AF1718" s="8">
        <f>IF(F1718="Bullet",MAX(0,Assumptions!$B$4-AB1718),MAX(0,Assumptions!$B$4-L1718))</f>
        <v>56</v>
      </c>
      <c r="AG1718" s="9">
        <v>46212</v>
      </c>
      <c r="AH1718" s="8">
        <f>IF(AG1718="","",Assumptions!$B$4-AG1718)</f>
        <v>86</v>
      </c>
      <c r="AI1718" s="5" t="s">
        <v>63</v>
      </c>
      <c r="AJ1718" s="8">
        <v>2</v>
      </c>
      <c r="AK1718" s="8">
        <v>0</v>
      </c>
      <c r="AL1718" s="8">
        <v>719</v>
      </c>
      <c r="AM1718" s="8">
        <v>1</v>
      </c>
      <c r="AN1718" s="5" t="s">
        <v>63</v>
      </c>
      <c r="AO1718" s="10">
        <v>72.3</v>
      </c>
      <c r="AP1718" s="8">
        <v>46</v>
      </c>
      <c r="AQ1718" s="9">
        <v>46286</v>
      </c>
      <c r="AR1718" s="5" t="s">
        <v>51</v>
      </c>
      <c r="AS1718" s="5" t="s">
        <v>274</v>
      </c>
    </row>
    <row r="1719" spans="1:45" x14ac:dyDescent="0.35">
      <c r="A1719" s="5" t="s">
        <v>6993</v>
      </c>
      <c r="B1719" s="5" t="s">
        <v>5934</v>
      </c>
      <c r="C1719" s="6" t="s">
        <v>6994</v>
      </c>
      <c r="D1719" s="7">
        <v>637800</v>
      </c>
      <c r="E1719" s="5" t="s">
        <v>48</v>
      </c>
      <c r="F1719" s="5" t="s">
        <v>49</v>
      </c>
      <c r="G1719" s="8"/>
      <c r="H1719" s="8" t="str">
        <f>IF(F1719="Bullet",MIN(G1719,Assumptions!$B$6),"")</f>
        <v/>
      </c>
      <c r="I1719" s="8">
        <v>2</v>
      </c>
      <c r="J1719" s="8">
        <f>IF(F1719="Monthly interest",MAX(0,Assumptions!$B$5-I1719),"")</f>
        <v>1</v>
      </c>
      <c r="K1719" s="7">
        <f t="shared" si="78"/>
        <v>19134</v>
      </c>
      <c r="L1719" s="9">
        <v>46245</v>
      </c>
      <c r="M1719" s="5" t="s">
        <v>116</v>
      </c>
      <c r="N1719" s="5" t="s">
        <v>117</v>
      </c>
      <c r="O1719" s="5" t="s">
        <v>118</v>
      </c>
      <c r="P1719" s="5" t="s">
        <v>72</v>
      </c>
      <c r="Q1719" s="5" t="s">
        <v>119</v>
      </c>
      <c r="R1719" s="5" t="s">
        <v>120</v>
      </c>
      <c r="S1719" s="5" t="s">
        <v>85</v>
      </c>
      <c r="T1719" s="5" t="s">
        <v>57</v>
      </c>
      <c r="U1719" s="5" t="s">
        <v>104</v>
      </c>
      <c r="V1719" s="5" t="s">
        <v>87</v>
      </c>
      <c r="W1719" s="5" t="s">
        <v>361</v>
      </c>
      <c r="X1719" s="5" t="s">
        <v>6995</v>
      </c>
      <c r="Y1719" s="5" t="s">
        <v>6996</v>
      </c>
      <c r="Z1719" s="9">
        <v>46184</v>
      </c>
      <c r="AA1719" s="8">
        <v>12</v>
      </c>
      <c r="AB1719" s="9">
        <f t="shared" si="79"/>
        <v>46549</v>
      </c>
      <c r="AC1719" s="10">
        <v>18</v>
      </c>
      <c r="AD1719" s="7">
        <f t="shared" si="80"/>
        <v>9567</v>
      </c>
      <c r="AE1719" s="7">
        <f>IF(F1719="Bullet",H1719*AD1719,MIN(MAX(I1719,1),Assumptions!$B$6)*AD1719)</f>
        <v>19134</v>
      </c>
      <c r="AF1719" s="8">
        <f>IF(F1719="Bullet",MAX(0,Assumptions!$B$4-AB1719),MAX(0,Assumptions!$B$4-L1719))</f>
        <v>53</v>
      </c>
      <c r="AG1719" s="9">
        <v>46217</v>
      </c>
      <c r="AH1719" s="8">
        <f>IF(AG1719="","",Assumptions!$B$4-AG1719)</f>
        <v>81</v>
      </c>
      <c r="AI1719" s="5" t="s">
        <v>63</v>
      </c>
      <c r="AJ1719" s="8">
        <v>3</v>
      </c>
      <c r="AK1719" s="8">
        <v>1</v>
      </c>
      <c r="AL1719" s="8">
        <v>724</v>
      </c>
      <c r="AM1719" s="8">
        <v>3</v>
      </c>
      <c r="AN1719" s="5" t="s">
        <v>63</v>
      </c>
      <c r="AO1719" s="10">
        <v>81.599999999999994</v>
      </c>
      <c r="AP1719" s="8">
        <v>60</v>
      </c>
      <c r="AQ1719" s="9">
        <v>46294</v>
      </c>
      <c r="AR1719" s="5" t="s">
        <v>70</v>
      </c>
      <c r="AS1719" s="5" t="s">
        <v>81</v>
      </c>
    </row>
    <row r="1720" spans="1:45" x14ac:dyDescent="0.35">
      <c r="A1720" s="5" t="s">
        <v>6997</v>
      </c>
      <c r="B1720" s="5" t="s">
        <v>6389</v>
      </c>
      <c r="C1720" s="6" t="s">
        <v>6998</v>
      </c>
      <c r="D1720" s="7">
        <v>706000</v>
      </c>
      <c r="E1720" s="5" t="s">
        <v>48</v>
      </c>
      <c r="F1720" s="5" t="s">
        <v>49</v>
      </c>
      <c r="G1720" s="8"/>
      <c r="H1720" s="8" t="str">
        <f>IF(F1720="Bullet",MIN(G1720,Assumptions!$B$6),"")</f>
        <v/>
      </c>
      <c r="I1720" s="8">
        <v>1</v>
      </c>
      <c r="J1720" s="8">
        <f>IF(F1720="Monthly interest",MAX(0,Assumptions!$B$5-I1720),"")</f>
        <v>2</v>
      </c>
      <c r="K1720" s="7">
        <f t="shared" si="78"/>
        <v>8825</v>
      </c>
      <c r="L1720" s="9">
        <v>46274</v>
      </c>
      <c r="M1720" s="5" t="s">
        <v>50</v>
      </c>
      <c r="N1720" s="5" t="s">
        <v>53</v>
      </c>
      <c r="O1720" s="5" t="s">
        <v>103</v>
      </c>
      <c r="P1720" s="5" t="s">
        <v>51</v>
      </c>
      <c r="Q1720" s="5" t="s">
        <v>54</v>
      </c>
      <c r="R1720" s="5" t="s">
        <v>55</v>
      </c>
      <c r="S1720" s="5" t="s">
        <v>85</v>
      </c>
      <c r="T1720" s="5" t="s">
        <v>57</v>
      </c>
      <c r="U1720" s="5" t="s">
        <v>104</v>
      </c>
      <c r="V1720" s="5" t="s">
        <v>133</v>
      </c>
      <c r="W1720" s="5" t="s">
        <v>317</v>
      </c>
      <c r="X1720" s="5" t="s">
        <v>318</v>
      </c>
      <c r="Y1720" s="5" t="s">
        <v>6999</v>
      </c>
      <c r="Z1720" s="9">
        <v>46090</v>
      </c>
      <c r="AA1720" s="8">
        <v>12</v>
      </c>
      <c r="AB1720" s="9">
        <f t="shared" si="79"/>
        <v>46455</v>
      </c>
      <c r="AC1720" s="10">
        <v>15</v>
      </c>
      <c r="AD1720" s="7">
        <f t="shared" si="80"/>
        <v>8825</v>
      </c>
      <c r="AE1720" s="7">
        <f>IF(F1720="Bullet",H1720*AD1720,MIN(MAX(I1720,1),Assumptions!$B$6)*AD1720)</f>
        <v>8825</v>
      </c>
      <c r="AF1720" s="8">
        <f>IF(F1720="Bullet",MAX(0,Assumptions!$B$4-AB1720),MAX(0,Assumptions!$B$4-L1720))</f>
        <v>24</v>
      </c>
      <c r="AG1720" s="9">
        <v>46245</v>
      </c>
      <c r="AH1720" s="8">
        <f>IF(AG1720="","",Assumptions!$B$4-AG1720)</f>
        <v>53</v>
      </c>
      <c r="AI1720" s="5" t="s">
        <v>63</v>
      </c>
      <c r="AJ1720" s="8">
        <v>2</v>
      </c>
      <c r="AK1720" s="8">
        <v>1</v>
      </c>
      <c r="AL1720" s="8">
        <v>736</v>
      </c>
      <c r="AM1720" s="8">
        <v>1</v>
      </c>
      <c r="AN1720" s="5" t="s">
        <v>63</v>
      </c>
      <c r="AO1720" s="10">
        <v>79.5</v>
      </c>
      <c r="AP1720" s="8">
        <v>30</v>
      </c>
      <c r="AQ1720" s="9">
        <v>46286</v>
      </c>
      <c r="AR1720" s="5" t="s">
        <v>51</v>
      </c>
      <c r="AS1720" s="5" t="s">
        <v>81</v>
      </c>
    </row>
    <row r="1721" spans="1:45" x14ac:dyDescent="0.35">
      <c r="A1721" s="5" t="s">
        <v>7000</v>
      </c>
      <c r="B1721" s="5" t="s">
        <v>7001</v>
      </c>
      <c r="C1721" s="6" t="s">
        <v>7002</v>
      </c>
      <c r="D1721" s="7">
        <v>51500</v>
      </c>
      <c r="E1721" s="5" t="s">
        <v>48</v>
      </c>
      <c r="F1721" s="5" t="s">
        <v>68</v>
      </c>
      <c r="G1721" s="8">
        <v>1</v>
      </c>
      <c r="H1721" s="8">
        <f>IF(F1721="Bullet",MIN(G1721,Assumptions!$B$6),"")</f>
        <v>1</v>
      </c>
      <c r="I1721" s="8"/>
      <c r="J1721" s="8" t="str">
        <f>IF(F1721="Monthly interest",MAX(0,Assumptions!$B$5-I1721),"")</f>
        <v/>
      </c>
      <c r="K1721" s="7">
        <f t="shared" si="78"/>
        <v>687</v>
      </c>
      <c r="L1721" s="9">
        <v>46264</v>
      </c>
      <c r="M1721" s="5" t="s">
        <v>50</v>
      </c>
      <c r="N1721" s="5" t="s">
        <v>53</v>
      </c>
      <c r="O1721" s="5" t="s">
        <v>95</v>
      </c>
      <c r="P1721" s="5" t="s">
        <v>70</v>
      </c>
      <c r="Q1721" s="5" t="s">
        <v>73</v>
      </c>
      <c r="R1721" s="5" t="s">
        <v>74</v>
      </c>
      <c r="S1721" s="5" t="s">
        <v>75</v>
      </c>
      <c r="T1721" s="5" t="s">
        <v>63</v>
      </c>
      <c r="U1721" s="5" t="s">
        <v>86</v>
      </c>
      <c r="V1721" s="5" t="s">
        <v>76</v>
      </c>
      <c r="W1721" s="5" t="s">
        <v>382</v>
      </c>
      <c r="X1721" s="5" t="s">
        <v>4446</v>
      </c>
      <c r="Y1721" s="5" t="s">
        <v>7003</v>
      </c>
      <c r="Z1721" s="9">
        <v>46264</v>
      </c>
      <c r="AA1721" s="8">
        <v>6</v>
      </c>
      <c r="AB1721" s="9">
        <f t="shared" si="79"/>
        <v>46446</v>
      </c>
      <c r="AC1721" s="10">
        <v>16</v>
      </c>
      <c r="AD1721" s="7">
        <f t="shared" si="80"/>
        <v>687</v>
      </c>
      <c r="AE1721" s="7">
        <f>IF(F1721="Bullet",H1721*AD1721,MIN(MAX(I1721,1),Assumptions!$B$6)*AD1721)</f>
        <v>687</v>
      </c>
      <c r="AF1721" s="8">
        <f>IF(F1721="Bullet",MAX(0,Assumptions!$B$4-AB1721),MAX(0,Assumptions!$B$4-L1721))</f>
        <v>0</v>
      </c>
      <c r="AG1721" s="9"/>
      <c r="AH1721" s="8" t="str">
        <f>IF(AG1721="","",Assumptions!$B$4-AG1721)</f>
        <v/>
      </c>
      <c r="AI1721" s="5" t="s">
        <v>80</v>
      </c>
      <c r="AJ1721" s="8"/>
      <c r="AK1721" s="8">
        <v>0</v>
      </c>
      <c r="AL1721" s="8">
        <v>644</v>
      </c>
      <c r="AM1721" s="8">
        <v>2</v>
      </c>
      <c r="AN1721" s="5" t="s">
        <v>63</v>
      </c>
      <c r="AO1721" s="10">
        <v>58.8</v>
      </c>
      <c r="AP1721" s="8">
        <v>21</v>
      </c>
      <c r="AQ1721" s="9"/>
      <c r="AR1721" s="5"/>
      <c r="AS1721" s="5" t="s">
        <v>159</v>
      </c>
    </row>
    <row r="1722" spans="1:45" x14ac:dyDescent="0.35">
      <c r="A1722" s="5" t="s">
        <v>7004</v>
      </c>
      <c r="B1722" s="5" t="s">
        <v>1422</v>
      </c>
      <c r="C1722" s="6" t="s">
        <v>7005</v>
      </c>
      <c r="D1722" s="7">
        <v>123600</v>
      </c>
      <c r="E1722" s="5" t="s">
        <v>48</v>
      </c>
      <c r="F1722" s="5" t="s">
        <v>68</v>
      </c>
      <c r="G1722" s="8">
        <v>1</v>
      </c>
      <c r="H1722" s="8">
        <f>IF(F1722="Bullet",MIN(G1722,Assumptions!$B$6),"")</f>
        <v>1</v>
      </c>
      <c r="I1722" s="8"/>
      <c r="J1722" s="8" t="str">
        <f>IF(F1722="Monthly interest",MAX(0,Assumptions!$B$5-I1722),"")</f>
        <v/>
      </c>
      <c r="K1722" s="7">
        <f t="shared" si="78"/>
        <v>1854</v>
      </c>
      <c r="L1722" s="9">
        <v>46259</v>
      </c>
      <c r="M1722" s="5" t="s">
        <v>50</v>
      </c>
      <c r="N1722" s="5" t="s">
        <v>51</v>
      </c>
      <c r="O1722" s="5" t="s">
        <v>71</v>
      </c>
      <c r="P1722" s="5" t="s">
        <v>53</v>
      </c>
      <c r="Q1722" s="5" t="s">
        <v>73</v>
      </c>
      <c r="R1722" s="5" t="s">
        <v>74</v>
      </c>
      <c r="S1722" s="5" t="s">
        <v>56</v>
      </c>
      <c r="T1722" s="5" t="s">
        <v>57</v>
      </c>
      <c r="U1722" s="5" t="s">
        <v>104</v>
      </c>
      <c r="V1722" s="5" t="s">
        <v>59</v>
      </c>
      <c r="W1722" s="5" t="s">
        <v>126</v>
      </c>
      <c r="X1722" s="5" t="s">
        <v>4381</v>
      </c>
      <c r="Y1722" s="5" t="s">
        <v>7006</v>
      </c>
      <c r="Z1722" s="9">
        <v>46259</v>
      </c>
      <c r="AA1722" s="8">
        <v>6</v>
      </c>
      <c r="AB1722" s="9">
        <f t="shared" si="79"/>
        <v>46443</v>
      </c>
      <c r="AC1722" s="10">
        <v>18</v>
      </c>
      <c r="AD1722" s="7">
        <f t="shared" si="80"/>
        <v>1854</v>
      </c>
      <c r="AE1722" s="7">
        <f>IF(F1722="Bullet",H1722*AD1722,MIN(MAX(I1722,1),Assumptions!$B$6)*AD1722)</f>
        <v>1854</v>
      </c>
      <c r="AF1722" s="8">
        <f>IF(F1722="Bullet",MAX(0,Assumptions!$B$4-AB1722),MAX(0,Assumptions!$B$4-L1722))</f>
        <v>0</v>
      </c>
      <c r="AG1722" s="9"/>
      <c r="AH1722" s="8" t="str">
        <f>IF(AG1722="","",Assumptions!$B$4-AG1722)</f>
        <v/>
      </c>
      <c r="AI1722" s="5" t="s">
        <v>80</v>
      </c>
      <c r="AJ1722" s="8"/>
      <c r="AK1722" s="8">
        <v>0</v>
      </c>
      <c r="AL1722" s="8" t="s">
        <v>80</v>
      </c>
      <c r="AM1722" s="8">
        <v>1</v>
      </c>
      <c r="AN1722" s="5" t="s">
        <v>63</v>
      </c>
      <c r="AO1722" s="10">
        <v>54.8</v>
      </c>
      <c r="AP1722" s="8">
        <v>12</v>
      </c>
      <c r="AQ1722" s="9">
        <v>46291</v>
      </c>
      <c r="AR1722" s="5" t="s">
        <v>51</v>
      </c>
      <c r="AS1722" s="5" t="s">
        <v>64</v>
      </c>
    </row>
    <row r="1723" spans="1:45" x14ac:dyDescent="0.35">
      <c r="A1723" s="5" t="s">
        <v>7007</v>
      </c>
      <c r="B1723" s="5" t="s">
        <v>4590</v>
      </c>
      <c r="C1723" s="6" t="s">
        <v>7008</v>
      </c>
      <c r="D1723" s="7">
        <v>274200</v>
      </c>
      <c r="E1723" s="5" t="s">
        <v>48</v>
      </c>
      <c r="F1723" s="5" t="s">
        <v>49</v>
      </c>
      <c r="G1723" s="8"/>
      <c r="H1723" s="8" t="str">
        <f>IF(F1723="Bullet",MIN(G1723,Assumptions!$B$6),"")</f>
        <v/>
      </c>
      <c r="I1723" s="8">
        <v>2</v>
      </c>
      <c r="J1723" s="8">
        <f>IF(F1723="Monthly interest",MAX(0,Assumptions!$B$5-I1723),"")</f>
        <v>1</v>
      </c>
      <c r="K1723" s="7">
        <f t="shared" si="78"/>
        <v>9140</v>
      </c>
      <c r="L1723" s="9">
        <v>46241</v>
      </c>
      <c r="M1723" s="5" t="s">
        <v>116</v>
      </c>
      <c r="N1723" s="5" t="s">
        <v>117</v>
      </c>
      <c r="O1723" s="5" t="s">
        <v>118</v>
      </c>
      <c r="P1723" s="5" t="s">
        <v>72</v>
      </c>
      <c r="Q1723" s="5" t="s">
        <v>119</v>
      </c>
      <c r="R1723" s="5" t="s">
        <v>120</v>
      </c>
      <c r="S1723" s="5" t="s">
        <v>85</v>
      </c>
      <c r="T1723" s="5" t="s">
        <v>57</v>
      </c>
      <c r="U1723" s="5" t="s">
        <v>58</v>
      </c>
      <c r="V1723" s="5" t="s">
        <v>96</v>
      </c>
      <c r="W1723" s="5" t="s">
        <v>171</v>
      </c>
      <c r="X1723" s="5" t="s">
        <v>1760</v>
      </c>
      <c r="Y1723" s="5" t="s">
        <v>7009</v>
      </c>
      <c r="Z1723" s="9">
        <v>46060</v>
      </c>
      <c r="AA1723" s="8">
        <v>12</v>
      </c>
      <c r="AB1723" s="9">
        <f t="shared" si="79"/>
        <v>46425</v>
      </c>
      <c r="AC1723" s="10">
        <v>20</v>
      </c>
      <c r="AD1723" s="7">
        <f t="shared" si="80"/>
        <v>4570</v>
      </c>
      <c r="AE1723" s="7">
        <f>IF(F1723="Bullet",H1723*AD1723,MIN(MAX(I1723,1),Assumptions!$B$6)*AD1723)</f>
        <v>9140</v>
      </c>
      <c r="AF1723" s="8">
        <f>IF(F1723="Bullet",MAX(0,Assumptions!$B$4-AB1723),MAX(0,Assumptions!$B$4-L1723))</f>
        <v>57</v>
      </c>
      <c r="AG1723" s="9">
        <v>46213</v>
      </c>
      <c r="AH1723" s="8">
        <f>IF(AG1723="","",Assumptions!$B$4-AG1723)</f>
        <v>85</v>
      </c>
      <c r="AI1723" s="5" t="s">
        <v>63</v>
      </c>
      <c r="AJ1723" s="8">
        <v>4</v>
      </c>
      <c r="AK1723" s="8">
        <v>0</v>
      </c>
      <c r="AL1723" s="8">
        <v>668</v>
      </c>
      <c r="AM1723" s="8">
        <v>0</v>
      </c>
      <c r="AN1723" s="5" t="s">
        <v>63</v>
      </c>
      <c r="AO1723" s="10">
        <v>76.3</v>
      </c>
      <c r="AP1723" s="8">
        <v>55</v>
      </c>
      <c r="AQ1723" s="9">
        <v>46287</v>
      </c>
      <c r="AR1723" s="5" t="s">
        <v>70</v>
      </c>
      <c r="AS1723" s="5" t="s">
        <v>190</v>
      </c>
    </row>
    <row r="1724" spans="1:45" x14ac:dyDescent="0.35">
      <c r="A1724" s="5" t="s">
        <v>7010</v>
      </c>
      <c r="B1724" s="5" t="s">
        <v>7011</v>
      </c>
      <c r="C1724" s="6" t="s">
        <v>7012</v>
      </c>
      <c r="D1724" s="7">
        <v>46500</v>
      </c>
      <c r="E1724" s="5" t="s">
        <v>48</v>
      </c>
      <c r="F1724" s="5" t="s">
        <v>49</v>
      </c>
      <c r="G1724" s="8"/>
      <c r="H1724" s="8" t="str">
        <f>IF(F1724="Bullet",MIN(G1724,Assumptions!$B$6),"")</f>
        <v/>
      </c>
      <c r="I1724" s="8">
        <v>1</v>
      </c>
      <c r="J1724" s="8">
        <f>IF(F1724="Monthly interest",MAX(0,Assumptions!$B$5-I1724),"")</f>
        <v>2</v>
      </c>
      <c r="K1724" s="7">
        <f t="shared" si="78"/>
        <v>775</v>
      </c>
      <c r="L1724" s="9">
        <v>46298</v>
      </c>
      <c r="M1724" s="5" t="s">
        <v>50</v>
      </c>
      <c r="N1724" s="5" t="s">
        <v>53</v>
      </c>
      <c r="O1724" s="5" t="s">
        <v>95</v>
      </c>
      <c r="P1724" s="5" t="s">
        <v>153</v>
      </c>
      <c r="Q1724" s="5" t="s">
        <v>154</v>
      </c>
      <c r="R1724" s="5" t="s">
        <v>155</v>
      </c>
      <c r="S1724" s="5" t="s">
        <v>214</v>
      </c>
      <c r="T1724" s="5" t="s">
        <v>63</v>
      </c>
      <c r="U1724" s="5" t="s">
        <v>58</v>
      </c>
      <c r="V1724" s="5" t="s">
        <v>215</v>
      </c>
      <c r="W1724" s="5" t="s">
        <v>278</v>
      </c>
      <c r="X1724" s="5" t="s">
        <v>1688</v>
      </c>
      <c r="Y1724" s="5" t="s">
        <v>7013</v>
      </c>
      <c r="Z1724" s="9">
        <v>46145</v>
      </c>
      <c r="AA1724" s="8">
        <v>24</v>
      </c>
      <c r="AB1724" s="9">
        <f t="shared" si="79"/>
        <v>46876</v>
      </c>
      <c r="AC1724" s="10">
        <v>20</v>
      </c>
      <c r="AD1724" s="7">
        <f t="shared" si="80"/>
        <v>775</v>
      </c>
      <c r="AE1724" s="7">
        <f>IF(F1724="Bullet",H1724*AD1724,MIN(MAX(I1724,1),Assumptions!$B$6)*AD1724)</f>
        <v>775</v>
      </c>
      <c r="AF1724" s="8">
        <f>IF(F1724="Bullet",MAX(0,Assumptions!$B$4-AB1724),MAX(0,Assumptions!$B$4-L1724))</f>
        <v>0</v>
      </c>
      <c r="AG1724" s="9">
        <v>46272</v>
      </c>
      <c r="AH1724" s="8">
        <f>IF(AG1724="","",Assumptions!$B$4-AG1724)</f>
        <v>26</v>
      </c>
      <c r="AI1724" s="5" t="s">
        <v>63</v>
      </c>
      <c r="AJ1724" s="8">
        <v>2</v>
      </c>
      <c r="AK1724" s="8">
        <v>1</v>
      </c>
      <c r="AL1724" s="8">
        <v>811</v>
      </c>
      <c r="AM1724" s="8">
        <v>1</v>
      </c>
      <c r="AN1724" s="5" t="s">
        <v>63</v>
      </c>
      <c r="AO1724" s="10">
        <v>78</v>
      </c>
      <c r="AP1724" s="8">
        <v>28</v>
      </c>
      <c r="AQ1724" s="9">
        <v>46281</v>
      </c>
      <c r="AR1724" s="5" t="s">
        <v>53</v>
      </c>
      <c r="AS1724" s="5" t="s">
        <v>91</v>
      </c>
    </row>
    <row r="1725" spans="1:45" x14ac:dyDescent="0.35">
      <c r="A1725" s="5" t="s">
        <v>7014</v>
      </c>
      <c r="B1725" s="5" t="s">
        <v>5151</v>
      </c>
      <c r="C1725" s="6" t="s">
        <v>7015</v>
      </c>
      <c r="D1725" s="7">
        <v>122000</v>
      </c>
      <c r="E1725" s="5" t="s">
        <v>48</v>
      </c>
      <c r="F1725" s="5" t="s">
        <v>68</v>
      </c>
      <c r="G1725" s="8">
        <v>4</v>
      </c>
      <c r="H1725" s="8">
        <f>IF(F1725="Bullet",MIN(G1725,Assumptions!$B$6),"")</f>
        <v>2</v>
      </c>
      <c r="I1725" s="8"/>
      <c r="J1725" s="8" t="str">
        <f>IF(F1725="Monthly interest",MAX(0,Assumptions!$B$5-I1725),"")</f>
        <v/>
      </c>
      <c r="K1725" s="7">
        <f t="shared" si="78"/>
        <v>4880</v>
      </c>
      <c r="L1725" s="9">
        <v>46158</v>
      </c>
      <c r="M1725" s="5" t="s">
        <v>69</v>
      </c>
      <c r="N1725" s="5" t="s">
        <v>70</v>
      </c>
      <c r="O1725" s="5" t="s">
        <v>271</v>
      </c>
      <c r="P1725" s="5" t="s">
        <v>72</v>
      </c>
      <c r="Q1725" s="5" t="s">
        <v>73</v>
      </c>
      <c r="R1725" s="5" t="s">
        <v>74</v>
      </c>
      <c r="S1725" s="5" t="s">
        <v>75</v>
      </c>
      <c r="T1725" s="5" t="s">
        <v>57</v>
      </c>
      <c r="U1725" s="5" t="s">
        <v>104</v>
      </c>
      <c r="V1725" s="5" t="s">
        <v>76</v>
      </c>
      <c r="W1725" s="5" t="s">
        <v>77</v>
      </c>
      <c r="X1725" s="5" t="s">
        <v>1613</v>
      </c>
      <c r="Y1725" s="5" t="s">
        <v>7016</v>
      </c>
      <c r="Z1725" s="9">
        <v>46158</v>
      </c>
      <c r="AA1725" s="8">
        <v>6</v>
      </c>
      <c r="AB1725" s="9">
        <f t="shared" si="79"/>
        <v>46342</v>
      </c>
      <c r="AC1725" s="10">
        <v>12</v>
      </c>
      <c r="AD1725" s="7">
        <f t="shared" si="80"/>
        <v>1220</v>
      </c>
      <c r="AE1725" s="7">
        <f>IF(F1725="Bullet",H1725*AD1725,MIN(MAX(I1725,1),Assumptions!$B$6)*AD1725)</f>
        <v>2440</v>
      </c>
      <c r="AF1725" s="8">
        <f>IF(F1725="Bullet",MAX(0,Assumptions!$B$4-AB1725),MAX(0,Assumptions!$B$4-L1725))</f>
        <v>0</v>
      </c>
      <c r="AG1725" s="9"/>
      <c r="AH1725" s="8" t="str">
        <f>IF(AG1725="","",Assumptions!$B$4-AG1725)</f>
        <v/>
      </c>
      <c r="AI1725" s="5" t="s">
        <v>80</v>
      </c>
      <c r="AJ1725" s="8"/>
      <c r="AK1725" s="8">
        <v>2</v>
      </c>
      <c r="AL1725" s="8">
        <v>753</v>
      </c>
      <c r="AM1725" s="8">
        <v>0</v>
      </c>
      <c r="AN1725" s="5" t="s">
        <v>63</v>
      </c>
      <c r="AO1725" s="10">
        <v>69.599999999999994</v>
      </c>
      <c r="AP1725" s="8">
        <v>34</v>
      </c>
      <c r="AQ1725" s="9">
        <v>46293</v>
      </c>
      <c r="AR1725" s="5" t="s">
        <v>51</v>
      </c>
      <c r="AS1725" s="5" t="s">
        <v>274</v>
      </c>
    </row>
    <row r="1726" spans="1:45" x14ac:dyDescent="0.35">
      <c r="A1726" s="5" t="s">
        <v>7017</v>
      </c>
      <c r="B1726" s="5" t="s">
        <v>7018</v>
      </c>
      <c r="C1726" s="6" t="s">
        <v>7019</v>
      </c>
      <c r="D1726" s="7">
        <v>109700</v>
      </c>
      <c r="E1726" s="5" t="s">
        <v>48</v>
      </c>
      <c r="F1726" s="5" t="s">
        <v>49</v>
      </c>
      <c r="G1726" s="8"/>
      <c r="H1726" s="8" t="str">
        <f>IF(F1726="Bullet",MIN(G1726,Assumptions!$B$6),"")</f>
        <v/>
      </c>
      <c r="I1726" s="8">
        <v>2</v>
      </c>
      <c r="J1726" s="8">
        <f>IF(F1726="Monthly interest",MAX(0,Assumptions!$B$5-I1726),"")</f>
        <v>1</v>
      </c>
      <c r="K1726" s="7">
        <f t="shared" si="78"/>
        <v>4022</v>
      </c>
      <c r="L1726" s="9">
        <v>46266</v>
      </c>
      <c r="M1726" s="5" t="s">
        <v>116</v>
      </c>
      <c r="N1726" s="5" t="s">
        <v>117</v>
      </c>
      <c r="O1726" s="5" t="s">
        <v>118</v>
      </c>
      <c r="P1726" s="5" t="s">
        <v>72</v>
      </c>
      <c r="Q1726" s="5" t="s">
        <v>119</v>
      </c>
      <c r="R1726" s="5" t="s">
        <v>120</v>
      </c>
      <c r="S1726" s="5" t="s">
        <v>185</v>
      </c>
      <c r="T1726" s="5" t="s">
        <v>57</v>
      </c>
      <c r="U1726" s="5" t="s">
        <v>86</v>
      </c>
      <c r="V1726" s="5" t="s">
        <v>200</v>
      </c>
      <c r="W1726" s="5" t="s">
        <v>1332</v>
      </c>
      <c r="X1726" s="5" t="s">
        <v>3156</v>
      </c>
      <c r="Y1726" s="5" t="s">
        <v>7020</v>
      </c>
      <c r="Z1726" s="9">
        <v>46082</v>
      </c>
      <c r="AA1726" s="8">
        <v>12</v>
      </c>
      <c r="AB1726" s="9">
        <f t="shared" si="79"/>
        <v>46447</v>
      </c>
      <c r="AC1726" s="10">
        <v>22</v>
      </c>
      <c r="AD1726" s="7">
        <f t="shared" si="80"/>
        <v>2011</v>
      </c>
      <c r="AE1726" s="7">
        <f>IF(F1726="Bullet",H1726*AD1726,MIN(MAX(I1726,1),Assumptions!$B$6)*AD1726)</f>
        <v>4022</v>
      </c>
      <c r="AF1726" s="8">
        <f>IF(F1726="Bullet",MAX(0,Assumptions!$B$4-AB1726),MAX(0,Assumptions!$B$4-L1726))</f>
        <v>32</v>
      </c>
      <c r="AG1726" s="9">
        <v>46237</v>
      </c>
      <c r="AH1726" s="8">
        <f>IF(AG1726="","",Assumptions!$B$4-AG1726)</f>
        <v>61</v>
      </c>
      <c r="AI1726" s="5" t="s">
        <v>57</v>
      </c>
      <c r="AJ1726" s="8">
        <v>4</v>
      </c>
      <c r="AK1726" s="8">
        <v>0</v>
      </c>
      <c r="AL1726" s="8">
        <v>637</v>
      </c>
      <c r="AM1726" s="8">
        <v>1</v>
      </c>
      <c r="AN1726" s="5" t="s">
        <v>63</v>
      </c>
      <c r="AO1726" s="10">
        <v>75.099999999999994</v>
      </c>
      <c r="AP1726" s="8">
        <v>58</v>
      </c>
      <c r="AQ1726" s="9">
        <v>46275</v>
      </c>
      <c r="AR1726" s="5" t="s">
        <v>70</v>
      </c>
      <c r="AS1726" s="5" t="s">
        <v>81</v>
      </c>
    </row>
    <row r="1727" spans="1:45" x14ac:dyDescent="0.35">
      <c r="A1727" s="5" t="s">
        <v>7021</v>
      </c>
      <c r="B1727" s="5" t="s">
        <v>1488</v>
      </c>
      <c r="C1727" s="6" t="s">
        <v>7022</v>
      </c>
      <c r="D1727" s="7">
        <v>309700</v>
      </c>
      <c r="E1727" s="5" t="s">
        <v>48</v>
      </c>
      <c r="F1727" s="5" t="s">
        <v>49</v>
      </c>
      <c r="G1727" s="8"/>
      <c r="H1727" s="8" t="str">
        <f>IF(F1727="Bullet",MIN(G1727,Assumptions!$B$6),"")</f>
        <v/>
      </c>
      <c r="I1727" s="8">
        <v>2</v>
      </c>
      <c r="J1727" s="8">
        <f>IF(F1727="Monthly interest",MAX(0,Assumptions!$B$5-I1727),"")</f>
        <v>1</v>
      </c>
      <c r="K1727" s="7">
        <f t="shared" si="78"/>
        <v>7742</v>
      </c>
      <c r="L1727" s="9">
        <v>46248</v>
      </c>
      <c r="M1727" s="5" t="s">
        <v>116</v>
      </c>
      <c r="N1727" s="5" t="s">
        <v>117</v>
      </c>
      <c r="O1727" s="5" t="s">
        <v>118</v>
      </c>
      <c r="P1727" s="5" t="s">
        <v>72</v>
      </c>
      <c r="Q1727" s="5" t="s">
        <v>119</v>
      </c>
      <c r="R1727" s="5" t="s">
        <v>120</v>
      </c>
      <c r="S1727" s="5" t="s">
        <v>56</v>
      </c>
      <c r="T1727" s="5" t="s">
        <v>57</v>
      </c>
      <c r="U1727" s="5" t="s">
        <v>86</v>
      </c>
      <c r="V1727" s="5" t="s">
        <v>59</v>
      </c>
      <c r="W1727" s="5" t="s">
        <v>60</v>
      </c>
      <c r="X1727" s="5" t="s">
        <v>1076</v>
      </c>
      <c r="Y1727" s="5" t="s">
        <v>7023</v>
      </c>
      <c r="Z1727" s="9">
        <v>46005</v>
      </c>
      <c r="AA1727" s="8">
        <v>24</v>
      </c>
      <c r="AB1727" s="9">
        <f t="shared" si="79"/>
        <v>46735</v>
      </c>
      <c r="AC1727" s="10">
        <v>15</v>
      </c>
      <c r="AD1727" s="7">
        <f t="shared" si="80"/>
        <v>3871</v>
      </c>
      <c r="AE1727" s="7">
        <f>IF(F1727="Bullet",H1727*AD1727,MIN(MAX(I1727,1),Assumptions!$B$6)*AD1727)</f>
        <v>7742</v>
      </c>
      <c r="AF1727" s="8">
        <f>IF(F1727="Bullet",MAX(0,Assumptions!$B$4-AB1727),MAX(0,Assumptions!$B$4-L1727))</f>
        <v>50</v>
      </c>
      <c r="AG1727" s="9">
        <v>46222</v>
      </c>
      <c r="AH1727" s="8">
        <f>IF(AG1727="","",Assumptions!$B$4-AG1727)</f>
        <v>76</v>
      </c>
      <c r="AI1727" s="5" t="s">
        <v>57</v>
      </c>
      <c r="AJ1727" s="8">
        <v>3</v>
      </c>
      <c r="AK1727" s="8">
        <v>1</v>
      </c>
      <c r="AL1727" s="8">
        <v>678</v>
      </c>
      <c r="AM1727" s="8">
        <v>1</v>
      </c>
      <c r="AN1727" s="5" t="s">
        <v>63</v>
      </c>
      <c r="AO1727" s="10">
        <v>86.8</v>
      </c>
      <c r="AP1727" s="8">
        <v>65</v>
      </c>
      <c r="AQ1727" s="9">
        <v>46279</v>
      </c>
      <c r="AR1727" s="5" t="s">
        <v>51</v>
      </c>
      <c r="AS1727" s="5" t="s">
        <v>181</v>
      </c>
    </row>
    <row r="1728" spans="1:45" x14ac:dyDescent="0.35">
      <c r="A1728" s="5" t="s">
        <v>7024</v>
      </c>
      <c r="B1728" s="5" t="s">
        <v>109</v>
      </c>
      <c r="C1728" s="6" t="s">
        <v>7025</v>
      </c>
      <c r="D1728" s="7">
        <v>186500</v>
      </c>
      <c r="E1728" s="5" t="s">
        <v>48</v>
      </c>
      <c r="F1728" s="5" t="s">
        <v>68</v>
      </c>
      <c r="G1728" s="8">
        <v>6</v>
      </c>
      <c r="H1728" s="8">
        <f>IF(F1728="Bullet",MIN(G1728,Assumptions!$B$6),"")</f>
        <v>2</v>
      </c>
      <c r="I1728" s="8"/>
      <c r="J1728" s="8" t="str">
        <f>IF(F1728="Monthly interest",MAX(0,Assumptions!$B$5-I1728),"")</f>
        <v/>
      </c>
      <c r="K1728" s="7">
        <f t="shared" si="78"/>
        <v>13986</v>
      </c>
      <c r="L1728" s="9">
        <v>46114</v>
      </c>
      <c r="M1728" s="5" t="s">
        <v>116</v>
      </c>
      <c r="N1728" s="5" t="s">
        <v>117</v>
      </c>
      <c r="O1728" s="5" t="s">
        <v>461</v>
      </c>
      <c r="P1728" s="5" t="s">
        <v>72</v>
      </c>
      <c r="Q1728" s="5" t="s">
        <v>169</v>
      </c>
      <c r="R1728" s="5" t="s">
        <v>170</v>
      </c>
      <c r="S1728" s="5" t="s">
        <v>75</v>
      </c>
      <c r="T1728" s="5" t="s">
        <v>57</v>
      </c>
      <c r="U1728" s="5" t="s">
        <v>58</v>
      </c>
      <c r="V1728" s="5" t="s">
        <v>76</v>
      </c>
      <c r="W1728" s="5" t="s">
        <v>77</v>
      </c>
      <c r="X1728" s="5" t="s">
        <v>1879</v>
      </c>
      <c r="Y1728" s="5" t="s">
        <v>7026</v>
      </c>
      <c r="Z1728" s="9">
        <v>46114</v>
      </c>
      <c r="AA1728" s="8">
        <v>6</v>
      </c>
      <c r="AB1728" s="9">
        <f t="shared" si="79"/>
        <v>46297</v>
      </c>
      <c r="AC1728" s="10">
        <v>15</v>
      </c>
      <c r="AD1728" s="7">
        <f t="shared" si="80"/>
        <v>2331</v>
      </c>
      <c r="AE1728" s="7">
        <f>IF(F1728="Bullet",H1728*AD1728,MIN(MAX(I1728,1),Assumptions!$B$6)*AD1728)</f>
        <v>4662</v>
      </c>
      <c r="AF1728" s="8">
        <f>IF(F1728="Bullet",MAX(0,Assumptions!$B$4-AB1728),MAX(0,Assumptions!$B$4-L1728))</f>
        <v>1</v>
      </c>
      <c r="AG1728" s="9"/>
      <c r="AH1728" s="8" t="str">
        <f>IF(AG1728="","",Assumptions!$B$4-AG1728)</f>
        <v/>
      </c>
      <c r="AI1728" s="5" t="s">
        <v>80</v>
      </c>
      <c r="AJ1728" s="8"/>
      <c r="AK1728" s="8">
        <v>1</v>
      </c>
      <c r="AL1728" s="8" t="s">
        <v>80</v>
      </c>
      <c r="AM1728" s="8">
        <v>2</v>
      </c>
      <c r="AN1728" s="5" t="s">
        <v>63</v>
      </c>
      <c r="AO1728" s="10">
        <v>77.599999999999994</v>
      </c>
      <c r="AP1728" s="8">
        <v>67</v>
      </c>
      <c r="AQ1728" s="9">
        <v>46285</v>
      </c>
      <c r="AR1728" s="5" t="s">
        <v>51</v>
      </c>
      <c r="AS1728" s="5" t="s">
        <v>64</v>
      </c>
    </row>
    <row r="1729" spans="1:45" x14ac:dyDescent="0.35">
      <c r="A1729" s="5" t="s">
        <v>7027</v>
      </c>
      <c r="B1729" s="5" t="s">
        <v>1483</v>
      </c>
      <c r="C1729" s="6" t="s">
        <v>7028</v>
      </c>
      <c r="D1729" s="7">
        <v>306100</v>
      </c>
      <c r="E1729" s="5" t="s">
        <v>48</v>
      </c>
      <c r="F1729" s="5" t="s">
        <v>68</v>
      </c>
      <c r="G1729" s="8">
        <v>1</v>
      </c>
      <c r="H1729" s="8">
        <f>IF(F1729="Bullet",MIN(G1729,Assumptions!$B$6),"")</f>
        <v>1</v>
      </c>
      <c r="I1729" s="8"/>
      <c r="J1729" s="8" t="str">
        <f>IF(F1729="Monthly interest",MAX(0,Assumptions!$B$5-I1729),"")</f>
        <v/>
      </c>
      <c r="K1729" s="7">
        <f t="shared" si="78"/>
        <v>3316</v>
      </c>
      <c r="L1729" s="9">
        <v>46267</v>
      </c>
      <c r="M1729" s="5" t="s">
        <v>50</v>
      </c>
      <c r="N1729" s="5" t="s">
        <v>53</v>
      </c>
      <c r="O1729" s="5" t="s">
        <v>132</v>
      </c>
      <c r="P1729" s="5" t="s">
        <v>51</v>
      </c>
      <c r="Q1729" s="5" t="s">
        <v>73</v>
      </c>
      <c r="R1729" s="5" t="s">
        <v>74</v>
      </c>
      <c r="S1729" s="5" t="s">
        <v>56</v>
      </c>
      <c r="T1729" s="5" t="s">
        <v>57</v>
      </c>
      <c r="U1729" s="5" t="s">
        <v>86</v>
      </c>
      <c r="V1729" s="5" t="s">
        <v>59</v>
      </c>
      <c r="W1729" s="5" t="s">
        <v>156</v>
      </c>
      <c r="X1729" s="5" t="s">
        <v>5250</v>
      </c>
      <c r="Y1729" s="5" t="s">
        <v>7029</v>
      </c>
      <c r="Z1729" s="9">
        <v>46267</v>
      </c>
      <c r="AA1729" s="8">
        <v>6</v>
      </c>
      <c r="AB1729" s="9">
        <f t="shared" si="79"/>
        <v>46448</v>
      </c>
      <c r="AC1729" s="10">
        <v>13</v>
      </c>
      <c r="AD1729" s="7">
        <f t="shared" si="80"/>
        <v>3316</v>
      </c>
      <c r="AE1729" s="7">
        <f>IF(F1729="Bullet",H1729*AD1729,MIN(MAX(I1729,1),Assumptions!$B$6)*AD1729)</f>
        <v>3316</v>
      </c>
      <c r="AF1729" s="8">
        <f>IF(F1729="Bullet",MAX(0,Assumptions!$B$4-AB1729),MAX(0,Assumptions!$B$4-L1729))</f>
        <v>0</v>
      </c>
      <c r="AG1729" s="9"/>
      <c r="AH1729" s="8" t="str">
        <f>IF(AG1729="","",Assumptions!$B$4-AG1729)</f>
        <v/>
      </c>
      <c r="AI1729" s="5" t="s">
        <v>80</v>
      </c>
      <c r="AJ1729" s="8"/>
      <c r="AK1729" s="8">
        <v>0</v>
      </c>
      <c r="AL1729" s="8">
        <v>700</v>
      </c>
      <c r="AM1729" s="8">
        <v>0</v>
      </c>
      <c r="AN1729" s="5" t="s">
        <v>63</v>
      </c>
      <c r="AO1729" s="10">
        <v>57.1</v>
      </c>
      <c r="AP1729" s="8">
        <v>13</v>
      </c>
      <c r="AQ1729" s="9">
        <v>46280</v>
      </c>
      <c r="AR1729" s="5" t="s">
        <v>51</v>
      </c>
      <c r="AS1729" s="5" t="s">
        <v>91</v>
      </c>
    </row>
    <row r="1730" spans="1:45" x14ac:dyDescent="0.35">
      <c r="A1730" s="5" t="s">
        <v>7030</v>
      </c>
      <c r="B1730" s="5" t="s">
        <v>7031</v>
      </c>
      <c r="C1730" s="6" t="s">
        <v>7032</v>
      </c>
      <c r="D1730" s="7">
        <v>228700</v>
      </c>
      <c r="E1730" s="5" t="s">
        <v>48</v>
      </c>
      <c r="F1730" s="5" t="s">
        <v>49</v>
      </c>
      <c r="G1730" s="8"/>
      <c r="H1730" s="8" t="str">
        <f>IF(F1730="Bullet",MIN(G1730,Assumptions!$B$6),"")</f>
        <v/>
      </c>
      <c r="I1730" s="8">
        <v>2</v>
      </c>
      <c r="J1730" s="8">
        <f>IF(F1730="Monthly interest",MAX(0,Assumptions!$B$5-I1730),"")</f>
        <v>1</v>
      </c>
      <c r="K1730" s="7">
        <f t="shared" ref="K1730:K1793" si="81">IF(F1730="Bullet",G1730*AD1730,MAX(I1730,1)*AD1730)</f>
        <v>7624</v>
      </c>
      <c r="L1730" s="9">
        <v>46258</v>
      </c>
      <c r="M1730" s="5" t="s">
        <v>69</v>
      </c>
      <c r="N1730" s="5" t="s">
        <v>70</v>
      </c>
      <c r="O1730" s="5" t="s">
        <v>71</v>
      </c>
      <c r="P1730" s="5" t="s">
        <v>72</v>
      </c>
      <c r="Q1730" s="5" t="s">
        <v>73</v>
      </c>
      <c r="R1730" s="5" t="s">
        <v>74</v>
      </c>
      <c r="S1730" s="5" t="s">
        <v>75</v>
      </c>
      <c r="T1730" s="5" t="s">
        <v>57</v>
      </c>
      <c r="U1730" s="5" t="s">
        <v>58</v>
      </c>
      <c r="V1730" s="5" t="s">
        <v>76</v>
      </c>
      <c r="W1730" s="5" t="s">
        <v>77</v>
      </c>
      <c r="X1730" s="5" t="s">
        <v>1706</v>
      </c>
      <c r="Y1730" s="5" t="s">
        <v>7033</v>
      </c>
      <c r="Z1730" s="9">
        <v>46077</v>
      </c>
      <c r="AA1730" s="8">
        <v>24</v>
      </c>
      <c r="AB1730" s="9">
        <f t="shared" ref="AB1730:AB1793" si="82">EDATE(Z1730,AA1730)</f>
        <v>46807</v>
      </c>
      <c r="AC1730" s="10">
        <v>20</v>
      </c>
      <c r="AD1730" s="7">
        <f t="shared" ref="AD1730:AD1793" si="83">ROUND(D1730*AC1730/100/12,0)</f>
        <v>3812</v>
      </c>
      <c r="AE1730" s="7">
        <f>IF(F1730="Bullet",H1730*AD1730,MIN(MAX(I1730,1),Assumptions!$B$6)*AD1730)</f>
        <v>7624</v>
      </c>
      <c r="AF1730" s="8">
        <f>IF(F1730="Bullet",MAX(0,Assumptions!$B$4-AB1730),MAX(0,Assumptions!$B$4-L1730))</f>
        <v>40</v>
      </c>
      <c r="AG1730" s="9">
        <v>46230</v>
      </c>
      <c r="AH1730" s="8">
        <f>IF(AG1730="","",Assumptions!$B$4-AG1730)</f>
        <v>68</v>
      </c>
      <c r="AI1730" s="5" t="s">
        <v>63</v>
      </c>
      <c r="AJ1730" s="8">
        <v>2</v>
      </c>
      <c r="AK1730" s="8">
        <v>0</v>
      </c>
      <c r="AL1730" s="8" t="s">
        <v>80</v>
      </c>
      <c r="AM1730" s="8">
        <v>1</v>
      </c>
      <c r="AN1730" s="5" t="s">
        <v>63</v>
      </c>
      <c r="AO1730" s="10">
        <v>72.7</v>
      </c>
      <c r="AP1730" s="8">
        <v>44</v>
      </c>
      <c r="AQ1730" s="9">
        <v>46295</v>
      </c>
      <c r="AR1730" s="5" t="s">
        <v>70</v>
      </c>
      <c r="AS1730" s="5" t="s">
        <v>64</v>
      </c>
    </row>
    <row r="1731" spans="1:45" x14ac:dyDescent="0.35">
      <c r="A1731" s="5" t="s">
        <v>7034</v>
      </c>
      <c r="B1731" s="5" t="s">
        <v>7035</v>
      </c>
      <c r="C1731" s="6" t="s">
        <v>7036</v>
      </c>
      <c r="D1731" s="7">
        <v>97500</v>
      </c>
      <c r="E1731" s="5" t="s">
        <v>48</v>
      </c>
      <c r="F1731" s="5" t="s">
        <v>68</v>
      </c>
      <c r="G1731" s="8">
        <v>4</v>
      </c>
      <c r="H1731" s="8">
        <f>IF(F1731="Bullet",MIN(G1731,Assumptions!$B$6),"")</f>
        <v>2</v>
      </c>
      <c r="I1731" s="8"/>
      <c r="J1731" s="8" t="str">
        <f>IF(F1731="Monthly interest",MAX(0,Assumptions!$B$5-I1731),"")</f>
        <v/>
      </c>
      <c r="K1731" s="7">
        <f t="shared" si="81"/>
        <v>4552</v>
      </c>
      <c r="L1731" s="9">
        <v>46171</v>
      </c>
      <c r="M1731" s="5" t="s">
        <v>50</v>
      </c>
      <c r="N1731" s="5" t="s">
        <v>53</v>
      </c>
      <c r="O1731" s="5" t="s">
        <v>71</v>
      </c>
      <c r="P1731" s="5" t="s">
        <v>70</v>
      </c>
      <c r="Q1731" s="5" t="s">
        <v>73</v>
      </c>
      <c r="R1731" s="5" t="s">
        <v>74</v>
      </c>
      <c r="S1731" s="5" t="s">
        <v>185</v>
      </c>
      <c r="T1731" s="5" t="s">
        <v>63</v>
      </c>
      <c r="U1731" s="5" t="s">
        <v>86</v>
      </c>
      <c r="V1731" s="5" t="s">
        <v>186</v>
      </c>
      <c r="W1731" s="5" t="s">
        <v>694</v>
      </c>
      <c r="X1731" s="5" t="s">
        <v>2057</v>
      </c>
      <c r="Y1731" s="5" t="s">
        <v>7037</v>
      </c>
      <c r="Z1731" s="9">
        <v>46171</v>
      </c>
      <c r="AA1731" s="8">
        <v>3</v>
      </c>
      <c r="AB1731" s="9">
        <f t="shared" si="82"/>
        <v>46263</v>
      </c>
      <c r="AC1731" s="10">
        <v>14</v>
      </c>
      <c r="AD1731" s="7">
        <f t="shared" si="83"/>
        <v>1138</v>
      </c>
      <c r="AE1731" s="7">
        <f>IF(F1731="Bullet",H1731*AD1731,MIN(MAX(I1731,1),Assumptions!$B$6)*AD1731)</f>
        <v>2276</v>
      </c>
      <c r="AF1731" s="8">
        <f>IF(F1731="Bullet",MAX(0,Assumptions!$B$4-AB1731),MAX(0,Assumptions!$B$4-L1731))</f>
        <v>35</v>
      </c>
      <c r="AG1731" s="9"/>
      <c r="AH1731" s="8" t="str">
        <f>IF(AG1731="","",Assumptions!$B$4-AG1731)</f>
        <v/>
      </c>
      <c r="AI1731" s="5" t="s">
        <v>80</v>
      </c>
      <c r="AJ1731" s="8"/>
      <c r="AK1731" s="8">
        <v>0</v>
      </c>
      <c r="AL1731" s="8">
        <v>830</v>
      </c>
      <c r="AM1731" s="8">
        <v>1</v>
      </c>
      <c r="AN1731" s="5" t="s">
        <v>63</v>
      </c>
      <c r="AO1731" s="10">
        <v>78.900000000000006</v>
      </c>
      <c r="AP1731" s="8">
        <v>29</v>
      </c>
      <c r="AQ1731" s="9">
        <v>46290</v>
      </c>
      <c r="AR1731" s="5" t="s">
        <v>51</v>
      </c>
      <c r="AS1731" s="5" t="s">
        <v>190</v>
      </c>
    </row>
    <row r="1732" spans="1:45" x14ac:dyDescent="0.35">
      <c r="A1732" s="5" t="s">
        <v>7038</v>
      </c>
      <c r="B1732" s="5" t="s">
        <v>860</v>
      </c>
      <c r="C1732" s="6" t="s">
        <v>7039</v>
      </c>
      <c r="D1732" s="7">
        <v>127400</v>
      </c>
      <c r="E1732" s="5" t="s">
        <v>48</v>
      </c>
      <c r="F1732" s="5" t="s">
        <v>68</v>
      </c>
      <c r="G1732" s="8">
        <v>3</v>
      </c>
      <c r="H1732" s="8">
        <f>IF(F1732="Bullet",MIN(G1732,Assumptions!$B$6),"")</f>
        <v>2</v>
      </c>
      <c r="I1732" s="8"/>
      <c r="J1732" s="8" t="str">
        <f>IF(F1732="Monthly interest",MAX(0,Assumptions!$B$5-I1732),"")</f>
        <v/>
      </c>
      <c r="K1732" s="7">
        <f t="shared" si="81"/>
        <v>4779</v>
      </c>
      <c r="L1732" s="9">
        <v>46186</v>
      </c>
      <c r="M1732" s="5" t="s">
        <v>69</v>
      </c>
      <c r="N1732" s="5" t="s">
        <v>53</v>
      </c>
      <c r="O1732" s="5" t="s">
        <v>71</v>
      </c>
      <c r="P1732" s="5" t="s">
        <v>70</v>
      </c>
      <c r="Q1732" s="5" t="s">
        <v>73</v>
      </c>
      <c r="R1732" s="5" t="s">
        <v>74</v>
      </c>
      <c r="S1732" s="5" t="s">
        <v>214</v>
      </c>
      <c r="T1732" s="5" t="s">
        <v>57</v>
      </c>
      <c r="U1732" s="5" t="s">
        <v>104</v>
      </c>
      <c r="V1732" s="5" t="s">
        <v>215</v>
      </c>
      <c r="W1732" s="5" t="s">
        <v>242</v>
      </c>
      <c r="X1732" s="5" t="s">
        <v>1215</v>
      </c>
      <c r="Y1732" s="5" t="s">
        <v>7040</v>
      </c>
      <c r="Z1732" s="9">
        <v>46186</v>
      </c>
      <c r="AA1732" s="8">
        <v>12</v>
      </c>
      <c r="AB1732" s="9">
        <f t="shared" si="82"/>
        <v>46551</v>
      </c>
      <c r="AC1732" s="10">
        <v>15</v>
      </c>
      <c r="AD1732" s="7">
        <f t="shared" si="83"/>
        <v>1593</v>
      </c>
      <c r="AE1732" s="7">
        <f>IF(F1732="Bullet",H1732*AD1732,MIN(MAX(I1732,1),Assumptions!$B$6)*AD1732)</f>
        <v>3186</v>
      </c>
      <c r="AF1732" s="8">
        <f>IF(F1732="Bullet",MAX(0,Assumptions!$B$4-AB1732),MAX(0,Assumptions!$B$4-L1732))</f>
        <v>0</v>
      </c>
      <c r="AG1732" s="9"/>
      <c r="AH1732" s="8" t="str">
        <f>IF(AG1732="","",Assumptions!$B$4-AG1732)</f>
        <v/>
      </c>
      <c r="AI1732" s="5" t="s">
        <v>80</v>
      </c>
      <c r="AJ1732" s="8"/>
      <c r="AK1732" s="8">
        <v>0</v>
      </c>
      <c r="AL1732" s="8">
        <v>645</v>
      </c>
      <c r="AM1732" s="8">
        <v>1</v>
      </c>
      <c r="AN1732" s="5" t="s">
        <v>63</v>
      </c>
      <c r="AO1732" s="10">
        <v>76.400000000000006</v>
      </c>
      <c r="AP1732" s="8">
        <v>33</v>
      </c>
      <c r="AQ1732" s="9">
        <v>46275</v>
      </c>
      <c r="AR1732" s="5" t="s">
        <v>70</v>
      </c>
      <c r="AS1732" s="5" t="s">
        <v>181</v>
      </c>
    </row>
    <row r="1733" spans="1:45" x14ac:dyDescent="0.35">
      <c r="A1733" s="5" t="s">
        <v>7041</v>
      </c>
      <c r="B1733" s="5" t="s">
        <v>1119</v>
      </c>
      <c r="C1733" s="6" t="s">
        <v>7042</v>
      </c>
      <c r="D1733" s="7">
        <v>48900</v>
      </c>
      <c r="E1733" s="5" t="s">
        <v>48</v>
      </c>
      <c r="F1733" s="5" t="s">
        <v>49</v>
      </c>
      <c r="G1733" s="8"/>
      <c r="H1733" s="8" t="str">
        <f>IF(F1733="Bullet",MIN(G1733,Assumptions!$B$6),"")</f>
        <v/>
      </c>
      <c r="I1733" s="8">
        <v>2</v>
      </c>
      <c r="J1733" s="8">
        <f>IF(F1733="Monthly interest",MAX(0,Assumptions!$B$5-I1733),"")</f>
        <v>1</v>
      </c>
      <c r="K1733" s="7">
        <f t="shared" si="81"/>
        <v>1222</v>
      </c>
      <c r="L1733" s="9">
        <v>46258</v>
      </c>
      <c r="M1733" s="5" t="s">
        <v>69</v>
      </c>
      <c r="N1733" s="5" t="s">
        <v>53</v>
      </c>
      <c r="O1733" s="5" t="s">
        <v>152</v>
      </c>
      <c r="P1733" s="5" t="s">
        <v>153</v>
      </c>
      <c r="Q1733" s="5" t="s">
        <v>154</v>
      </c>
      <c r="R1733" s="5" t="s">
        <v>155</v>
      </c>
      <c r="S1733" s="5" t="s">
        <v>56</v>
      </c>
      <c r="T1733" s="5" t="s">
        <v>63</v>
      </c>
      <c r="U1733" s="5" t="s">
        <v>86</v>
      </c>
      <c r="V1733" s="5" t="s">
        <v>59</v>
      </c>
      <c r="W1733" s="5" t="s">
        <v>300</v>
      </c>
      <c r="X1733" s="5" t="s">
        <v>1193</v>
      </c>
      <c r="Y1733" s="5" t="s">
        <v>7043</v>
      </c>
      <c r="Z1733" s="9">
        <v>46136</v>
      </c>
      <c r="AA1733" s="8">
        <v>12</v>
      </c>
      <c r="AB1733" s="9">
        <f t="shared" si="82"/>
        <v>46501</v>
      </c>
      <c r="AC1733" s="10">
        <v>15</v>
      </c>
      <c r="AD1733" s="7">
        <f t="shared" si="83"/>
        <v>611</v>
      </c>
      <c r="AE1733" s="7">
        <f>IF(F1733="Bullet",H1733*AD1733,MIN(MAX(I1733,1),Assumptions!$B$6)*AD1733)</f>
        <v>1222</v>
      </c>
      <c r="AF1733" s="8">
        <f>IF(F1733="Bullet",MAX(0,Assumptions!$B$4-AB1733),MAX(0,Assumptions!$B$4-L1733))</f>
        <v>40</v>
      </c>
      <c r="AG1733" s="9">
        <v>46229</v>
      </c>
      <c r="AH1733" s="8">
        <f>IF(AG1733="","",Assumptions!$B$4-AG1733)</f>
        <v>69</v>
      </c>
      <c r="AI1733" s="5" t="s">
        <v>63</v>
      </c>
      <c r="AJ1733" s="8">
        <v>2</v>
      </c>
      <c r="AK1733" s="8">
        <v>1</v>
      </c>
      <c r="AL1733" s="8">
        <v>749</v>
      </c>
      <c r="AM1733" s="8">
        <v>0</v>
      </c>
      <c r="AN1733" s="5" t="s">
        <v>63</v>
      </c>
      <c r="AO1733" s="10">
        <v>79.400000000000006</v>
      </c>
      <c r="AP1733" s="8">
        <v>44</v>
      </c>
      <c r="AQ1733" s="9">
        <v>46282</v>
      </c>
      <c r="AR1733" s="5" t="s">
        <v>70</v>
      </c>
      <c r="AS1733" s="5" t="s">
        <v>64</v>
      </c>
    </row>
    <row r="1734" spans="1:45" x14ac:dyDescent="0.35">
      <c r="A1734" s="5" t="s">
        <v>7044</v>
      </c>
      <c r="B1734" s="5" t="s">
        <v>1374</v>
      </c>
      <c r="C1734" s="6" t="s">
        <v>7045</v>
      </c>
      <c r="D1734" s="7">
        <v>147600</v>
      </c>
      <c r="E1734" s="5" t="s">
        <v>48</v>
      </c>
      <c r="F1734" s="5" t="s">
        <v>68</v>
      </c>
      <c r="G1734" s="8">
        <v>6</v>
      </c>
      <c r="H1734" s="8">
        <f>IF(F1734="Bullet",MIN(G1734,Assumptions!$B$6),"")</f>
        <v>2</v>
      </c>
      <c r="I1734" s="8"/>
      <c r="J1734" s="8" t="str">
        <f>IF(F1734="Monthly interest",MAX(0,Assumptions!$B$5-I1734),"")</f>
        <v/>
      </c>
      <c r="K1734" s="7">
        <f t="shared" si="81"/>
        <v>13284</v>
      </c>
      <c r="L1734" s="9">
        <v>46099</v>
      </c>
      <c r="M1734" s="5" t="s">
        <v>116</v>
      </c>
      <c r="N1734" s="5" t="s">
        <v>117</v>
      </c>
      <c r="O1734" s="5" t="s">
        <v>461</v>
      </c>
      <c r="P1734" s="5" t="s">
        <v>72</v>
      </c>
      <c r="Q1734" s="5" t="s">
        <v>169</v>
      </c>
      <c r="R1734" s="5" t="s">
        <v>170</v>
      </c>
      <c r="S1734" s="5" t="s">
        <v>85</v>
      </c>
      <c r="T1734" s="5" t="s">
        <v>57</v>
      </c>
      <c r="U1734" s="5" t="s">
        <v>104</v>
      </c>
      <c r="V1734" s="5" t="s">
        <v>96</v>
      </c>
      <c r="W1734" s="5" t="s">
        <v>265</v>
      </c>
      <c r="X1734" s="5" t="s">
        <v>1773</v>
      </c>
      <c r="Y1734" s="5" t="s">
        <v>7046</v>
      </c>
      <c r="Z1734" s="9">
        <v>46099</v>
      </c>
      <c r="AA1734" s="8">
        <v>6</v>
      </c>
      <c r="AB1734" s="9">
        <f t="shared" si="82"/>
        <v>46283</v>
      </c>
      <c r="AC1734" s="10">
        <v>18</v>
      </c>
      <c r="AD1734" s="7">
        <f t="shared" si="83"/>
        <v>2214</v>
      </c>
      <c r="AE1734" s="7">
        <f>IF(F1734="Bullet",H1734*AD1734,MIN(MAX(I1734,1),Assumptions!$B$6)*AD1734)</f>
        <v>4428</v>
      </c>
      <c r="AF1734" s="8">
        <f>IF(F1734="Bullet",MAX(0,Assumptions!$B$4-AB1734),MAX(0,Assumptions!$B$4-L1734))</f>
        <v>15</v>
      </c>
      <c r="AG1734" s="9"/>
      <c r="AH1734" s="8" t="str">
        <f>IF(AG1734="","",Assumptions!$B$4-AG1734)</f>
        <v/>
      </c>
      <c r="AI1734" s="5" t="s">
        <v>80</v>
      </c>
      <c r="AJ1734" s="8"/>
      <c r="AK1734" s="8">
        <v>1</v>
      </c>
      <c r="AL1734" s="8">
        <v>650</v>
      </c>
      <c r="AM1734" s="8">
        <v>2</v>
      </c>
      <c r="AN1734" s="5" t="s">
        <v>63</v>
      </c>
      <c r="AO1734" s="10">
        <v>60.6</v>
      </c>
      <c r="AP1734" s="8">
        <v>64</v>
      </c>
      <c r="AQ1734" s="9"/>
      <c r="AR1734" s="5"/>
      <c r="AS1734" s="5" t="s">
        <v>159</v>
      </c>
    </row>
    <row r="1735" spans="1:45" x14ac:dyDescent="0.35">
      <c r="A1735" s="5" t="s">
        <v>7047</v>
      </c>
      <c r="B1735" s="5" t="s">
        <v>4913</v>
      </c>
      <c r="C1735" s="6" t="s">
        <v>7048</v>
      </c>
      <c r="D1735" s="7">
        <v>111800</v>
      </c>
      <c r="E1735" s="5" t="s">
        <v>48</v>
      </c>
      <c r="F1735" s="5" t="s">
        <v>49</v>
      </c>
      <c r="G1735" s="8"/>
      <c r="H1735" s="8" t="str">
        <f>IF(F1735="Bullet",MIN(G1735,Assumptions!$B$6),"")</f>
        <v/>
      </c>
      <c r="I1735" s="8">
        <v>2</v>
      </c>
      <c r="J1735" s="8">
        <f>IF(F1735="Monthly interest",MAX(0,Assumptions!$B$5-I1735),"")</f>
        <v>1</v>
      </c>
      <c r="K1735" s="7">
        <f t="shared" si="81"/>
        <v>3354</v>
      </c>
      <c r="L1735" s="9">
        <v>46262</v>
      </c>
      <c r="M1735" s="5" t="s">
        <v>69</v>
      </c>
      <c r="N1735" s="5" t="s">
        <v>53</v>
      </c>
      <c r="O1735" s="5" t="s">
        <v>71</v>
      </c>
      <c r="P1735" s="5" t="s">
        <v>70</v>
      </c>
      <c r="Q1735" s="5" t="s">
        <v>73</v>
      </c>
      <c r="R1735" s="5" t="s">
        <v>74</v>
      </c>
      <c r="S1735" s="5" t="s">
        <v>75</v>
      </c>
      <c r="T1735" s="5" t="s">
        <v>57</v>
      </c>
      <c r="U1735" s="5" t="s">
        <v>86</v>
      </c>
      <c r="V1735" s="5" t="s">
        <v>76</v>
      </c>
      <c r="W1735" s="5" t="s">
        <v>146</v>
      </c>
      <c r="X1735" s="5" t="s">
        <v>2121</v>
      </c>
      <c r="Y1735" s="5" t="s">
        <v>7049</v>
      </c>
      <c r="Z1735" s="9">
        <v>46081</v>
      </c>
      <c r="AA1735" s="8">
        <v>12</v>
      </c>
      <c r="AB1735" s="9">
        <f t="shared" si="82"/>
        <v>46446</v>
      </c>
      <c r="AC1735" s="10">
        <v>18</v>
      </c>
      <c r="AD1735" s="7">
        <f t="shared" si="83"/>
        <v>1677</v>
      </c>
      <c r="AE1735" s="7">
        <f>IF(F1735="Bullet",H1735*AD1735,MIN(MAX(I1735,1),Assumptions!$B$6)*AD1735)</f>
        <v>3354</v>
      </c>
      <c r="AF1735" s="8">
        <f>IF(F1735="Bullet",MAX(0,Assumptions!$B$4-AB1735),MAX(0,Assumptions!$B$4-L1735))</f>
        <v>36</v>
      </c>
      <c r="AG1735" s="9">
        <v>46235</v>
      </c>
      <c r="AH1735" s="8">
        <f>IF(AG1735="","",Assumptions!$B$4-AG1735)</f>
        <v>63</v>
      </c>
      <c r="AI1735" s="5" t="s">
        <v>57</v>
      </c>
      <c r="AJ1735" s="8">
        <v>2</v>
      </c>
      <c r="AK1735" s="8">
        <v>0</v>
      </c>
      <c r="AL1735" s="8">
        <v>667</v>
      </c>
      <c r="AM1735" s="8">
        <v>2</v>
      </c>
      <c r="AN1735" s="5" t="s">
        <v>63</v>
      </c>
      <c r="AO1735" s="10">
        <v>56.3</v>
      </c>
      <c r="AP1735" s="8">
        <v>46</v>
      </c>
      <c r="AQ1735" s="9">
        <v>46279</v>
      </c>
      <c r="AR1735" s="5" t="s">
        <v>72</v>
      </c>
      <c r="AS1735" s="5" t="s">
        <v>81</v>
      </c>
    </row>
    <row r="1736" spans="1:45" x14ac:dyDescent="0.35">
      <c r="A1736" s="5" t="s">
        <v>7050</v>
      </c>
      <c r="B1736" s="5" t="s">
        <v>3837</v>
      </c>
      <c r="C1736" s="6" t="s">
        <v>7051</v>
      </c>
      <c r="D1736" s="7">
        <v>316800</v>
      </c>
      <c r="E1736" s="5" t="s">
        <v>48</v>
      </c>
      <c r="F1736" s="5" t="s">
        <v>49</v>
      </c>
      <c r="G1736" s="8"/>
      <c r="H1736" s="8" t="str">
        <f>IF(F1736="Bullet",MIN(G1736,Assumptions!$B$6),"")</f>
        <v/>
      </c>
      <c r="I1736" s="8">
        <v>2</v>
      </c>
      <c r="J1736" s="8">
        <f>IF(F1736="Monthly interest",MAX(0,Assumptions!$B$5-I1736),"")</f>
        <v>1</v>
      </c>
      <c r="K1736" s="7">
        <f t="shared" si="81"/>
        <v>11616</v>
      </c>
      <c r="L1736" s="9">
        <v>46260</v>
      </c>
      <c r="M1736" s="5" t="s">
        <v>116</v>
      </c>
      <c r="N1736" s="5" t="s">
        <v>117</v>
      </c>
      <c r="O1736" s="5" t="s">
        <v>118</v>
      </c>
      <c r="P1736" s="5" t="s">
        <v>72</v>
      </c>
      <c r="Q1736" s="5" t="s">
        <v>119</v>
      </c>
      <c r="R1736" s="5" t="s">
        <v>120</v>
      </c>
      <c r="S1736" s="5" t="s">
        <v>185</v>
      </c>
      <c r="T1736" s="5" t="s">
        <v>57</v>
      </c>
      <c r="U1736" s="5" t="s">
        <v>86</v>
      </c>
      <c r="V1736" s="5" t="s">
        <v>200</v>
      </c>
      <c r="W1736" s="5" t="s">
        <v>500</v>
      </c>
      <c r="X1736" s="5" t="s">
        <v>1495</v>
      </c>
      <c r="Y1736" s="5" t="s">
        <v>7052</v>
      </c>
      <c r="Z1736" s="9">
        <v>46168</v>
      </c>
      <c r="AA1736" s="8">
        <v>12</v>
      </c>
      <c r="AB1736" s="9">
        <f t="shared" si="82"/>
        <v>46533</v>
      </c>
      <c r="AC1736" s="10">
        <v>22</v>
      </c>
      <c r="AD1736" s="7">
        <f t="shared" si="83"/>
        <v>5808</v>
      </c>
      <c r="AE1736" s="7">
        <f>IF(F1736="Bullet",H1736*AD1736,MIN(MAX(I1736,1),Assumptions!$B$6)*AD1736)</f>
        <v>11616</v>
      </c>
      <c r="AF1736" s="8">
        <f>IF(F1736="Bullet",MAX(0,Assumptions!$B$4-AB1736),MAX(0,Assumptions!$B$4-L1736))</f>
        <v>38</v>
      </c>
      <c r="AG1736" s="9">
        <v>46234</v>
      </c>
      <c r="AH1736" s="8">
        <f>IF(AG1736="","",Assumptions!$B$4-AG1736)</f>
        <v>64</v>
      </c>
      <c r="AI1736" s="5" t="s">
        <v>63</v>
      </c>
      <c r="AJ1736" s="8">
        <v>2</v>
      </c>
      <c r="AK1736" s="8">
        <v>3</v>
      </c>
      <c r="AL1736" s="8">
        <v>665</v>
      </c>
      <c r="AM1736" s="8">
        <v>1</v>
      </c>
      <c r="AN1736" s="5" t="s">
        <v>63</v>
      </c>
      <c r="AO1736" s="10">
        <v>68.7</v>
      </c>
      <c r="AP1736" s="8">
        <v>59</v>
      </c>
      <c r="AQ1736" s="9">
        <v>46296</v>
      </c>
      <c r="AR1736" s="5" t="s">
        <v>53</v>
      </c>
      <c r="AS1736" s="5" t="s">
        <v>64</v>
      </c>
    </row>
    <row r="1737" spans="1:45" x14ac:dyDescent="0.35">
      <c r="A1737" s="5" t="s">
        <v>7053</v>
      </c>
      <c r="B1737" s="5" t="s">
        <v>7054</v>
      </c>
      <c r="C1737" s="6" t="s">
        <v>7055</v>
      </c>
      <c r="D1737" s="7">
        <v>237900</v>
      </c>
      <c r="E1737" s="5" t="s">
        <v>48</v>
      </c>
      <c r="F1737" s="5" t="s">
        <v>68</v>
      </c>
      <c r="G1737" s="8">
        <v>5</v>
      </c>
      <c r="H1737" s="8">
        <f>IF(F1737="Bullet",MIN(G1737,Assumptions!$B$6),"")</f>
        <v>2</v>
      </c>
      <c r="I1737" s="8"/>
      <c r="J1737" s="8" t="str">
        <f>IF(F1737="Monthly interest",MAX(0,Assumptions!$B$5-I1737),"")</f>
        <v/>
      </c>
      <c r="K1737" s="7">
        <f t="shared" si="81"/>
        <v>15860</v>
      </c>
      <c r="L1737" s="9">
        <v>46126</v>
      </c>
      <c r="M1737" s="5" t="s">
        <v>116</v>
      </c>
      <c r="N1737" s="5" t="s">
        <v>117</v>
      </c>
      <c r="O1737" s="5" t="s">
        <v>461</v>
      </c>
      <c r="P1737" s="5" t="s">
        <v>72</v>
      </c>
      <c r="Q1737" s="5" t="s">
        <v>169</v>
      </c>
      <c r="R1737" s="5" t="s">
        <v>170</v>
      </c>
      <c r="S1737" s="5" t="s">
        <v>75</v>
      </c>
      <c r="T1737" s="5" t="s">
        <v>57</v>
      </c>
      <c r="U1737" s="5" t="s">
        <v>58</v>
      </c>
      <c r="V1737" s="5" t="s">
        <v>76</v>
      </c>
      <c r="W1737" s="5" t="s">
        <v>77</v>
      </c>
      <c r="X1737" s="5" t="s">
        <v>1879</v>
      </c>
      <c r="Y1737" s="5" t="s">
        <v>7056</v>
      </c>
      <c r="Z1737" s="9">
        <v>46126</v>
      </c>
      <c r="AA1737" s="8">
        <v>3</v>
      </c>
      <c r="AB1737" s="9">
        <f t="shared" si="82"/>
        <v>46217</v>
      </c>
      <c r="AC1737" s="10">
        <v>16</v>
      </c>
      <c r="AD1737" s="7">
        <f t="shared" si="83"/>
        <v>3172</v>
      </c>
      <c r="AE1737" s="7">
        <f>IF(F1737="Bullet",H1737*AD1737,MIN(MAX(I1737,1),Assumptions!$B$6)*AD1737)</f>
        <v>6344</v>
      </c>
      <c r="AF1737" s="8">
        <f>IF(F1737="Bullet",MAX(0,Assumptions!$B$4-AB1737),MAX(0,Assumptions!$B$4-L1737))</f>
        <v>81</v>
      </c>
      <c r="AG1737" s="9"/>
      <c r="AH1737" s="8" t="str">
        <f>IF(AG1737="","",Assumptions!$B$4-AG1737)</f>
        <v/>
      </c>
      <c r="AI1737" s="5" t="s">
        <v>80</v>
      </c>
      <c r="AJ1737" s="8"/>
      <c r="AK1737" s="8">
        <v>2</v>
      </c>
      <c r="AL1737" s="8">
        <v>674</v>
      </c>
      <c r="AM1737" s="8">
        <v>0</v>
      </c>
      <c r="AN1737" s="5" t="s">
        <v>57</v>
      </c>
      <c r="AO1737" s="10">
        <v>85.6</v>
      </c>
      <c r="AP1737" s="8">
        <v>72</v>
      </c>
      <c r="AQ1737" s="9">
        <v>46275</v>
      </c>
      <c r="AR1737" s="5" t="s">
        <v>70</v>
      </c>
      <c r="AS1737" s="5" t="s">
        <v>81</v>
      </c>
    </row>
    <row r="1738" spans="1:45" x14ac:dyDescent="0.35">
      <c r="A1738" s="5" t="s">
        <v>7057</v>
      </c>
      <c r="B1738" s="5" t="s">
        <v>6222</v>
      </c>
      <c r="C1738" s="6" t="s">
        <v>7058</v>
      </c>
      <c r="D1738" s="7">
        <v>125200</v>
      </c>
      <c r="E1738" s="5" t="s">
        <v>48</v>
      </c>
      <c r="F1738" s="5" t="s">
        <v>49</v>
      </c>
      <c r="G1738" s="8"/>
      <c r="H1738" s="8" t="str">
        <f>IF(F1738="Bullet",MIN(G1738,Assumptions!$B$6),"")</f>
        <v/>
      </c>
      <c r="I1738" s="8">
        <v>2</v>
      </c>
      <c r="J1738" s="8">
        <f>IF(F1738="Monthly interest",MAX(0,Assumptions!$B$5-I1738),"")</f>
        <v>1</v>
      </c>
      <c r="K1738" s="7">
        <f t="shared" si="81"/>
        <v>3130</v>
      </c>
      <c r="L1738" s="9">
        <v>46250</v>
      </c>
      <c r="M1738" s="5" t="s">
        <v>116</v>
      </c>
      <c r="N1738" s="5" t="s">
        <v>117</v>
      </c>
      <c r="O1738" s="5" t="s">
        <v>118</v>
      </c>
      <c r="P1738" s="5" t="s">
        <v>72</v>
      </c>
      <c r="Q1738" s="5" t="s">
        <v>119</v>
      </c>
      <c r="R1738" s="5" t="s">
        <v>120</v>
      </c>
      <c r="S1738" s="5" t="s">
        <v>253</v>
      </c>
      <c r="T1738" s="5" t="s">
        <v>57</v>
      </c>
      <c r="U1738" s="5" t="s">
        <v>58</v>
      </c>
      <c r="V1738" s="5" t="s">
        <v>553</v>
      </c>
      <c r="W1738" s="5" t="s">
        <v>554</v>
      </c>
      <c r="X1738" s="5" t="s">
        <v>4931</v>
      </c>
      <c r="Y1738" s="5" t="s">
        <v>7059</v>
      </c>
      <c r="Z1738" s="9">
        <v>46158</v>
      </c>
      <c r="AA1738" s="8">
        <v>12</v>
      </c>
      <c r="AB1738" s="9">
        <f t="shared" si="82"/>
        <v>46523</v>
      </c>
      <c r="AC1738" s="10">
        <v>15</v>
      </c>
      <c r="AD1738" s="7">
        <f t="shared" si="83"/>
        <v>1565</v>
      </c>
      <c r="AE1738" s="7">
        <f>IF(F1738="Bullet",H1738*AD1738,MIN(MAX(I1738,1),Assumptions!$B$6)*AD1738)</f>
        <v>3130</v>
      </c>
      <c r="AF1738" s="8">
        <f>IF(F1738="Bullet",MAX(0,Assumptions!$B$4-AB1738),MAX(0,Assumptions!$B$4-L1738))</f>
        <v>48</v>
      </c>
      <c r="AG1738" s="9">
        <v>46220</v>
      </c>
      <c r="AH1738" s="8">
        <f>IF(AG1738="","",Assumptions!$B$4-AG1738)</f>
        <v>78</v>
      </c>
      <c r="AI1738" s="5" t="s">
        <v>57</v>
      </c>
      <c r="AJ1738" s="8">
        <v>3</v>
      </c>
      <c r="AK1738" s="8">
        <v>2</v>
      </c>
      <c r="AL1738" s="8">
        <v>702</v>
      </c>
      <c r="AM1738" s="8">
        <v>1</v>
      </c>
      <c r="AN1738" s="5" t="s">
        <v>63</v>
      </c>
      <c r="AO1738" s="10">
        <v>74.099999999999994</v>
      </c>
      <c r="AP1738" s="8">
        <v>59</v>
      </c>
      <c r="AQ1738" s="9">
        <v>46293</v>
      </c>
      <c r="AR1738" s="5" t="s">
        <v>51</v>
      </c>
      <c r="AS1738" s="5" t="s">
        <v>91</v>
      </c>
    </row>
    <row r="1739" spans="1:45" x14ac:dyDescent="0.35">
      <c r="A1739" s="5" t="s">
        <v>7060</v>
      </c>
      <c r="B1739" s="5" t="s">
        <v>1981</v>
      </c>
      <c r="C1739" s="6" t="s">
        <v>7061</v>
      </c>
      <c r="D1739" s="7">
        <v>121200</v>
      </c>
      <c r="E1739" s="5" t="s">
        <v>48</v>
      </c>
      <c r="F1739" s="5" t="s">
        <v>49</v>
      </c>
      <c r="G1739" s="8"/>
      <c r="H1739" s="8" t="str">
        <f>IF(F1739="Bullet",MIN(G1739,Assumptions!$B$6),"")</f>
        <v/>
      </c>
      <c r="I1739" s="8">
        <v>2</v>
      </c>
      <c r="J1739" s="8">
        <f>IF(F1739="Monthly interest",MAX(0,Assumptions!$B$5-I1739),"")</f>
        <v>1</v>
      </c>
      <c r="K1739" s="7">
        <f t="shared" si="81"/>
        <v>3232</v>
      </c>
      <c r="L1739" s="9">
        <v>46242</v>
      </c>
      <c r="M1739" s="5" t="s">
        <v>69</v>
      </c>
      <c r="N1739" s="5" t="s">
        <v>53</v>
      </c>
      <c r="O1739" s="5" t="s">
        <v>71</v>
      </c>
      <c r="P1739" s="5" t="s">
        <v>70</v>
      </c>
      <c r="Q1739" s="5" t="s">
        <v>73</v>
      </c>
      <c r="R1739" s="5" t="s">
        <v>74</v>
      </c>
      <c r="S1739" s="5" t="s">
        <v>75</v>
      </c>
      <c r="T1739" s="5" t="s">
        <v>57</v>
      </c>
      <c r="U1739" s="5" t="s">
        <v>58</v>
      </c>
      <c r="V1739" s="5" t="s">
        <v>76</v>
      </c>
      <c r="W1739" s="5" t="s">
        <v>382</v>
      </c>
      <c r="X1739" s="5" t="s">
        <v>383</v>
      </c>
      <c r="Y1739" s="5" t="s">
        <v>7062</v>
      </c>
      <c r="Z1739" s="9">
        <v>46181</v>
      </c>
      <c r="AA1739" s="8">
        <v>12</v>
      </c>
      <c r="AB1739" s="9">
        <f t="shared" si="82"/>
        <v>46546</v>
      </c>
      <c r="AC1739" s="10">
        <v>16</v>
      </c>
      <c r="AD1739" s="7">
        <f t="shared" si="83"/>
        <v>1616</v>
      </c>
      <c r="AE1739" s="7">
        <f>IF(F1739="Bullet",H1739*AD1739,MIN(MAX(I1739,1),Assumptions!$B$6)*AD1739)</f>
        <v>3232</v>
      </c>
      <c r="AF1739" s="8">
        <f>IF(F1739="Bullet",MAX(0,Assumptions!$B$4-AB1739),MAX(0,Assumptions!$B$4-L1739))</f>
        <v>56</v>
      </c>
      <c r="AG1739" s="9">
        <v>46216</v>
      </c>
      <c r="AH1739" s="8">
        <f>IF(AG1739="","",Assumptions!$B$4-AG1739)</f>
        <v>82</v>
      </c>
      <c r="AI1739" s="5" t="s">
        <v>57</v>
      </c>
      <c r="AJ1739" s="8">
        <v>3</v>
      </c>
      <c r="AK1739" s="8">
        <v>0</v>
      </c>
      <c r="AL1739" s="8">
        <v>716</v>
      </c>
      <c r="AM1739" s="8">
        <v>1</v>
      </c>
      <c r="AN1739" s="5" t="s">
        <v>63</v>
      </c>
      <c r="AO1739" s="10">
        <v>71.400000000000006</v>
      </c>
      <c r="AP1739" s="8">
        <v>39</v>
      </c>
      <c r="AQ1739" s="9">
        <v>46278</v>
      </c>
      <c r="AR1739" s="5" t="s">
        <v>70</v>
      </c>
      <c r="AS1739" s="5" t="s">
        <v>91</v>
      </c>
    </row>
    <row r="1740" spans="1:45" x14ac:dyDescent="0.35">
      <c r="A1740" s="5" t="s">
        <v>7063</v>
      </c>
      <c r="B1740" s="5" t="s">
        <v>3867</v>
      </c>
      <c r="C1740" s="6" t="s">
        <v>7064</v>
      </c>
      <c r="D1740" s="7">
        <v>15000</v>
      </c>
      <c r="E1740" s="5" t="s">
        <v>48</v>
      </c>
      <c r="F1740" s="5" t="s">
        <v>49</v>
      </c>
      <c r="G1740" s="8"/>
      <c r="H1740" s="8" t="str">
        <f>IF(F1740="Bullet",MIN(G1740,Assumptions!$B$6),"")</f>
        <v/>
      </c>
      <c r="I1740" s="8">
        <v>1</v>
      </c>
      <c r="J1740" s="8">
        <f>IF(F1740="Monthly interest",MAX(0,Assumptions!$B$5-I1740),"")</f>
        <v>2</v>
      </c>
      <c r="K1740" s="7">
        <f t="shared" si="81"/>
        <v>225</v>
      </c>
      <c r="L1740" s="9">
        <v>46269</v>
      </c>
      <c r="M1740" s="5" t="s">
        <v>69</v>
      </c>
      <c r="N1740" s="5" t="s">
        <v>51</v>
      </c>
      <c r="O1740" s="5" t="s">
        <v>152</v>
      </c>
      <c r="P1740" s="5" t="s">
        <v>53</v>
      </c>
      <c r="Q1740" s="5" t="s">
        <v>154</v>
      </c>
      <c r="R1740" s="5" t="s">
        <v>155</v>
      </c>
      <c r="S1740" s="5" t="s">
        <v>185</v>
      </c>
      <c r="T1740" s="5" t="s">
        <v>57</v>
      </c>
      <c r="U1740" s="5" t="s">
        <v>104</v>
      </c>
      <c r="V1740" s="5" t="s">
        <v>186</v>
      </c>
      <c r="W1740" s="5" t="s">
        <v>376</v>
      </c>
      <c r="X1740" s="5" t="s">
        <v>2510</v>
      </c>
      <c r="Y1740" s="5" t="s">
        <v>7065</v>
      </c>
      <c r="Z1740" s="9">
        <v>46057</v>
      </c>
      <c r="AA1740" s="8">
        <v>12</v>
      </c>
      <c r="AB1740" s="9">
        <f t="shared" si="82"/>
        <v>46422</v>
      </c>
      <c r="AC1740" s="10">
        <v>18</v>
      </c>
      <c r="AD1740" s="7">
        <f t="shared" si="83"/>
        <v>225</v>
      </c>
      <c r="AE1740" s="7">
        <f>IF(F1740="Bullet",H1740*AD1740,MIN(MAX(I1740,1),Assumptions!$B$6)*AD1740)</f>
        <v>225</v>
      </c>
      <c r="AF1740" s="8">
        <f>IF(F1740="Bullet",MAX(0,Assumptions!$B$4-AB1740),MAX(0,Assumptions!$B$4-L1740))</f>
        <v>29</v>
      </c>
      <c r="AG1740" s="9">
        <v>46242</v>
      </c>
      <c r="AH1740" s="8">
        <f>IF(AG1740="","",Assumptions!$B$4-AG1740)</f>
        <v>56</v>
      </c>
      <c r="AI1740" s="5" t="s">
        <v>63</v>
      </c>
      <c r="AJ1740" s="8">
        <v>1</v>
      </c>
      <c r="AK1740" s="8">
        <v>0</v>
      </c>
      <c r="AL1740" s="8">
        <v>662</v>
      </c>
      <c r="AM1740" s="8">
        <v>0</v>
      </c>
      <c r="AN1740" s="5" t="s">
        <v>57</v>
      </c>
      <c r="AO1740" s="10">
        <v>70.5</v>
      </c>
      <c r="AP1740" s="8">
        <v>36</v>
      </c>
      <c r="AQ1740" s="9"/>
      <c r="AR1740" s="5"/>
      <c r="AS1740" s="5" t="s">
        <v>159</v>
      </c>
    </row>
    <row r="1741" spans="1:45" x14ac:dyDescent="0.35">
      <c r="A1741" s="5" t="s">
        <v>7066</v>
      </c>
      <c r="B1741" s="5" t="s">
        <v>7067</v>
      </c>
      <c r="C1741" s="6" t="s">
        <v>7068</v>
      </c>
      <c r="D1741" s="7">
        <v>287200</v>
      </c>
      <c r="E1741" s="5" t="s">
        <v>48</v>
      </c>
      <c r="F1741" s="5" t="s">
        <v>49</v>
      </c>
      <c r="G1741" s="8"/>
      <c r="H1741" s="8" t="str">
        <f>IF(F1741="Bullet",MIN(G1741,Assumptions!$B$6),"")</f>
        <v/>
      </c>
      <c r="I1741" s="8">
        <v>1</v>
      </c>
      <c r="J1741" s="8">
        <f>IF(F1741="Monthly interest",MAX(0,Assumptions!$B$5-I1741),"")</f>
        <v>2</v>
      </c>
      <c r="K1741" s="7">
        <f t="shared" si="81"/>
        <v>4787</v>
      </c>
      <c r="L1741" s="9">
        <v>46271</v>
      </c>
      <c r="M1741" s="5" t="s">
        <v>50</v>
      </c>
      <c r="N1741" s="5" t="s">
        <v>53</v>
      </c>
      <c r="O1741" s="5" t="s">
        <v>103</v>
      </c>
      <c r="P1741" s="5" t="s">
        <v>51</v>
      </c>
      <c r="Q1741" s="5" t="s">
        <v>54</v>
      </c>
      <c r="R1741" s="5" t="s">
        <v>55</v>
      </c>
      <c r="S1741" s="5" t="s">
        <v>85</v>
      </c>
      <c r="T1741" s="5" t="s">
        <v>57</v>
      </c>
      <c r="U1741" s="5" t="s">
        <v>86</v>
      </c>
      <c r="V1741" s="5" t="s">
        <v>553</v>
      </c>
      <c r="W1741" s="5" t="s">
        <v>1029</v>
      </c>
      <c r="X1741" s="5" t="s">
        <v>1030</v>
      </c>
      <c r="Y1741" s="5" t="s">
        <v>7069</v>
      </c>
      <c r="Z1741" s="9">
        <v>46059</v>
      </c>
      <c r="AA1741" s="8">
        <v>24</v>
      </c>
      <c r="AB1741" s="9">
        <f t="shared" si="82"/>
        <v>46789</v>
      </c>
      <c r="AC1741" s="10">
        <v>20</v>
      </c>
      <c r="AD1741" s="7">
        <f t="shared" si="83"/>
        <v>4787</v>
      </c>
      <c r="AE1741" s="7">
        <f>IF(F1741="Bullet",H1741*AD1741,MIN(MAX(I1741,1),Assumptions!$B$6)*AD1741)</f>
        <v>4787</v>
      </c>
      <c r="AF1741" s="8">
        <f>IF(F1741="Bullet",MAX(0,Assumptions!$B$4-AB1741),MAX(0,Assumptions!$B$4-L1741))</f>
        <v>27</v>
      </c>
      <c r="AG1741" s="9">
        <v>46240</v>
      </c>
      <c r="AH1741" s="8">
        <f>IF(AG1741="","",Assumptions!$B$4-AG1741)</f>
        <v>58</v>
      </c>
      <c r="AI1741" s="5" t="s">
        <v>63</v>
      </c>
      <c r="AJ1741" s="8">
        <v>1</v>
      </c>
      <c r="AK1741" s="8">
        <v>0</v>
      </c>
      <c r="AL1741" s="8" t="s">
        <v>80</v>
      </c>
      <c r="AM1741" s="8">
        <v>1</v>
      </c>
      <c r="AN1741" s="5" t="s">
        <v>63</v>
      </c>
      <c r="AO1741" s="10">
        <v>80.599999999999994</v>
      </c>
      <c r="AP1741" s="8">
        <v>27</v>
      </c>
      <c r="AQ1741" s="9">
        <v>46285</v>
      </c>
      <c r="AR1741" s="5" t="s">
        <v>51</v>
      </c>
      <c r="AS1741" s="5" t="s">
        <v>81</v>
      </c>
    </row>
    <row r="1742" spans="1:45" x14ac:dyDescent="0.35">
      <c r="A1742" s="5" t="s">
        <v>7070</v>
      </c>
      <c r="B1742" s="5" t="s">
        <v>6592</v>
      </c>
      <c r="C1742" s="6" t="s">
        <v>7071</v>
      </c>
      <c r="D1742" s="7">
        <v>108200</v>
      </c>
      <c r="E1742" s="5" t="s">
        <v>48</v>
      </c>
      <c r="F1742" s="5" t="s">
        <v>68</v>
      </c>
      <c r="G1742" s="8">
        <v>3</v>
      </c>
      <c r="H1742" s="8">
        <f>IF(F1742="Bullet",MIN(G1742,Assumptions!$B$6),"")</f>
        <v>2</v>
      </c>
      <c r="I1742" s="8"/>
      <c r="J1742" s="8" t="str">
        <f>IF(F1742="Monthly interest",MAX(0,Assumptions!$B$5-I1742),"")</f>
        <v/>
      </c>
      <c r="K1742" s="7">
        <f t="shared" si="81"/>
        <v>4059</v>
      </c>
      <c r="L1742" s="9">
        <v>46187</v>
      </c>
      <c r="M1742" s="5" t="s">
        <v>50</v>
      </c>
      <c r="N1742" s="5" t="s">
        <v>53</v>
      </c>
      <c r="O1742" s="5" t="s">
        <v>71</v>
      </c>
      <c r="P1742" s="5" t="s">
        <v>51</v>
      </c>
      <c r="Q1742" s="5" t="s">
        <v>73</v>
      </c>
      <c r="R1742" s="5" t="s">
        <v>74</v>
      </c>
      <c r="S1742" s="5" t="s">
        <v>75</v>
      </c>
      <c r="T1742" s="5" t="s">
        <v>57</v>
      </c>
      <c r="U1742" s="5" t="s">
        <v>104</v>
      </c>
      <c r="V1742" s="5" t="s">
        <v>76</v>
      </c>
      <c r="W1742" s="5" t="s">
        <v>140</v>
      </c>
      <c r="X1742" s="5" t="s">
        <v>3631</v>
      </c>
      <c r="Y1742" s="5" t="s">
        <v>7072</v>
      </c>
      <c r="Z1742" s="9">
        <v>46187</v>
      </c>
      <c r="AA1742" s="8">
        <v>6</v>
      </c>
      <c r="AB1742" s="9">
        <f t="shared" si="82"/>
        <v>46370</v>
      </c>
      <c r="AC1742" s="10">
        <v>15</v>
      </c>
      <c r="AD1742" s="7">
        <f t="shared" si="83"/>
        <v>1353</v>
      </c>
      <c r="AE1742" s="7">
        <f>IF(F1742="Bullet",H1742*AD1742,MIN(MAX(I1742,1),Assumptions!$B$6)*AD1742)</f>
        <v>2706</v>
      </c>
      <c r="AF1742" s="8">
        <f>IF(F1742="Bullet",MAX(0,Assumptions!$B$4-AB1742),MAX(0,Assumptions!$B$4-L1742))</f>
        <v>0</v>
      </c>
      <c r="AG1742" s="9"/>
      <c r="AH1742" s="8" t="str">
        <f>IF(AG1742="","",Assumptions!$B$4-AG1742)</f>
        <v/>
      </c>
      <c r="AI1742" s="5" t="s">
        <v>80</v>
      </c>
      <c r="AJ1742" s="8"/>
      <c r="AK1742" s="8">
        <v>1</v>
      </c>
      <c r="AL1742" s="8">
        <v>783</v>
      </c>
      <c r="AM1742" s="8">
        <v>1</v>
      </c>
      <c r="AN1742" s="5" t="s">
        <v>63</v>
      </c>
      <c r="AO1742" s="10">
        <v>73</v>
      </c>
      <c r="AP1742" s="8">
        <v>20</v>
      </c>
      <c r="AQ1742" s="9">
        <v>46282</v>
      </c>
      <c r="AR1742" s="5" t="s">
        <v>70</v>
      </c>
      <c r="AS1742" s="5" t="s">
        <v>181</v>
      </c>
    </row>
    <row r="1743" spans="1:45" x14ac:dyDescent="0.35">
      <c r="A1743" s="5" t="s">
        <v>7073</v>
      </c>
      <c r="B1743" s="5" t="s">
        <v>7074</v>
      </c>
      <c r="C1743" s="6" t="s">
        <v>7075</v>
      </c>
      <c r="D1743" s="7">
        <v>537400</v>
      </c>
      <c r="E1743" s="5" t="s">
        <v>48</v>
      </c>
      <c r="F1743" s="5" t="s">
        <v>49</v>
      </c>
      <c r="G1743" s="8"/>
      <c r="H1743" s="8" t="str">
        <f>IF(F1743="Bullet",MIN(G1743,Assumptions!$B$6),"")</f>
        <v/>
      </c>
      <c r="I1743" s="8">
        <v>2</v>
      </c>
      <c r="J1743" s="8">
        <f>IF(F1743="Monthly interest",MAX(0,Assumptions!$B$5-I1743),"")</f>
        <v>1</v>
      </c>
      <c r="K1743" s="7">
        <f t="shared" si="81"/>
        <v>19704</v>
      </c>
      <c r="L1743" s="9">
        <v>46240</v>
      </c>
      <c r="M1743" s="5" t="s">
        <v>69</v>
      </c>
      <c r="N1743" s="5" t="s">
        <v>70</v>
      </c>
      <c r="O1743" s="5" t="s">
        <v>71</v>
      </c>
      <c r="P1743" s="5" t="s">
        <v>72</v>
      </c>
      <c r="Q1743" s="5" t="s">
        <v>73</v>
      </c>
      <c r="R1743" s="5" t="s">
        <v>74</v>
      </c>
      <c r="S1743" s="5" t="s">
        <v>56</v>
      </c>
      <c r="T1743" s="5" t="s">
        <v>57</v>
      </c>
      <c r="U1743" s="5" t="s">
        <v>58</v>
      </c>
      <c r="V1743" s="5" t="s">
        <v>59</v>
      </c>
      <c r="W1743" s="5" t="s">
        <v>418</v>
      </c>
      <c r="X1743" s="5" t="s">
        <v>419</v>
      </c>
      <c r="Y1743" s="5" t="s">
        <v>7076</v>
      </c>
      <c r="Z1743" s="9">
        <v>46059</v>
      </c>
      <c r="AA1743" s="8">
        <v>18</v>
      </c>
      <c r="AB1743" s="9">
        <f t="shared" si="82"/>
        <v>46605</v>
      </c>
      <c r="AC1743" s="10">
        <v>22</v>
      </c>
      <c r="AD1743" s="7">
        <f t="shared" si="83"/>
        <v>9852</v>
      </c>
      <c r="AE1743" s="7">
        <f>IF(F1743="Bullet",H1743*AD1743,MIN(MAX(I1743,1),Assumptions!$B$6)*AD1743)</f>
        <v>19704</v>
      </c>
      <c r="AF1743" s="8">
        <f>IF(F1743="Bullet",MAX(0,Assumptions!$B$4-AB1743),MAX(0,Assumptions!$B$4-L1743))</f>
        <v>58</v>
      </c>
      <c r="AG1743" s="9">
        <v>46210</v>
      </c>
      <c r="AH1743" s="8">
        <f>IF(AG1743="","",Assumptions!$B$4-AG1743)</f>
        <v>88</v>
      </c>
      <c r="AI1743" s="5" t="s">
        <v>57</v>
      </c>
      <c r="AJ1743" s="8">
        <v>3</v>
      </c>
      <c r="AK1743" s="8">
        <v>1</v>
      </c>
      <c r="AL1743" s="8">
        <v>732</v>
      </c>
      <c r="AM1743" s="8">
        <v>2</v>
      </c>
      <c r="AN1743" s="5" t="s">
        <v>63</v>
      </c>
      <c r="AO1743" s="10">
        <v>69.900000000000006</v>
      </c>
      <c r="AP1743" s="8">
        <v>47</v>
      </c>
      <c r="AQ1743" s="9">
        <v>46295</v>
      </c>
      <c r="AR1743" s="5" t="s">
        <v>51</v>
      </c>
      <c r="AS1743" s="5" t="s">
        <v>64</v>
      </c>
    </row>
    <row r="1744" spans="1:45" x14ac:dyDescent="0.35">
      <c r="A1744" s="5" t="s">
        <v>7077</v>
      </c>
      <c r="B1744" s="5" t="s">
        <v>7078</v>
      </c>
      <c r="C1744" s="6" t="s">
        <v>7079</v>
      </c>
      <c r="D1744" s="7">
        <v>85900</v>
      </c>
      <c r="E1744" s="5" t="s">
        <v>48</v>
      </c>
      <c r="F1744" s="5" t="s">
        <v>49</v>
      </c>
      <c r="G1744" s="8"/>
      <c r="H1744" s="8" t="str">
        <f>IF(F1744="Bullet",MIN(G1744,Assumptions!$B$6),"")</f>
        <v/>
      </c>
      <c r="I1744" s="8">
        <v>1</v>
      </c>
      <c r="J1744" s="8">
        <f>IF(F1744="Monthly interest",MAX(0,Assumptions!$B$5-I1744),"")</f>
        <v>2</v>
      </c>
      <c r="K1744" s="7">
        <f t="shared" si="81"/>
        <v>1289</v>
      </c>
      <c r="L1744" s="9">
        <v>46275</v>
      </c>
      <c r="M1744" s="5" t="s">
        <v>50</v>
      </c>
      <c r="N1744" s="5" t="s">
        <v>51</v>
      </c>
      <c r="O1744" s="5" t="s">
        <v>52</v>
      </c>
      <c r="P1744" s="5" t="s">
        <v>53</v>
      </c>
      <c r="Q1744" s="5" t="s">
        <v>54</v>
      </c>
      <c r="R1744" s="5" t="s">
        <v>55</v>
      </c>
      <c r="S1744" s="5" t="s">
        <v>253</v>
      </c>
      <c r="T1744" s="5" t="s">
        <v>57</v>
      </c>
      <c r="U1744" s="5" t="s">
        <v>104</v>
      </c>
      <c r="V1744" s="5" t="s">
        <v>200</v>
      </c>
      <c r="W1744" s="5" t="s">
        <v>1332</v>
      </c>
      <c r="X1744" s="5" t="s">
        <v>3821</v>
      </c>
      <c r="Y1744" s="5" t="s">
        <v>7080</v>
      </c>
      <c r="Z1744" s="9">
        <v>46091</v>
      </c>
      <c r="AA1744" s="8">
        <v>24</v>
      </c>
      <c r="AB1744" s="9">
        <f t="shared" si="82"/>
        <v>46822</v>
      </c>
      <c r="AC1744" s="10">
        <v>18</v>
      </c>
      <c r="AD1744" s="7">
        <f t="shared" si="83"/>
        <v>1289</v>
      </c>
      <c r="AE1744" s="7">
        <f>IF(F1744="Bullet",H1744*AD1744,MIN(MAX(I1744,1),Assumptions!$B$6)*AD1744)</f>
        <v>1289</v>
      </c>
      <c r="AF1744" s="8">
        <f>IF(F1744="Bullet",MAX(0,Assumptions!$B$4-AB1744),MAX(0,Assumptions!$B$4-L1744))</f>
        <v>23</v>
      </c>
      <c r="AG1744" s="9">
        <v>46246</v>
      </c>
      <c r="AH1744" s="8">
        <f>IF(AG1744="","",Assumptions!$B$4-AG1744)</f>
        <v>52</v>
      </c>
      <c r="AI1744" s="5" t="s">
        <v>63</v>
      </c>
      <c r="AJ1744" s="8">
        <v>2</v>
      </c>
      <c r="AK1744" s="8">
        <v>0</v>
      </c>
      <c r="AL1744" s="8">
        <v>793</v>
      </c>
      <c r="AM1744" s="8">
        <v>1</v>
      </c>
      <c r="AN1744" s="5" t="s">
        <v>63</v>
      </c>
      <c r="AO1744" s="10">
        <v>68.2</v>
      </c>
      <c r="AP1744" s="8">
        <v>15</v>
      </c>
      <c r="AQ1744" s="9">
        <v>46296</v>
      </c>
      <c r="AR1744" s="5" t="s">
        <v>51</v>
      </c>
      <c r="AS1744" s="5" t="s">
        <v>190</v>
      </c>
    </row>
    <row r="1745" spans="1:45" x14ac:dyDescent="0.35">
      <c r="A1745" s="5" t="s">
        <v>7081</v>
      </c>
      <c r="B1745" s="5" t="s">
        <v>4611</v>
      </c>
      <c r="C1745" s="6" t="s">
        <v>7082</v>
      </c>
      <c r="D1745" s="7">
        <v>196900</v>
      </c>
      <c r="E1745" s="5" t="s">
        <v>48</v>
      </c>
      <c r="F1745" s="5" t="s">
        <v>68</v>
      </c>
      <c r="G1745" s="8">
        <v>1</v>
      </c>
      <c r="H1745" s="8">
        <f>IF(F1745="Bullet",MIN(G1745,Assumptions!$B$6),"")</f>
        <v>1</v>
      </c>
      <c r="I1745" s="8"/>
      <c r="J1745" s="8" t="str">
        <f>IF(F1745="Monthly interest",MAX(0,Assumptions!$B$5-I1745),"")</f>
        <v/>
      </c>
      <c r="K1745" s="7">
        <f t="shared" si="81"/>
        <v>2133</v>
      </c>
      <c r="L1745" s="9">
        <v>46259</v>
      </c>
      <c r="M1745" s="5" t="s">
        <v>50</v>
      </c>
      <c r="N1745" s="5" t="s">
        <v>53</v>
      </c>
      <c r="O1745" s="5" t="s">
        <v>132</v>
      </c>
      <c r="P1745" s="5" t="s">
        <v>51</v>
      </c>
      <c r="Q1745" s="5" t="s">
        <v>73</v>
      </c>
      <c r="R1745" s="5" t="s">
        <v>74</v>
      </c>
      <c r="S1745" s="5" t="s">
        <v>85</v>
      </c>
      <c r="T1745" s="5" t="s">
        <v>57</v>
      </c>
      <c r="U1745" s="5" t="s">
        <v>58</v>
      </c>
      <c r="V1745" s="5" t="s">
        <v>177</v>
      </c>
      <c r="W1745" s="5" t="s">
        <v>208</v>
      </c>
      <c r="X1745" s="5" t="s">
        <v>312</v>
      </c>
      <c r="Y1745" s="5" t="s">
        <v>7083</v>
      </c>
      <c r="Z1745" s="9">
        <v>46259</v>
      </c>
      <c r="AA1745" s="8">
        <v>6</v>
      </c>
      <c r="AB1745" s="9">
        <f t="shared" si="82"/>
        <v>46443</v>
      </c>
      <c r="AC1745" s="10">
        <v>13</v>
      </c>
      <c r="AD1745" s="7">
        <f t="shared" si="83"/>
        <v>2133</v>
      </c>
      <c r="AE1745" s="7">
        <f>IF(F1745="Bullet",H1745*AD1745,MIN(MAX(I1745,1),Assumptions!$B$6)*AD1745)</f>
        <v>2133</v>
      </c>
      <c r="AF1745" s="8">
        <f>IF(F1745="Bullet",MAX(0,Assumptions!$B$4-AB1745),MAX(0,Assumptions!$B$4-L1745))</f>
        <v>0</v>
      </c>
      <c r="AG1745" s="9"/>
      <c r="AH1745" s="8" t="str">
        <f>IF(AG1745="","",Assumptions!$B$4-AG1745)</f>
        <v/>
      </c>
      <c r="AI1745" s="5" t="s">
        <v>80</v>
      </c>
      <c r="AJ1745" s="8"/>
      <c r="AK1745" s="8">
        <v>0</v>
      </c>
      <c r="AL1745" s="8">
        <v>704</v>
      </c>
      <c r="AM1745" s="8">
        <v>0</v>
      </c>
      <c r="AN1745" s="5" t="s">
        <v>63</v>
      </c>
      <c r="AO1745" s="10">
        <v>79.3</v>
      </c>
      <c r="AP1745" s="8">
        <v>14</v>
      </c>
      <c r="AQ1745" s="9">
        <v>46291</v>
      </c>
      <c r="AR1745" s="5" t="s">
        <v>51</v>
      </c>
      <c r="AS1745" s="5" t="s">
        <v>91</v>
      </c>
    </row>
    <row r="1746" spans="1:45" x14ac:dyDescent="0.35">
      <c r="A1746" s="5" t="s">
        <v>7084</v>
      </c>
      <c r="B1746" s="5" t="s">
        <v>7085</v>
      </c>
      <c r="C1746" s="6" t="s">
        <v>7086</v>
      </c>
      <c r="D1746" s="7">
        <v>242800</v>
      </c>
      <c r="E1746" s="5" t="s">
        <v>48</v>
      </c>
      <c r="F1746" s="5" t="s">
        <v>68</v>
      </c>
      <c r="G1746" s="8">
        <v>6</v>
      </c>
      <c r="H1746" s="8">
        <f>IF(F1746="Bullet",MIN(G1746,Assumptions!$B$6),"")</f>
        <v>2</v>
      </c>
      <c r="I1746" s="8"/>
      <c r="J1746" s="8" t="str">
        <f>IF(F1746="Monthly interest",MAX(0,Assumptions!$B$5-I1746),"")</f>
        <v/>
      </c>
      <c r="K1746" s="7">
        <f t="shared" si="81"/>
        <v>15780</v>
      </c>
      <c r="L1746" s="9">
        <v>46100</v>
      </c>
      <c r="M1746" s="5" t="s">
        <v>116</v>
      </c>
      <c r="N1746" s="5" t="s">
        <v>117</v>
      </c>
      <c r="O1746" s="5" t="s">
        <v>461</v>
      </c>
      <c r="P1746" s="5" t="s">
        <v>72</v>
      </c>
      <c r="Q1746" s="5" t="s">
        <v>169</v>
      </c>
      <c r="R1746" s="5" t="s">
        <v>170</v>
      </c>
      <c r="S1746" s="5" t="s">
        <v>56</v>
      </c>
      <c r="T1746" s="5" t="s">
        <v>63</v>
      </c>
      <c r="U1746" s="5" t="s">
        <v>86</v>
      </c>
      <c r="V1746" s="5" t="s">
        <v>59</v>
      </c>
      <c r="W1746" s="5" t="s">
        <v>126</v>
      </c>
      <c r="X1746" s="5" t="s">
        <v>606</v>
      </c>
      <c r="Y1746" s="5" t="s">
        <v>7087</v>
      </c>
      <c r="Z1746" s="9">
        <v>46100</v>
      </c>
      <c r="AA1746" s="8">
        <v>6</v>
      </c>
      <c r="AB1746" s="9">
        <f t="shared" si="82"/>
        <v>46284</v>
      </c>
      <c r="AC1746" s="10">
        <v>13</v>
      </c>
      <c r="AD1746" s="7">
        <f t="shared" si="83"/>
        <v>2630</v>
      </c>
      <c r="AE1746" s="7">
        <f>IF(F1746="Bullet",H1746*AD1746,MIN(MAX(I1746,1),Assumptions!$B$6)*AD1746)</f>
        <v>5260</v>
      </c>
      <c r="AF1746" s="8">
        <f>IF(F1746="Bullet",MAX(0,Assumptions!$B$4-AB1746),MAX(0,Assumptions!$B$4-L1746))</f>
        <v>14</v>
      </c>
      <c r="AG1746" s="9"/>
      <c r="AH1746" s="8" t="str">
        <f>IF(AG1746="","",Assumptions!$B$4-AG1746)</f>
        <v/>
      </c>
      <c r="AI1746" s="5" t="s">
        <v>80</v>
      </c>
      <c r="AJ1746" s="8"/>
      <c r="AK1746" s="8">
        <v>2</v>
      </c>
      <c r="AL1746" s="8">
        <v>740</v>
      </c>
      <c r="AM1746" s="8">
        <v>0</v>
      </c>
      <c r="AN1746" s="5" t="s">
        <v>63</v>
      </c>
      <c r="AO1746" s="10">
        <v>71.099999999999994</v>
      </c>
      <c r="AP1746" s="8">
        <v>62</v>
      </c>
      <c r="AQ1746" s="9">
        <v>46277</v>
      </c>
      <c r="AR1746" s="5" t="s">
        <v>70</v>
      </c>
      <c r="AS1746" s="5" t="s">
        <v>81</v>
      </c>
    </row>
    <row r="1747" spans="1:45" x14ac:dyDescent="0.35">
      <c r="A1747" s="5" t="s">
        <v>7088</v>
      </c>
      <c r="B1747" s="5" t="s">
        <v>1635</v>
      </c>
      <c r="C1747" s="6" t="s">
        <v>7089</v>
      </c>
      <c r="D1747" s="7">
        <v>121800</v>
      </c>
      <c r="E1747" s="5" t="s">
        <v>48</v>
      </c>
      <c r="F1747" s="5" t="s">
        <v>49</v>
      </c>
      <c r="G1747" s="8"/>
      <c r="H1747" s="8" t="str">
        <f>IF(F1747="Bullet",MIN(G1747,Assumptions!$B$6),"")</f>
        <v/>
      </c>
      <c r="I1747" s="8">
        <v>2</v>
      </c>
      <c r="J1747" s="8">
        <f>IF(F1747="Monthly interest",MAX(0,Assumptions!$B$5-I1747),"")</f>
        <v>1</v>
      </c>
      <c r="K1747" s="7">
        <f t="shared" si="81"/>
        <v>3654</v>
      </c>
      <c r="L1747" s="9">
        <v>46244</v>
      </c>
      <c r="M1747" s="5" t="s">
        <v>69</v>
      </c>
      <c r="N1747" s="5" t="s">
        <v>53</v>
      </c>
      <c r="O1747" s="5" t="s">
        <v>71</v>
      </c>
      <c r="P1747" s="5" t="s">
        <v>70</v>
      </c>
      <c r="Q1747" s="5" t="s">
        <v>73</v>
      </c>
      <c r="R1747" s="5" t="s">
        <v>74</v>
      </c>
      <c r="S1747" s="5" t="s">
        <v>85</v>
      </c>
      <c r="T1747" s="5" t="s">
        <v>57</v>
      </c>
      <c r="U1747" s="5" t="s">
        <v>86</v>
      </c>
      <c r="V1747" s="5" t="s">
        <v>177</v>
      </c>
      <c r="W1747" s="5" t="s">
        <v>178</v>
      </c>
      <c r="X1747" s="5" t="s">
        <v>222</v>
      </c>
      <c r="Y1747" s="5" t="s">
        <v>7090</v>
      </c>
      <c r="Z1747" s="9">
        <v>46032</v>
      </c>
      <c r="AA1747" s="8">
        <v>18</v>
      </c>
      <c r="AB1747" s="9">
        <f t="shared" si="82"/>
        <v>46578</v>
      </c>
      <c r="AC1747" s="10">
        <v>18</v>
      </c>
      <c r="AD1747" s="7">
        <f t="shared" si="83"/>
        <v>1827</v>
      </c>
      <c r="AE1747" s="7">
        <f>IF(F1747="Bullet",H1747*AD1747,MIN(MAX(I1747,1),Assumptions!$B$6)*AD1747)</f>
        <v>3654</v>
      </c>
      <c r="AF1747" s="8">
        <f>IF(F1747="Bullet",MAX(0,Assumptions!$B$4-AB1747),MAX(0,Assumptions!$B$4-L1747))</f>
        <v>54</v>
      </c>
      <c r="AG1747" s="9">
        <v>46215</v>
      </c>
      <c r="AH1747" s="8">
        <f>IF(AG1747="","",Assumptions!$B$4-AG1747)</f>
        <v>83</v>
      </c>
      <c r="AI1747" s="5" t="s">
        <v>57</v>
      </c>
      <c r="AJ1747" s="8">
        <v>4</v>
      </c>
      <c r="AK1747" s="8">
        <v>0</v>
      </c>
      <c r="AL1747" s="8">
        <v>769</v>
      </c>
      <c r="AM1747" s="8">
        <v>2</v>
      </c>
      <c r="AN1747" s="5" t="s">
        <v>63</v>
      </c>
      <c r="AO1747" s="10">
        <v>65.400000000000006</v>
      </c>
      <c r="AP1747" s="8">
        <v>40</v>
      </c>
      <c r="AQ1747" s="9">
        <v>46278</v>
      </c>
      <c r="AR1747" s="5" t="s">
        <v>51</v>
      </c>
      <c r="AS1747" s="5" t="s">
        <v>81</v>
      </c>
    </row>
    <row r="1748" spans="1:45" x14ac:dyDescent="0.35">
      <c r="A1748" s="5" t="s">
        <v>7091</v>
      </c>
      <c r="B1748" s="5" t="s">
        <v>7092</v>
      </c>
      <c r="C1748" s="6" t="s">
        <v>7093</v>
      </c>
      <c r="D1748" s="7">
        <v>57600</v>
      </c>
      <c r="E1748" s="5" t="s">
        <v>48</v>
      </c>
      <c r="F1748" s="5" t="s">
        <v>68</v>
      </c>
      <c r="G1748" s="8">
        <v>3</v>
      </c>
      <c r="H1748" s="8">
        <f>IF(F1748="Bullet",MIN(G1748,Assumptions!$B$6),"")</f>
        <v>2</v>
      </c>
      <c r="I1748" s="8"/>
      <c r="J1748" s="8" t="str">
        <f>IF(F1748="Monthly interest",MAX(0,Assumptions!$B$5-I1748),"")</f>
        <v/>
      </c>
      <c r="K1748" s="7">
        <f t="shared" si="81"/>
        <v>2160</v>
      </c>
      <c r="L1748" s="9">
        <v>46186</v>
      </c>
      <c r="M1748" s="5" t="s">
        <v>69</v>
      </c>
      <c r="N1748" s="5" t="s">
        <v>53</v>
      </c>
      <c r="O1748" s="5" t="s">
        <v>71</v>
      </c>
      <c r="P1748" s="5" t="s">
        <v>70</v>
      </c>
      <c r="Q1748" s="5" t="s">
        <v>73</v>
      </c>
      <c r="R1748" s="5" t="s">
        <v>74</v>
      </c>
      <c r="S1748" s="5" t="s">
        <v>75</v>
      </c>
      <c r="T1748" s="5" t="s">
        <v>57</v>
      </c>
      <c r="U1748" s="5" t="s">
        <v>86</v>
      </c>
      <c r="V1748" s="5" t="s">
        <v>76</v>
      </c>
      <c r="W1748" s="5" t="s">
        <v>77</v>
      </c>
      <c r="X1748" s="5" t="s">
        <v>260</v>
      </c>
      <c r="Y1748" s="5" t="s">
        <v>7094</v>
      </c>
      <c r="Z1748" s="9">
        <v>46186</v>
      </c>
      <c r="AA1748" s="8">
        <v>6</v>
      </c>
      <c r="AB1748" s="9">
        <f t="shared" si="82"/>
        <v>46369</v>
      </c>
      <c r="AC1748" s="10">
        <v>15</v>
      </c>
      <c r="AD1748" s="7">
        <f t="shared" si="83"/>
        <v>720</v>
      </c>
      <c r="AE1748" s="7">
        <f>IF(F1748="Bullet",H1748*AD1748,MIN(MAX(I1748,1),Assumptions!$B$6)*AD1748)</f>
        <v>1440</v>
      </c>
      <c r="AF1748" s="8">
        <f>IF(F1748="Bullet",MAX(0,Assumptions!$B$4-AB1748),MAX(0,Assumptions!$B$4-L1748))</f>
        <v>0</v>
      </c>
      <c r="AG1748" s="9"/>
      <c r="AH1748" s="8" t="str">
        <f>IF(AG1748="","",Assumptions!$B$4-AG1748)</f>
        <v/>
      </c>
      <c r="AI1748" s="5" t="s">
        <v>80</v>
      </c>
      <c r="AJ1748" s="8"/>
      <c r="AK1748" s="8">
        <v>1</v>
      </c>
      <c r="AL1748" s="8">
        <v>703</v>
      </c>
      <c r="AM1748" s="8">
        <v>5</v>
      </c>
      <c r="AN1748" s="5" t="s">
        <v>63</v>
      </c>
      <c r="AO1748" s="10">
        <v>71.7</v>
      </c>
      <c r="AP1748" s="8">
        <v>37</v>
      </c>
      <c r="AQ1748" s="9">
        <v>46280</v>
      </c>
      <c r="AR1748" s="5" t="s">
        <v>53</v>
      </c>
      <c r="AS1748" s="5" t="s">
        <v>64</v>
      </c>
    </row>
    <row r="1749" spans="1:45" x14ac:dyDescent="0.35">
      <c r="A1749" s="5" t="s">
        <v>7095</v>
      </c>
      <c r="B1749" s="5" t="s">
        <v>7096</v>
      </c>
      <c r="C1749" s="6" t="s">
        <v>7097</v>
      </c>
      <c r="D1749" s="7">
        <v>275400</v>
      </c>
      <c r="E1749" s="5" t="s">
        <v>48</v>
      </c>
      <c r="F1749" s="5" t="s">
        <v>49</v>
      </c>
      <c r="G1749" s="8"/>
      <c r="H1749" s="8" t="str">
        <f>IF(F1749="Bullet",MIN(G1749,Assumptions!$B$6),"")</f>
        <v/>
      </c>
      <c r="I1749" s="8">
        <v>1</v>
      </c>
      <c r="J1749" s="8">
        <f>IF(F1749="Monthly interest",MAX(0,Assumptions!$B$5-I1749),"")</f>
        <v>2</v>
      </c>
      <c r="K1749" s="7">
        <f t="shared" si="81"/>
        <v>5508</v>
      </c>
      <c r="L1749" s="9">
        <v>46285</v>
      </c>
      <c r="M1749" s="5" t="s">
        <v>50</v>
      </c>
      <c r="N1749" s="5" t="s">
        <v>53</v>
      </c>
      <c r="O1749" s="5" t="s">
        <v>103</v>
      </c>
      <c r="P1749" s="5" t="s">
        <v>51</v>
      </c>
      <c r="Q1749" s="5" t="s">
        <v>54</v>
      </c>
      <c r="R1749" s="5" t="s">
        <v>55</v>
      </c>
      <c r="S1749" s="5" t="s">
        <v>185</v>
      </c>
      <c r="T1749" s="5" t="s">
        <v>57</v>
      </c>
      <c r="U1749" s="5" t="s">
        <v>86</v>
      </c>
      <c r="V1749" s="5" t="s">
        <v>200</v>
      </c>
      <c r="W1749" s="5" t="s">
        <v>500</v>
      </c>
      <c r="X1749" s="5" t="s">
        <v>1769</v>
      </c>
      <c r="Y1749" s="5" t="s">
        <v>7098</v>
      </c>
      <c r="Z1749" s="9">
        <v>46011</v>
      </c>
      <c r="AA1749" s="8">
        <v>12</v>
      </c>
      <c r="AB1749" s="9">
        <f t="shared" si="82"/>
        <v>46376</v>
      </c>
      <c r="AC1749" s="10">
        <v>24</v>
      </c>
      <c r="AD1749" s="7">
        <f t="shared" si="83"/>
        <v>5508</v>
      </c>
      <c r="AE1749" s="7">
        <f>IF(F1749="Bullet",H1749*AD1749,MIN(MAX(I1749,1),Assumptions!$B$6)*AD1749)</f>
        <v>5508</v>
      </c>
      <c r="AF1749" s="8">
        <f>IF(F1749="Bullet",MAX(0,Assumptions!$B$4-AB1749),MAX(0,Assumptions!$B$4-L1749))</f>
        <v>13</v>
      </c>
      <c r="AG1749" s="9">
        <v>46256</v>
      </c>
      <c r="AH1749" s="8">
        <f>IF(AG1749="","",Assumptions!$B$4-AG1749)</f>
        <v>42</v>
      </c>
      <c r="AI1749" s="5" t="s">
        <v>57</v>
      </c>
      <c r="AJ1749" s="8">
        <v>1</v>
      </c>
      <c r="AK1749" s="8">
        <v>1</v>
      </c>
      <c r="AL1749" s="8">
        <v>746</v>
      </c>
      <c r="AM1749" s="8">
        <v>1</v>
      </c>
      <c r="AN1749" s="5" t="s">
        <v>63</v>
      </c>
      <c r="AO1749" s="10">
        <v>57.5</v>
      </c>
      <c r="AP1749" s="8">
        <v>25</v>
      </c>
      <c r="AQ1749" s="9">
        <v>46291</v>
      </c>
      <c r="AR1749" s="5" t="s">
        <v>51</v>
      </c>
      <c r="AS1749" s="5" t="s">
        <v>81</v>
      </c>
    </row>
    <row r="1750" spans="1:45" x14ac:dyDescent="0.35">
      <c r="A1750" s="5" t="s">
        <v>7099</v>
      </c>
      <c r="B1750" s="5" t="s">
        <v>2008</v>
      </c>
      <c r="C1750" s="6" t="s">
        <v>7100</v>
      </c>
      <c r="D1750" s="7">
        <v>63800</v>
      </c>
      <c r="E1750" s="5" t="s">
        <v>48</v>
      </c>
      <c r="F1750" s="5" t="s">
        <v>68</v>
      </c>
      <c r="G1750" s="8">
        <v>2</v>
      </c>
      <c r="H1750" s="8">
        <f>IF(F1750="Bullet",MIN(G1750,Assumptions!$B$6),"")</f>
        <v>2</v>
      </c>
      <c r="I1750" s="8"/>
      <c r="J1750" s="8" t="str">
        <f>IF(F1750="Monthly interest",MAX(0,Assumptions!$B$5-I1750),"")</f>
        <v/>
      </c>
      <c r="K1750" s="7">
        <f t="shared" si="81"/>
        <v>1382</v>
      </c>
      <c r="L1750" s="9">
        <v>46219</v>
      </c>
      <c r="M1750" s="5" t="s">
        <v>50</v>
      </c>
      <c r="N1750" s="5" t="s">
        <v>51</v>
      </c>
      <c r="O1750" s="5" t="s">
        <v>71</v>
      </c>
      <c r="P1750" s="5" t="s">
        <v>53</v>
      </c>
      <c r="Q1750" s="5" t="s">
        <v>73</v>
      </c>
      <c r="R1750" s="5" t="s">
        <v>74</v>
      </c>
      <c r="S1750" s="5" t="s">
        <v>85</v>
      </c>
      <c r="T1750" s="5" t="s">
        <v>57</v>
      </c>
      <c r="U1750" s="5" t="s">
        <v>58</v>
      </c>
      <c r="V1750" s="5" t="s">
        <v>96</v>
      </c>
      <c r="W1750" s="5" t="s">
        <v>819</v>
      </c>
      <c r="X1750" s="5" t="s">
        <v>2280</v>
      </c>
      <c r="Y1750" s="5" t="s">
        <v>7101</v>
      </c>
      <c r="Z1750" s="9">
        <v>46219</v>
      </c>
      <c r="AA1750" s="8">
        <v>6</v>
      </c>
      <c r="AB1750" s="9">
        <f t="shared" si="82"/>
        <v>46403</v>
      </c>
      <c r="AC1750" s="10">
        <v>13</v>
      </c>
      <c r="AD1750" s="7">
        <f t="shared" si="83"/>
        <v>691</v>
      </c>
      <c r="AE1750" s="7">
        <f>IF(F1750="Bullet",H1750*AD1750,MIN(MAX(I1750,1),Assumptions!$B$6)*AD1750)</f>
        <v>1382</v>
      </c>
      <c r="AF1750" s="8">
        <f>IF(F1750="Bullet",MAX(0,Assumptions!$B$4-AB1750),MAX(0,Assumptions!$B$4-L1750))</f>
        <v>0</v>
      </c>
      <c r="AG1750" s="9"/>
      <c r="AH1750" s="8" t="str">
        <f>IF(AG1750="","",Assumptions!$B$4-AG1750)</f>
        <v/>
      </c>
      <c r="AI1750" s="5" t="s">
        <v>80</v>
      </c>
      <c r="AJ1750" s="8"/>
      <c r="AK1750" s="8">
        <v>0</v>
      </c>
      <c r="AL1750" s="8">
        <v>729</v>
      </c>
      <c r="AM1750" s="8">
        <v>1</v>
      </c>
      <c r="AN1750" s="5" t="s">
        <v>63</v>
      </c>
      <c r="AO1750" s="10">
        <v>65.400000000000006</v>
      </c>
      <c r="AP1750" s="8">
        <v>23</v>
      </c>
      <c r="AQ1750" s="9"/>
      <c r="AR1750" s="5"/>
      <c r="AS1750" s="5" t="s">
        <v>159</v>
      </c>
    </row>
    <row r="1751" spans="1:45" x14ac:dyDescent="0.35">
      <c r="A1751" s="5" t="s">
        <v>7102</v>
      </c>
      <c r="B1751" s="5" t="s">
        <v>7103</v>
      </c>
      <c r="C1751" s="6" t="s">
        <v>7104</v>
      </c>
      <c r="D1751" s="7">
        <v>347800</v>
      </c>
      <c r="E1751" s="5" t="s">
        <v>48</v>
      </c>
      <c r="F1751" s="5" t="s">
        <v>68</v>
      </c>
      <c r="G1751" s="8">
        <v>2</v>
      </c>
      <c r="H1751" s="8">
        <f>IF(F1751="Bullet",MIN(G1751,Assumptions!$B$6),"")</f>
        <v>2</v>
      </c>
      <c r="I1751" s="8"/>
      <c r="J1751" s="8" t="str">
        <f>IF(F1751="Monthly interest",MAX(0,Assumptions!$B$5-I1751),"")</f>
        <v/>
      </c>
      <c r="K1751" s="7">
        <f t="shared" si="81"/>
        <v>8696</v>
      </c>
      <c r="L1751" s="9">
        <v>46232</v>
      </c>
      <c r="M1751" s="5" t="s">
        <v>50</v>
      </c>
      <c r="N1751" s="5" t="s">
        <v>51</v>
      </c>
      <c r="O1751" s="5" t="s">
        <v>71</v>
      </c>
      <c r="P1751" s="5" t="s">
        <v>53</v>
      </c>
      <c r="Q1751" s="5" t="s">
        <v>73</v>
      </c>
      <c r="R1751" s="5" t="s">
        <v>74</v>
      </c>
      <c r="S1751" s="5" t="s">
        <v>185</v>
      </c>
      <c r="T1751" s="5" t="s">
        <v>57</v>
      </c>
      <c r="U1751" s="5" t="s">
        <v>58</v>
      </c>
      <c r="V1751" s="5" t="s">
        <v>186</v>
      </c>
      <c r="W1751" s="5" t="s">
        <v>329</v>
      </c>
      <c r="X1751" s="5" t="s">
        <v>2919</v>
      </c>
      <c r="Y1751" s="5" t="s">
        <v>7105</v>
      </c>
      <c r="Z1751" s="9">
        <v>46232</v>
      </c>
      <c r="AA1751" s="8">
        <v>12</v>
      </c>
      <c r="AB1751" s="9">
        <f t="shared" si="82"/>
        <v>46597</v>
      </c>
      <c r="AC1751" s="10">
        <v>15</v>
      </c>
      <c r="AD1751" s="7">
        <f t="shared" si="83"/>
        <v>4348</v>
      </c>
      <c r="AE1751" s="7">
        <f>IF(F1751="Bullet",H1751*AD1751,MIN(MAX(I1751,1),Assumptions!$B$6)*AD1751)</f>
        <v>8696</v>
      </c>
      <c r="AF1751" s="8">
        <f>IF(F1751="Bullet",MAX(0,Assumptions!$B$4-AB1751),MAX(0,Assumptions!$B$4-L1751))</f>
        <v>0</v>
      </c>
      <c r="AG1751" s="9"/>
      <c r="AH1751" s="8" t="str">
        <f>IF(AG1751="","",Assumptions!$B$4-AG1751)</f>
        <v/>
      </c>
      <c r="AI1751" s="5" t="s">
        <v>80</v>
      </c>
      <c r="AJ1751" s="8"/>
      <c r="AK1751" s="8">
        <v>0</v>
      </c>
      <c r="AL1751" s="8">
        <v>670</v>
      </c>
      <c r="AM1751" s="8">
        <v>0</v>
      </c>
      <c r="AN1751" s="5" t="s">
        <v>63</v>
      </c>
      <c r="AO1751" s="10">
        <v>75.5</v>
      </c>
      <c r="AP1751" s="8">
        <v>18</v>
      </c>
      <c r="AQ1751" s="9">
        <v>46274</v>
      </c>
      <c r="AR1751" s="5" t="s">
        <v>70</v>
      </c>
      <c r="AS1751" s="5" t="s">
        <v>64</v>
      </c>
    </row>
    <row r="1752" spans="1:45" x14ac:dyDescent="0.35">
      <c r="A1752" s="5" t="s">
        <v>7106</v>
      </c>
      <c r="B1752" s="5" t="s">
        <v>7107</v>
      </c>
      <c r="C1752" s="6" t="s">
        <v>7108</v>
      </c>
      <c r="D1752" s="7">
        <v>170800</v>
      </c>
      <c r="E1752" s="5" t="s">
        <v>48</v>
      </c>
      <c r="F1752" s="5" t="s">
        <v>49</v>
      </c>
      <c r="G1752" s="8"/>
      <c r="H1752" s="8" t="str">
        <f>IF(F1752="Bullet",MIN(G1752,Assumptions!$B$6),"")</f>
        <v/>
      </c>
      <c r="I1752" s="8">
        <v>2</v>
      </c>
      <c r="J1752" s="8">
        <f>IF(F1752="Monthly interest",MAX(0,Assumptions!$B$5-I1752),"")</f>
        <v>1</v>
      </c>
      <c r="K1752" s="7">
        <f t="shared" si="81"/>
        <v>4554</v>
      </c>
      <c r="L1752" s="9">
        <v>46254</v>
      </c>
      <c r="M1752" s="5" t="s">
        <v>116</v>
      </c>
      <c r="N1752" s="5" t="s">
        <v>117</v>
      </c>
      <c r="O1752" s="5" t="s">
        <v>118</v>
      </c>
      <c r="P1752" s="5" t="s">
        <v>72</v>
      </c>
      <c r="Q1752" s="5" t="s">
        <v>119</v>
      </c>
      <c r="R1752" s="5" t="s">
        <v>120</v>
      </c>
      <c r="S1752" s="5" t="s">
        <v>56</v>
      </c>
      <c r="T1752" s="5" t="s">
        <v>57</v>
      </c>
      <c r="U1752" s="5" t="s">
        <v>86</v>
      </c>
      <c r="V1752" s="5" t="s">
        <v>59</v>
      </c>
      <c r="W1752" s="5" t="s">
        <v>126</v>
      </c>
      <c r="X1752" s="5" t="s">
        <v>2383</v>
      </c>
      <c r="Y1752" s="5" t="s">
        <v>7109</v>
      </c>
      <c r="Z1752" s="9">
        <v>46193</v>
      </c>
      <c r="AA1752" s="8">
        <v>12</v>
      </c>
      <c r="AB1752" s="9">
        <f t="shared" si="82"/>
        <v>46558</v>
      </c>
      <c r="AC1752" s="10">
        <v>16</v>
      </c>
      <c r="AD1752" s="7">
        <f t="shared" si="83"/>
        <v>2277</v>
      </c>
      <c r="AE1752" s="7">
        <f>IF(F1752="Bullet",H1752*AD1752,MIN(MAX(I1752,1),Assumptions!$B$6)*AD1752)</f>
        <v>4554</v>
      </c>
      <c r="AF1752" s="8">
        <f>IF(F1752="Bullet",MAX(0,Assumptions!$B$4-AB1752),MAX(0,Assumptions!$B$4-L1752))</f>
        <v>44</v>
      </c>
      <c r="AG1752" s="9">
        <v>46228</v>
      </c>
      <c r="AH1752" s="8">
        <f>IF(AG1752="","",Assumptions!$B$4-AG1752)</f>
        <v>70</v>
      </c>
      <c r="AI1752" s="5" t="s">
        <v>57</v>
      </c>
      <c r="AJ1752" s="8">
        <v>3</v>
      </c>
      <c r="AK1752" s="8">
        <v>0</v>
      </c>
      <c r="AL1752" s="8">
        <v>655</v>
      </c>
      <c r="AM1752" s="8">
        <v>0</v>
      </c>
      <c r="AN1752" s="5" t="s">
        <v>63</v>
      </c>
      <c r="AO1752" s="10">
        <v>52.4</v>
      </c>
      <c r="AP1752" s="8">
        <v>53</v>
      </c>
      <c r="AQ1752" s="9">
        <v>46282</v>
      </c>
      <c r="AR1752" s="5" t="s">
        <v>70</v>
      </c>
      <c r="AS1752" s="5" t="s">
        <v>64</v>
      </c>
    </row>
    <row r="1753" spans="1:45" x14ac:dyDescent="0.35">
      <c r="A1753" s="5" t="s">
        <v>7110</v>
      </c>
      <c r="B1753" s="5" t="s">
        <v>7111</v>
      </c>
      <c r="C1753" s="6" t="s">
        <v>7112</v>
      </c>
      <c r="D1753" s="7">
        <v>40200</v>
      </c>
      <c r="E1753" s="5" t="s">
        <v>48</v>
      </c>
      <c r="F1753" s="5" t="s">
        <v>68</v>
      </c>
      <c r="G1753" s="8">
        <v>1</v>
      </c>
      <c r="H1753" s="8">
        <f>IF(F1753="Bullet",MIN(G1753,Assumptions!$B$6),"")</f>
        <v>1</v>
      </c>
      <c r="I1753" s="8"/>
      <c r="J1753" s="8" t="str">
        <f>IF(F1753="Monthly interest",MAX(0,Assumptions!$B$5-I1753),"")</f>
        <v/>
      </c>
      <c r="K1753" s="7">
        <f t="shared" si="81"/>
        <v>402</v>
      </c>
      <c r="L1753" s="9">
        <v>46268</v>
      </c>
      <c r="M1753" s="5" t="s">
        <v>69</v>
      </c>
      <c r="N1753" s="5" t="s">
        <v>53</v>
      </c>
      <c r="O1753" s="5" t="s">
        <v>95</v>
      </c>
      <c r="P1753" s="5" t="s">
        <v>153</v>
      </c>
      <c r="Q1753" s="5" t="s">
        <v>154</v>
      </c>
      <c r="R1753" s="5" t="s">
        <v>155</v>
      </c>
      <c r="S1753" s="5" t="s">
        <v>56</v>
      </c>
      <c r="T1753" s="5" t="s">
        <v>63</v>
      </c>
      <c r="U1753" s="5" t="s">
        <v>86</v>
      </c>
      <c r="V1753" s="5" t="s">
        <v>59</v>
      </c>
      <c r="W1753" s="5" t="s">
        <v>126</v>
      </c>
      <c r="X1753" s="5" t="s">
        <v>2821</v>
      </c>
      <c r="Y1753" s="5" t="s">
        <v>7113</v>
      </c>
      <c r="Z1753" s="9">
        <v>46268</v>
      </c>
      <c r="AA1753" s="8">
        <v>6</v>
      </c>
      <c r="AB1753" s="9">
        <f t="shared" si="82"/>
        <v>46449</v>
      </c>
      <c r="AC1753" s="10">
        <v>12</v>
      </c>
      <c r="AD1753" s="7">
        <f t="shared" si="83"/>
        <v>402</v>
      </c>
      <c r="AE1753" s="7">
        <f>IF(F1753="Bullet",H1753*AD1753,MIN(MAX(I1753,1),Assumptions!$B$6)*AD1753)</f>
        <v>402</v>
      </c>
      <c r="AF1753" s="8">
        <f>IF(F1753="Bullet",MAX(0,Assumptions!$B$4-AB1753),MAX(0,Assumptions!$B$4-L1753))</f>
        <v>0</v>
      </c>
      <c r="AG1753" s="9"/>
      <c r="AH1753" s="8" t="str">
        <f>IF(AG1753="","",Assumptions!$B$4-AG1753)</f>
        <v/>
      </c>
      <c r="AI1753" s="5" t="s">
        <v>80</v>
      </c>
      <c r="AJ1753" s="8"/>
      <c r="AK1753" s="8">
        <v>0</v>
      </c>
      <c r="AL1753" s="8">
        <v>647</v>
      </c>
      <c r="AM1753" s="8">
        <v>4</v>
      </c>
      <c r="AN1753" s="5" t="s">
        <v>57</v>
      </c>
      <c r="AO1753" s="10">
        <v>88</v>
      </c>
      <c r="AP1753" s="8">
        <v>35</v>
      </c>
      <c r="AQ1753" s="9">
        <v>46280</v>
      </c>
      <c r="AR1753" s="5" t="s">
        <v>53</v>
      </c>
      <c r="AS1753" s="5" t="s">
        <v>81</v>
      </c>
    </row>
    <row r="1754" spans="1:45" x14ac:dyDescent="0.35">
      <c r="A1754" s="5" t="s">
        <v>7114</v>
      </c>
      <c r="B1754" s="5" t="s">
        <v>426</v>
      </c>
      <c r="C1754" s="6" t="s">
        <v>7115</v>
      </c>
      <c r="D1754" s="7">
        <v>19700</v>
      </c>
      <c r="E1754" s="5" t="s">
        <v>48</v>
      </c>
      <c r="F1754" s="5" t="s">
        <v>68</v>
      </c>
      <c r="G1754" s="8">
        <v>3</v>
      </c>
      <c r="H1754" s="8">
        <f>IF(F1754="Bullet",MIN(G1754,Assumptions!$B$6),"")</f>
        <v>2</v>
      </c>
      <c r="I1754" s="8"/>
      <c r="J1754" s="8" t="str">
        <f>IF(F1754="Monthly interest",MAX(0,Assumptions!$B$5-I1754),"")</f>
        <v/>
      </c>
      <c r="K1754" s="7">
        <f t="shared" si="81"/>
        <v>789</v>
      </c>
      <c r="L1754" s="9">
        <v>46192</v>
      </c>
      <c r="M1754" s="5" t="s">
        <v>50</v>
      </c>
      <c r="N1754" s="5" t="s">
        <v>53</v>
      </c>
      <c r="O1754" s="5" t="s">
        <v>152</v>
      </c>
      <c r="P1754" s="5" t="s">
        <v>153</v>
      </c>
      <c r="Q1754" s="5" t="s">
        <v>154</v>
      </c>
      <c r="R1754" s="5" t="s">
        <v>155</v>
      </c>
      <c r="S1754" s="5" t="s">
        <v>185</v>
      </c>
      <c r="T1754" s="5" t="s">
        <v>63</v>
      </c>
      <c r="U1754" s="5" t="s">
        <v>104</v>
      </c>
      <c r="V1754" s="5" t="s">
        <v>200</v>
      </c>
      <c r="W1754" s="5" t="s">
        <v>500</v>
      </c>
      <c r="X1754" s="5" t="s">
        <v>1131</v>
      </c>
      <c r="Y1754" s="5" t="s">
        <v>7116</v>
      </c>
      <c r="Z1754" s="9">
        <v>46192</v>
      </c>
      <c r="AA1754" s="8">
        <v>6</v>
      </c>
      <c r="AB1754" s="9">
        <f t="shared" si="82"/>
        <v>46375</v>
      </c>
      <c r="AC1754" s="10">
        <v>16</v>
      </c>
      <c r="AD1754" s="7">
        <f t="shared" si="83"/>
        <v>263</v>
      </c>
      <c r="AE1754" s="7">
        <f>IF(F1754="Bullet",H1754*AD1754,MIN(MAX(I1754,1),Assumptions!$B$6)*AD1754)</f>
        <v>526</v>
      </c>
      <c r="AF1754" s="8">
        <f>IF(F1754="Bullet",MAX(0,Assumptions!$B$4-AB1754),MAX(0,Assumptions!$B$4-L1754))</f>
        <v>0</v>
      </c>
      <c r="AG1754" s="9"/>
      <c r="AH1754" s="8" t="str">
        <f>IF(AG1754="","",Assumptions!$B$4-AG1754)</f>
        <v/>
      </c>
      <c r="AI1754" s="5" t="s">
        <v>80</v>
      </c>
      <c r="AJ1754" s="8"/>
      <c r="AK1754" s="8">
        <v>0</v>
      </c>
      <c r="AL1754" s="8">
        <v>745</v>
      </c>
      <c r="AM1754" s="8">
        <v>0</v>
      </c>
      <c r="AN1754" s="5" t="s">
        <v>63</v>
      </c>
      <c r="AO1754" s="10">
        <v>82.2</v>
      </c>
      <c r="AP1754" s="8">
        <v>23</v>
      </c>
      <c r="AQ1754" s="9">
        <v>46297</v>
      </c>
      <c r="AR1754" s="5" t="s">
        <v>70</v>
      </c>
      <c r="AS1754" s="5" t="s">
        <v>81</v>
      </c>
    </row>
    <row r="1755" spans="1:45" x14ac:dyDescent="0.35">
      <c r="A1755" s="5" t="s">
        <v>7117</v>
      </c>
      <c r="B1755" s="5" t="s">
        <v>519</v>
      </c>
      <c r="C1755" s="6" t="s">
        <v>7118</v>
      </c>
      <c r="D1755" s="7">
        <v>60700</v>
      </c>
      <c r="E1755" s="5" t="s">
        <v>48</v>
      </c>
      <c r="F1755" s="5" t="s">
        <v>49</v>
      </c>
      <c r="G1755" s="8"/>
      <c r="H1755" s="8" t="str">
        <f>IF(F1755="Bullet",MIN(G1755,Assumptions!$B$6),"")</f>
        <v/>
      </c>
      <c r="I1755" s="8">
        <v>2</v>
      </c>
      <c r="J1755" s="8">
        <f>IF(F1755="Monthly interest",MAX(0,Assumptions!$B$5-I1755),"")</f>
        <v>1</v>
      </c>
      <c r="K1755" s="7">
        <f t="shared" si="81"/>
        <v>2024</v>
      </c>
      <c r="L1755" s="9">
        <v>46262</v>
      </c>
      <c r="M1755" s="5" t="s">
        <v>69</v>
      </c>
      <c r="N1755" s="5" t="s">
        <v>53</v>
      </c>
      <c r="O1755" s="5" t="s">
        <v>71</v>
      </c>
      <c r="P1755" s="5" t="s">
        <v>70</v>
      </c>
      <c r="Q1755" s="5" t="s">
        <v>73</v>
      </c>
      <c r="R1755" s="5" t="s">
        <v>74</v>
      </c>
      <c r="S1755" s="5" t="s">
        <v>56</v>
      </c>
      <c r="T1755" s="5" t="s">
        <v>57</v>
      </c>
      <c r="U1755" s="5" t="s">
        <v>86</v>
      </c>
      <c r="V1755" s="5" t="s">
        <v>59</v>
      </c>
      <c r="W1755" s="5" t="s">
        <v>126</v>
      </c>
      <c r="X1755" s="5" t="s">
        <v>1424</v>
      </c>
      <c r="Y1755" s="5" t="s">
        <v>7119</v>
      </c>
      <c r="Z1755" s="9">
        <v>46050</v>
      </c>
      <c r="AA1755" s="8">
        <v>24</v>
      </c>
      <c r="AB1755" s="9">
        <f t="shared" si="82"/>
        <v>46780</v>
      </c>
      <c r="AC1755" s="10">
        <v>20</v>
      </c>
      <c r="AD1755" s="7">
        <f t="shared" si="83"/>
        <v>1012</v>
      </c>
      <c r="AE1755" s="7">
        <f>IF(F1755="Bullet",H1755*AD1755,MIN(MAX(I1755,1),Assumptions!$B$6)*AD1755)</f>
        <v>2024</v>
      </c>
      <c r="AF1755" s="8">
        <f>IF(F1755="Bullet",MAX(0,Assumptions!$B$4-AB1755),MAX(0,Assumptions!$B$4-L1755))</f>
        <v>36</v>
      </c>
      <c r="AG1755" s="9">
        <v>46233</v>
      </c>
      <c r="AH1755" s="8">
        <f>IF(AG1755="","",Assumptions!$B$4-AG1755)</f>
        <v>65</v>
      </c>
      <c r="AI1755" s="5" t="s">
        <v>57</v>
      </c>
      <c r="AJ1755" s="8">
        <v>3</v>
      </c>
      <c r="AK1755" s="8">
        <v>0</v>
      </c>
      <c r="AL1755" s="8">
        <v>789</v>
      </c>
      <c r="AM1755" s="8">
        <v>1</v>
      </c>
      <c r="AN1755" s="5" t="s">
        <v>63</v>
      </c>
      <c r="AO1755" s="10">
        <v>82.2</v>
      </c>
      <c r="AP1755" s="8">
        <v>45</v>
      </c>
      <c r="AQ1755" s="9">
        <v>46286</v>
      </c>
      <c r="AR1755" s="5" t="s">
        <v>53</v>
      </c>
      <c r="AS1755" s="5" t="s">
        <v>190</v>
      </c>
    </row>
    <row r="1756" spans="1:45" x14ac:dyDescent="0.35">
      <c r="A1756" s="5" t="s">
        <v>7120</v>
      </c>
      <c r="B1756" s="5" t="s">
        <v>3154</v>
      </c>
      <c r="C1756" s="6" t="s">
        <v>7121</v>
      </c>
      <c r="D1756" s="7">
        <v>73000</v>
      </c>
      <c r="E1756" s="5" t="s">
        <v>48</v>
      </c>
      <c r="F1756" s="5" t="s">
        <v>49</v>
      </c>
      <c r="G1756" s="8"/>
      <c r="H1756" s="8" t="str">
        <f>IF(F1756="Bullet",MIN(G1756,Assumptions!$B$6),"")</f>
        <v/>
      </c>
      <c r="I1756" s="8">
        <v>1</v>
      </c>
      <c r="J1756" s="8">
        <f>IF(F1756="Monthly interest",MAX(0,Assumptions!$B$5-I1756),"")</f>
        <v>2</v>
      </c>
      <c r="K1756" s="7">
        <f t="shared" si="81"/>
        <v>852</v>
      </c>
      <c r="L1756" s="9">
        <v>46289</v>
      </c>
      <c r="M1756" s="5" t="s">
        <v>116</v>
      </c>
      <c r="N1756" s="5" t="s">
        <v>117</v>
      </c>
      <c r="O1756" s="5" t="s">
        <v>118</v>
      </c>
      <c r="P1756" s="5" t="s">
        <v>72</v>
      </c>
      <c r="Q1756" s="5" t="s">
        <v>119</v>
      </c>
      <c r="R1756" s="5" t="s">
        <v>120</v>
      </c>
      <c r="S1756" s="5" t="s">
        <v>185</v>
      </c>
      <c r="T1756" s="5" t="s">
        <v>57</v>
      </c>
      <c r="U1756" s="5" t="s">
        <v>104</v>
      </c>
      <c r="V1756" s="5" t="s">
        <v>200</v>
      </c>
      <c r="W1756" s="5" t="s">
        <v>500</v>
      </c>
      <c r="X1756" s="5" t="s">
        <v>1495</v>
      </c>
      <c r="Y1756" s="5" t="s">
        <v>7122</v>
      </c>
      <c r="Z1756" s="9">
        <v>46105</v>
      </c>
      <c r="AA1756" s="8">
        <v>12</v>
      </c>
      <c r="AB1756" s="9">
        <f t="shared" si="82"/>
        <v>46470</v>
      </c>
      <c r="AC1756" s="10">
        <v>14</v>
      </c>
      <c r="AD1756" s="7">
        <f t="shared" si="83"/>
        <v>852</v>
      </c>
      <c r="AE1756" s="7">
        <f>IF(F1756="Bullet",H1756*AD1756,MIN(MAX(I1756,1),Assumptions!$B$6)*AD1756)</f>
        <v>852</v>
      </c>
      <c r="AF1756" s="8">
        <f>IF(F1756="Bullet",MAX(0,Assumptions!$B$4-AB1756),MAX(0,Assumptions!$B$4-L1756))</f>
        <v>9</v>
      </c>
      <c r="AG1756" s="9">
        <v>46259</v>
      </c>
      <c r="AH1756" s="8">
        <f>IF(AG1756="","",Assumptions!$B$4-AG1756)</f>
        <v>39</v>
      </c>
      <c r="AI1756" s="5" t="s">
        <v>63</v>
      </c>
      <c r="AJ1756" s="8">
        <v>1</v>
      </c>
      <c r="AK1756" s="8">
        <v>0</v>
      </c>
      <c r="AL1756" s="8" t="s">
        <v>80</v>
      </c>
      <c r="AM1756" s="8">
        <v>1</v>
      </c>
      <c r="AN1756" s="5" t="s">
        <v>63</v>
      </c>
      <c r="AO1756" s="10">
        <v>87.7</v>
      </c>
      <c r="AP1756" s="8">
        <v>50</v>
      </c>
      <c r="AQ1756" s="9">
        <v>46283</v>
      </c>
      <c r="AR1756" s="5" t="s">
        <v>51</v>
      </c>
      <c r="AS1756" s="5" t="s">
        <v>81</v>
      </c>
    </row>
    <row r="1757" spans="1:45" x14ac:dyDescent="0.35">
      <c r="A1757" s="5" t="s">
        <v>7123</v>
      </c>
      <c r="B1757" s="5" t="s">
        <v>2478</v>
      </c>
      <c r="C1757" s="6" t="s">
        <v>7124</v>
      </c>
      <c r="D1757" s="7">
        <v>728800</v>
      </c>
      <c r="E1757" s="5" t="s">
        <v>48</v>
      </c>
      <c r="F1757" s="5" t="s">
        <v>49</v>
      </c>
      <c r="G1757" s="8"/>
      <c r="H1757" s="8" t="str">
        <f>IF(F1757="Bullet",MIN(G1757,Assumptions!$B$6),"")</f>
        <v/>
      </c>
      <c r="I1757" s="8">
        <v>2</v>
      </c>
      <c r="J1757" s="8">
        <f>IF(F1757="Monthly interest",MAX(0,Assumptions!$B$5-I1757),"")</f>
        <v>1</v>
      </c>
      <c r="K1757" s="7">
        <f t="shared" si="81"/>
        <v>21864</v>
      </c>
      <c r="L1757" s="9">
        <v>46256</v>
      </c>
      <c r="M1757" s="5" t="s">
        <v>116</v>
      </c>
      <c r="N1757" s="5" t="s">
        <v>117</v>
      </c>
      <c r="O1757" s="5" t="s">
        <v>118</v>
      </c>
      <c r="P1757" s="5" t="s">
        <v>72</v>
      </c>
      <c r="Q1757" s="5" t="s">
        <v>119</v>
      </c>
      <c r="R1757" s="5" t="s">
        <v>120</v>
      </c>
      <c r="S1757" s="5" t="s">
        <v>56</v>
      </c>
      <c r="T1757" s="5" t="s">
        <v>63</v>
      </c>
      <c r="U1757" s="5" t="s">
        <v>58</v>
      </c>
      <c r="V1757" s="5" t="s">
        <v>59</v>
      </c>
      <c r="W1757" s="5" t="s">
        <v>300</v>
      </c>
      <c r="X1757" s="5" t="s">
        <v>1193</v>
      </c>
      <c r="Y1757" s="5" t="s">
        <v>7125</v>
      </c>
      <c r="Z1757" s="9">
        <v>46195</v>
      </c>
      <c r="AA1757" s="8">
        <v>18</v>
      </c>
      <c r="AB1757" s="9">
        <f t="shared" si="82"/>
        <v>46743</v>
      </c>
      <c r="AC1757" s="10">
        <v>18</v>
      </c>
      <c r="AD1757" s="7">
        <f t="shared" si="83"/>
        <v>10932</v>
      </c>
      <c r="AE1757" s="7">
        <f>IF(F1757="Bullet",H1757*AD1757,MIN(MAX(I1757,1),Assumptions!$B$6)*AD1757)</f>
        <v>21864</v>
      </c>
      <c r="AF1757" s="8">
        <f>IF(F1757="Bullet",MAX(0,Assumptions!$B$4-AB1757),MAX(0,Assumptions!$B$4-L1757))</f>
        <v>42</v>
      </c>
      <c r="AG1757" s="9">
        <v>46226</v>
      </c>
      <c r="AH1757" s="8">
        <f>IF(AG1757="","",Assumptions!$B$4-AG1757)</f>
        <v>72</v>
      </c>
      <c r="AI1757" s="5" t="s">
        <v>57</v>
      </c>
      <c r="AJ1757" s="8">
        <v>3</v>
      </c>
      <c r="AK1757" s="8">
        <v>0</v>
      </c>
      <c r="AL1757" s="8">
        <v>654</v>
      </c>
      <c r="AM1757" s="8">
        <v>1</v>
      </c>
      <c r="AN1757" s="5" t="s">
        <v>63</v>
      </c>
      <c r="AO1757" s="10">
        <v>78.8</v>
      </c>
      <c r="AP1757" s="8">
        <v>50</v>
      </c>
      <c r="AQ1757" s="9">
        <v>46297</v>
      </c>
      <c r="AR1757" s="5" t="s">
        <v>70</v>
      </c>
      <c r="AS1757" s="5" t="s">
        <v>91</v>
      </c>
    </row>
    <row r="1758" spans="1:45" x14ac:dyDescent="0.35">
      <c r="A1758" s="5" t="s">
        <v>7126</v>
      </c>
      <c r="B1758" s="5" t="s">
        <v>7127</v>
      </c>
      <c r="C1758" s="6" t="s">
        <v>7128</v>
      </c>
      <c r="D1758" s="7">
        <v>73700</v>
      </c>
      <c r="E1758" s="5" t="s">
        <v>48</v>
      </c>
      <c r="F1758" s="5" t="s">
        <v>49</v>
      </c>
      <c r="G1758" s="8"/>
      <c r="H1758" s="8" t="str">
        <f>IF(F1758="Bullet",MIN(G1758,Assumptions!$B$6),"")</f>
        <v/>
      </c>
      <c r="I1758" s="8">
        <v>1</v>
      </c>
      <c r="J1758" s="8">
        <f>IF(F1758="Monthly interest",MAX(0,Assumptions!$B$5-I1758),"")</f>
        <v>2</v>
      </c>
      <c r="K1758" s="7">
        <f t="shared" si="81"/>
        <v>1228</v>
      </c>
      <c r="L1758" s="9">
        <v>46271</v>
      </c>
      <c r="M1758" s="5" t="s">
        <v>50</v>
      </c>
      <c r="N1758" s="5" t="s">
        <v>51</v>
      </c>
      <c r="O1758" s="5" t="s">
        <v>52</v>
      </c>
      <c r="P1758" s="5" t="s">
        <v>53</v>
      </c>
      <c r="Q1758" s="5" t="s">
        <v>54</v>
      </c>
      <c r="R1758" s="5" t="s">
        <v>55</v>
      </c>
      <c r="S1758" s="5" t="s">
        <v>85</v>
      </c>
      <c r="T1758" s="5" t="s">
        <v>57</v>
      </c>
      <c r="U1758" s="5" t="s">
        <v>104</v>
      </c>
      <c r="V1758" s="5" t="s">
        <v>553</v>
      </c>
      <c r="W1758" s="5" t="s">
        <v>1029</v>
      </c>
      <c r="X1758" s="5" t="s">
        <v>4959</v>
      </c>
      <c r="Y1758" s="5" t="s">
        <v>7129</v>
      </c>
      <c r="Z1758" s="9">
        <v>46118</v>
      </c>
      <c r="AA1758" s="8">
        <v>24</v>
      </c>
      <c r="AB1758" s="9">
        <f t="shared" si="82"/>
        <v>46849</v>
      </c>
      <c r="AC1758" s="10">
        <v>20</v>
      </c>
      <c r="AD1758" s="7">
        <f t="shared" si="83"/>
        <v>1228</v>
      </c>
      <c r="AE1758" s="7">
        <f>IF(F1758="Bullet",H1758*AD1758,MIN(MAX(I1758,1),Assumptions!$B$6)*AD1758)</f>
        <v>1228</v>
      </c>
      <c r="AF1758" s="8">
        <f>IF(F1758="Bullet",MAX(0,Assumptions!$B$4-AB1758),MAX(0,Assumptions!$B$4-L1758))</f>
        <v>27</v>
      </c>
      <c r="AG1758" s="9">
        <v>46243</v>
      </c>
      <c r="AH1758" s="8">
        <f>IF(AG1758="","",Assumptions!$B$4-AG1758)</f>
        <v>55</v>
      </c>
      <c r="AI1758" s="5" t="s">
        <v>57</v>
      </c>
      <c r="AJ1758" s="8">
        <v>1</v>
      </c>
      <c r="AK1758" s="8">
        <v>0</v>
      </c>
      <c r="AL1758" s="8">
        <v>711</v>
      </c>
      <c r="AM1758" s="8">
        <v>1</v>
      </c>
      <c r="AN1758" s="5" t="s">
        <v>63</v>
      </c>
      <c r="AO1758" s="10">
        <v>65.2</v>
      </c>
      <c r="AP1758" s="8">
        <v>21</v>
      </c>
      <c r="AQ1758" s="9">
        <v>46284</v>
      </c>
      <c r="AR1758" s="5" t="s">
        <v>51</v>
      </c>
      <c r="AS1758" s="5" t="s">
        <v>190</v>
      </c>
    </row>
    <row r="1759" spans="1:45" x14ac:dyDescent="0.35">
      <c r="A1759" s="5" t="s">
        <v>7130</v>
      </c>
      <c r="B1759" s="5" t="s">
        <v>1898</v>
      </c>
      <c r="C1759" s="6" t="s">
        <v>7131</v>
      </c>
      <c r="D1759" s="7">
        <v>159700</v>
      </c>
      <c r="E1759" s="5" t="s">
        <v>48</v>
      </c>
      <c r="F1759" s="5" t="s">
        <v>49</v>
      </c>
      <c r="G1759" s="8"/>
      <c r="H1759" s="8" t="str">
        <f>IF(F1759="Bullet",MIN(G1759,Assumptions!$B$6),"")</f>
        <v/>
      </c>
      <c r="I1759" s="8">
        <v>1</v>
      </c>
      <c r="J1759" s="8">
        <f>IF(F1759="Monthly interest",MAX(0,Assumptions!$B$5-I1759),"")</f>
        <v>2</v>
      </c>
      <c r="K1759" s="7">
        <f t="shared" si="81"/>
        <v>3194</v>
      </c>
      <c r="L1759" s="9">
        <v>46278</v>
      </c>
      <c r="M1759" s="5" t="s">
        <v>69</v>
      </c>
      <c r="N1759" s="5" t="s">
        <v>53</v>
      </c>
      <c r="O1759" s="5" t="s">
        <v>95</v>
      </c>
      <c r="P1759" s="5" t="s">
        <v>70</v>
      </c>
      <c r="Q1759" s="5" t="s">
        <v>54</v>
      </c>
      <c r="R1759" s="5" t="s">
        <v>55</v>
      </c>
      <c r="S1759" s="5" t="s">
        <v>185</v>
      </c>
      <c r="T1759" s="5" t="s">
        <v>63</v>
      </c>
      <c r="U1759" s="5" t="s">
        <v>86</v>
      </c>
      <c r="V1759" s="5" t="s">
        <v>186</v>
      </c>
      <c r="W1759" s="5" t="s">
        <v>376</v>
      </c>
      <c r="X1759" s="5" t="s">
        <v>5975</v>
      </c>
      <c r="Y1759" s="5" t="s">
        <v>7132</v>
      </c>
      <c r="Z1759" s="9">
        <v>46094</v>
      </c>
      <c r="AA1759" s="8">
        <v>12</v>
      </c>
      <c r="AB1759" s="9">
        <f t="shared" si="82"/>
        <v>46459</v>
      </c>
      <c r="AC1759" s="10">
        <v>24</v>
      </c>
      <c r="AD1759" s="7">
        <f t="shared" si="83"/>
        <v>3194</v>
      </c>
      <c r="AE1759" s="7">
        <f>IF(F1759="Bullet",H1759*AD1759,MIN(MAX(I1759,1),Assumptions!$B$6)*AD1759)</f>
        <v>3194</v>
      </c>
      <c r="AF1759" s="8">
        <f>IF(F1759="Bullet",MAX(0,Assumptions!$B$4-AB1759),MAX(0,Assumptions!$B$4-L1759))</f>
        <v>20</v>
      </c>
      <c r="AG1759" s="9">
        <v>46247</v>
      </c>
      <c r="AH1759" s="8">
        <f>IF(AG1759="","",Assumptions!$B$4-AG1759)</f>
        <v>51</v>
      </c>
      <c r="AI1759" s="5" t="s">
        <v>63</v>
      </c>
      <c r="AJ1759" s="8">
        <v>1</v>
      </c>
      <c r="AK1759" s="8">
        <v>0</v>
      </c>
      <c r="AL1759" s="8" t="s">
        <v>80</v>
      </c>
      <c r="AM1759" s="8">
        <v>0</v>
      </c>
      <c r="AN1759" s="5" t="s">
        <v>57</v>
      </c>
      <c r="AO1759" s="10">
        <v>74.900000000000006</v>
      </c>
      <c r="AP1759" s="8">
        <v>41</v>
      </c>
      <c r="AQ1759" s="9">
        <v>46278</v>
      </c>
      <c r="AR1759" s="5" t="s">
        <v>53</v>
      </c>
      <c r="AS1759" s="5" t="s">
        <v>181</v>
      </c>
    </row>
    <row r="1760" spans="1:45" x14ac:dyDescent="0.35">
      <c r="A1760" s="5" t="s">
        <v>7133</v>
      </c>
      <c r="B1760" s="5" t="s">
        <v>7134</v>
      </c>
      <c r="C1760" s="6" t="s">
        <v>7135</v>
      </c>
      <c r="D1760" s="7">
        <v>328800</v>
      </c>
      <c r="E1760" s="5" t="s">
        <v>48</v>
      </c>
      <c r="F1760" s="5" t="s">
        <v>49</v>
      </c>
      <c r="G1760" s="8"/>
      <c r="H1760" s="8" t="str">
        <f>IF(F1760="Bullet",MIN(G1760,Assumptions!$B$6),"")</f>
        <v/>
      </c>
      <c r="I1760" s="8">
        <v>2</v>
      </c>
      <c r="J1760" s="8">
        <f>IF(F1760="Monthly interest",MAX(0,Assumptions!$B$5-I1760),"")</f>
        <v>1</v>
      </c>
      <c r="K1760" s="7">
        <f t="shared" si="81"/>
        <v>7672</v>
      </c>
      <c r="L1760" s="9">
        <v>46244</v>
      </c>
      <c r="M1760" s="5" t="s">
        <v>116</v>
      </c>
      <c r="N1760" s="5" t="s">
        <v>117</v>
      </c>
      <c r="O1760" s="5" t="s">
        <v>118</v>
      </c>
      <c r="P1760" s="5" t="s">
        <v>72</v>
      </c>
      <c r="Q1760" s="5" t="s">
        <v>119</v>
      </c>
      <c r="R1760" s="5" t="s">
        <v>120</v>
      </c>
      <c r="S1760" s="5" t="s">
        <v>214</v>
      </c>
      <c r="T1760" s="5" t="s">
        <v>57</v>
      </c>
      <c r="U1760" s="5" t="s">
        <v>104</v>
      </c>
      <c r="V1760" s="5" t="s">
        <v>215</v>
      </c>
      <c r="W1760" s="5" t="s">
        <v>242</v>
      </c>
      <c r="X1760" s="5" t="s">
        <v>2400</v>
      </c>
      <c r="Y1760" s="5" t="s">
        <v>7136</v>
      </c>
      <c r="Z1760" s="9">
        <v>46183</v>
      </c>
      <c r="AA1760" s="8">
        <v>12</v>
      </c>
      <c r="AB1760" s="9">
        <f t="shared" si="82"/>
        <v>46548</v>
      </c>
      <c r="AC1760" s="10">
        <v>14</v>
      </c>
      <c r="AD1760" s="7">
        <f t="shared" si="83"/>
        <v>3836</v>
      </c>
      <c r="AE1760" s="7">
        <f>IF(F1760="Bullet",H1760*AD1760,MIN(MAX(I1760,1),Assumptions!$B$6)*AD1760)</f>
        <v>7672</v>
      </c>
      <c r="AF1760" s="8">
        <f>IF(F1760="Bullet",MAX(0,Assumptions!$B$4-AB1760),MAX(0,Assumptions!$B$4-L1760))</f>
        <v>54</v>
      </c>
      <c r="AG1760" s="9">
        <v>46218</v>
      </c>
      <c r="AH1760" s="8">
        <f>IF(AG1760="","",Assumptions!$B$4-AG1760)</f>
        <v>80</v>
      </c>
      <c r="AI1760" s="5" t="s">
        <v>63</v>
      </c>
      <c r="AJ1760" s="8">
        <v>2</v>
      </c>
      <c r="AK1760" s="8">
        <v>1</v>
      </c>
      <c r="AL1760" s="8">
        <v>660</v>
      </c>
      <c r="AM1760" s="8">
        <v>3</v>
      </c>
      <c r="AN1760" s="5" t="s">
        <v>63</v>
      </c>
      <c r="AO1760" s="10">
        <v>83.3</v>
      </c>
      <c r="AP1760" s="8">
        <v>64</v>
      </c>
      <c r="AQ1760" s="9">
        <v>46288</v>
      </c>
      <c r="AR1760" s="5" t="s">
        <v>70</v>
      </c>
      <c r="AS1760" s="5" t="s">
        <v>91</v>
      </c>
    </row>
    <row r="1761" spans="1:45" x14ac:dyDescent="0.35">
      <c r="A1761" s="5" t="s">
        <v>7137</v>
      </c>
      <c r="B1761" s="5" t="s">
        <v>2346</v>
      </c>
      <c r="C1761" s="6" t="s">
        <v>7138</v>
      </c>
      <c r="D1761" s="7">
        <v>213200</v>
      </c>
      <c r="E1761" s="5" t="s">
        <v>48</v>
      </c>
      <c r="F1761" s="5" t="s">
        <v>68</v>
      </c>
      <c r="G1761" s="8">
        <v>4</v>
      </c>
      <c r="H1761" s="8">
        <f>IF(F1761="Bullet",MIN(G1761,Assumptions!$B$6),"")</f>
        <v>2</v>
      </c>
      <c r="I1761" s="8"/>
      <c r="J1761" s="8" t="str">
        <f>IF(F1761="Monthly interest",MAX(0,Assumptions!$B$5-I1761),"")</f>
        <v/>
      </c>
      <c r="K1761" s="7">
        <f t="shared" si="81"/>
        <v>9948</v>
      </c>
      <c r="L1761" s="9">
        <v>46159</v>
      </c>
      <c r="M1761" s="5" t="s">
        <v>116</v>
      </c>
      <c r="N1761" s="5" t="s">
        <v>117</v>
      </c>
      <c r="O1761" s="5" t="s">
        <v>207</v>
      </c>
      <c r="P1761" s="5" t="s">
        <v>72</v>
      </c>
      <c r="Q1761" s="5" t="s">
        <v>73</v>
      </c>
      <c r="R1761" s="5" t="s">
        <v>74</v>
      </c>
      <c r="S1761" s="5" t="s">
        <v>185</v>
      </c>
      <c r="T1761" s="5" t="s">
        <v>57</v>
      </c>
      <c r="U1761" s="5" t="s">
        <v>104</v>
      </c>
      <c r="V1761" s="5" t="s">
        <v>186</v>
      </c>
      <c r="W1761" s="5" t="s">
        <v>694</v>
      </c>
      <c r="X1761" s="5" t="s">
        <v>7139</v>
      </c>
      <c r="Y1761" s="5" t="s">
        <v>7140</v>
      </c>
      <c r="Z1761" s="9">
        <v>46159</v>
      </c>
      <c r="AA1761" s="8">
        <v>12</v>
      </c>
      <c r="AB1761" s="9">
        <f t="shared" si="82"/>
        <v>46524</v>
      </c>
      <c r="AC1761" s="10">
        <v>14</v>
      </c>
      <c r="AD1761" s="7">
        <f t="shared" si="83"/>
        <v>2487</v>
      </c>
      <c r="AE1761" s="7">
        <f>IF(F1761="Bullet",H1761*AD1761,MIN(MAX(I1761,1),Assumptions!$B$6)*AD1761)</f>
        <v>4974</v>
      </c>
      <c r="AF1761" s="8">
        <f>IF(F1761="Bullet",MAX(0,Assumptions!$B$4-AB1761),MAX(0,Assumptions!$B$4-L1761))</f>
        <v>0</v>
      </c>
      <c r="AG1761" s="9"/>
      <c r="AH1761" s="8" t="str">
        <f>IF(AG1761="","",Assumptions!$B$4-AG1761)</f>
        <v/>
      </c>
      <c r="AI1761" s="5" t="s">
        <v>80</v>
      </c>
      <c r="AJ1761" s="8"/>
      <c r="AK1761" s="8">
        <v>2</v>
      </c>
      <c r="AL1761" s="8">
        <v>604</v>
      </c>
      <c r="AM1761" s="8">
        <v>1</v>
      </c>
      <c r="AN1761" s="5" t="s">
        <v>57</v>
      </c>
      <c r="AO1761" s="10">
        <v>67.599999999999994</v>
      </c>
      <c r="AP1761" s="8">
        <v>54</v>
      </c>
      <c r="AQ1761" s="9">
        <v>46278</v>
      </c>
      <c r="AR1761" s="5" t="s">
        <v>53</v>
      </c>
      <c r="AS1761" s="5" t="s">
        <v>64</v>
      </c>
    </row>
    <row r="1762" spans="1:45" x14ac:dyDescent="0.35">
      <c r="A1762" s="5" t="s">
        <v>7141</v>
      </c>
      <c r="B1762" s="5" t="s">
        <v>1611</v>
      </c>
      <c r="C1762" s="6" t="s">
        <v>7142</v>
      </c>
      <c r="D1762" s="7">
        <v>303300</v>
      </c>
      <c r="E1762" s="5" t="s">
        <v>48</v>
      </c>
      <c r="F1762" s="5" t="s">
        <v>68</v>
      </c>
      <c r="G1762" s="8">
        <v>4</v>
      </c>
      <c r="H1762" s="8">
        <f>IF(F1762="Bullet",MIN(G1762,Assumptions!$B$6),"")</f>
        <v>2</v>
      </c>
      <c r="I1762" s="8"/>
      <c r="J1762" s="8" t="str">
        <f>IF(F1762="Monthly interest",MAX(0,Assumptions!$B$5-I1762),"")</f>
        <v/>
      </c>
      <c r="K1762" s="7">
        <f t="shared" si="81"/>
        <v>16176</v>
      </c>
      <c r="L1762" s="9">
        <v>46165</v>
      </c>
      <c r="M1762" s="5" t="s">
        <v>69</v>
      </c>
      <c r="N1762" s="5" t="s">
        <v>70</v>
      </c>
      <c r="O1762" s="5" t="s">
        <v>71</v>
      </c>
      <c r="P1762" s="5" t="s">
        <v>72</v>
      </c>
      <c r="Q1762" s="5" t="s">
        <v>73</v>
      </c>
      <c r="R1762" s="5" t="s">
        <v>74</v>
      </c>
      <c r="S1762" s="5" t="s">
        <v>75</v>
      </c>
      <c r="T1762" s="5" t="s">
        <v>57</v>
      </c>
      <c r="U1762" s="5" t="s">
        <v>86</v>
      </c>
      <c r="V1762" s="5" t="s">
        <v>76</v>
      </c>
      <c r="W1762" s="5" t="s">
        <v>444</v>
      </c>
      <c r="X1762" s="5" t="s">
        <v>1228</v>
      </c>
      <c r="Y1762" s="5" t="s">
        <v>7143</v>
      </c>
      <c r="Z1762" s="9">
        <v>46165</v>
      </c>
      <c r="AA1762" s="8">
        <v>12</v>
      </c>
      <c r="AB1762" s="9">
        <f t="shared" si="82"/>
        <v>46530</v>
      </c>
      <c r="AC1762" s="10">
        <v>16</v>
      </c>
      <c r="AD1762" s="7">
        <f t="shared" si="83"/>
        <v>4044</v>
      </c>
      <c r="AE1762" s="7">
        <f>IF(F1762="Bullet",H1762*AD1762,MIN(MAX(I1762,1),Assumptions!$B$6)*AD1762)</f>
        <v>8088</v>
      </c>
      <c r="AF1762" s="8">
        <f>IF(F1762="Bullet",MAX(0,Assumptions!$B$4-AB1762),MAX(0,Assumptions!$B$4-L1762))</f>
        <v>0</v>
      </c>
      <c r="AG1762" s="9"/>
      <c r="AH1762" s="8" t="str">
        <f>IF(AG1762="","",Assumptions!$B$4-AG1762)</f>
        <v/>
      </c>
      <c r="AI1762" s="5" t="s">
        <v>80</v>
      </c>
      <c r="AJ1762" s="8"/>
      <c r="AK1762" s="8">
        <v>1</v>
      </c>
      <c r="AL1762" s="8">
        <v>647</v>
      </c>
      <c r="AM1762" s="8">
        <v>2</v>
      </c>
      <c r="AN1762" s="5" t="s">
        <v>63</v>
      </c>
      <c r="AO1762" s="10">
        <v>68.5</v>
      </c>
      <c r="AP1762" s="8">
        <v>37</v>
      </c>
      <c r="AQ1762" s="9">
        <v>46280</v>
      </c>
      <c r="AR1762" s="5" t="s">
        <v>51</v>
      </c>
      <c r="AS1762" s="5" t="s">
        <v>81</v>
      </c>
    </row>
    <row r="1763" spans="1:45" x14ac:dyDescent="0.35">
      <c r="A1763" s="5" t="s">
        <v>7144</v>
      </c>
      <c r="B1763" s="5" t="s">
        <v>2905</v>
      </c>
      <c r="C1763" s="6" t="s">
        <v>7145</v>
      </c>
      <c r="D1763" s="7">
        <v>80600</v>
      </c>
      <c r="E1763" s="5" t="s">
        <v>48</v>
      </c>
      <c r="F1763" s="5" t="s">
        <v>68</v>
      </c>
      <c r="G1763" s="8">
        <v>1</v>
      </c>
      <c r="H1763" s="8">
        <f>IF(F1763="Bullet",MIN(G1763,Assumptions!$B$6),"")</f>
        <v>1</v>
      </c>
      <c r="I1763" s="8"/>
      <c r="J1763" s="8" t="str">
        <f>IF(F1763="Monthly interest",MAX(0,Assumptions!$B$5-I1763),"")</f>
        <v/>
      </c>
      <c r="K1763" s="7">
        <f t="shared" si="81"/>
        <v>873</v>
      </c>
      <c r="L1763" s="9">
        <v>46248</v>
      </c>
      <c r="M1763" s="5" t="s">
        <v>50</v>
      </c>
      <c r="N1763" s="5" t="s">
        <v>70</v>
      </c>
      <c r="O1763" s="5" t="s">
        <v>271</v>
      </c>
      <c r="P1763" s="5" t="s">
        <v>72</v>
      </c>
      <c r="Q1763" s="5" t="s">
        <v>73</v>
      </c>
      <c r="R1763" s="5" t="s">
        <v>74</v>
      </c>
      <c r="S1763" s="5" t="s">
        <v>56</v>
      </c>
      <c r="T1763" s="5" t="s">
        <v>57</v>
      </c>
      <c r="U1763" s="5" t="s">
        <v>86</v>
      </c>
      <c r="V1763" s="5" t="s">
        <v>59</v>
      </c>
      <c r="W1763" s="5" t="s">
        <v>156</v>
      </c>
      <c r="X1763" s="5" t="s">
        <v>1490</v>
      </c>
      <c r="Y1763" s="5" t="s">
        <v>7146</v>
      </c>
      <c r="Z1763" s="9">
        <v>46248</v>
      </c>
      <c r="AA1763" s="8">
        <v>6</v>
      </c>
      <c r="AB1763" s="9">
        <f t="shared" si="82"/>
        <v>46432</v>
      </c>
      <c r="AC1763" s="10">
        <v>13</v>
      </c>
      <c r="AD1763" s="7">
        <f t="shared" si="83"/>
        <v>873</v>
      </c>
      <c r="AE1763" s="7">
        <f>IF(F1763="Bullet",H1763*AD1763,MIN(MAX(I1763,1),Assumptions!$B$6)*AD1763)</f>
        <v>873</v>
      </c>
      <c r="AF1763" s="8">
        <f>IF(F1763="Bullet",MAX(0,Assumptions!$B$4-AB1763),MAX(0,Assumptions!$B$4-L1763))</f>
        <v>0</v>
      </c>
      <c r="AG1763" s="9"/>
      <c r="AH1763" s="8" t="str">
        <f>IF(AG1763="","",Assumptions!$B$4-AG1763)</f>
        <v/>
      </c>
      <c r="AI1763" s="5" t="s">
        <v>80</v>
      </c>
      <c r="AJ1763" s="8"/>
      <c r="AK1763" s="8">
        <v>0</v>
      </c>
      <c r="AL1763" s="8">
        <v>789</v>
      </c>
      <c r="AM1763" s="8">
        <v>1</v>
      </c>
      <c r="AN1763" s="5" t="s">
        <v>63</v>
      </c>
      <c r="AO1763" s="10">
        <v>52.9</v>
      </c>
      <c r="AP1763" s="8">
        <v>0</v>
      </c>
      <c r="AQ1763" s="9">
        <v>46294</v>
      </c>
      <c r="AR1763" s="5" t="s">
        <v>51</v>
      </c>
      <c r="AS1763" s="5" t="s">
        <v>274</v>
      </c>
    </row>
    <row r="1764" spans="1:45" x14ac:dyDescent="0.35">
      <c r="A1764" s="5" t="s">
        <v>7147</v>
      </c>
      <c r="B1764" s="5" t="s">
        <v>3409</v>
      </c>
      <c r="C1764" s="6" t="s">
        <v>7148</v>
      </c>
      <c r="D1764" s="7">
        <v>81600</v>
      </c>
      <c r="E1764" s="5" t="s">
        <v>48</v>
      </c>
      <c r="F1764" s="5" t="s">
        <v>49</v>
      </c>
      <c r="G1764" s="8"/>
      <c r="H1764" s="8" t="str">
        <f>IF(F1764="Bullet",MIN(G1764,Assumptions!$B$6),"")</f>
        <v/>
      </c>
      <c r="I1764" s="8">
        <v>1</v>
      </c>
      <c r="J1764" s="8">
        <f>IF(F1764="Monthly interest",MAX(0,Assumptions!$B$5-I1764),"")</f>
        <v>2</v>
      </c>
      <c r="K1764" s="7">
        <f t="shared" si="81"/>
        <v>1020</v>
      </c>
      <c r="L1764" s="9">
        <v>46292</v>
      </c>
      <c r="M1764" s="5" t="s">
        <v>69</v>
      </c>
      <c r="N1764" s="5" t="s">
        <v>51</v>
      </c>
      <c r="O1764" s="5" t="s">
        <v>52</v>
      </c>
      <c r="P1764" s="5" t="s">
        <v>53</v>
      </c>
      <c r="Q1764" s="5" t="s">
        <v>54</v>
      </c>
      <c r="R1764" s="5" t="s">
        <v>55</v>
      </c>
      <c r="S1764" s="5" t="s">
        <v>185</v>
      </c>
      <c r="T1764" s="5" t="s">
        <v>57</v>
      </c>
      <c r="U1764" s="5" t="s">
        <v>58</v>
      </c>
      <c r="V1764" s="5" t="s">
        <v>200</v>
      </c>
      <c r="W1764" s="5" t="s">
        <v>433</v>
      </c>
      <c r="X1764" s="5" t="s">
        <v>3246</v>
      </c>
      <c r="Y1764" s="5" t="s">
        <v>7149</v>
      </c>
      <c r="Z1764" s="9">
        <v>46169</v>
      </c>
      <c r="AA1764" s="8">
        <v>12</v>
      </c>
      <c r="AB1764" s="9">
        <f t="shared" si="82"/>
        <v>46534</v>
      </c>
      <c r="AC1764" s="10">
        <v>15</v>
      </c>
      <c r="AD1764" s="7">
        <f t="shared" si="83"/>
        <v>1020</v>
      </c>
      <c r="AE1764" s="7">
        <f>IF(F1764="Bullet",H1764*AD1764,MIN(MAX(I1764,1),Assumptions!$B$6)*AD1764)</f>
        <v>1020</v>
      </c>
      <c r="AF1764" s="8">
        <f>IF(F1764="Bullet",MAX(0,Assumptions!$B$4-AB1764),MAX(0,Assumptions!$B$4-L1764))</f>
        <v>6</v>
      </c>
      <c r="AG1764" s="9">
        <v>46265</v>
      </c>
      <c r="AH1764" s="8">
        <f>IF(AG1764="","",Assumptions!$B$4-AG1764)</f>
        <v>33</v>
      </c>
      <c r="AI1764" s="5" t="s">
        <v>63</v>
      </c>
      <c r="AJ1764" s="8">
        <v>1</v>
      </c>
      <c r="AK1764" s="8">
        <v>0</v>
      </c>
      <c r="AL1764" s="8" t="s">
        <v>80</v>
      </c>
      <c r="AM1764" s="8">
        <v>1</v>
      </c>
      <c r="AN1764" s="5" t="s">
        <v>57</v>
      </c>
      <c r="AO1764" s="10">
        <v>60.2</v>
      </c>
      <c r="AP1764" s="8">
        <v>39</v>
      </c>
      <c r="AQ1764" s="9"/>
      <c r="AR1764" s="5"/>
      <c r="AS1764" s="5" t="s">
        <v>159</v>
      </c>
    </row>
    <row r="1765" spans="1:45" x14ac:dyDescent="0.35">
      <c r="A1765" s="5" t="s">
        <v>7150</v>
      </c>
      <c r="B1765" s="5" t="s">
        <v>7151</v>
      </c>
      <c r="C1765" s="6" t="s">
        <v>7152</v>
      </c>
      <c r="D1765" s="7">
        <v>111500</v>
      </c>
      <c r="E1765" s="5" t="s">
        <v>48</v>
      </c>
      <c r="F1765" s="5" t="s">
        <v>49</v>
      </c>
      <c r="G1765" s="8"/>
      <c r="H1765" s="8" t="str">
        <f>IF(F1765="Bullet",MIN(G1765,Assumptions!$B$6),"")</f>
        <v/>
      </c>
      <c r="I1765" s="8">
        <v>2</v>
      </c>
      <c r="J1765" s="8">
        <f>IF(F1765="Monthly interest",MAX(0,Assumptions!$B$5-I1765),"")</f>
        <v>1</v>
      </c>
      <c r="K1765" s="7">
        <f t="shared" si="81"/>
        <v>4088</v>
      </c>
      <c r="L1765" s="9">
        <v>46242</v>
      </c>
      <c r="M1765" s="5" t="s">
        <v>116</v>
      </c>
      <c r="N1765" s="5" t="s">
        <v>117</v>
      </c>
      <c r="O1765" s="5" t="s">
        <v>118</v>
      </c>
      <c r="P1765" s="5" t="s">
        <v>72</v>
      </c>
      <c r="Q1765" s="5" t="s">
        <v>119</v>
      </c>
      <c r="R1765" s="5" t="s">
        <v>120</v>
      </c>
      <c r="S1765" s="5" t="s">
        <v>85</v>
      </c>
      <c r="T1765" s="5" t="s">
        <v>57</v>
      </c>
      <c r="U1765" s="5" t="s">
        <v>86</v>
      </c>
      <c r="V1765" s="5" t="s">
        <v>553</v>
      </c>
      <c r="W1765" s="5" t="s">
        <v>554</v>
      </c>
      <c r="X1765" s="5" t="s">
        <v>1693</v>
      </c>
      <c r="Y1765" s="5" t="s">
        <v>7153</v>
      </c>
      <c r="Z1765" s="9">
        <v>46089</v>
      </c>
      <c r="AA1765" s="8">
        <v>24</v>
      </c>
      <c r="AB1765" s="9">
        <f t="shared" si="82"/>
        <v>46820</v>
      </c>
      <c r="AC1765" s="10">
        <v>22</v>
      </c>
      <c r="AD1765" s="7">
        <f t="shared" si="83"/>
        <v>2044</v>
      </c>
      <c r="AE1765" s="7">
        <f>IF(F1765="Bullet",H1765*AD1765,MIN(MAX(I1765,1),Assumptions!$B$6)*AD1765)</f>
        <v>4088</v>
      </c>
      <c r="AF1765" s="8">
        <f>IF(F1765="Bullet",MAX(0,Assumptions!$B$4-AB1765),MAX(0,Assumptions!$B$4-L1765))</f>
        <v>56</v>
      </c>
      <c r="AG1765" s="9">
        <v>46216</v>
      </c>
      <c r="AH1765" s="8">
        <f>IF(AG1765="","",Assumptions!$B$4-AG1765)</f>
        <v>82</v>
      </c>
      <c r="AI1765" s="5" t="s">
        <v>63</v>
      </c>
      <c r="AJ1765" s="8">
        <v>2</v>
      </c>
      <c r="AK1765" s="8">
        <v>2</v>
      </c>
      <c r="AL1765" s="8">
        <v>741</v>
      </c>
      <c r="AM1765" s="8">
        <v>1</v>
      </c>
      <c r="AN1765" s="5" t="s">
        <v>63</v>
      </c>
      <c r="AO1765" s="10">
        <v>57.5</v>
      </c>
      <c r="AP1765" s="8">
        <v>51</v>
      </c>
      <c r="AQ1765" s="9">
        <v>46280</v>
      </c>
      <c r="AR1765" s="5" t="s">
        <v>70</v>
      </c>
      <c r="AS1765" s="5" t="s">
        <v>81</v>
      </c>
    </row>
    <row r="1766" spans="1:45" x14ac:dyDescent="0.35">
      <c r="A1766" s="5" t="s">
        <v>7154</v>
      </c>
      <c r="B1766" s="5" t="s">
        <v>3900</v>
      </c>
      <c r="C1766" s="6" t="s">
        <v>7155</v>
      </c>
      <c r="D1766" s="7">
        <v>61800</v>
      </c>
      <c r="E1766" s="5" t="s">
        <v>48</v>
      </c>
      <c r="F1766" s="5" t="s">
        <v>68</v>
      </c>
      <c r="G1766" s="8">
        <v>3</v>
      </c>
      <c r="H1766" s="8">
        <f>IF(F1766="Bullet",MIN(G1766,Assumptions!$B$6),"")</f>
        <v>2</v>
      </c>
      <c r="I1766" s="8"/>
      <c r="J1766" s="8" t="str">
        <f>IF(F1766="Monthly interest",MAX(0,Assumptions!$B$5-I1766),"")</f>
        <v/>
      </c>
      <c r="K1766" s="7">
        <f t="shared" si="81"/>
        <v>2163</v>
      </c>
      <c r="L1766" s="9">
        <v>46198</v>
      </c>
      <c r="M1766" s="5" t="s">
        <v>69</v>
      </c>
      <c r="N1766" s="5" t="s">
        <v>53</v>
      </c>
      <c r="O1766" s="5" t="s">
        <v>71</v>
      </c>
      <c r="P1766" s="5" t="s">
        <v>70</v>
      </c>
      <c r="Q1766" s="5" t="s">
        <v>73</v>
      </c>
      <c r="R1766" s="5" t="s">
        <v>74</v>
      </c>
      <c r="S1766" s="5" t="s">
        <v>75</v>
      </c>
      <c r="T1766" s="5" t="s">
        <v>57</v>
      </c>
      <c r="U1766" s="5" t="s">
        <v>104</v>
      </c>
      <c r="V1766" s="5" t="s">
        <v>76</v>
      </c>
      <c r="W1766" s="5" t="s">
        <v>140</v>
      </c>
      <c r="X1766" s="5" t="s">
        <v>4369</v>
      </c>
      <c r="Y1766" s="5" t="s">
        <v>7156</v>
      </c>
      <c r="Z1766" s="9">
        <v>46198</v>
      </c>
      <c r="AA1766" s="8">
        <v>6</v>
      </c>
      <c r="AB1766" s="9">
        <f t="shared" si="82"/>
        <v>46381</v>
      </c>
      <c r="AC1766" s="10">
        <v>14</v>
      </c>
      <c r="AD1766" s="7">
        <f t="shared" si="83"/>
        <v>721</v>
      </c>
      <c r="AE1766" s="7">
        <f>IF(F1766="Bullet",H1766*AD1766,MIN(MAX(I1766,1),Assumptions!$B$6)*AD1766)</f>
        <v>1442</v>
      </c>
      <c r="AF1766" s="8">
        <f>IF(F1766="Bullet",MAX(0,Assumptions!$B$4-AB1766),MAX(0,Assumptions!$B$4-L1766))</f>
        <v>0</v>
      </c>
      <c r="AG1766" s="9"/>
      <c r="AH1766" s="8" t="str">
        <f>IF(AG1766="","",Assumptions!$B$4-AG1766)</f>
        <v/>
      </c>
      <c r="AI1766" s="5" t="s">
        <v>80</v>
      </c>
      <c r="AJ1766" s="8"/>
      <c r="AK1766" s="8">
        <v>1</v>
      </c>
      <c r="AL1766" s="8">
        <v>726</v>
      </c>
      <c r="AM1766" s="8">
        <v>2</v>
      </c>
      <c r="AN1766" s="5" t="s">
        <v>63</v>
      </c>
      <c r="AO1766" s="10">
        <v>83.5</v>
      </c>
      <c r="AP1766" s="8">
        <v>38</v>
      </c>
      <c r="AQ1766" s="9">
        <v>46275</v>
      </c>
      <c r="AR1766" s="5" t="s">
        <v>70</v>
      </c>
      <c r="AS1766" s="5" t="s">
        <v>64</v>
      </c>
    </row>
    <row r="1767" spans="1:45" x14ac:dyDescent="0.35">
      <c r="A1767" s="5" t="s">
        <v>7157</v>
      </c>
      <c r="B1767" s="5" t="s">
        <v>7158</v>
      </c>
      <c r="C1767" s="6" t="s">
        <v>7159</v>
      </c>
      <c r="D1767" s="7">
        <v>21600</v>
      </c>
      <c r="E1767" s="5" t="s">
        <v>48</v>
      </c>
      <c r="F1767" s="5" t="s">
        <v>49</v>
      </c>
      <c r="G1767" s="8"/>
      <c r="H1767" s="8" t="str">
        <f>IF(F1767="Bullet",MIN(G1767,Assumptions!$B$6),"")</f>
        <v/>
      </c>
      <c r="I1767" s="8">
        <v>2</v>
      </c>
      <c r="J1767" s="8">
        <f>IF(F1767="Monthly interest",MAX(0,Assumptions!$B$5-I1767),"")</f>
        <v>1</v>
      </c>
      <c r="K1767" s="7">
        <f t="shared" si="81"/>
        <v>792</v>
      </c>
      <c r="L1767" s="9">
        <v>46257</v>
      </c>
      <c r="M1767" s="5" t="s">
        <v>116</v>
      </c>
      <c r="N1767" s="5" t="s">
        <v>117</v>
      </c>
      <c r="O1767" s="5" t="s">
        <v>450</v>
      </c>
      <c r="P1767" s="5" t="s">
        <v>72</v>
      </c>
      <c r="Q1767" s="5" t="s">
        <v>154</v>
      </c>
      <c r="R1767" s="5" t="s">
        <v>155</v>
      </c>
      <c r="S1767" s="5" t="s">
        <v>253</v>
      </c>
      <c r="T1767" s="5" t="s">
        <v>57</v>
      </c>
      <c r="U1767" s="5" t="s">
        <v>86</v>
      </c>
      <c r="V1767" s="5" t="s">
        <v>133</v>
      </c>
      <c r="W1767" s="5" t="s">
        <v>317</v>
      </c>
      <c r="X1767" s="5" t="s">
        <v>729</v>
      </c>
      <c r="Y1767" s="5" t="s">
        <v>7160</v>
      </c>
      <c r="Z1767" s="9">
        <v>46014</v>
      </c>
      <c r="AA1767" s="8">
        <v>24</v>
      </c>
      <c r="AB1767" s="9">
        <f t="shared" si="82"/>
        <v>46744</v>
      </c>
      <c r="AC1767" s="10">
        <v>22</v>
      </c>
      <c r="AD1767" s="7">
        <f t="shared" si="83"/>
        <v>396</v>
      </c>
      <c r="AE1767" s="7">
        <f>IF(F1767="Bullet",H1767*AD1767,MIN(MAX(I1767,1),Assumptions!$B$6)*AD1767)</f>
        <v>792</v>
      </c>
      <c r="AF1767" s="8">
        <f>IF(F1767="Bullet",MAX(0,Assumptions!$B$4-AB1767),MAX(0,Assumptions!$B$4-L1767))</f>
        <v>41</v>
      </c>
      <c r="AG1767" s="9">
        <v>46229</v>
      </c>
      <c r="AH1767" s="8">
        <f>IF(AG1767="","",Assumptions!$B$4-AG1767)</f>
        <v>69</v>
      </c>
      <c r="AI1767" s="5" t="s">
        <v>63</v>
      </c>
      <c r="AJ1767" s="8">
        <v>3</v>
      </c>
      <c r="AK1767" s="8">
        <v>1</v>
      </c>
      <c r="AL1767" s="8">
        <v>666</v>
      </c>
      <c r="AM1767" s="8">
        <v>0</v>
      </c>
      <c r="AN1767" s="5" t="s">
        <v>63</v>
      </c>
      <c r="AO1767" s="10">
        <v>65.8</v>
      </c>
      <c r="AP1767" s="8">
        <v>53</v>
      </c>
      <c r="AQ1767" s="9">
        <v>46290</v>
      </c>
      <c r="AR1767" s="5" t="s">
        <v>70</v>
      </c>
      <c r="AS1767" s="5" t="s">
        <v>81</v>
      </c>
    </row>
    <row r="1768" spans="1:45" x14ac:dyDescent="0.35">
      <c r="A1768" s="5" t="s">
        <v>7161</v>
      </c>
      <c r="B1768" s="5" t="s">
        <v>7162</v>
      </c>
      <c r="C1768" s="6" t="s">
        <v>7163</v>
      </c>
      <c r="D1768" s="7">
        <v>64800</v>
      </c>
      <c r="E1768" s="5" t="s">
        <v>48</v>
      </c>
      <c r="F1768" s="5" t="s">
        <v>49</v>
      </c>
      <c r="G1768" s="8"/>
      <c r="H1768" s="8" t="str">
        <f>IF(F1768="Bullet",MIN(G1768,Assumptions!$B$6),"")</f>
        <v/>
      </c>
      <c r="I1768" s="8">
        <v>1</v>
      </c>
      <c r="J1768" s="8">
        <f>IF(F1768="Monthly interest",MAX(0,Assumptions!$B$5-I1768),"")</f>
        <v>2</v>
      </c>
      <c r="K1768" s="7">
        <f t="shared" si="81"/>
        <v>1296</v>
      </c>
      <c r="L1768" s="9">
        <v>46278</v>
      </c>
      <c r="M1768" s="5" t="s">
        <v>50</v>
      </c>
      <c r="N1768" s="5" t="s">
        <v>53</v>
      </c>
      <c r="O1768" s="5" t="s">
        <v>103</v>
      </c>
      <c r="P1768" s="5" t="s">
        <v>51</v>
      </c>
      <c r="Q1768" s="5" t="s">
        <v>54</v>
      </c>
      <c r="R1768" s="5" t="s">
        <v>55</v>
      </c>
      <c r="S1768" s="5" t="s">
        <v>85</v>
      </c>
      <c r="T1768" s="5" t="s">
        <v>57</v>
      </c>
      <c r="U1768" s="5" t="s">
        <v>104</v>
      </c>
      <c r="V1768" s="5" t="s">
        <v>96</v>
      </c>
      <c r="W1768" s="5" t="s">
        <v>97</v>
      </c>
      <c r="X1768" s="5" t="s">
        <v>838</v>
      </c>
      <c r="Y1768" s="5" t="s">
        <v>7164</v>
      </c>
      <c r="Z1768" s="9">
        <v>46066</v>
      </c>
      <c r="AA1768" s="8">
        <v>24</v>
      </c>
      <c r="AB1768" s="9">
        <f t="shared" si="82"/>
        <v>46796</v>
      </c>
      <c r="AC1768" s="10">
        <v>24</v>
      </c>
      <c r="AD1768" s="7">
        <f t="shared" si="83"/>
        <v>1296</v>
      </c>
      <c r="AE1768" s="7">
        <f>IF(F1768="Bullet",H1768*AD1768,MIN(MAX(I1768,1),Assumptions!$B$6)*AD1768)</f>
        <v>1296</v>
      </c>
      <c r="AF1768" s="8">
        <f>IF(F1768="Bullet",MAX(0,Assumptions!$B$4-AB1768),MAX(0,Assumptions!$B$4-L1768))</f>
        <v>20</v>
      </c>
      <c r="AG1768" s="9">
        <v>46247</v>
      </c>
      <c r="AH1768" s="8">
        <f>IF(AG1768="","",Assumptions!$B$4-AG1768)</f>
        <v>51</v>
      </c>
      <c r="AI1768" s="5" t="s">
        <v>63</v>
      </c>
      <c r="AJ1768" s="8">
        <v>3</v>
      </c>
      <c r="AK1768" s="8">
        <v>0</v>
      </c>
      <c r="AL1768" s="8">
        <v>703</v>
      </c>
      <c r="AM1768" s="8">
        <v>1</v>
      </c>
      <c r="AN1768" s="5" t="s">
        <v>63</v>
      </c>
      <c r="AO1768" s="10">
        <v>55</v>
      </c>
      <c r="AP1768" s="8">
        <v>26</v>
      </c>
      <c r="AQ1768" s="9">
        <v>46276</v>
      </c>
      <c r="AR1768" s="5" t="s">
        <v>51</v>
      </c>
      <c r="AS1768" s="5" t="s">
        <v>81</v>
      </c>
    </row>
    <row r="1769" spans="1:45" x14ac:dyDescent="0.35">
      <c r="A1769" s="5" t="s">
        <v>7165</v>
      </c>
      <c r="B1769" s="5" t="s">
        <v>7166</v>
      </c>
      <c r="C1769" s="6" t="s">
        <v>7167</v>
      </c>
      <c r="D1769" s="7">
        <v>95800</v>
      </c>
      <c r="E1769" s="5" t="s">
        <v>48</v>
      </c>
      <c r="F1769" s="5" t="s">
        <v>49</v>
      </c>
      <c r="G1769" s="8"/>
      <c r="H1769" s="8" t="str">
        <f>IF(F1769="Bullet",MIN(G1769,Assumptions!$B$6),"")</f>
        <v/>
      </c>
      <c r="I1769" s="8">
        <v>1</v>
      </c>
      <c r="J1769" s="8">
        <f>IF(F1769="Monthly interest",MAX(0,Assumptions!$B$5-I1769),"")</f>
        <v>2</v>
      </c>
      <c r="K1769" s="7">
        <f t="shared" si="81"/>
        <v>1437</v>
      </c>
      <c r="L1769" s="9">
        <v>46272</v>
      </c>
      <c r="M1769" s="5" t="s">
        <v>50</v>
      </c>
      <c r="N1769" s="5" t="s">
        <v>53</v>
      </c>
      <c r="O1769" s="5" t="s">
        <v>132</v>
      </c>
      <c r="P1769" s="5" t="s">
        <v>51</v>
      </c>
      <c r="Q1769" s="5" t="s">
        <v>54</v>
      </c>
      <c r="R1769" s="5" t="s">
        <v>55</v>
      </c>
      <c r="S1769" s="5" t="s">
        <v>85</v>
      </c>
      <c r="T1769" s="5" t="s">
        <v>57</v>
      </c>
      <c r="U1769" s="5" t="s">
        <v>104</v>
      </c>
      <c r="V1769" s="5" t="s">
        <v>177</v>
      </c>
      <c r="W1769" s="5" t="s">
        <v>345</v>
      </c>
      <c r="X1769" s="5" t="s">
        <v>665</v>
      </c>
      <c r="Y1769" s="5" t="s">
        <v>7168</v>
      </c>
      <c r="Z1769" s="9">
        <v>46060</v>
      </c>
      <c r="AA1769" s="8">
        <v>12</v>
      </c>
      <c r="AB1769" s="9">
        <f t="shared" si="82"/>
        <v>46425</v>
      </c>
      <c r="AC1769" s="10">
        <v>18</v>
      </c>
      <c r="AD1769" s="7">
        <f t="shared" si="83"/>
        <v>1437</v>
      </c>
      <c r="AE1769" s="7">
        <f>IF(F1769="Bullet",H1769*AD1769,MIN(MAX(I1769,1),Assumptions!$B$6)*AD1769)</f>
        <v>1437</v>
      </c>
      <c r="AF1769" s="8">
        <f>IF(F1769="Bullet",MAX(0,Assumptions!$B$4-AB1769),MAX(0,Assumptions!$B$4-L1769))</f>
        <v>26</v>
      </c>
      <c r="AG1769" s="9">
        <v>46244</v>
      </c>
      <c r="AH1769" s="8">
        <f>IF(AG1769="","",Assumptions!$B$4-AG1769)</f>
        <v>54</v>
      </c>
      <c r="AI1769" s="5" t="s">
        <v>63</v>
      </c>
      <c r="AJ1769" s="8">
        <v>2</v>
      </c>
      <c r="AK1769" s="8">
        <v>0</v>
      </c>
      <c r="AL1769" s="8">
        <v>869</v>
      </c>
      <c r="AM1769" s="8">
        <v>0</v>
      </c>
      <c r="AN1769" s="5" t="s">
        <v>63</v>
      </c>
      <c r="AO1769" s="10">
        <v>78.099999999999994</v>
      </c>
      <c r="AP1769" s="8">
        <v>18</v>
      </c>
      <c r="AQ1769" s="9">
        <v>46295</v>
      </c>
      <c r="AR1769" s="5" t="s">
        <v>51</v>
      </c>
      <c r="AS1769" s="5" t="s">
        <v>91</v>
      </c>
    </row>
    <row r="1770" spans="1:45" x14ac:dyDescent="0.35">
      <c r="A1770" s="5" t="s">
        <v>7169</v>
      </c>
      <c r="B1770" s="5" t="s">
        <v>7170</v>
      </c>
      <c r="C1770" s="6" t="s">
        <v>7171</v>
      </c>
      <c r="D1770" s="7">
        <v>55100</v>
      </c>
      <c r="E1770" s="5" t="s">
        <v>48</v>
      </c>
      <c r="F1770" s="5" t="s">
        <v>49</v>
      </c>
      <c r="G1770" s="8"/>
      <c r="H1770" s="8" t="str">
        <f>IF(F1770="Bullet",MIN(G1770,Assumptions!$B$6),"")</f>
        <v/>
      </c>
      <c r="I1770" s="8">
        <v>1</v>
      </c>
      <c r="J1770" s="8">
        <f>IF(F1770="Monthly interest",MAX(0,Assumptions!$B$5-I1770),"")</f>
        <v>2</v>
      </c>
      <c r="K1770" s="7">
        <f t="shared" si="81"/>
        <v>1010</v>
      </c>
      <c r="L1770" s="9">
        <v>46274</v>
      </c>
      <c r="M1770" s="5" t="s">
        <v>69</v>
      </c>
      <c r="N1770" s="5" t="s">
        <v>51</v>
      </c>
      <c r="O1770" s="5" t="s">
        <v>52</v>
      </c>
      <c r="P1770" s="5" t="s">
        <v>53</v>
      </c>
      <c r="Q1770" s="5" t="s">
        <v>54</v>
      </c>
      <c r="R1770" s="5" t="s">
        <v>55</v>
      </c>
      <c r="S1770" s="5" t="s">
        <v>56</v>
      </c>
      <c r="T1770" s="5" t="s">
        <v>57</v>
      </c>
      <c r="U1770" s="5" t="s">
        <v>58</v>
      </c>
      <c r="V1770" s="5" t="s">
        <v>59</v>
      </c>
      <c r="W1770" s="5" t="s">
        <v>467</v>
      </c>
      <c r="X1770" s="5" t="s">
        <v>7172</v>
      </c>
      <c r="Y1770" s="5" t="s">
        <v>7173</v>
      </c>
      <c r="Z1770" s="9">
        <v>46000</v>
      </c>
      <c r="AA1770" s="8">
        <v>24</v>
      </c>
      <c r="AB1770" s="9">
        <f t="shared" si="82"/>
        <v>46730</v>
      </c>
      <c r="AC1770" s="10">
        <v>22</v>
      </c>
      <c r="AD1770" s="7">
        <f t="shared" si="83"/>
        <v>1010</v>
      </c>
      <c r="AE1770" s="7">
        <f>IF(F1770="Bullet",H1770*AD1770,MIN(MAX(I1770,1),Assumptions!$B$6)*AD1770)</f>
        <v>1010</v>
      </c>
      <c r="AF1770" s="8">
        <f>IF(F1770="Bullet",MAX(0,Assumptions!$B$4-AB1770),MAX(0,Assumptions!$B$4-L1770))</f>
        <v>24</v>
      </c>
      <c r="AG1770" s="9">
        <v>46244</v>
      </c>
      <c r="AH1770" s="8">
        <f>IF(AG1770="","",Assumptions!$B$4-AG1770)</f>
        <v>54</v>
      </c>
      <c r="AI1770" s="5" t="s">
        <v>57</v>
      </c>
      <c r="AJ1770" s="8">
        <v>3</v>
      </c>
      <c r="AK1770" s="8">
        <v>0</v>
      </c>
      <c r="AL1770" s="8">
        <v>663</v>
      </c>
      <c r="AM1770" s="8">
        <v>0</v>
      </c>
      <c r="AN1770" s="5" t="s">
        <v>63</v>
      </c>
      <c r="AO1770" s="10">
        <v>63.9</v>
      </c>
      <c r="AP1770" s="8">
        <v>35</v>
      </c>
      <c r="AQ1770" s="9">
        <v>46292</v>
      </c>
      <c r="AR1770" s="5" t="s">
        <v>51</v>
      </c>
      <c r="AS1770" s="5" t="s">
        <v>190</v>
      </c>
    </row>
    <row r="1771" spans="1:45" x14ac:dyDescent="0.35">
      <c r="A1771" s="5" t="s">
        <v>7174</v>
      </c>
      <c r="B1771" s="5" t="s">
        <v>7175</v>
      </c>
      <c r="C1771" s="6" t="s">
        <v>7176</v>
      </c>
      <c r="D1771" s="7">
        <v>306300</v>
      </c>
      <c r="E1771" s="5" t="s">
        <v>48</v>
      </c>
      <c r="F1771" s="5" t="s">
        <v>68</v>
      </c>
      <c r="G1771" s="8">
        <v>3</v>
      </c>
      <c r="H1771" s="8">
        <f>IF(F1771="Bullet",MIN(G1771,Assumptions!$B$6),"")</f>
        <v>2</v>
      </c>
      <c r="I1771" s="8"/>
      <c r="J1771" s="8" t="str">
        <f>IF(F1771="Monthly interest",MAX(0,Assumptions!$B$5-I1771),"")</f>
        <v/>
      </c>
      <c r="K1771" s="7">
        <f t="shared" si="81"/>
        <v>9954</v>
      </c>
      <c r="L1771" s="9">
        <v>46204</v>
      </c>
      <c r="M1771" s="5" t="s">
        <v>69</v>
      </c>
      <c r="N1771" s="5" t="s">
        <v>70</v>
      </c>
      <c r="O1771" s="5" t="s">
        <v>71</v>
      </c>
      <c r="P1771" s="5" t="s">
        <v>72</v>
      </c>
      <c r="Q1771" s="5" t="s">
        <v>73</v>
      </c>
      <c r="R1771" s="5" t="s">
        <v>74</v>
      </c>
      <c r="S1771" s="5" t="s">
        <v>214</v>
      </c>
      <c r="T1771" s="5" t="s">
        <v>57</v>
      </c>
      <c r="U1771" s="5" t="s">
        <v>86</v>
      </c>
      <c r="V1771" s="5" t="s">
        <v>215</v>
      </c>
      <c r="W1771" s="5" t="s">
        <v>278</v>
      </c>
      <c r="X1771" s="5" t="s">
        <v>1072</v>
      </c>
      <c r="Y1771" s="5" t="s">
        <v>7177</v>
      </c>
      <c r="Z1771" s="9">
        <v>46204</v>
      </c>
      <c r="AA1771" s="8">
        <v>6</v>
      </c>
      <c r="AB1771" s="9">
        <f t="shared" si="82"/>
        <v>46388</v>
      </c>
      <c r="AC1771" s="10">
        <v>13</v>
      </c>
      <c r="AD1771" s="7">
        <f t="shared" si="83"/>
        <v>3318</v>
      </c>
      <c r="AE1771" s="7">
        <f>IF(F1771="Bullet",H1771*AD1771,MIN(MAX(I1771,1),Assumptions!$B$6)*AD1771)</f>
        <v>6636</v>
      </c>
      <c r="AF1771" s="8">
        <f>IF(F1771="Bullet",MAX(0,Assumptions!$B$4-AB1771),MAX(0,Assumptions!$B$4-L1771))</f>
        <v>0</v>
      </c>
      <c r="AG1771" s="9"/>
      <c r="AH1771" s="8" t="str">
        <f>IF(AG1771="","",Assumptions!$B$4-AG1771)</f>
        <v/>
      </c>
      <c r="AI1771" s="5" t="s">
        <v>80</v>
      </c>
      <c r="AJ1771" s="8"/>
      <c r="AK1771" s="8">
        <v>0</v>
      </c>
      <c r="AL1771" s="8">
        <v>663</v>
      </c>
      <c r="AM1771" s="8">
        <v>1</v>
      </c>
      <c r="AN1771" s="5" t="s">
        <v>63</v>
      </c>
      <c r="AO1771" s="10">
        <v>79.400000000000006</v>
      </c>
      <c r="AP1771" s="8">
        <v>33</v>
      </c>
      <c r="AQ1771" s="9">
        <v>46281</v>
      </c>
      <c r="AR1771" s="5" t="s">
        <v>70</v>
      </c>
      <c r="AS1771" s="5" t="s">
        <v>190</v>
      </c>
    </row>
    <row r="1772" spans="1:45" x14ac:dyDescent="0.35">
      <c r="A1772" s="5" t="s">
        <v>7178</v>
      </c>
      <c r="B1772" s="5" t="s">
        <v>1700</v>
      </c>
      <c r="C1772" s="6" t="s">
        <v>7179</v>
      </c>
      <c r="D1772" s="7">
        <v>250000</v>
      </c>
      <c r="E1772" s="5" t="s">
        <v>48</v>
      </c>
      <c r="F1772" s="5" t="s">
        <v>49</v>
      </c>
      <c r="G1772" s="8"/>
      <c r="H1772" s="8" t="str">
        <f>IF(F1772="Bullet",MIN(G1772,Assumptions!$B$6),"")</f>
        <v/>
      </c>
      <c r="I1772" s="8">
        <v>1</v>
      </c>
      <c r="J1772" s="8">
        <f>IF(F1772="Monthly interest",MAX(0,Assumptions!$B$5-I1772),"")</f>
        <v>2</v>
      </c>
      <c r="K1772" s="7">
        <f t="shared" si="81"/>
        <v>5000</v>
      </c>
      <c r="L1772" s="9">
        <v>46296</v>
      </c>
      <c r="M1772" s="5" t="s">
        <v>69</v>
      </c>
      <c r="N1772" s="5" t="s">
        <v>51</v>
      </c>
      <c r="O1772" s="5" t="s">
        <v>52</v>
      </c>
      <c r="P1772" s="5" t="s">
        <v>53</v>
      </c>
      <c r="Q1772" s="5" t="s">
        <v>54</v>
      </c>
      <c r="R1772" s="5" t="s">
        <v>55</v>
      </c>
      <c r="S1772" s="5" t="s">
        <v>214</v>
      </c>
      <c r="T1772" s="5" t="s">
        <v>57</v>
      </c>
      <c r="U1772" s="5" t="s">
        <v>104</v>
      </c>
      <c r="V1772" s="5" t="s">
        <v>215</v>
      </c>
      <c r="W1772" s="5" t="s">
        <v>600</v>
      </c>
      <c r="X1772" s="5" t="s">
        <v>3582</v>
      </c>
      <c r="Y1772" s="5" t="s">
        <v>7180</v>
      </c>
      <c r="Z1772" s="9">
        <v>46143</v>
      </c>
      <c r="AA1772" s="8">
        <v>12</v>
      </c>
      <c r="AB1772" s="9">
        <f t="shared" si="82"/>
        <v>46508</v>
      </c>
      <c r="AC1772" s="10">
        <v>24</v>
      </c>
      <c r="AD1772" s="7">
        <f t="shared" si="83"/>
        <v>5000</v>
      </c>
      <c r="AE1772" s="7">
        <f>IF(F1772="Bullet",H1772*AD1772,MIN(MAX(I1772,1),Assumptions!$B$6)*AD1772)</f>
        <v>5000</v>
      </c>
      <c r="AF1772" s="8">
        <f>IF(F1772="Bullet",MAX(0,Assumptions!$B$4-AB1772),MAX(0,Assumptions!$B$4-L1772))</f>
        <v>2</v>
      </c>
      <c r="AG1772" s="9">
        <v>46267</v>
      </c>
      <c r="AH1772" s="8">
        <f>IF(AG1772="","",Assumptions!$B$4-AG1772)</f>
        <v>31</v>
      </c>
      <c r="AI1772" s="5" t="s">
        <v>57</v>
      </c>
      <c r="AJ1772" s="8">
        <v>2</v>
      </c>
      <c r="AK1772" s="8">
        <v>2</v>
      </c>
      <c r="AL1772" s="8">
        <v>732</v>
      </c>
      <c r="AM1772" s="8">
        <v>1</v>
      </c>
      <c r="AN1772" s="5" t="s">
        <v>63</v>
      </c>
      <c r="AO1772" s="10">
        <v>61.4</v>
      </c>
      <c r="AP1772" s="8">
        <v>36</v>
      </c>
      <c r="AQ1772" s="9">
        <v>46281</v>
      </c>
      <c r="AR1772" s="5" t="s">
        <v>51</v>
      </c>
      <c r="AS1772" s="5" t="s">
        <v>274</v>
      </c>
    </row>
    <row r="1773" spans="1:45" x14ac:dyDescent="0.35">
      <c r="A1773" s="5" t="s">
        <v>7181</v>
      </c>
      <c r="B1773" s="5" t="s">
        <v>3506</v>
      </c>
      <c r="C1773" s="6" t="s">
        <v>7182</v>
      </c>
      <c r="D1773" s="7">
        <v>356300</v>
      </c>
      <c r="E1773" s="5" t="s">
        <v>48</v>
      </c>
      <c r="F1773" s="5" t="s">
        <v>49</v>
      </c>
      <c r="G1773" s="8"/>
      <c r="H1773" s="8" t="str">
        <f>IF(F1773="Bullet",MIN(G1773,Assumptions!$B$6),"")</f>
        <v/>
      </c>
      <c r="I1773" s="8">
        <v>1</v>
      </c>
      <c r="J1773" s="8">
        <f>IF(F1773="Monthly interest",MAX(0,Assumptions!$B$5-I1773),"")</f>
        <v>2</v>
      </c>
      <c r="K1773" s="7">
        <f t="shared" si="81"/>
        <v>4454</v>
      </c>
      <c r="L1773" s="9">
        <v>46272</v>
      </c>
      <c r="M1773" s="5" t="s">
        <v>50</v>
      </c>
      <c r="N1773" s="5" t="s">
        <v>51</v>
      </c>
      <c r="O1773" s="5" t="s">
        <v>52</v>
      </c>
      <c r="P1773" s="5" t="s">
        <v>53</v>
      </c>
      <c r="Q1773" s="5" t="s">
        <v>54</v>
      </c>
      <c r="R1773" s="5" t="s">
        <v>55</v>
      </c>
      <c r="S1773" s="5" t="s">
        <v>185</v>
      </c>
      <c r="T1773" s="5" t="s">
        <v>57</v>
      </c>
      <c r="U1773" s="5" t="s">
        <v>86</v>
      </c>
      <c r="V1773" s="5" t="s">
        <v>186</v>
      </c>
      <c r="W1773" s="5" t="s">
        <v>376</v>
      </c>
      <c r="X1773" s="5" t="s">
        <v>2510</v>
      </c>
      <c r="Y1773" s="5" t="s">
        <v>7183</v>
      </c>
      <c r="Z1773" s="9">
        <v>46088</v>
      </c>
      <c r="AA1773" s="8">
        <v>12</v>
      </c>
      <c r="AB1773" s="9">
        <f t="shared" si="82"/>
        <v>46453</v>
      </c>
      <c r="AC1773" s="10">
        <v>15</v>
      </c>
      <c r="AD1773" s="7">
        <f t="shared" si="83"/>
        <v>4454</v>
      </c>
      <c r="AE1773" s="7">
        <f>IF(F1773="Bullet",H1773*AD1773,MIN(MAX(I1773,1),Assumptions!$B$6)*AD1773)</f>
        <v>4454</v>
      </c>
      <c r="AF1773" s="8">
        <f>IF(F1773="Bullet",MAX(0,Assumptions!$B$4-AB1773),MAX(0,Assumptions!$B$4-L1773))</f>
        <v>26</v>
      </c>
      <c r="AG1773" s="9">
        <v>46246</v>
      </c>
      <c r="AH1773" s="8">
        <f>IF(AG1773="","",Assumptions!$B$4-AG1773)</f>
        <v>52</v>
      </c>
      <c r="AI1773" s="5" t="s">
        <v>63</v>
      </c>
      <c r="AJ1773" s="8">
        <v>1</v>
      </c>
      <c r="AK1773" s="8">
        <v>2</v>
      </c>
      <c r="AL1773" s="8">
        <v>753</v>
      </c>
      <c r="AM1773" s="8">
        <v>2</v>
      </c>
      <c r="AN1773" s="5" t="s">
        <v>63</v>
      </c>
      <c r="AO1773" s="10">
        <v>59</v>
      </c>
      <c r="AP1773" s="8">
        <v>26</v>
      </c>
      <c r="AQ1773" s="9">
        <v>46280</v>
      </c>
      <c r="AR1773" s="5" t="s">
        <v>51</v>
      </c>
      <c r="AS1773" s="5" t="s">
        <v>64</v>
      </c>
    </row>
    <row r="1774" spans="1:45" x14ac:dyDescent="0.35">
      <c r="A1774" s="5" t="s">
        <v>7184</v>
      </c>
      <c r="B1774" s="5" t="s">
        <v>4348</v>
      </c>
      <c r="C1774" s="6" t="s">
        <v>7185</v>
      </c>
      <c r="D1774" s="7">
        <v>265800</v>
      </c>
      <c r="E1774" s="5" t="s">
        <v>48</v>
      </c>
      <c r="F1774" s="5" t="s">
        <v>49</v>
      </c>
      <c r="G1774" s="8"/>
      <c r="H1774" s="8" t="str">
        <f>IF(F1774="Bullet",MIN(G1774,Assumptions!$B$6),"")</f>
        <v/>
      </c>
      <c r="I1774" s="8">
        <v>1</v>
      </c>
      <c r="J1774" s="8">
        <f>IF(F1774="Monthly interest",MAX(0,Assumptions!$B$5-I1774),"")</f>
        <v>2</v>
      </c>
      <c r="K1774" s="7">
        <f t="shared" si="81"/>
        <v>5316</v>
      </c>
      <c r="L1774" s="9">
        <v>46293</v>
      </c>
      <c r="M1774" s="5" t="s">
        <v>50</v>
      </c>
      <c r="N1774" s="5" t="s">
        <v>51</v>
      </c>
      <c r="O1774" s="5" t="s">
        <v>52</v>
      </c>
      <c r="P1774" s="5" t="s">
        <v>53</v>
      </c>
      <c r="Q1774" s="5" t="s">
        <v>54</v>
      </c>
      <c r="R1774" s="5" t="s">
        <v>55</v>
      </c>
      <c r="S1774" s="5" t="s">
        <v>85</v>
      </c>
      <c r="T1774" s="5" t="s">
        <v>57</v>
      </c>
      <c r="U1774" s="5" t="s">
        <v>86</v>
      </c>
      <c r="V1774" s="5" t="s">
        <v>177</v>
      </c>
      <c r="W1774" s="5" t="s">
        <v>178</v>
      </c>
      <c r="X1774" s="5" t="s">
        <v>1063</v>
      </c>
      <c r="Y1774" s="5" t="s">
        <v>7186</v>
      </c>
      <c r="Z1774" s="9">
        <v>46019</v>
      </c>
      <c r="AA1774" s="8">
        <v>12</v>
      </c>
      <c r="AB1774" s="9">
        <f t="shared" si="82"/>
        <v>46384</v>
      </c>
      <c r="AC1774" s="10">
        <v>24</v>
      </c>
      <c r="AD1774" s="7">
        <f t="shared" si="83"/>
        <v>5316</v>
      </c>
      <c r="AE1774" s="7">
        <f>IF(F1774="Bullet",H1774*AD1774,MIN(MAX(I1774,1),Assumptions!$B$6)*AD1774)</f>
        <v>5316</v>
      </c>
      <c r="AF1774" s="8">
        <f>IF(F1774="Bullet",MAX(0,Assumptions!$B$4-AB1774),MAX(0,Assumptions!$B$4-L1774))</f>
        <v>5</v>
      </c>
      <c r="AG1774" s="9">
        <v>46265</v>
      </c>
      <c r="AH1774" s="8">
        <f>IF(AG1774="","",Assumptions!$B$4-AG1774)</f>
        <v>33</v>
      </c>
      <c r="AI1774" s="5" t="s">
        <v>63</v>
      </c>
      <c r="AJ1774" s="8">
        <v>1</v>
      </c>
      <c r="AK1774" s="8">
        <v>0</v>
      </c>
      <c r="AL1774" s="8">
        <v>671</v>
      </c>
      <c r="AM1774" s="8">
        <v>0</v>
      </c>
      <c r="AN1774" s="5" t="s">
        <v>63</v>
      </c>
      <c r="AO1774" s="10">
        <v>71.7</v>
      </c>
      <c r="AP1774" s="8">
        <v>23</v>
      </c>
      <c r="AQ1774" s="9"/>
      <c r="AR1774" s="5"/>
      <c r="AS1774" s="5" t="s">
        <v>159</v>
      </c>
    </row>
    <row r="1775" spans="1:45" x14ac:dyDescent="0.35">
      <c r="A1775" s="5" t="s">
        <v>7187</v>
      </c>
      <c r="B1775" s="5" t="s">
        <v>7158</v>
      </c>
      <c r="C1775" s="6" t="s">
        <v>7188</v>
      </c>
      <c r="D1775" s="7">
        <v>201800</v>
      </c>
      <c r="E1775" s="5" t="s">
        <v>48</v>
      </c>
      <c r="F1775" s="5" t="s">
        <v>68</v>
      </c>
      <c r="G1775" s="8">
        <v>3</v>
      </c>
      <c r="H1775" s="8">
        <f>IF(F1775="Bullet",MIN(G1775,Assumptions!$B$6),"")</f>
        <v>2</v>
      </c>
      <c r="I1775" s="8"/>
      <c r="J1775" s="8" t="str">
        <f>IF(F1775="Monthly interest",MAX(0,Assumptions!$B$5-I1775),"")</f>
        <v/>
      </c>
      <c r="K1775" s="7">
        <f t="shared" si="81"/>
        <v>8073</v>
      </c>
      <c r="L1775" s="9">
        <v>46187</v>
      </c>
      <c r="M1775" s="5" t="s">
        <v>69</v>
      </c>
      <c r="N1775" s="5" t="s">
        <v>70</v>
      </c>
      <c r="O1775" s="5" t="s">
        <v>71</v>
      </c>
      <c r="P1775" s="5" t="s">
        <v>72</v>
      </c>
      <c r="Q1775" s="5" t="s">
        <v>73</v>
      </c>
      <c r="R1775" s="5" t="s">
        <v>74</v>
      </c>
      <c r="S1775" s="5" t="s">
        <v>85</v>
      </c>
      <c r="T1775" s="5" t="s">
        <v>57</v>
      </c>
      <c r="U1775" s="5" t="s">
        <v>58</v>
      </c>
      <c r="V1775" s="5" t="s">
        <v>96</v>
      </c>
      <c r="W1775" s="5" t="s">
        <v>265</v>
      </c>
      <c r="X1775" s="5" t="s">
        <v>1243</v>
      </c>
      <c r="Y1775" s="5" t="s">
        <v>7189</v>
      </c>
      <c r="Z1775" s="9">
        <v>46187</v>
      </c>
      <c r="AA1775" s="8">
        <v>12</v>
      </c>
      <c r="AB1775" s="9">
        <f t="shared" si="82"/>
        <v>46552</v>
      </c>
      <c r="AC1775" s="10">
        <v>16</v>
      </c>
      <c r="AD1775" s="7">
        <f t="shared" si="83"/>
        <v>2691</v>
      </c>
      <c r="AE1775" s="7">
        <f>IF(F1775="Bullet",H1775*AD1775,MIN(MAX(I1775,1),Assumptions!$B$6)*AD1775)</f>
        <v>5382</v>
      </c>
      <c r="AF1775" s="8">
        <f>IF(F1775="Bullet",MAX(0,Assumptions!$B$4-AB1775),MAX(0,Assumptions!$B$4-L1775))</f>
        <v>0</v>
      </c>
      <c r="AG1775" s="9"/>
      <c r="AH1775" s="8" t="str">
        <f>IF(AG1775="","",Assumptions!$B$4-AG1775)</f>
        <v/>
      </c>
      <c r="AI1775" s="5" t="s">
        <v>80</v>
      </c>
      <c r="AJ1775" s="8"/>
      <c r="AK1775" s="8">
        <v>2</v>
      </c>
      <c r="AL1775" s="8">
        <v>656</v>
      </c>
      <c r="AM1775" s="8">
        <v>1</v>
      </c>
      <c r="AN1775" s="5" t="s">
        <v>63</v>
      </c>
      <c r="AO1775" s="10">
        <v>78.2</v>
      </c>
      <c r="AP1775" s="8">
        <v>41</v>
      </c>
      <c r="AQ1775" s="9">
        <v>46291</v>
      </c>
      <c r="AR1775" s="5" t="s">
        <v>70</v>
      </c>
      <c r="AS1775" s="5" t="s">
        <v>190</v>
      </c>
    </row>
    <row r="1776" spans="1:45" x14ac:dyDescent="0.35">
      <c r="A1776" s="5" t="s">
        <v>7190</v>
      </c>
      <c r="B1776" s="5" t="s">
        <v>917</v>
      </c>
      <c r="C1776" s="6" t="s">
        <v>7191</v>
      </c>
      <c r="D1776" s="7">
        <v>37800</v>
      </c>
      <c r="E1776" s="5" t="s">
        <v>48</v>
      </c>
      <c r="F1776" s="5" t="s">
        <v>68</v>
      </c>
      <c r="G1776" s="8">
        <v>5</v>
      </c>
      <c r="H1776" s="8">
        <f>IF(F1776="Bullet",MIN(G1776,Assumptions!$B$6),"")</f>
        <v>2</v>
      </c>
      <c r="I1776" s="8"/>
      <c r="J1776" s="8" t="str">
        <f>IF(F1776="Monthly interest",MAX(0,Assumptions!$B$5-I1776),"")</f>
        <v/>
      </c>
      <c r="K1776" s="7">
        <f t="shared" si="81"/>
        <v>2050</v>
      </c>
      <c r="L1776" s="9">
        <v>46122</v>
      </c>
      <c r="M1776" s="5" t="s">
        <v>116</v>
      </c>
      <c r="N1776" s="5" t="s">
        <v>117</v>
      </c>
      <c r="O1776" s="5" t="s">
        <v>461</v>
      </c>
      <c r="P1776" s="5" t="s">
        <v>72</v>
      </c>
      <c r="Q1776" s="5" t="s">
        <v>169</v>
      </c>
      <c r="R1776" s="5" t="s">
        <v>170</v>
      </c>
      <c r="S1776" s="5" t="s">
        <v>56</v>
      </c>
      <c r="T1776" s="5" t="s">
        <v>57</v>
      </c>
      <c r="U1776" s="5" t="s">
        <v>58</v>
      </c>
      <c r="V1776" s="5" t="s">
        <v>59</v>
      </c>
      <c r="W1776" s="5" t="s">
        <v>300</v>
      </c>
      <c r="X1776" s="5" t="s">
        <v>1193</v>
      </c>
      <c r="Y1776" s="5" t="s">
        <v>7192</v>
      </c>
      <c r="Z1776" s="9">
        <v>46122</v>
      </c>
      <c r="AA1776" s="8">
        <v>3</v>
      </c>
      <c r="AB1776" s="9">
        <f t="shared" si="82"/>
        <v>46213</v>
      </c>
      <c r="AC1776" s="10">
        <v>13</v>
      </c>
      <c r="AD1776" s="7">
        <f t="shared" si="83"/>
        <v>410</v>
      </c>
      <c r="AE1776" s="7">
        <f>IF(F1776="Bullet",H1776*AD1776,MIN(MAX(I1776,1),Assumptions!$B$6)*AD1776)</f>
        <v>820</v>
      </c>
      <c r="AF1776" s="8">
        <f>IF(F1776="Bullet",MAX(0,Assumptions!$B$4-AB1776),MAX(0,Assumptions!$B$4-L1776))</f>
        <v>85</v>
      </c>
      <c r="AG1776" s="9"/>
      <c r="AH1776" s="8" t="str">
        <f>IF(AG1776="","",Assumptions!$B$4-AG1776)</f>
        <v/>
      </c>
      <c r="AI1776" s="5" t="s">
        <v>80</v>
      </c>
      <c r="AJ1776" s="8"/>
      <c r="AK1776" s="8">
        <v>2</v>
      </c>
      <c r="AL1776" s="8">
        <v>710</v>
      </c>
      <c r="AM1776" s="8">
        <v>1</v>
      </c>
      <c r="AN1776" s="5" t="s">
        <v>63</v>
      </c>
      <c r="AO1776" s="10">
        <v>63.5</v>
      </c>
      <c r="AP1776" s="8">
        <v>61</v>
      </c>
      <c r="AQ1776" s="9">
        <v>46282</v>
      </c>
      <c r="AR1776" s="5" t="s">
        <v>70</v>
      </c>
      <c r="AS1776" s="5" t="s">
        <v>64</v>
      </c>
    </row>
    <row r="1777" spans="1:45" x14ac:dyDescent="0.35">
      <c r="A1777" s="5" t="s">
        <v>7193</v>
      </c>
      <c r="B1777" s="5" t="s">
        <v>6175</v>
      </c>
      <c r="C1777" s="6" t="s">
        <v>7194</v>
      </c>
      <c r="D1777" s="7">
        <v>184300</v>
      </c>
      <c r="E1777" s="5" t="s">
        <v>48</v>
      </c>
      <c r="F1777" s="5" t="s">
        <v>68</v>
      </c>
      <c r="G1777" s="8">
        <v>3</v>
      </c>
      <c r="H1777" s="8">
        <f>IF(F1777="Bullet",MIN(G1777,Assumptions!$B$6),"")</f>
        <v>2</v>
      </c>
      <c r="I1777" s="8"/>
      <c r="J1777" s="8" t="str">
        <f>IF(F1777="Monthly interest",MAX(0,Assumptions!$B$5-I1777),"")</f>
        <v/>
      </c>
      <c r="K1777" s="7">
        <f t="shared" si="81"/>
        <v>8295</v>
      </c>
      <c r="L1777" s="9">
        <v>46199</v>
      </c>
      <c r="M1777" s="5" t="s">
        <v>69</v>
      </c>
      <c r="N1777" s="5" t="s">
        <v>53</v>
      </c>
      <c r="O1777" s="5" t="s">
        <v>71</v>
      </c>
      <c r="P1777" s="5" t="s">
        <v>70</v>
      </c>
      <c r="Q1777" s="5" t="s">
        <v>73</v>
      </c>
      <c r="R1777" s="5" t="s">
        <v>74</v>
      </c>
      <c r="S1777" s="5" t="s">
        <v>75</v>
      </c>
      <c r="T1777" s="5" t="s">
        <v>57</v>
      </c>
      <c r="U1777" s="5" t="s">
        <v>104</v>
      </c>
      <c r="V1777" s="5" t="s">
        <v>76</v>
      </c>
      <c r="W1777" s="5" t="s">
        <v>105</v>
      </c>
      <c r="X1777" s="5" t="s">
        <v>106</v>
      </c>
      <c r="Y1777" s="5" t="s">
        <v>7195</v>
      </c>
      <c r="Z1777" s="9">
        <v>46199</v>
      </c>
      <c r="AA1777" s="8">
        <v>6</v>
      </c>
      <c r="AB1777" s="9">
        <f t="shared" si="82"/>
        <v>46382</v>
      </c>
      <c r="AC1777" s="10">
        <v>18</v>
      </c>
      <c r="AD1777" s="7">
        <f t="shared" si="83"/>
        <v>2765</v>
      </c>
      <c r="AE1777" s="7">
        <f>IF(F1777="Bullet",H1777*AD1777,MIN(MAX(I1777,1),Assumptions!$B$6)*AD1777)</f>
        <v>5530</v>
      </c>
      <c r="AF1777" s="8">
        <f>IF(F1777="Bullet",MAX(0,Assumptions!$B$4-AB1777),MAX(0,Assumptions!$B$4-L1777))</f>
        <v>0</v>
      </c>
      <c r="AG1777" s="9"/>
      <c r="AH1777" s="8" t="str">
        <f>IF(AG1777="","",Assumptions!$B$4-AG1777)</f>
        <v/>
      </c>
      <c r="AI1777" s="5" t="s">
        <v>80</v>
      </c>
      <c r="AJ1777" s="8"/>
      <c r="AK1777" s="8">
        <v>1</v>
      </c>
      <c r="AL1777" s="8">
        <v>706</v>
      </c>
      <c r="AM1777" s="8">
        <v>0</v>
      </c>
      <c r="AN1777" s="5" t="s">
        <v>57</v>
      </c>
      <c r="AO1777" s="10">
        <v>47.8</v>
      </c>
      <c r="AP1777" s="8">
        <v>32</v>
      </c>
      <c r="AQ1777" s="9">
        <v>46291</v>
      </c>
      <c r="AR1777" s="5" t="s">
        <v>70</v>
      </c>
      <c r="AS1777" s="5" t="s">
        <v>190</v>
      </c>
    </row>
    <row r="1778" spans="1:45" x14ac:dyDescent="0.35">
      <c r="A1778" s="5" t="s">
        <v>7196</v>
      </c>
      <c r="B1778" s="5" t="s">
        <v>4715</v>
      </c>
      <c r="C1778" s="6" t="s">
        <v>7197</v>
      </c>
      <c r="D1778" s="7">
        <v>164200</v>
      </c>
      <c r="E1778" s="5" t="s">
        <v>48</v>
      </c>
      <c r="F1778" s="5" t="s">
        <v>49</v>
      </c>
      <c r="G1778" s="8"/>
      <c r="H1778" s="8" t="str">
        <f>IF(F1778="Bullet",MIN(G1778,Assumptions!$B$6),"")</f>
        <v/>
      </c>
      <c r="I1778" s="8">
        <v>2</v>
      </c>
      <c r="J1778" s="8">
        <f>IF(F1778="Monthly interest",MAX(0,Assumptions!$B$5-I1778),"")</f>
        <v>1</v>
      </c>
      <c r="K1778" s="7">
        <f t="shared" si="81"/>
        <v>5474</v>
      </c>
      <c r="L1778" s="9">
        <v>46242</v>
      </c>
      <c r="M1778" s="5" t="s">
        <v>69</v>
      </c>
      <c r="N1778" s="5" t="s">
        <v>53</v>
      </c>
      <c r="O1778" s="5" t="s">
        <v>71</v>
      </c>
      <c r="P1778" s="5" t="s">
        <v>70</v>
      </c>
      <c r="Q1778" s="5" t="s">
        <v>73</v>
      </c>
      <c r="R1778" s="5" t="s">
        <v>74</v>
      </c>
      <c r="S1778" s="5" t="s">
        <v>214</v>
      </c>
      <c r="T1778" s="5" t="s">
        <v>57</v>
      </c>
      <c r="U1778" s="5" t="s">
        <v>58</v>
      </c>
      <c r="V1778" s="5" t="s">
        <v>215</v>
      </c>
      <c r="W1778" s="5" t="s">
        <v>278</v>
      </c>
      <c r="X1778" s="5" t="s">
        <v>1783</v>
      </c>
      <c r="Y1778" s="5" t="s">
        <v>7198</v>
      </c>
      <c r="Z1778" s="9">
        <v>46061</v>
      </c>
      <c r="AA1778" s="8">
        <v>12</v>
      </c>
      <c r="AB1778" s="9">
        <f t="shared" si="82"/>
        <v>46426</v>
      </c>
      <c r="AC1778" s="10">
        <v>20</v>
      </c>
      <c r="AD1778" s="7">
        <f t="shared" si="83"/>
        <v>2737</v>
      </c>
      <c r="AE1778" s="7">
        <f>IF(F1778="Bullet",H1778*AD1778,MIN(MAX(I1778,1),Assumptions!$B$6)*AD1778)</f>
        <v>5474</v>
      </c>
      <c r="AF1778" s="8">
        <f>IF(F1778="Bullet",MAX(0,Assumptions!$B$4-AB1778),MAX(0,Assumptions!$B$4-L1778))</f>
        <v>56</v>
      </c>
      <c r="AG1778" s="9">
        <v>46213</v>
      </c>
      <c r="AH1778" s="8">
        <f>IF(AG1778="","",Assumptions!$B$4-AG1778)</f>
        <v>85</v>
      </c>
      <c r="AI1778" s="5" t="s">
        <v>63</v>
      </c>
      <c r="AJ1778" s="8">
        <v>2</v>
      </c>
      <c r="AK1778" s="8">
        <v>0</v>
      </c>
      <c r="AL1778" s="8">
        <v>686</v>
      </c>
      <c r="AM1778" s="8">
        <v>0</v>
      </c>
      <c r="AN1778" s="5" t="s">
        <v>63</v>
      </c>
      <c r="AO1778" s="10">
        <v>72.3</v>
      </c>
      <c r="AP1778" s="8">
        <v>46</v>
      </c>
      <c r="AQ1778" s="9">
        <v>46294</v>
      </c>
      <c r="AR1778" s="5" t="s">
        <v>70</v>
      </c>
      <c r="AS1778" s="5" t="s">
        <v>91</v>
      </c>
    </row>
    <row r="1779" spans="1:45" x14ac:dyDescent="0.35">
      <c r="A1779" s="5" t="s">
        <v>7199</v>
      </c>
      <c r="B1779" s="5" t="s">
        <v>1572</v>
      </c>
      <c r="C1779" s="6" t="s">
        <v>7200</v>
      </c>
      <c r="D1779" s="7">
        <v>293200</v>
      </c>
      <c r="E1779" s="5" t="s">
        <v>48</v>
      </c>
      <c r="F1779" s="5" t="s">
        <v>68</v>
      </c>
      <c r="G1779" s="8">
        <v>3</v>
      </c>
      <c r="H1779" s="8">
        <f>IF(F1779="Bullet",MIN(G1779,Assumptions!$B$6),"")</f>
        <v>2</v>
      </c>
      <c r="I1779" s="8"/>
      <c r="J1779" s="8" t="str">
        <f>IF(F1779="Monthly interest",MAX(0,Assumptions!$B$5-I1779),"")</f>
        <v/>
      </c>
      <c r="K1779" s="7">
        <f t="shared" si="81"/>
        <v>11727</v>
      </c>
      <c r="L1779" s="9">
        <v>46191</v>
      </c>
      <c r="M1779" s="5" t="s">
        <v>69</v>
      </c>
      <c r="N1779" s="5" t="s">
        <v>70</v>
      </c>
      <c r="O1779" s="5" t="s">
        <v>71</v>
      </c>
      <c r="P1779" s="5" t="s">
        <v>72</v>
      </c>
      <c r="Q1779" s="5" t="s">
        <v>73</v>
      </c>
      <c r="R1779" s="5" t="s">
        <v>74</v>
      </c>
      <c r="S1779" s="5" t="s">
        <v>214</v>
      </c>
      <c r="T1779" s="5" t="s">
        <v>57</v>
      </c>
      <c r="U1779" s="5" t="s">
        <v>58</v>
      </c>
      <c r="V1779" s="5" t="s">
        <v>215</v>
      </c>
      <c r="W1779" s="5" t="s">
        <v>600</v>
      </c>
      <c r="X1779" s="5" t="s">
        <v>2914</v>
      </c>
      <c r="Y1779" s="5" t="s">
        <v>7201</v>
      </c>
      <c r="Z1779" s="9">
        <v>46191</v>
      </c>
      <c r="AA1779" s="8">
        <v>12</v>
      </c>
      <c r="AB1779" s="9">
        <f t="shared" si="82"/>
        <v>46556</v>
      </c>
      <c r="AC1779" s="10">
        <v>16</v>
      </c>
      <c r="AD1779" s="7">
        <f t="shared" si="83"/>
        <v>3909</v>
      </c>
      <c r="AE1779" s="7">
        <f>IF(F1779="Bullet",H1779*AD1779,MIN(MAX(I1779,1),Assumptions!$B$6)*AD1779)</f>
        <v>7818</v>
      </c>
      <c r="AF1779" s="8">
        <f>IF(F1779="Bullet",MAX(0,Assumptions!$B$4-AB1779),MAX(0,Assumptions!$B$4-L1779))</f>
        <v>0</v>
      </c>
      <c r="AG1779" s="9"/>
      <c r="AH1779" s="8" t="str">
        <f>IF(AG1779="","",Assumptions!$B$4-AG1779)</f>
        <v/>
      </c>
      <c r="AI1779" s="5" t="s">
        <v>80</v>
      </c>
      <c r="AJ1779" s="8"/>
      <c r="AK1779" s="8">
        <v>0</v>
      </c>
      <c r="AL1779" s="8">
        <v>691</v>
      </c>
      <c r="AM1779" s="8">
        <v>0</v>
      </c>
      <c r="AN1779" s="5" t="s">
        <v>57</v>
      </c>
      <c r="AO1779" s="10">
        <v>67.099999999999994</v>
      </c>
      <c r="AP1779" s="8">
        <v>36</v>
      </c>
      <c r="AQ1779" s="9">
        <v>46273</v>
      </c>
      <c r="AR1779" s="5" t="s">
        <v>53</v>
      </c>
      <c r="AS1779" s="5" t="s">
        <v>81</v>
      </c>
    </row>
    <row r="1780" spans="1:45" x14ac:dyDescent="0.35">
      <c r="A1780" s="5" t="s">
        <v>7202</v>
      </c>
      <c r="B1780" s="5" t="s">
        <v>7203</v>
      </c>
      <c r="C1780" s="6" t="s">
        <v>7204</v>
      </c>
      <c r="D1780" s="7">
        <v>215300</v>
      </c>
      <c r="E1780" s="5" t="s">
        <v>48</v>
      </c>
      <c r="F1780" s="5" t="s">
        <v>68</v>
      </c>
      <c r="G1780" s="8">
        <v>4</v>
      </c>
      <c r="H1780" s="8">
        <f>IF(F1780="Bullet",MIN(G1780,Assumptions!$B$6),"")</f>
        <v>2</v>
      </c>
      <c r="I1780" s="8"/>
      <c r="J1780" s="8" t="str">
        <f>IF(F1780="Monthly interest",MAX(0,Assumptions!$B$5-I1780),"")</f>
        <v/>
      </c>
      <c r="K1780" s="7">
        <f t="shared" si="81"/>
        <v>8612</v>
      </c>
      <c r="L1780" s="9">
        <v>46160</v>
      </c>
      <c r="M1780" s="5" t="s">
        <v>50</v>
      </c>
      <c r="N1780" s="5" t="s">
        <v>53</v>
      </c>
      <c r="O1780" s="5" t="s">
        <v>71</v>
      </c>
      <c r="P1780" s="5" t="s">
        <v>51</v>
      </c>
      <c r="Q1780" s="5" t="s">
        <v>73</v>
      </c>
      <c r="R1780" s="5" t="s">
        <v>74</v>
      </c>
      <c r="S1780" s="5" t="s">
        <v>85</v>
      </c>
      <c r="T1780" s="5" t="s">
        <v>57</v>
      </c>
      <c r="U1780" s="5" t="s">
        <v>58</v>
      </c>
      <c r="V1780" s="5" t="s">
        <v>177</v>
      </c>
      <c r="W1780" s="5" t="s">
        <v>178</v>
      </c>
      <c r="X1780" s="5" t="s">
        <v>1528</v>
      </c>
      <c r="Y1780" s="5" t="s">
        <v>7205</v>
      </c>
      <c r="Z1780" s="9">
        <v>46160</v>
      </c>
      <c r="AA1780" s="8">
        <v>6</v>
      </c>
      <c r="AB1780" s="9">
        <f t="shared" si="82"/>
        <v>46344</v>
      </c>
      <c r="AC1780" s="10">
        <v>12</v>
      </c>
      <c r="AD1780" s="7">
        <f t="shared" si="83"/>
        <v>2153</v>
      </c>
      <c r="AE1780" s="7">
        <f>IF(F1780="Bullet",H1780*AD1780,MIN(MAX(I1780,1),Assumptions!$B$6)*AD1780)</f>
        <v>4306</v>
      </c>
      <c r="AF1780" s="8">
        <f>IF(F1780="Bullet",MAX(0,Assumptions!$B$4-AB1780),MAX(0,Assumptions!$B$4-L1780))</f>
        <v>0</v>
      </c>
      <c r="AG1780" s="9"/>
      <c r="AH1780" s="8" t="str">
        <f>IF(AG1780="","",Assumptions!$B$4-AG1780)</f>
        <v/>
      </c>
      <c r="AI1780" s="5" t="s">
        <v>80</v>
      </c>
      <c r="AJ1780" s="8"/>
      <c r="AK1780" s="8">
        <v>1</v>
      </c>
      <c r="AL1780" s="8">
        <v>756</v>
      </c>
      <c r="AM1780" s="8">
        <v>1</v>
      </c>
      <c r="AN1780" s="5" t="s">
        <v>63</v>
      </c>
      <c r="AO1780" s="10">
        <v>67.900000000000006</v>
      </c>
      <c r="AP1780" s="8">
        <v>22</v>
      </c>
      <c r="AQ1780" s="9"/>
      <c r="AR1780" s="5"/>
      <c r="AS1780" s="5" t="s">
        <v>159</v>
      </c>
    </row>
    <row r="1781" spans="1:45" x14ac:dyDescent="0.35">
      <c r="A1781" s="5" t="s">
        <v>7206</v>
      </c>
      <c r="B1781" s="5" t="s">
        <v>7207</v>
      </c>
      <c r="C1781" s="6" t="s">
        <v>7208</v>
      </c>
      <c r="D1781" s="7">
        <v>257500</v>
      </c>
      <c r="E1781" s="5" t="s">
        <v>48</v>
      </c>
      <c r="F1781" s="5" t="s">
        <v>49</v>
      </c>
      <c r="G1781" s="8"/>
      <c r="H1781" s="8" t="str">
        <f>IF(F1781="Bullet",MIN(G1781,Assumptions!$B$6),"")</f>
        <v/>
      </c>
      <c r="I1781" s="8">
        <v>1</v>
      </c>
      <c r="J1781" s="8">
        <f>IF(F1781="Monthly interest",MAX(0,Assumptions!$B$5-I1781),"")</f>
        <v>2</v>
      </c>
      <c r="K1781" s="7">
        <f t="shared" si="81"/>
        <v>3433</v>
      </c>
      <c r="L1781" s="9">
        <v>46298</v>
      </c>
      <c r="M1781" s="5" t="s">
        <v>50</v>
      </c>
      <c r="N1781" s="5" t="s">
        <v>53</v>
      </c>
      <c r="O1781" s="5" t="s">
        <v>103</v>
      </c>
      <c r="P1781" s="5" t="s">
        <v>70</v>
      </c>
      <c r="Q1781" s="5" t="s">
        <v>54</v>
      </c>
      <c r="R1781" s="5" t="s">
        <v>55</v>
      </c>
      <c r="S1781" s="5" t="s">
        <v>56</v>
      </c>
      <c r="T1781" s="5" t="s">
        <v>63</v>
      </c>
      <c r="U1781" s="5" t="s">
        <v>104</v>
      </c>
      <c r="V1781" s="5" t="s">
        <v>59</v>
      </c>
      <c r="W1781" s="5" t="s">
        <v>126</v>
      </c>
      <c r="X1781" s="5" t="s">
        <v>1424</v>
      </c>
      <c r="Y1781" s="5" t="s">
        <v>7209</v>
      </c>
      <c r="Z1781" s="9">
        <v>46025</v>
      </c>
      <c r="AA1781" s="8">
        <v>24</v>
      </c>
      <c r="AB1781" s="9">
        <f t="shared" si="82"/>
        <v>46755</v>
      </c>
      <c r="AC1781" s="10">
        <v>16</v>
      </c>
      <c r="AD1781" s="7">
        <f t="shared" si="83"/>
        <v>3433</v>
      </c>
      <c r="AE1781" s="7">
        <f>IF(F1781="Bullet",H1781*AD1781,MIN(MAX(I1781,1),Assumptions!$B$6)*AD1781)</f>
        <v>3433</v>
      </c>
      <c r="AF1781" s="8">
        <f>IF(F1781="Bullet",MAX(0,Assumptions!$B$4-AB1781),MAX(0,Assumptions!$B$4-L1781))</f>
        <v>0</v>
      </c>
      <c r="AG1781" s="9">
        <v>46272</v>
      </c>
      <c r="AH1781" s="8">
        <f>IF(AG1781="","",Assumptions!$B$4-AG1781)</f>
        <v>26</v>
      </c>
      <c r="AI1781" s="5" t="s">
        <v>63</v>
      </c>
      <c r="AJ1781" s="8">
        <v>1</v>
      </c>
      <c r="AK1781" s="8">
        <v>0</v>
      </c>
      <c r="AL1781" s="8">
        <v>768</v>
      </c>
      <c r="AM1781" s="8">
        <v>1</v>
      </c>
      <c r="AN1781" s="5" t="s">
        <v>63</v>
      </c>
      <c r="AO1781" s="10">
        <v>78.7</v>
      </c>
      <c r="AP1781" s="8">
        <v>18</v>
      </c>
      <c r="AQ1781" s="9">
        <v>46275</v>
      </c>
      <c r="AR1781" s="5" t="s">
        <v>51</v>
      </c>
      <c r="AS1781" s="5" t="s">
        <v>81</v>
      </c>
    </row>
    <row r="1782" spans="1:45" x14ac:dyDescent="0.35">
      <c r="A1782" s="5" t="s">
        <v>7210</v>
      </c>
      <c r="B1782" s="5" t="s">
        <v>7211</v>
      </c>
      <c r="C1782" s="6" t="s">
        <v>7212</v>
      </c>
      <c r="D1782" s="7">
        <v>228000</v>
      </c>
      <c r="E1782" s="5" t="s">
        <v>48</v>
      </c>
      <c r="F1782" s="5" t="s">
        <v>68</v>
      </c>
      <c r="G1782" s="8">
        <v>6</v>
      </c>
      <c r="H1782" s="8">
        <f>IF(F1782="Bullet",MIN(G1782,Assumptions!$B$6),"")</f>
        <v>2</v>
      </c>
      <c r="I1782" s="8"/>
      <c r="J1782" s="8" t="str">
        <f>IF(F1782="Monthly interest",MAX(0,Assumptions!$B$5-I1782),"")</f>
        <v/>
      </c>
      <c r="K1782" s="7">
        <f t="shared" si="81"/>
        <v>17100</v>
      </c>
      <c r="L1782" s="9">
        <v>46099</v>
      </c>
      <c r="M1782" s="5" t="s">
        <v>116</v>
      </c>
      <c r="N1782" s="5" t="s">
        <v>117</v>
      </c>
      <c r="O1782" s="5" t="s">
        <v>461</v>
      </c>
      <c r="P1782" s="5" t="s">
        <v>72</v>
      </c>
      <c r="Q1782" s="5" t="s">
        <v>169</v>
      </c>
      <c r="R1782" s="5" t="s">
        <v>170</v>
      </c>
      <c r="S1782" s="5" t="s">
        <v>75</v>
      </c>
      <c r="T1782" s="5" t="s">
        <v>57</v>
      </c>
      <c r="U1782" s="5" t="s">
        <v>58</v>
      </c>
      <c r="V1782" s="5" t="s">
        <v>76</v>
      </c>
      <c r="W1782" s="5" t="s">
        <v>77</v>
      </c>
      <c r="X1782" s="5" t="s">
        <v>2200</v>
      </c>
      <c r="Y1782" s="5" t="s">
        <v>7213</v>
      </c>
      <c r="Z1782" s="9">
        <v>46099</v>
      </c>
      <c r="AA1782" s="8">
        <v>6</v>
      </c>
      <c r="AB1782" s="9">
        <f t="shared" si="82"/>
        <v>46283</v>
      </c>
      <c r="AC1782" s="10">
        <v>15</v>
      </c>
      <c r="AD1782" s="7">
        <f t="shared" si="83"/>
        <v>2850</v>
      </c>
      <c r="AE1782" s="7">
        <f>IF(F1782="Bullet",H1782*AD1782,MIN(MAX(I1782,1),Assumptions!$B$6)*AD1782)</f>
        <v>5700</v>
      </c>
      <c r="AF1782" s="8">
        <f>IF(F1782="Bullet",MAX(0,Assumptions!$B$4-AB1782),MAX(0,Assumptions!$B$4-L1782))</f>
        <v>15</v>
      </c>
      <c r="AG1782" s="9"/>
      <c r="AH1782" s="8" t="str">
        <f>IF(AG1782="","",Assumptions!$B$4-AG1782)</f>
        <v/>
      </c>
      <c r="AI1782" s="5" t="s">
        <v>80</v>
      </c>
      <c r="AJ1782" s="8"/>
      <c r="AK1782" s="8">
        <v>1</v>
      </c>
      <c r="AL1782" s="8">
        <v>712</v>
      </c>
      <c r="AM1782" s="8">
        <v>0</v>
      </c>
      <c r="AN1782" s="5" t="s">
        <v>63</v>
      </c>
      <c r="AO1782" s="10">
        <v>68.8</v>
      </c>
      <c r="AP1782" s="8">
        <v>56</v>
      </c>
      <c r="AQ1782" s="9">
        <v>46274</v>
      </c>
      <c r="AR1782" s="5" t="s">
        <v>70</v>
      </c>
      <c r="AS1782" s="5" t="s">
        <v>91</v>
      </c>
    </row>
    <row r="1783" spans="1:45" x14ac:dyDescent="0.35">
      <c r="A1783" s="5" t="s">
        <v>7214</v>
      </c>
      <c r="B1783" s="5" t="s">
        <v>7215</v>
      </c>
      <c r="C1783" s="6" t="s">
        <v>7216</v>
      </c>
      <c r="D1783" s="7">
        <v>90100</v>
      </c>
      <c r="E1783" s="5" t="s">
        <v>48</v>
      </c>
      <c r="F1783" s="5" t="s">
        <v>68</v>
      </c>
      <c r="G1783" s="8">
        <v>2</v>
      </c>
      <c r="H1783" s="8">
        <f>IF(F1783="Bullet",MIN(G1783,Assumptions!$B$6),"")</f>
        <v>2</v>
      </c>
      <c r="I1783" s="8"/>
      <c r="J1783" s="8" t="str">
        <f>IF(F1783="Monthly interest",MAX(0,Assumptions!$B$5-I1783),"")</f>
        <v/>
      </c>
      <c r="K1783" s="7">
        <f t="shared" si="81"/>
        <v>2402</v>
      </c>
      <c r="L1783" s="9">
        <v>46215</v>
      </c>
      <c r="M1783" s="5" t="s">
        <v>69</v>
      </c>
      <c r="N1783" s="5" t="s">
        <v>53</v>
      </c>
      <c r="O1783" s="5" t="s">
        <v>71</v>
      </c>
      <c r="P1783" s="5" t="s">
        <v>70</v>
      </c>
      <c r="Q1783" s="5" t="s">
        <v>73</v>
      </c>
      <c r="R1783" s="5" t="s">
        <v>74</v>
      </c>
      <c r="S1783" s="5" t="s">
        <v>85</v>
      </c>
      <c r="T1783" s="5" t="s">
        <v>57</v>
      </c>
      <c r="U1783" s="5" t="s">
        <v>58</v>
      </c>
      <c r="V1783" s="5" t="s">
        <v>133</v>
      </c>
      <c r="W1783" s="5" t="s">
        <v>134</v>
      </c>
      <c r="X1783" s="5" t="s">
        <v>2492</v>
      </c>
      <c r="Y1783" s="5" t="s">
        <v>7217</v>
      </c>
      <c r="Z1783" s="9">
        <v>46215</v>
      </c>
      <c r="AA1783" s="8">
        <v>6</v>
      </c>
      <c r="AB1783" s="9">
        <f t="shared" si="82"/>
        <v>46399</v>
      </c>
      <c r="AC1783" s="10">
        <v>16</v>
      </c>
      <c r="AD1783" s="7">
        <f t="shared" si="83"/>
        <v>1201</v>
      </c>
      <c r="AE1783" s="7">
        <f>IF(F1783="Bullet",H1783*AD1783,MIN(MAX(I1783,1),Assumptions!$B$6)*AD1783)</f>
        <v>2402</v>
      </c>
      <c r="AF1783" s="8">
        <f>IF(F1783="Bullet",MAX(0,Assumptions!$B$4-AB1783),MAX(0,Assumptions!$B$4-L1783))</f>
        <v>0</v>
      </c>
      <c r="AG1783" s="9"/>
      <c r="AH1783" s="8" t="str">
        <f>IF(AG1783="","",Assumptions!$B$4-AG1783)</f>
        <v/>
      </c>
      <c r="AI1783" s="5" t="s">
        <v>80</v>
      </c>
      <c r="AJ1783" s="8"/>
      <c r="AK1783" s="8">
        <v>2</v>
      </c>
      <c r="AL1783" s="8">
        <v>544</v>
      </c>
      <c r="AM1783" s="8">
        <v>1</v>
      </c>
      <c r="AN1783" s="5" t="s">
        <v>63</v>
      </c>
      <c r="AO1783" s="10">
        <v>75.900000000000006</v>
      </c>
      <c r="AP1783" s="8">
        <v>45</v>
      </c>
      <c r="AQ1783" s="9"/>
      <c r="AR1783" s="5"/>
      <c r="AS1783" s="5" t="s">
        <v>159</v>
      </c>
    </row>
    <row r="1784" spans="1:45" x14ac:dyDescent="0.35">
      <c r="A1784" s="5" t="s">
        <v>7218</v>
      </c>
      <c r="B1784" s="5" t="s">
        <v>321</v>
      </c>
      <c r="C1784" s="6" t="s">
        <v>7219</v>
      </c>
      <c r="D1784" s="7">
        <v>141800</v>
      </c>
      <c r="E1784" s="5" t="s">
        <v>48</v>
      </c>
      <c r="F1784" s="5" t="s">
        <v>49</v>
      </c>
      <c r="G1784" s="8"/>
      <c r="H1784" s="8" t="str">
        <f>IF(F1784="Bullet",MIN(G1784,Assumptions!$B$6),"")</f>
        <v/>
      </c>
      <c r="I1784" s="8">
        <v>1</v>
      </c>
      <c r="J1784" s="8">
        <f>IF(F1784="Monthly interest",MAX(0,Assumptions!$B$5-I1784),"")</f>
        <v>2</v>
      </c>
      <c r="K1784" s="7">
        <f t="shared" si="81"/>
        <v>2836</v>
      </c>
      <c r="L1784" s="9">
        <v>46271</v>
      </c>
      <c r="M1784" s="5" t="s">
        <v>50</v>
      </c>
      <c r="N1784" s="5" t="s">
        <v>53</v>
      </c>
      <c r="O1784" s="5" t="s">
        <v>95</v>
      </c>
      <c r="P1784" s="5" t="s">
        <v>70</v>
      </c>
      <c r="Q1784" s="5" t="s">
        <v>54</v>
      </c>
      <c r="R1784" s="5" t="s">
        <v>55</v>
      </c>
      <c r="S1784" s="5" t="s">
        <v>56</v>
      </c>
      <c r="T1784" s="5" t="s">
        <v>63</v>
      </c>
      <c r="U1784" s="5" t="s">
        <v>58</v>
      </c>
      <c r="V1784" s="5" t="s">
        <v>59</v>
      </c>
      <c r="W1784" s="5" t="s">
        <v>418</v>
      </c>
      <c r="X1784" s="5" t="s">
        <v>1184</v>
      </c>
      <c r="Y1784" s="5" t="s">
        <v>7220</v>
      </c>
      <c r="Z1784" s="9">
        <v>46118</v>
      </c>
      <c r="AA1784" s="8">
        <v>12</v>
      </c>
      <c r="AB1784" s="9">
        <f t="shared" si="82"/>
        <v>46483</v>
      </c>
      <c r="AC1784" s="10">
        <v>24</v>
      </c>
      <c r="AD1784" s="7">
        <f t="shared" si="83"/>
        <v>2836</v>
      </c>
      <c r="AE1784" s="7">
        <f>IF(F1784="Bullet",H1784*AD1784,MIN(MAX(I1784,1),Assumptions!$B$6)*AD1784)</f>
        <v>2836</v>
      </c>
      <c r="AF1784" s="8">
        <f>IF(F1784="Bullet",MAX(0,Assumptions!$B$4-AB1784),MAX(0,Assumptions!$B$4-L1784))</f>
        <v>27</v>
      </c>
      <c r="AG1784" s="9">
        <v>46241</v>
      </c>
      <c r="AH1784" s="8">
        <f>IF(AG1784="","",Assumptions!$B$4-AG1784)</f>
        <v>57</v>
      </c>
      <c r="AI1784" s="5" t="s">
        <v>63</v>
      </c>
      <c r="AJ1784" s="8">
        <v>1</v>
      </c>
      <c r="AK1784" s="8">
        <v>1</v>
      </c>
      <c r="AL1784" s="8">
        <v>796</v>
      </c>
      <c r="AM1784" s="8">
        <v>1</v>
      </c>
      <c r="AN1784" s="5" t="s">
        <v>63</v>
      </c>
      <c r="AO1784" s="10">
        <v>65.7</v>
      </c>
      <c r="AP1784" s="8">
        <v>14</v>
      </c>
      <c r="AQ1784" s="9">
        <v>46276</v>
      </c>
      <c r="AR1784" s="5" t="s">
        <v>53</v>
      </c>
      <c r="AS1784" s="5" t="s">
        <v>91</v>
      </c>
    </row>
    <row r="1785" spans="1:45" x14ac:dyDescent="0.35">
      <c r="A1785" s="5" t="s">
        <v>7221</v>
      </c>
      <c r="B1785" s="5" t="s">
        <v>3964</v>
      </c>
      <c r="C1785" s="6" t="s">
        <v>7222</v>
      </c>
      <c r="D1785" s="7">
        <v>114500</v>
      </c>
      <c r="E1785" s="5" t="s">
        <v>48</v>
      </c>
      <c r="F1785" s="5" t="s">
        <v>49</v>
      </c>
      <c r="G1785" s="8"/>
      <c r="H1785" s="8" t="str">
        <f>IF(F1785="Bullet",MIN(G1785,Assumptions!$B$6),"")</f>
        <v/>
      </c>
      <c r="I1785" s="8">
        <v>2</v>
      </c>
      <c r="J1785" s="8">
        <f>IF(F1785="Monthly interest",MAX(0,Assumptions!$B$5-I1785),"")</f>
        <v>1</v>
      </c>
      <c r="K1785" s="7">
        <f t="shared" si="81"/>
        <v>3816</v>
      </c>
      <c r="L1785" s="9">
        <v>46242</v>
      </c>
      <c r="M1785" s="5" t="s">
        <v>69</v>
      </c>
      <c r="N1785" s="5" t="s">
        <v>53</v>
      </c>
      <c r="O1785" s="5" t="s">
        <v>71</v>
      </c>
      <c r="P1785" s="5" t="s">
        <v>70</v>
      </c>
      <c r="Q1785" s="5" t="s">
        <v>73</v>
      </c>
      <c r="R1785" s="5" t="s">
        <v>74</v>
      </c>
      <c r="S1785" s="5" t="s">
        <v>75</v>
      </c>
      <c r="T1785" s="5" t="s">
        <v>57</v>
      </c>
      <c r="U1785" s="5" t="s">
        <v>86</v>
      </c>
      <c r="V1785" s="5" t="s">
        <v>76</v>
      </c>
      <c r="W1785" s="5" t="s">
        <v>105</v>
      </c>
      <c r="X1785" s="5" t="s">
        <v>2976</v>
      </c>
      <c r="Y1785" s="5" t="s">
        <v>7223</v>
      </c>
      <c r="Z1785" s="9">
        <v>46150</v>
      </c>
      <c r="AA1785" s="8">
        <v>12</v>
      </c>
      <c r="AB1785" s="9">
        <f t="shared" si="82"/>
        <v>46515</v>
      </c>
      <c r="AC1785" s="10">
        <v>20</v>
      </c>
      <c r="AD1785" s="7">
        <f t="shared" si="83"/>
        <v>1908</v>
      </c>
      <c r="AE1785" s="7">
        <f>IF(F1785="Bullet",H1785*AD1785,MIN(MAX(I1785,1),Assumptions!$B$6)*AD1785)</f>
        <v>3816</v>
      </c>
      <c r="AF1785" s="8">
        <f>IF(F1785="Bullet",MAX(0,Assumptions!$B$4-AB1785),MAX(0,Assumptions!$B$4-L1785))</f>
        <v>56</v>
      </c>
      <c r="AG1785" s="9">
        <v>46213</v>
      </c>
      <c r="AH1785" s="8">
        <f>IF(AG1785="","",Assumptions!$B$4-AG1785)</f>
        <v>85</v>
      </c>
      <c r="AI1785" s="5" t="s">
        <v>63</v>
      </c>
      <c r="AJ1785" s="8">
        <v>3</v>
      </c>
      <c r="AK1785" s="8">
        <v>0</v>
      </c>
      <c r="AL1785" s="8" t="s">
        <v>80</v>
      </c>
      <c r="AM1785" s="8">
        <v>1</v>
      </c>
      <c r="AN1785" s="5" t="s">
        <v>63</v>
      </c>
      <c r="AO1785" s="10">
        <v>69.599999999999994</v>
      </c>
      <c r="AP1785" s="8">
        <v>43</v>
      </c>
      <c r="AQ1785" s="9">
        <v>46284</v>
      </c>
      <c r="AR1785" s="5" t="s">
        <v>70</v>
      </c>
      <c r="AS1785" s="5" t="s">
        <v>64</v>
      </c>
    </row>
    <row r="1786" spans="1:45" x14ac:dyDescent="0.35">
      <c r="A1786" s="5" t="s">
        <v>7224</v>
      </c>
      <c r="B1786" s="5" t="s">
        <v>4322</v>
      </c>
      <c r="C1786" s="6" t="s">
        <v>7225</v>
      </c>
      <c r="D1786" s="7">
        <v>68000</v>
      </c>
      <c r="E1786" s="5" t="s">
        <v>48</v>
      </c>
      <c r="F1786" s="5" t="s">
        <v>68</v>
      </c>
      <c r="G1786" s="8">
        <v>6</v>
      </c>
      <c r="H1786" s="8">
        <f>IF(F1786="Bullet",MIN(G1786,Assumptions!$B$6),"")</f>
        <v>2</v>
      </c>
      <c r="I1786" s="8"/>
      <c r="J1786" s="8" t="str">
        <f>IF(F1786="Monthly interest",MAX(0,Assumptions!$B$5-I1786),"")</f>
        <v/>
      </c>
      <c r="K1786" s="7">
        <f t="shared" si="81"/>
        <v>5100</v>
      </c>
      <c r="L1786" s="9">
        <v>46114</v>
      </c>
      <c r="M1786" s="5" t="s">
        <v>69</v>
      </c>
      <c r="N1786" s="5" t="s">
        <v>70</v>
      </c>
      <c r="O1786" s="5" t="s">
        <v>531</v>
      </c>
      <c r="P1786" s="5" t="s">
        <v>72</v>
      </c>
      <c r="Q1786" s="5" t="s">
        <v>169</v>
      </c>
      <c r="R1786" s="5" t="s">
        <v>170</v>
      </c>
      <c r="S1786" s="5" t="s">
        <v>75</v>
      </c>
      <c r="T1786" s="5" t="s">
        <v>57</v>
      </c>
      <c r="U1786" s="5" t="s">
        <v>86</v>
      </c>
      <c r="V1786" s="5" t="s">
        <v>76</v>
      </c>
      <c r="W1786" s="5" t="s">
        <v>444</v>
      </c>
      <c r="X1786" s="5" t="s">
        <v>2967</v>
      </c>
      <c r="Y1786" s="5" t="s">
        <v>7226</v>
      </c>
      <c r="Z1786" s="9">
        <v>46114</v>
      </c>
      <c r="AA1786" s="8">
        <v>12</v>
      </c>
      <c r="AB1786" s="9">
        <f t="shared" si="82"/>
        <v>46479</v>
      </c>
      <c r="AC1786" s="10">
        <v>15</v>
      </c>
      <c r="AD1786" s="7">
        <f t="shared" si="83"/>
        <v>850</v>
      </c>
      <c r="AE1786" s="7">
        <f>IF(F1786="Bullet",H1786*AD1786,MIN(MAX(I1786,1),Assumptions!$B$6)*AD1786)</f>
        <v>1700</v>
      </c>
      <c r="AF1786" s="8">
        <f>IF(F1786="Bullet",MAX(0,Assumptions!$B$4-AB1786),MAX(0,Assumptions!$B$4-L1786))</f>
        <v>0</v>
      </c>
      <c r="AG1786" s="9"/>
      <c r="AH1786" s="8" t="str">
        <f>IF(AG1786="","",Assumptions!$B$4-AG1786)</f>
        <v/>
      </c>
      <c r="AI1786" s="5" t="s">
        <v>80</v>
      </c>
      <c r="AJ1786" s="8"/>
      <c r="AK1786" s="8">
        <v>0</v>
      </c>
      <c r="AL1786" s="8">
        <v>710</v>
      </c>
      <c r="AM1786" s="8">
        <v>1</v>
      </c>
      <c r="AN1786" s="5" t="s">
        <v>63</v>
      </c>
      <c r="AO1786" s="10">
        <v>61.8</v>
      </c>
      <c r="AP1786" s="8">
        <v>37</v>
      </c>
      <c r="AQ1786" s="9">
        <v>46288</v>
      </c>
      <c r="AR1786" s="5" t="s">
        <v>53</v>
      </c>
      <c r="AS1786" s="5" t="s">
        <v>81</v>
      </c>
    </row>
    <row r="1787" spans="1:45" x14ac:dyDescent="0.35">
      <c r="A1787" s="5" t="s">
        <v>7227</v>
      </c>
      <c r="B1787" s="5" t="s">
        <v>7228</v>
      </c>
      <c r="C1787" s="6" t="s">
        <v>7229</v>
      </c>
      <c r="D1787" s="7">
        <v>89600</v>
      </c>
      <c r="E1787" s="5" t="s">
        <v>48</v>
      </c>
      <c r="F1787" s="5" t="s">
        <v>68</v>
      </c>
      <c r="G1787" s="8">
        <v>2</v>
      </c>
      <c r="H1787" s="8">
        <f>IF(F1787="Bullet",MIN(G1787,Assumptions!$B$6),"")</f>
        <v>2</v>
      </c>
      <c r="I1787" s="8"/>
      <c r="J1787" s="8" t="str">
        <f>IF(F1787="Monthly interest",MAX(0,Assumptions!$B$5-I1787),"")</f>
        <v/>
      </c>
      <c r="K1787" s="7">
        <f t="shared" si="81"/>
        <v>2390</v>
      </c>
      <c r="L1787" s="9">
        <v>46215</v>
      </c>
      <c r="M1787" s="5" t="s">
        <v>69</v>
      </c>
      <c r="N1787" s="5" t="s">
        <v>53</v>
      </c>
      <c r="O1787" s="5" t="s">
        <v>71</v>
      </c>
      <c r="P1787" s="5" t="s">
        <v>70</v>
      </c>
      <c r="Q1787" s="5" t="s">
        <v>73</v>
      </c>
      <c r="R1787" s="5" t="s">
        <v>74</v>
      </c>
      <c r="S1787" s="5" t="s">
        <v>185</v>
      </c>
      <c r="T1787" s="5" t="s">
        <v>57</v>
      </c>
      <c r="U1787" s="5" t="s">
        <v>86</v>
      </c>
      <c r="V1787" s="5" t="s">
        <v>200</v>
      </c>
      <c r="W1787" s="5" t="s">
        <v>433</v>
      </c>
      <c r="X1787" s="5" t="s">
        <v>1961</v>
      </c>
      <c r="Y1787" s="5" t="s">
        <v>7230</v>
      </c>
      <c r="Z1787" s="9">
        <v>46215</v>
      </c>
      <c r="AA1787" s="8">
        <v>12</v>
      </c>
      <c r="AB1787" s="9">
        <f t="shared" si="82"/>
        <v>46580</v>
      </c>
      <c r="AC1787" s="10">
        <v>16</v>
      </c>
      <c r="AD1787" s="7">
        <f t="shared" si="83"/>
        <v>1195</v>
      </c>
      <c r="AE1787" s="7">
        <f>IF(F1787="Bullet",H1787*AD1787,MIN(MAX(I1787,1),Assumptions!$B$6)*AD1787)</f>
        <v>2390</v>
      </c>
      <c r="AF1787" s="8">
        <f>IF(F1787="Bullet",MAX(0,Assumptions!$B$4-AB1787),MAX(0,Assumptions!$B$4-L1787))</f>
        <v>0</v>
      </c>
      <c r="AG1787" s="9"/>
      <c r="AH1787" s="8" t="str">
        <f>IF(AG1787="","",Assumptions!$B$4-AG1787)</f>
        <v/>
      </c>
      <c r="AI1787" s="5" t="s">
        <v>80</v>
      </c>
      <c r="AJ1787" s="8"/>
      <c r="AK1787" s="8">
        <v>0</v>
      </c>
      <c r="AL1787" s="8">
        <v>650</v>
      </c>
      <c r="AM1787" s="8">
        <v>3</v>
      </c>
      <c r="AN1787" s="5" t="s">
        <v>57</v>
      </c>
      <c r="AO1787" s="10">
        <v>74.8</v>
      </c>
      <c r="AP1787" s="8">
        <v>40</v>
      </c>
      <c r="AQ1787" s="9">
        <v>46283</v>
      </c>
      <c r="AR1787" s="5" t="s">
        <v>72</v>
      </c>
      <c r="AS1787" s="5" t="s">
        <v>91</v>
      </c>
    </row>
    <row r="1788" spans="1:45" x14ac:dyDescent="0.35">
      <c r="A1788" s="5" t="s">
        <v>7231</v>
      </c>
      <c r="B1788" s="5" t="s">
        <v>1568</v>
      </c>
      <c r="C1788" s="6" t="s">
        <v>7232</v>
      </c>
      <c r="D1788" s="7">
        <v>43500</v>
      </c>
      <c r="E1788" s="5" t="s">
        <v>48</v>
      </c>
      <c r="F1788" s="5" t="s">
        <v>49</v>
      </c>
      <c r="G1788" s="8"/>
      <c r="H1788" s="8" t="str">
        <f>IF(F1788="Bullet",MIN(G1788,Assumptions!$B$6),"")</f>
        <v/>
      </c>
      <c r="I1788" s="8">
        <v>1</v>
      </c>
      <c r="J1788" s="8">
        <f>IF(F1788="Monthly interest",MAX(0,Assumptions!$B$5-I1788),"")</f>
        <v>2</v>
      </c>
      <c r="K1788" s="7">
        <f t="shared" si="81"/>
        <v>725</v>
      </c>
      <c r="L1788" s="9">
        <v>46283</v>
      </c>
      <c r="M1788" s="5" t="s">
        <v>50</v>
      </c>
      <c r="N1788" s="5" t="s">
        <v>53</v>
      </c>
      <c r="O1788" s="5" t="s">
        <v>132</v>
      </c>
      <c r="P1788" s="5" t="s">
        <v>153</v>
      </c>
      <c r="Q1788" s="5" t="s">
        <v>154</v>
      </c>
      <c r="R1788" s="5" t="s">
        <v>155</v>
      </c>
      <c r="S1788" s="5" t="s">
        <v>185</v>
      </c>
      <c r="T1788" s="5" t="s">
        <v>57</v>
      </c>
      <c r="U1788" s="5" t="s">
        <v>104</v>
      </c>
      <c r="V1788" s="5" t="s">
        <v>200</v>
      </c>
      <c r="W1788" s="5" t="s">
        <v>433</v>
      </c>
      <c r="X1788" s="5" t="s">
        <v>4816</v>
      </c>
      <c r="Y1788" s="5" t="s">
        <v>7233</v>
      </c>
      <c r="Z1788" s="9">
        <v>46040</v>
      </c>
      <c r="AA1788" s="8">
        <v>24</v>
      </c>
      <c r="AB1788" s="9">
        <f t="shared" si="82"/>
        <v>46770</v>
      </c>
      <c r="AC1788" s="10">
        <v>20</v>
      </c>
      <c r="AD1788" s="7">
        <f t="shared" si="83"/>
        <v>725</v>
      </c>
      <c r="AE1788" s="7">
        <f>IF(F1788="Bullet",H1788*AD1788,MIN(MAX(I1788,1),Assumptions!$B$6)*AD1788)</f>
        <v>725</v>
      </c>
      <c r="AF1788" s="8">
        <f>IF(F1788="Bullet",MAX(0,Assumptions!$B$4-AB1788),MAX(0,Assumptions!$B$4-L1788))</f>
        <v>15</v>
      </c>
      <c r="AG1788" s="9">
        <v>46253</v>
      </c>
      <c r="AH1788" s="8">
        <f>IF(AG1788="","",Assumptions!$B$4-AG1788)</f>
        <v>45</v>
      </c>
      <c r="AI1788" s="5" t="s">
        <v>63</v>
      </c>
      <c r="AJ1788" s="8">
        <v>1</v>
      </c>
      <c r="AK1788" s="8">
        <v>0</v>
      </c>
      <c r="AL1788" s="8">
        <v>683</v>
      </c>
      <c r="AM1788" s="8">
        <v>0</v>
      </c>
      <c r="AN1788" s="5" t="s">
        <v>63</v>
      </c>
      <c r="AO1788" s="10">
        <v>78.3</v>
      </c>
      <c r="AP1788" s="8">
        <v>28</v>
      </c>
      <c r="AQ1788" s="9">
        <v>46293</v>
      </c>
      <c r="AR1788" s="5" t="s">
        <v>51</v>
      </c>
      <c r="AS1788" s="5" t="s">
        <v>91</v>
      </c>
    </row>
    <row r="1789" spans="1:45" x14ac:dyDescent="0.35">
      <c r="A1789" s="5" t="s">
        <v>7234</v>
      </c>
      <c r="B1789" s="5" t="s">
        <v>1942</v>
      </c>
      <c r="C1789" s="6" t="s">
        <v>7235</v>
      </c>
      <c r="D1789" s="7">
        <v>313000</v>
      </c>
      <c r="E1789" s="5" t="s">
        <v>48</v>
      </c>
      <c r="F1789" s="5" t="s">
        <v>49</v>
      </c>
      <c r="G1789" s="8"/>
      <c r="H1789" s="8" t="str">
        <f>IF(F1789="Bullet",MIN(G1789,Assumptions!$B$6),"")</f>
        <v/>
      </c>
      <c r="I1789" s="8">
        <v>2</v>
      </c>
      <c r="J1789" s="8">
        <f>IF(F1789="Monthly interest",MAX(0,Assumptions!$B$5-I1789),"")</f>
        <v>1</v>
      </c>
      <c r="K1789" s="7">
        <f t="shared" si="81"/>
        <v>12520</v>
      </c>
      <c r="L1789" s="9">
        <v>46262</v>
      </c>
      <c r="M1789" s="5" t="s">
        <v>69</v>
      </c>
      <c r="N1789" s="5" t="s">
        <v>70</v>
      </c>
      <c r="O1789" s="5" t="s">
        <v>71</v>
      </c>
      <c r="P1789" s="5" t="s">
        <v>72</v>
      </c>
      <c r="Q1789" s="5" t="s">
        <v>73</v>
      </c>
      <c r="R1789" s="5" t="s">
        <v>74</v>
      </c>
      <c r="S1789" s="5" t="s">
        <v>85</v>
      </c>
      <c r="T1789" s="5" t="s">
        <v>57</v>
      </c>
      <c r="U1789" s="5" t="s">
        <v>104</v>
      </c>
      <c r="V1789" s="5" t="s">
        <v>96</v>
      </c>
      <c r="W1789" s="5" t="s">
        <v>819</v>
      </c>
      <c r="X1789" s="5" t="s">
        <v>2590</v>
      </c>
      <c r="Y1789" s="5" t="s">
        <v>7236</v>
      </c>
      <c r="Z1789" s="9">
        <v>46140</v>
      </c>
      <c r="AA1789" s="8">
        <v>24</v>
      </c>
      <c r="AB1789" s="9">
        <f t="shared" si="82"/>
        <v>46871</v>
      </c>
      <c r="AC1789" s="10">
        <v>24</v>
      </c>
      <c r="AD1789" s="7">
        <f t="shared" si="83"/>
        <v>6260</v>
      </c>
      <c r="AE1789" s="7">
        <f>IF(F1789="Bullet",H1789*AD1789,MIN(MAX(I1789,1),Assumptions!$B$6)*AD1789)</f>
        <v>12520</v>
      </c>
      <c r="AF1789" s="8">
        <f>IF(F1789="Bullet",MAX(0,Assumptions!$B$4-AB1789),MAX(0,Assumptions!$B$4-L1789))</f>
        <v>36</v>
      </c>
      <c r="AG1789" s="9">
        <v>46236</v>
      </c>
      <c r="AH1789" s="8">
        <f>IF(AG1789="","",Assumptions!$B$4-AG1789)</f>
        <v>62</v>
      </c>
      <c r="AI1789" s="5" t="s">
        <v>63</v>
      </c>
      <c r="AJ1789" s="8">
        <v>3</v>
      </c>
      <c r="AK1789" s="8">
        <v>1</v>
      </c>
      <c r="AL1789" s="8">
        <v>829</v>
      </c>
      <c r="AM1789" s="8">
        <v>4</v>
      </c>
      <c r="AN1789" s="5" t="s">
        <v>63</v>
      </c>
      <c r="AO1789" s="10">
        <v>74.3</v>
      </c>
      <c r="AP1789" s="8">
        <v>31</v>
      </c>
      <c r="AQ1789" s="9">
        <v>46279</v>
      </c>
      <c r="AR1789" s="5" t="s">
        <v>51</v>
      </c>
      <c r="AS1789" s="5" t="s">
        <v>64</v>
      </c>
    </row>
    <row r="1790" spans="1:45" x14ac:dyDescent="0.35">
      <c r="A1790" s="5" t="s">
        <v>7237</v>
      </c>
      <c r="B1790" s="5" t="s">
        <v>4355</v>
      </c>
      <c r="C1790" s="6" t="s">
        <v>7238</v>
      </c>
      <c r="D1790" s="7">
        <v>23200</v>
      </c>
      <c r="E1790" s="5" t="s">
        <v>48</v>
      </c>
      <c r="F1790" s="5" t="s">
        <v>68</v>
      </c>
      <c r="G1790" s="8">
        <v>2</v>
      </c>
      <c r="H1790" s="8">
        <f>IF(F1790="Bullet",MIN(G1790,Assumptions!$B$6),"")</f>
        <v>2</v>
      </c>
      <c r="I1790" s="8"/>
      <c r="J1790" s="8" t="str">
        <f>IF(F1790="Monthly interest",MAX(0,Assumptions!$B$5-I1790),"")</f>
        <v/>
      </c>
      <c r="K1790" s="7">
        <f t="shared" si="81"/>
        <v>542</v>
      </c>
      <c r="L1790" s="9">
        <v>46215</v>
      </c>
      <c r="M1790" s="5" t="s">
        <v>50</v>
      </c>
      <c r="N1790" s="5" t="s">
        <v>53</v>
      </c>
      <c r="O1790" s="5" t="s">
        <v>152</v>
      </c>
      <c r="P1790" s="5" t="s">
        <v>153</v>
      </c>
      <c r="Q1790" s="5" t="s">
        <v>154</v>
      </c>
      <c r="R1790" s="5" t="s">
        <v>155</v>
      </c>
      <c r="S1790" s="5" t="s">
        <v>56</v>
      </c>
      <c r="T1790" s="5" t="s">
        <v>57</v>
      </c>
      <c r="U1790" s="5" t="s">
        <v>86</v>
      </c>
      <c r="V1790" s="5" t="s">
        <v>59</v>
      </c>
      <c r="W1790" s="5" t="s">
        <v>156</v>
      </c>
      <c r="X1790" s="5" t="s">
        <v>670</v>
      </c>
      <c r="Y1790" s="5" t="s">
        <v>7239</v>
      </c>
      <c r="Z1790" s="9">
        <v>46215</v>
      </c>
      <c r="AA1790" s="8">
        <v>12</v>
      </c>
      <c r="AB1790" s="9">
        <f t="shared" si="82"/>
        <v>46580</v>
      </c>
      <c r="AC1790" s="10">
        <v>14</v>
      </c>
      <c r="AD1790" s="7">
        <f t="shared" si="83"/>
        <v>271</v>
      </c>
      <c r="AE1790" s="7">
        <f>IF(F1790="Bullet",H1790*AD1790,MIN(MAX(I1790,1),Assumptions!$B$6)*AD1790)</f>
        <v>542</v>
      </c>
      <c r="AF1790" s="8">
        <f>IF(F1790="Bullet",MAX(0,Assumptions!$B$4-AB1790),MAX(0,Assumptions!$B$4-L1790))</f>
        <v>0</v>
      </c>
      <c r="AG1790" s="9"/>
      <c r="AH1790" s="8" t="str">
        <f>IF(AG1790="","",Assumptions!$B$4-AG1790)</f>
        <v/>
      </c>
      <c r="AI1790" s="5" t="s">
        <v>80</v>
      </c>
      <c r="AJ1790" s="8"/>
      <c r="AK1790" s="8">
        <v>0</v>
      </c>
      <c r="AL1790" s="8">
        <v>760</v>
      </c>
      <c r="AM1790" s="8">
        <v>1</v>
      </c>
      <c r="AN1790" s="5" t="s">
        <v>63</v>
      </c>
      <c r="AO1790" s="10">
        <v>69.8</v>
      </c>
      <c r="AP1790" s="8">
        <v>9</v>
      </c>
      <c r="AQ1790" s="9">
        <v>46289</v>
      </c>
      <c r="AR1790" s="5" t="s">
        <v>70</v>
      </c>
      <c r="AS1790" s="5" t="s">
        <v>81</v>
      </c>
    </row>
    <row r="1791" spans="1:45" x14ac:dyDescent="0.35">
      <c r="A1791" s="5" t="s">
        <v>7240</v>
      </c>
      <c r="B1791" s="5" t="s">
        <v>7241</v>
      </c>
      <c r="C1791" s="6" t="s">
        <v>7242</v>
      </c>
      <c r="D1791" s="7">
        <v>68500</v>
      </c>
      <c r="E1791" s="5" t="s">
        <v>48</v>
      </c>
      <c r="F1791" s="5" t="s">
        <v>49</v>
      </c>
      <c r="G1791" s="8"/>
      <c r="H1791" s="8" t="str">
        <f>IF(F1791="Bullet",MIN(G1791,Assumptions!$B$6),"")</f>
        <v/>
      </c>
      <c r="I1791" s="8">
        <v>2</v>
      </c>
      <c r="J1791" s="8">
        <f>IF(F1791="Monthly interest",MAX(0,Assumptions!$B$5-I1791),"")</f>
        <v>1</v>
      </c>
      <c r="K1791" s="7">
        <f t="shared" si="81"/>
        <v>2284</v>
      </c>
      <c r="L1791" s="9">
        <v>46245</v>
      </c>
      <c r="M1791" s="5" t="s">
        <v>116</v>
      </c>
      <c r="N1791" s="5" t="s">
        <v>117</v>
      </c>
      <c r="O1791" s="5" t="s">
        <v>118</v>
      </c>
      <c r="P1791" s="5" t="s">
        <v>72</v>
      </c>
      <c r="Q1791" s="5" t="s">
        <v>119</v>
      </c>
      <c r="R1791" s="5" t="s">
        <v>120</v>
      </c>
      <c r="S1791" s="5" t="s">
        <v>56</v>
      </c>
      <c r="T1791" s="5" t="s">
        <v>57</v>
      </c>
      <c r="U1791" s="5" t="s">
        <v>86</v>
      </c>
      <c r="V1791" s="5" t="s">
        <v>59</v>
      </c>
      <c r="W1791" s="5" t="s">
        <v>156</v>
      </c>
      <c r="X1791" s="5" t="s">
        <v>157</v>
      </c>
      <c r="Y1791" s="5" t="s">
        <v>7243</v>
      </c>
      <c r="Z1791" s="9">
        <v>46002</v>
      </c>
      <c r="AA1791" s="8">
        <v>18</v>
      </c>
      <c r="AB1791" s="9">
        <f t="shared" si="82"/>
        <v>46549</v>
      </c>
      <c r="AC1791" s="10">
        <v>20</v>
      </c>
      <c r="AD1791" s="7">
        <f t="shared" si="83"/>
        <v>1142</v>
      </c>
      <c r="AE1791" s="7">
        <f>IF(F1791="Bullet",H1791*AD1791,MIN(MAX(I1791,1),Assumptions!$B$6)*AD1791)</f>
        <v>2284</v>
      </c>
      <c r="AF1791" s="8">
        <f>IF(F1791="Bullet",MAX(0,Assumptions!$B$4-AB1791),MAX(0,Assumptions!$B$4-L1791))</f>
        <v>53</v>
      </c>
      <c r="AG1791" s="9">
        <v>46217</v>
      </c>
      <c r="AH1791" s="8">
        <f>IF(AG1791="","",Assumptions!$B$4-AG1791)</f>
        <v>81</v>
      </c>
      <c r="AI1791" s="5" t="s">
        <v>57</v>
      </c>
      <c r="AJ1791" s="8">
        <v>4</v>
      </c>
      <c r="AK1791" s="8">
        <v>2</v>
      </c>
      <c r="AL1791" s="8">
        <v>763</v>
      </c>
      <c r="AM1791" s="8">
        <v>0</v>
      </c>
      <c r="AN1791" s="5" t="s">
        <v>63</v>
      </c>
      <c r="AO1791" s="10">
        <v>70.900000000000006</v>
      </c>
      <c r="AP1791" s="8">
        <v>49</v>
      </c>
      <c r="AQ1791" s="9">
        <v>46279</v>
      </c>
      <c r="AR1791" s="5" t="s">
        <v>51</v>
      </c>
      <c r="AS1791" s="5" t="s">
        <v>64</v>
      </c>
    </row>
    <row r="1792" spans="1:45" x14ac:dyDescent="0.35">
      <c r="A1792" s="5" t="s">
        <v>7244</v>
      </c>
      <c r="B1792" s="5" t="s">
        <v>1815</v>
      </c>
      <c r="C1792" s="6" t="s">
        <v>7245</v>
      </c>
      <c r="D1792" s="7">
        <v>176100</v>
      </c>
      <c r="E1792" s="5" t="s">
        <v>48</v>
      </c>
      <c r="F1792" s="5" t="s">
        <v>68</v>
      </c>
      <c r="G1792" s="8">
        <v>6</v>
      </c>
      <c r="H1792" s="8">
        <f>IF(F1792="Bullet",MIN(G1792,Assumptions!$B$6),"")</f>
        <v>2</v>
      </c>
      <c r="I1792" s="8"/>
      <c r="J1792" s="8" t="str">
        <f>IF(F1792="Monthly interest",MAX(0,Assumptions!$B$5-I1792),"")</f>
        <v/>
      </c>
      <c r="K1792" s="7">
        <f t="shared" si="81"/>
        <v>15852</v>
      </c>
      <c r="L1792" s="9">
        <v>46113</v>
      </c>
      <c r="M1792" s="5" t="s">
        <v>116</v>
      </c>
      <c r="N1792" s="5" t="s">
        <v>117</v>
      </c>
      <c r="O1792" s="5" t="s">
        <v>461</v>
      </c>
      <c r="P1792" s="5" t="s">
        <v>72</v>
      </c>
      <c r="Q1792" s="5" t="s">
        <v>169</v>
      </c>
      <c r="R1792" s="5" t="s">
        <v>170</v>
      </c>
      <c r="S1792" s="5" t="s">
        <v>85</v>
      </c>
      <c r="T1792" s="5" t="s">
        <v>57</v>
      </c>
      <c r="U1792" s="5" t="s">
        <v>104</v>
      </c>
      <c r="V1792" s="5" t="s">
        <v>177</v>
      </c>
      <c r="W1792" s="5" t="s">
        <v>208</v>
      </c>
      <c r="X1792" s="5" t="s">
        <v>3006</v>
      </c>
      <c r="Y1792" s="5" t="s">
        <v>7246</v>
      </c>
      <c r="Z1792" s="9">
        <v>46113</v>
      </c>
      <c r="AA1792" s="8">
        <v>6</v>
      </c>
      <c r="AB1792" s="9">
        <f t="shared" si="82"/>
        <v>46296</v>
      </c>
      <c r="AC1792" s="10">
        <v>18</v>
      </c>
      <c r="AD1792" s="7">
        <f t="shared" si="83"/>
        <v>2642</v>
      </c>
      <c r="AE1792" s="7">
        <f>IF(F1792="Bullet",H1792*AD1792,MIN(MAX(I1792,1),Assumptions!$B$6)*AD1792)</f>
        <v>5284</v>
      </c>
      <c r="AF1792" s="8">
        <f>IF(F1792="Bullet",MAX(0,Assumptions!$B$4-AB1792),MAX(0,Assumptions!$B$4-L1792))</f>
        <v>2</v>
      </c>
      <c r="AG1792" s="9"/>
      <c r="AH1792" s="8" t="str">
        <f>IF(AG1792="","",Assumptions!$B$4-AG1792)</f>
        <v/>
      </c>
      <c r="AI1792" s="5" t="s">
        <v>80</v>
      </c>
      <c r="AJ1792" s="8"/>
      <c r="AK1792" s="8">
        <v>2</v>
      </c>
      <c r="AL1792" s="8">
        <v>699</v>
      </c>
      <c r="AM1792" s="8">
        <v>2</v>
      </c>
      <c r="AN1792" s="5" t="s">
        <v>57</v>
      </c>
      <c r="AO1792" s="10">
        <v>76.599999999999994</v>
      </c>
      <c r="AP1792" s="8">
        <v>74</v>
      </c>
      <c r="AQ1792" s="9">
        <v>46280</v>
      </c>
      <c r="AR1792" s="5" t="s">
        <v>51</v>
      </c>
      <c r="AS1792" s="5" t="s">
        <v>64</v>
      </c>
    </row>
    <row r="1793" spans="1:45" x14ac:dyDescent="0.35">
      <c r="A1793" s="5" t="s">
        <v>7247</v>
      </c>
      <c r="B1793" s="5" t="s">
        <v>7248</v>
      </c>
      <c r="C1793" s="6" t="s">
        <v>7249</v>
      </c>
      <c r="D1793" s="7">
        <v>82300</v>
      </c>
      <c r="E1793" s="5" t="s">
        <v>48</v>
      </c>
      <c r="F1793" s="5" t="s">
        <v>49</v>
      </c>
      <c r="G1793" s="8"/>
      <c r="H1793" s="8" t="str">
        <f>IF(F1793="Bullet",MIN(G1793,Assumptions!$B$6),"")</f>
        <v/>
      </c>
      <c r="I1793" s="8">
        <v>2</v>
      </c>
      <c r="J1793" s="8">
        <f>IF(F1793="Monthly interest",MAX(0,Assumptions!$B$5-I1793),"")</f>
        <v>1</v>
      </c>
      <c r="K1793" s="7">
        <f t="shared" si="81"/>
        <v>2470</v>
      </c>
      <c r="L1793" s="9">
        <v>46249</v>
      </c>
      <c r="M1793" s="5" t="s">
        <v>69</v>
      </c>
      <c r="N1793" s="5" t="s">
        <v>70</v>
      </c>
      <c r="O1793" s="5" t="s">
        <v>295</v>
      </c>
      <c r="P1793" s="5" t="s">
        <v>72</v>
      </c>
      <c r="Q1793" s="5" t="s">
        <v>73</v>
      </c>
      <c r="R1793" s="5" t="s">
        <v>74</v>
      </c>
      <c r="S1793" s="5" t="s">
        <v>253</v>
      </c>
      <c r="T1793" s="5" t="s">
        <v>57</v>
      </c>
      <c r="U1793" s="5" t="s">
        <v>104</v>
      </c>
      <c r="V1793" s="5" t="s">
        <v>96</v>
      </c>
      <c r="W1793" s="5" t="s">
        <v>171</v>
      </c>
      <c r="X1793" s="5" t="s">
        <v>3609</v>
      </c>
      <c r="Y1793" s="5" t="s">
        <v>7250</v>
      </c>
      <c r="Z1793" s="9">
        <v>46157</v>
      </c>
      <c r="AA1793" s="8">
        <v>12</v>
      </c>
      <c r="AB1793" s="9">
        <f t="shared" si="82"/>
        <v>46522</v>
      </c>
      <c r="AC1793" s="10">
        <v>18</v>
      </c>
      <c r="AD1793" s="7">
        <f t="shared" si="83"/>
        <v>1235</v>
      </c>
      <c r="AE1793" s="7">
        <f>IF(F1793="Bullet",H1793*AD1793,MIN(MAX(I1793,1),Assumptions!$B$6)*AD1793)</f>
        <v>2470</v>
      </c>
      <c r="AF1793" s="8">
        <f>IF(F1793="Bullet",MAX(0,Assumptions!$B$4-AB1793),MAX(0,Assumptions!$B$4-L1793))</f>
        <v>49</v>
      </c>
      <c r="AG1793" s="9">
        <v>46220</v>
      </c>
      <c r="AH1793" s="8">
        <f>IF(AG1793="","",Assumptions!$B$4-AG1793)</f>
        <v>78</v>
      </c>
      <c r="AI1793" s="5" t="s">
        <v>63</v>
      </c>
      <c r="AJ1793" s="8">
        <v>2</v>
      </c>
      <c r="AK1793" s="8">
        <v>0</v>
      </c>
      <c r="AL1793" s="8">
        <v>707</v>
      </c>
      <c r="AM1793" s="8">
        <v>0</v>
      </c>
      <c r="AN1793" s="5" t="s">
        <v>63</v>
      </c>
      <c r="AO1793" s="10">
        <v>61.8</v>
      </c>
      <c r="AP1793" s="8">
        <v>40</v>
      </c>
      <c r="AQ1793" s="9">
        <v>46283</v>
      </c>
      <c r="AR1793" s="5" t="s">
        <v>53</v>
      </c>
      <c r="AS1793" s="5" t="s">
        <v>91</v>
      </c>
    </row>
    <row r="1794" spans="1:45" x14ac:dyDescent="0.35">
      <c r="A1794" s="5" t="s">
        <v>7251</v>
      </c>
      <c r="B1794" s="5" t="s">
        <v>7252</v>
      </c>
      <c r="C1794" s="6" t="s">
        <v>7253</v>
      </c>
      <c r="D1794" s="7">
        <v>118600</v>
      </c>
      <c r="E1794" s="5" t="s">
        <v>48</v>
      </c>
      <c r="F1794" s="5" t="s">
        <v>49</v>
      </c>
      <c r="G1794" s="8"/>
      <c r="H1794" s="8" t="str">
        <f>IF(F1794="Bullet",MIN(G1794,Assumptions!$B$6),"")</f>
        <v/>
      </c>
      <c r="I1794" s="8">
        <v>2</v>
      </c>
      <c r="J1794" s="8">
        <f>IF(F1794="Monthly interest",MAX(0,Assumptions!$B$5-I1794),"")</f>
        <v>1</v>
      </c>
      <c r="K1794" s="7">
        <f t="shared" ref="K1794:K1857" si="84">IF(F1794="Bullet",G1794*AD1794,MAX(I1794,1)*AD1794)</f>
        <v>3162</v>
      </c>
      <c r="L1794" s="9">
        <v>46250</v>
      </c>
      <c r="M1794" s="5" t="s">
        <v>116</v>
      </c>
      <c r="N1794" s="5" t="s">
        <v>117</v>
      </c>
      <c r="O1794" s="5" t="s">
        <v>118</v>
      </c>
      <c r="P1794" s="5" t="s">
        <v>72</v>
      </c>
      <c r="Q1794" s="5" t="s">
        <v>119</v>
      </c>
      <c r="R1794" s="5" t="s">
        <v>120</v>
      </c>
      <c r="S1794" s="5" t="s">
        <v>185</v>
      </c>
      <c r="T1794" s="5" t="s">
        <v>57</v>
      </c>
      <c r="U1794" s="5" t="s">
        <v>86</v>
      </c>
      <c r="V1794" s="5" t="s">
        <v>186</v>
      </c>
      <c r="W1794" s="5" t="s">
        <v>694</v>
      </c>
      <c r="X1794" s="5" t="s">
        <v>2057</v>
      </c>
      <c r="Y1794" s="5" t="s">
        <v>7254</v>
      </c>
      <c r="Z1794" s="9">
        <v>45977</v>
      </c>
      <c r="AA1794" s="8">
        <v>18</v>
      </c>
      <c r="AB1794" s="9">
        <f t="shared" ref="AB1794:AB1857" si="85">EDATE(Z1794,AA1794)</f>
        <v>46523</v>
      </c>
      <c r="AC1794" s="10">
        <v>16</v>
      </c>
      <c r="AD1794" s="7">
        <f t="shared" ref="AD1794:AD1857" si="86">ROUND(D1794*AC1794/100/12,0)</f>
        <v>1581</v>
      </c>
      <c r="AE1794" s="7">
        <f>IF(F1794="Bullet",H1794*AD1794,MIN(MAX(I1794,1),Assumptions!$B$6)*AD1794)</f>
        <v>3162</v>
      </c>
      <c r="AF1794" s="8">
        <f>IF(F1794="Bullet",MAX(0,Assumptions!$B$4-AB1794),MAX(0,Assumptions!$B$4-L1794))</f>
        <v>48</v>
      </c>
      <c r="AG1794" s="9">
        <v>46223</v>
      </c>
      <c r="AH1794" s="8">
        <f>IF(AG1794="","",Assumptions!$B$4-AG1794)</f>
        <v>75</v>
      </c>
      <c r="AI1794" s="5" t="s">
        <v>63</v>
      </c>
      <c r="AJ1794" s="8">
        <v>2</v>
      </c>
      <c r="AK1794" s="8">
        <v>1</v>
      </c>
      <c r="AL1794" s="8">
        <v>661</v>
      </c>
      <c r="AM1794" s="8">
        <v>0</v>
      </c>
      <c r="AN1794" s="5" t="s">
        <v>63</v>
      </c>
      <c r="AO1794" s="10">
        <v>57.5</v>
      </c>
      <c r="AP1794" s="8">
        <v>48</v>
      </c>
      <c r="AQ1794" s="9">
        <v>46288</v>
      </c>
      <c r="AR1794" s="5" t="s">
        <v>70</v>
      </c>
      <c r="AS1794" s="5" t="s">
        <v>64</v>
      </c>
    </row>
    <row r="1795" spans="1:45" x14ac:dyDescent="0.35">
      <c r="A1795" s="5" t="s">
        <v>7255</v>
      </c>
      <c r="B1795" s="5" t="s">
        <v>7256</v>
      </c>
      <c r="C1795" s="6" t="s">
        <v>7257</v>
      </c>
      <c r="D1795" s="7">
        <v>90800</v>
      </c>
      <c r="E1795" s="5" t="s">
        <v>48</v>
      </c>
      <c r="F1795" s="5" t="s">
        <v>49</v>
      </c>
      <c r="G1795" s="8"/>
      <c r="H1795" s="8" t="str">
        <f>IF(F1795="Bullet",MIN(G1795,Assumptions!$B$6),"")</f>
        <v/>
      </c>
      <c r="I1795" s="8">
        <v>1</v>
      </c>
      <c r="J1795" s="8">
        <f>IF(F1795="Monthly interest",MAX(0,Assumptions!$B$5-I1795),"")</f>
        <v>2</v>
      </c>
      <c r="K1795" s="7">
        <f t="shared" si="84"/>
        <v>1135</v>
      </c>
      <c r="L1795" s="9">
        <v>46272</v>
      </c>
      <c r="M1795" s="5" t="s">
        <v>50</v>
      </c>
      <c r="N1795" s="5" t="s">
        <v>51</v>
      </c>
      <c r="O1795" s="5" t="s">
        <v>52</v>
      </c>
      <c r="P1795" s="5" t="s">
        <v>53</v>
      </c>
      <c r="Q1795" s="5" t="s">
        <v>54</v>
      </c>
      <c r="R1795" s="5" t="s">
        <v>55</v>
      </c>
      <c r="S1795" s="5" t="s">
        <v>56</v>
      </c>
      <c r="T1795" s="5" t="s">
        <v>57</v>
      </c>
      <c r="U1795" s="5" t="s">
        <v>86</v>
      </c>
      <c r="V1795" s="5" t="s">
        <v>59</v>
      </c>
      <c r="W1795" s="5" t="s">
        <v>467</v>
      </c>
      <c r="X1795" s="5" t="s">
        <v>1111</v>
      </c>
      <c r="Y1795" s="5" t="s">
        <v>7258</v>
      </c>
      <c r="Z1795" s="9">
        <v>46180</v>
      </c>
      <c r="AA1795" s="8">
        <v>18</v>
      </c>
      <c r="AB1795" s="9">
        <f t="shared" si="85"/>
        <v>46728</v>
      </c>
      <c r="AC1795" s="10">
        <v>15</v>
      </c>
      <c r="AD1795" s="7">
        <f t="shared" si="86"/>
        <v>1135</v>
      </c>
      <c r="AE1795" s="7">
        <f>IF(F1795="Bullet",H1795*AD1795,MIN(MAX(I1795,1),Assumptions!$B$6)*AD1795)</f>
        <v>1135</v>
      </c>
      <c r="AF1795" s="8">
        <f>IF(F1795="Bullet",MAX(0,Assumptions!$B$4-AB1795),MAX(0,Assumptions!$B$4-L1795))</f>
        <v>26</v>
      </c>
      <c r="AG1795" s="9">
        <v>46245</v>
      </c>
      <c r="AH1795" s="8">
        <f>IF(AG1795="","",Assumptions!$B$4-AG1795)</f>
        <v>53</v>
      </c>
      <c r="AI1795" s="5" t="s">
        <v>63</v>
      </c>
      <c r="AJ1795" s="8">
        <v>1</v>
      </c>
      <c r="AK1795" s="8">
        <v>0</v>
      </c>
      <c r="AL1795" s="8">
        <v>705</v>
      </c>
      <c r="AM1795" s="8">
        <v>1</v>
      </c>
      <c r="AN1795" s="5" t="s">
        <v>63</v>
      </c>
      <c r="AO1795" s="10">
        <v>68.099999999999994</v>
      </c>
      <c r="AP1795" s="8">
        <v>30</v>
      </c>
      <c r="AQ1795" s="9">
        <v>46293</v>
      </c>
      <c r="AR1795" s="5" t="s">
        <v>53</v>
      </c>
      <c r="AS1795" s="5" t="s">
        <v>190</v>
      </c>
    </row>
    <row r="1796" spans="1:45" x14ac:dyDescent="0.35">
      <c r="A1796" s="5" t="s">
        <v>7259</v>
      </c>
      <c r="B1796" s="5" t="s">
        <v>7252</v>
      </c>
      <c r="C1796" s="6" t="s">
        <v>7260</v>
      </c>
      <c r="D1796" s="7">
        <v>55500</v>
      </c>
      <c r="E1796" s="5" t="s">
        <v>48</v>
      </c>
      <c r="F1796" s="5" t="s">
        <v>68</v>
      </c>
      <c r="G1796" s="8">
        <v>6</v>
      </c>
      <c r="H1796" s="8">
        <f>IF(F1796="Bullet",MIN(G1796,Assumptions!$B$6),"")</f>
        <v>2</v>
      </c>
      <c r="I1796" s="8"/>
      <c r="J1796" s="8" t="str">
        <f>IF(F1796="Monthly interest",MAX(0,Assumptions!$B$5-I1796),"")</f>
        <v/>
      </c>
      <c r="K1796" s="7">
        <f t="shared" si="84"/>
        <v>3888</v>
      </c>
      <c r="L1796" s="9">
        <v>46109</v>
      </c>
      <c r="M1796" s="5" t="s">
        <v>116</v>
      </c>
      <c r="N1796" s="5" t="s">
        <v>117</v>
      </c>
      <c r="O1796" s="5" t="s">
        <v>461</v>
      </c>
      <c r="P1796" s="5" t="s">
        <v>72</v>
      </c>
      <c r="Q1796" s="5" t="s">
        <v>169</v>
      </c>
      <c r="R1796" s="5" t="s">
        <v>170</v>
      </c>
      <c r="S1796" s="5" t="s">
        <v>185</v>
      </c>
      <c r="T1796" s="5" t="s">
        <v>57</v>
      </c>
      <c r="U1796" s="5" t="s">
        <v>104</v>
      </c>
      <c r="V1796" s="5" t="s">
        <v>200</v>
      </c>
      <c r="W1796" s="5" t="s">
        <v>433</v>
      </c>
      <c r="X1796" s="5" t="s">
        <v>1961</v>
      </c>
      <c r="Y1796" s="5" t="s">
        <v>7261</v>
      </c>
      <c r="Z1796" s="9">
        <v>46109</v>
      </c>
      <c r="AA1796" s="8">
        <v>6</v>
      </c>
      <c r="AB1796" s="9">
        <f t="shared" si="85"/>
        <v>46293</v>
      </c>
      <c r="AC1796" s="10">
        <v>14</v>
      </c>
      <c r="AD1796" s="7">
        <f t="shared" si="86"/>
        <v>648</v>
      </c>
      <c r="AE1796" s="7">
        <f>IF(F1796="Bullet",H1796*AD1796,MIN(MAX(I1796,1),Assumptions!$B$6)*AD1796)</f>
        <v>1296</v>
      </c>
      <c r="AF1796" s="8">
        <f>IF(F1796="Bullet",MAX(0,Assumptions!$B$4-AB1796),MAX(0,Assumptions!$B$4-L1796))</f>
        <v>5</v>
      </c>
      <c r="AG1796" s="9"/>
      <c r="AH1796" s="8" t="str">
        <f>IF(AG1796="","",Assumptions!$B$4-AG1796)</f>
        <v/>
      </c>
      <c r="AI1796" s="5" t="s">
        <v>80</v>
      </c>
      <c r="AJ1796" s="8"/>
      <c r="AK1796" s="8">
        <v>2</v>
      </c>
      <c r="AL1796" s="8">
        <v>649</v>
      </c>
      <c r="AM1796" s="8">
        <v>2</v>
      </c>
      <c r="AN1796" s="5" t="s">
        <v>63</v>
      </c>
      <c r="AO1796" s="10">
        <v>72.3</v>
      </c>
      <c r="AP1796" s="8">
        <v>65</v>
      </c>
      <c r="AQ1796" s="9">
        <v>46291</v>
      </c>
      <c r="AR1796" s="5" t="s">
        <v>53</v>
      </c>
      <c r="AS1796" s="5" t="s">
        <v>190</v>
      </c>
    </row>
    <row r="1797" spans="1:45" x14ac:dyDescent="0.35">
      <c r="A1797" s="5" t="s">
        <v>7262</v>
      </c>
      <c r="B1797" s="5" t="s">
        <v>7263</v>
      </c>
      <c r="C1797" s="6" t="s">
        <v>7264</v>
      </c>
      <c r="D1797" s="7">
        <v>63300</v>
      </c>
      <c r="E1797" s="5" t="s">
        <v>48</v>
      </c>
      <c r="F1797" s="5" t="s">
        <v>68</v>
      </c>
      <c r="G1797" s="8">
        <v>1</v>
      </c>
      <c r="H1797" s="8">
        <f>IF(F1797="Bullet",MIN(G1797,Assumptions!$B$6),"")</f>
        <v>1</v>
      </c>
      <c r="I1797" s="8"/>
      <c r="J1797" s="8" t="str">
        <f>IF(F1797="Monthly interest",MAX(0,Assumptions!$B$5-I1797),"")</f>
        <v/>
      </c>
      <c r="K1797" s="7">
        <f t="shared" si="84"/>
        <v>791</v>
      </c>
      <c r="L1797" s="9">
        <v>46261</v>
      </c>
      <c r="M1797" s="5" t="s">
        <v>50</v>
      </c>
      <c r="N1797" s="5" t="s">
        <v>53</v>
      </c>
      <c r="O1797" s="5" t="s">
        <v>103</v>
      </c>
      <c r="P1797" s="5" t="s">
        <v>51</v>
      </c>
      <c r="Q1797" s="5" t="s">
        <v>73</v>
      </c>
      <c r="R1797" s="5" t="s">
        <v>74</v>
      </c>
      <c r="S1797" s="5" t="s">
        <v>214</v>
      </c>
      <c r="T1797" s="5" t="s">
        <v>57</v>
      </c>
      <c r="U1797" s="5" t="s">
        <v>58</v>
      </c>
      <c r="V1797" s="5" t="s">
        <v>215</v>
      </c>
      <c r="W1797" s="5" t="s">
        <v>1057</v>
      </c>
      <c r="X1797" s="5" t="s">
        <v>4964</v>
      </c>
      <c r="Y1797" s="5" t="s">
        <v>7265</v>
      </c>
      <c r="Z1797" s="9">
        <v>46261</v>
      </c>
      <c r="AA1797" s="8">
        <v>12</v>
      </c>
      <c r="AB1797" s="9">
        <f t="shared" si="85"/>
        <v>46626</v>
      </c>
      <c r="AC1797" s="10">
        <v>15</v>
      </c>
      <c r="AD1797" s="7">
        <f t="shared" si="86"/>
        <v>791</v>
      </c>
      <c r="AE1797" s="7">
        <f>IF(F1797="Bullet",H1797*AD1797,MIN(MAX(I1797,1),Assumptions!$B$6)*AD1797)</f>
        <v>791</v>
      </c>
      <c r="AF1797" s="8">
        <f>IF(F1797="Bullet",MAX(0,Assumptions!$B$4-AB1797),MAX(0,Assumptions!$B$4-L1797))</f>
        <v>0</v>
      </c>
      <c r="AG1797" s="9"/>
      <c r="AH1797" s="8" t="str">
        <f>IF(AG1797="","",Assumptions!$B$4-AG1797)</f>
        <v/>
      </c>
      <c r="AI1797" s="5" t="s">
        <v>80</v>
      </c>
      <c r="AJ1797" s="8"/>
      <c r="AK1797" s="8">
        <v>1</v>
      </c>
      <c r="AL1797" s="8">
        <v>715</v>
      </c>
      <c r="AM1797" s="8">
        <v>0</v>
      </c>
      <c r="AN1797" s="5" t="s">
        <v>63</v>
      </c>
      <c r="AO1797" s="10">
        <v>76.5</v>
      </c>
      <c r="AP1797" s="8">
        <v>15</v>
      </c>
      <c r="AQ1797" s="9">
        <v>46297</v>
      </c>
      <c r="AR1797" s="5" t="s">
        <v>51</v>
      </c>
      <c r="AS1797" s="5" t="s">
        <v>81</v>
      </c>
    </row>
    <row r="1798" spans="1:45" x14ac:dyDescent="0.35">
      <c r="A1798" s="5" t="s">
        <v>7266</v>
      </c>
      <c r="B1798" s="5" t="s">
        <v>6972</v>
      </c>
      <c r="C1798" s="6" t="s">
        <v>7267</v>
      </c>
      <c r="D1798" s="7">
        <v>33400</v>
      </c>
      <c r="E1798" s="5" t="s">
        <v>48</v>
      </c>
      <c r="F1798" s="5" t="s">
        <v>68</v>
      </c>
      <c r="G1798" s="8">
        <v>4</v>
      </c>
      <c r="H1798" s="8">
        <f>IF(F1798="Bullet",MIN(G1798,Assumptions!$B$6),"")</f>
        <v>2</v>
      </c>
      <c r="I1798" s="8"/>
      <c r="J1798" s="8" t="str">
        <f>IF(F1798="Monthly interest",MAX(0,Assumptions!$B$5-I1798),"")</f>
        <v/>
      </c>
      <c r="K1798" s="7">
        <f t="shared" si="84"/>
        <v>1448</v>
      </c>
      <c r="L1798" s="9">
        <v>46157</v>
      </c>
      <c r="M1798" s="5" t="s">
        <v>116</v>
      </c>
      <c r="N1798" s="5" t="s">
        <v>117</v>
      </c>
      <c r="O1798" s="5" t="s">
        <v>450</v>
      </c>
      <c r="P1798" s="5" t="s">
        <v>72</v>
      </c>
      <c r="Q1798" s="5" t="s">
        <v>154</v>
      </c>
      <c r="R1798" s="5" t="s">
        <v>155</v>
      </c>
      <c r="S1798" s="5" t="s">
        <v>185</v>
      </c>
      <c r="T1798" s="5" t="s">
        <v>57</v>
      </c>
      <c r="U1798" s="5" t="s">
        <v>104</v>
      </c>
      <c r="V1798" s="5" t="s">
        <v>200</v>
      </c>
      <c r="W1798" s="5" t="s">
        <v>201</v>
      </c>
      <c r="X1798" s="5" t="s">
        <v>1408</v>
      </c>
      <c r="Y1798" s="5" t="s">
        <v>7268</v>
      </c>
      <c r="Z1798" s="9">
        <v>46157</v>
      </c>
      <c r="AA1798" s="8">
        <v>3</v>
      </c>
      <c r="AB1798" s="9">
        <f t="shared" si="85"/>
        <v>46249</v>
      </c>
      <c r="AC1798" s="10">
        <v>13</v>
      </c>
      <c r="AD1798" s="7">
        <f t="shared" si="86"/>
        <v>362</v>
      </c>
      <c r="AE1798" s="7">
        <f>IF(F1798="Bullet",H1798*AD1798,MIN(MAX(I1798,1),Assumptions!$B$6)*AD1798)</f>
        <v>724</v>
      </c>
      <c r="AF1798" s="8">
        <f>IF(F1798="Bullet",MAX(0,Assumptions!$B$4-AB1798),MAX(0,Assumptions!$B$4-L1798))</f>
        <v>49</v>
      </c>
      <c r="AG1798" s="9"/>
      <c r="AH1798" s="8" t="str">
        <f>IF(AG1798="","",Assumptions!$B$4-AG1798)</f>
        <v/>
      </c>
      <c r="AI1798" s="5" t="s">
        <v>80</v>
      </c>
      <c r="AJ1798" s="8"/>
      <c r="AK1798" s="8">
        <v>0</v>
      </c>
      <c r="AL1798" s="8">
        <v>708</v>
      </c>
      <c r="AM1798" s="8">
        <v>1</v>
      </c>
      <c r="AN1798" s="5" t="s">
        <v>63</v>
      </c>
      <c r="AO1798" s="10">
        <v>81.599999999999994</v>
      </c>
      <c r="AP1798" s="8">
        <v>51</v>
      </c>
      <c r="AQ1798" s="9">
        <v>46279</v>
      </c>
      <c r="AR1798" s="5" t="s">
        <v>51</v>
      </c>
      <c r="AS1798" s="5" t="s">
        <v>91</v>
      </c>
    </row>
    <row r="1799" spans="1:45" x14ac:dyDescent="0.35">
      <c r="A1799" s="5" t="s">
        <v>7269</v>
      </c>
      <c r="B1799" s="5" t="s">
        <v>4150</v>
      </c>
      <c r="C1799" s="6" t="s">
        <v>7270</v>
      </c>
      <c r="D1799" s="7">
        <v>148400</v>
      </c>
      <c r="E1799" s="5" t="s">
        <v>48</v>
      </c>
      <c r="F1799" s="5" t="s">
        <v>68</v>
      </c>
      <c r="G1799" s="8">
        <v>2</v>
      </c>
      <c r="H1799" s="8">
        <f>IF(F1799="Bullet",MIN(G1799,Assumptions!$B$6),"")</f>
        <v>2</v>
      </c>
      <c r="I1799" s="8"/>
      <c r="J1799" s="8" t="str">
        <f>IF(F1799="Monthly interest",MAX(0,Assumptions!$B$5-I1799),"")</f>
        <v/>
      </c>
      <c r="K1799" s="7">
        <f t="shared" si="84"/>
        <v>4452</v>
      </c>
      <c r="L1799" s="9">
        <v>46232</v>
      </c>
      <c r="M1799" s="5" t="s">
        <v>50</v>
      </c>
      <c r="N1799" s="5" t="s">
        <v>53</v>
      </c>
      <c r="O1799" s="5" t="s">
        <v>103</v>
      </c>
      <c r="P1799" s="5" t="s">
        <v>51</v>
      </c>
      <c r="Q1799" s="5" t="s">
        <v>73</v>
      </c>
      <c r="R1799" s="5" t="s">
        <v>74</v>
      </c>
      <c r="S1799" s="5" t="s">
        <v>56</v>
      </c>
      <c r="T1799" s="5" t="s">
        <v>57</v>
      </c>
      <c r="U1799" s="5" t="s">
        <v>86</v>
      </c>
      <c r="V1799" s="5" t="s">
        <v>59</v>
      </c>
      <c r="W1799" s="5" t="s">
        <v>300</v>
      </c>
      <c r="X1799" s="5" t="s">
        <v>7271</v>
      </c>
      <c r="Y1799" s="5" t="s">
        <v>7272</v>
      </c>
      <c r="Z1799" s="9">
        <v>46232</v>
      </c>
      <c r="AA1799" s="8">
        <v>6</v>
      </c>
      <c r="AB1799" s="9">
        <f t="shared" si="85"/>
        <v>46416</v>
      </c>
      <c r="AC1799" s="10">
        <v>18</v>
      </c>
      <c r="AD1799" s="7">
        <f t="shared" si="86"/>
        <v>2226</v>
      </c>
      <c r="AE1799" s="7">
        <f>IF(F1799="Bullet",H1799*AD1799,MIN(MAX(I1799,1),Assumptions!$B$6)*AD1799)</f>
        <v>4452</v>
      </c>
      <c r="AF1799" s="8">
        <f>IF(F1799="Bullet",MAX(0,Assumptions!$B$4-AB1799),MAX(0,Assumptions!$B$4-L1799))</f>
        <v>0</v>
      </c>
      <c r="AG1799" s="9"/>
      <c r="AH1799" s="8" t="str">
        <f>IF(AG1799="","",Assumptions!$B$4-AG1799)</f>
        <v/>
      </c>
      <c r="AI1799" s="5" t="s">
        <v>80</v>
      </c>
      <c r="AJ1799" s="8"/>
      <c r="AK1799" s="8">
        <v>1</v>
      </c>
      <c r="AL1799" s="8" t="s">
        <v>80</v>
      </c>
      <c r="AM1799" s="8">
        <v>1</v>
      </c>
      <c r="AN1799" s="5" t="s">
        <v>63</v>
      </c>
      <c r="AO1799" s="10">
        <v>54.7</v>
      </c>
      <c r="AP1799" s="8">
        <v>26</v>
      </c>
      <c r="AQ1799" s="9">
        <v>46278</v>
      </c>
      <c r="AR1799" s="5" t="s">
        <v>51</v>
      </c>
      <c r="AS1799" s="5" t="s">
        <v>81</v>
      </c>
    </row>
    <row r="1800" spans="1:45" x14ac:dyDescent="0.35">
      <c r="A1800" s="5" t="s">
        <v>7273</v>
      </c>
      <c r="B1800" s="5" t="s">
        <v>7274</v>
      </c>
      <c r="C1800" s="6" t="s">
        <v>7275</v>
      </c>
      <c r="D1800" s="7">
        <v>315600</v>
      </c>
      <c r="E1800" s="5" t="s">
        <v>48</v>
      </c>
      <c r="F1800" s="5" t="s">
        <v>68</v>
      </c>
      <c r="G1800" s="8">
        <v>3</v>
      </c>
      <c r="H1800" s="8">
        <f>IF(F1800="Bullet",MIN(G1800,Assumptions!$B$6),"")</f>
        <v>2</v>
      </c>
      <c r="I1800" s="8"/>
      <c r="J1800" s="8" t="str">
        <f>IF(F1800="Monthly interest",MAX(0,Assumptions!$B$5-I1800),"")</f>
        <v/>
      </c>
      <c r="K1800" s="7">
        <f t="shared" si="84"/>
        <v>14202</v>
      </c>
      <c r="L1800" s="9">
        <v>46192</v>
      </c>
      <c r="M1800" s="5" t="s">
        <v>50</v>
      </c>
      <c r="N1800" s="5" t="s">
        <v>53</v>
      </c>
      <c r="O1800" s="5" t="s">
        <v>71</v>
      </c>
      <c r="P1800" s="5" t="s">
        <v>51</v>
      </c>
      <c r="Q1800" s="5" t="s">
        <v>73</v>
      </c>
      <c r="R1800" s="5" t="s">
        <v>74</v>
      </c>
      <c r="S1800" s="5" t="s">
        <v>56</v>
      </c>
      <c r="T1800" s="5" t="s">
        <v>57</v>
      </c>
      <c r="U1800" s="5" t="s">
        <v>86</v>
      </c>
      <c r="V1800" s="5" t="s">
        <v>59</v>
      </c>
      <c r="W1800" s="5" t="s">
        <v>418</v>
      </c>
      <c r="X1800" s="5" t="s">
        <v>2170</v>
      </c>
      <c r="Y1800" s="5" t="s">
        <v>7276</v>
      </c>
      <c r="Z1800" s="9">
        <v>46192</v>
      </c>
      <c r="AA1800" s="8">
        <v>6</v>
      </c>
      <c r="AB1800" s="9">
        <f t="shared" si="85"/>
        <v>46375</v>
      </c>
      <c r="AC1800" s="10">
        <v>18</v>
      </c>
      <c r="AD1800" s="7">
        <f t="shared" si="86"/>
        <v>4734</v>
      </c>
      <c r="AE1800" s="7">
        <f>IF(F1800="Bullet",H1800*AD1800,MIN(MAX(I1800,1),Assumptions!$B$6)*AD1800)</f>
        <v>9468</v>
      </c>
      <c r="AF1800" s="8">
        <f>IF(F1800="Bullet",MAX(0,Assumptions!$B$4-AB1800),MAX(0,Assumptions!$B$4-L1800))</f>
        <v>0</v>
      </c>
      <c r="AG1800" s="9"/>
      <c r="AH1800" s="8" t="str">
        <f>IF(AG1800="","",Assumptions!$B$4-AG1800)</f>
        <v/>
      </c>
      <c r="AI1800" s="5" t="s">
        <v>80</v>
      </c>
      <c r="AJ1800" s="8"/>
      <c r="AK1800" s="8">
        <v>0</v>
      </c>
      <c r="AL1800" s="8">
        <v>795</v>
      </c>
      <c r="AM1800" s="8">
        <v>1</v>
      </c>
      <c r="AN1800" s="5" t="s">
        <v>63</v>
      </c>
      <c r="AO1800" s="10">
        <v>54.4</v>
      </c>
      <c r="AP1800" s="8">
        <v>8</v>
      </c>
      <c r="AQ1800" s="9"/>
      <c r="AR1800" s="5"/>
      <c r="AS1800" s="5" t="s">
        <v>159</v>
      </c>
    </row>
    <row r="1801" spans="1:45" x14ac:dyDescent="0.35">
      <c r="A1801" s="5" t="s">
        <v>7277</v>
      </c>
      <c r="B1801" s="5" t="s">
        <v>4424</v>
      </c>
      <c r="C1801" s="6" t="s">
        <v>7278</v>
      </c>
      <c r="D1801" s="7">
        <v>378200</v>
      </c>
      <c r="E1801" s="5" t="s">
        <v>48</v>
      </c>
      <c r="F1801" s="5" t="s">
        <v>49</v>
      </c>
      <c r="G1801" s="8"/>
      <c r="H1801" s="8" t="str">
        <f>IF(F1801="Bullet",MIN(G1801,Assumptions!$B$6),"")</f>
        <v/>
      </c>
      <c r="I1801" s="8">
        <v>2</v>
      </c>
      <c r="J1801" s="8">
        <f>IF(F1801="Monthly interest",MAX(0,Assumptions!$B$5-I1801),"")</f>
        <v>1</v>
      </c>
      <c r="K1801" s="7">
        <f t="shared" si="84"/>
        <v>10086</v>
      </c>
      <c r="L1801" s="9">
        <v>46244</v>
      </c>
      <c r="M1801" s="5" t="s">
        <v>116</v>
      </c>
      <c r="N1801" s="5" t="s">
        <v>117</v>
      </c>
      <c r="O1801" s="5" t="s">
        <v>118</v>
      </c>
      <c r="P1801" s="5" t="s">
        <v>72</v>
      </c>
      <c r="Q1801" s="5" t="s">
        <v>119</v>
      </c>
      <c r="R1801" s="5" t="s">
        <v>120</v>
      </c>
      <c r="S1801" s="5" t="s">
        <v>85</v>
      </c>
      <c r="T1801" s="5" t="s">
        <v>57</v>
      </c>
      <c r="U1801" s="5" t="s">
        <v>58</v>
      </c>
      <c r="V1801" s="5" t="s">
        <v>177</v>
      </c>
      <c r="W1801" s="5" t="s">
        <v>345</v>
      </c>
      <c r="X1801" s="5" t="s">
        <v>665</v>
      </c>
      <c r="Y1801" s="5" t="s">
        <v>7279</v>
      </c>
      <c r="Z1801" s="9">
        <v>46183</v>
      </c>
      <c r="AA1801" s="8">
        <v>12</v>
      </c>
      <c r="AB1801" s="9">
        <f t="shared" si="85"/>
        <v>46548</v>
      </c>
      <c r="AC1801" s="10">
        <v>16</v>
      </c>
      <c r="AD1801" s="7">
        <f t="shared" si="86"/>
        <v>5043</v>
      </c>
      <c r="AE1801" s="7">
        <f>IF(F1801="Bullet",H1801*AD1801,MIN(MAX(I1801,1),Assumptions!$B$6)*AD1801)</f>
        <v>10086</v>
      </c>
      <c r="AF1801" s="8">
        <f>IF(F1801="Bullet",MAX(0,Assumptions!$B$4-AB1801),MAX(0,Assumptions!$B$4-L1801))</f>
        <v>54</v>
      </c>
      <c r="AG1801" s="9">
        <v>46213</v>
      </c>
      <c r="AH1801" s="8">
        <f>IF(AG1801="","",Assumptions!$B$4-AG1801)</f>
        <v>85</v>
      </c>
      <c r="AI1801" s="5" t="s">
        <v>63</v>
      </c>
      <c r="AJ1801" s="8">
        <v>2</v>
      </c>
      <c r="AK1801" s="8">
        <v>1</v>
      </c>
      <c r="AL1801" s="8">
        <v>689</v>
      </c>
      <c r="AM1801" s="8">
        <v>0</v>
      </c>
      <c r="AN1801" s="5" t="s">
        <v>63</v>
      </c>
      <c r="AO1801" s="10">
        <v>69.3</v>
      </c>
      <c r="AP1801" s="8">
        <v>52</v>
      </c>
      <c r="AQ1801" s="9"/>
      <c r="AR1801" s="5"/>
      <c r="AS1801" s="5" t="s">
        <v>159</v>
      </c>
    </row>
    <row r="1802" spans="1:45" x14ac:dyDescent="0.35">
      <c r="A1802" s="5" t="s">
        <v>7280</v>
      </c>
      <c r="B1802" s="5" t="s">
        <v>7281</v>
      </c>
      <c r="C1802" s="6" t="s">
        <v>7282</v>
      </c>
      <c r="D1802" s="7">
        <v>75600</v>
      </c>
      <c r="E1802" s="5" t="s">
        <v>48</v>
      </c>
      <c r="F1802" s="5" t="s">
        <v>49</v>
      </c>
      <c r="G1802" s="8"/>
      <c r="H1802" s="8" t="str">
        <f>IF(F1802="Bullet",MIN(G1802,Assumptions!$B$6),"")</f>
        <v/>
      </c>
      <c r="I1802" s="8">
        <v>1</v>
      </c>
      <c r="J1802" s="8">
        <f>IF(F1802="Monthly interest",MAX(0,Assumptions!$B$5-I1802),"")</f>
        <v>2</v>
      </c>
      <c r="K1802" s="7">
        <f t="shared" si="84"/>
        <v>1260</v>
      </c>
      <c r="L1802" s="9">
        <v>46284</v>
      </c>
      <c r="M1802" s="5" t="s">
        <v>50</v>
      </c>
      <c r="N1802" s="5" t="s">
        <v>53</v>
      </c>
      <c r="O1802" s="5" t="s">
        <v>103</v>
      </c>
      <c r="P1802" s="5" t="s">
        <v>51</v>
      </c>
      <c r="Q1802" s="5" t="s">
        <v>54</v>
      </c>
      <c r="R1802" s="5" t="s">
        <v>55</v>
      </c>
      <c r="S1802" s="5" t="s">
        <v>75</v>
      </c>
      <c r="T1802" s="5" t="s">
        <v>57</v>
      </c>
      <c r="U1802" s="5" t="s">
        <v>104</v>
      </c>
      <c r="V1802" s="5" t="s">
        <v>76</v>
      </c>
      <c r="W1802" s="5" t="s">
        <v>547</v>
      </c>
      <c r="X1802" s="5" t="s">
        <v>2409</v>
      </c>
      <c r="Y1802" s="5" t="s">
        <v>7283</v>
      </c>
      <c r="Z1802" s="9">
        <v>46041</v>
      </c>
      <c r="AA1802" s="8">
        <v>18</v>
      </c>
      <c r="AB1802" s="9">
        <f t="shared" si="85"/>
        <v>46587</v>
      </c>
      <c r="AC1802" s="10">
        <v>20</v>
      </c>
      <c r="AD1802" s="7">
        <f t="shared" si="86"/>
        <v>1260</v>
      </c>
      <c r="AE1802" s="7">
        <f>IF(F1802="Bullet",H1802*AD1802,MIN(MAX(I1802,1),Assumptions!$B$6)*AD1802)</f>
        <v>1260</v>
      </c>
      <c r="AF1802" s="8">
        <f>IF(F1802="Bullet",MAX(0,Assumptions!$B$4-AB1802),MAX(0,Assumptions!$B$4-L1802))</f>
        <v>14</v>
      </c>
      <c r="AG1802" s="9">
        <v>46255</v>
      </c>
      <c r="AH1802" s="8">
        <f>IF(AG1802="","",Assumptions!$B$4-AG1802)</f>
        <v>43</v>
      </c>
      <c r="AI1802" s="5" t="s">
        <v>63</v>
      </c>
      <c r="AJ1802" s="8">
        <v>1</v>
      </c>
      <c r="AK1802" s="8">
        <v>0</v>
      </c>
      <c r="AL1802" s="8">
        <v>753</v>
      </c>
      <c r="AM1802" s="8">
        <v>0</v>
      </c>
      <c r="AN1802" s="5" t="s">
        <v>63</v>
      </c>
      <c r="AO1802" s="10">
        <v>54</v>
      </c>
      <c r="AP1802" s="8">
        <v>23</v>
      </c>
      <c r="AQ1802" s="9">
        <v>46286</v>
      </c>
      <c r="AR1802" s="5" t="s">
        <v>51</v>
      </c>
      <c r="AS1802" s="5" t="s">
        <v>81</v>
      </c>
    </row>
    <row r="1803" spans="1:45" x14ac:dyDescent="0.35">
      <c r="A1803" s="5" t="s">
        <v>7284</v>
      </c>
      <c r="B1803" s="5" t="s">
        <v>7285</v>
      </c>
      <c r="C1803" s="6" t="s">
        <v>7286</v>
      </c>
      <c r="D1803" s="7">
        <v>217800</v>
      </c>
      <c r="E1803" s="5" t="s">
        <v>48</v>
      </c>
      <c r="F1803" s="5" t="s">
        <v>49</v>
      </c>
      <c r="G1803" s="8"/>
      <c r="H1803" s="8" t="str">
        <f>IF(F1803="Bullet",MIN(G1803,Assumptions!$B$6),"")</f>
        <v/>
      </c>
      <c r="I1803" s="8">
        <v>1</v>
      </c>
      <c r="J1803" s="8">
        <f>IF(F1803="Monthly interest",MAX(0,Assumptions!$B$5-I1803),"")</f>
        <v>2</v>
      </c>
      <c r="K1803" s="7">
        <f t="shared" si="84"/>
        <v>2541</v>
      </c>
      <c r="L1803" s="9">
        <v>46281</v>
      </c>
      <c r="M1803" s="5" t="s">
        <v>116</v>
      </c>
      <c r="N1803" s="5" t="s">
        <v>117</v>
      </c>
      <c r="O1803" s="5" t="s">
        <v>118</v>
      </c>
      <c r="P1803" s="5" t="s">
        <v>72</v>
      </c>
      <c r="Q1803" s="5" t="s">
        <v>119</v>
      </c>
      <c r="R1803" s="5" t="s">
        <v>120</v>
      </c>
      <c r="S1803" s="5" t="s">
        <v>75</v>
      </c>
      <c r="T1803" s="5" t="s">
        <v>57</v>
      </c>
      <c r="U1803" s="5" t="s">
        <v>86</v>
      </c>
      <c r="V1803" s="5" t="s">
        <v>76</v>
      </c>
      <c r="W1803" s="5" t="s">
        <v>444</v>
      </c>
      <c r="X1803" s="5" t="s">
        <v>1752</v>
      </c>
      <c r="Y1803" s="5" t="s">
        <v>7287</v>
      </c>
      <c r="Z1803" s="9">
        <v>46219</v>
      </c>
      <c r="AA1803" s="8">
        <v>12</v>
      </c>
      <c r="AB1803" s="9">
        <f t="shared" si="85"/>
        <v>46584</v>
      </c>
      <c r="AC1803" s="10">
        <v>14</v>
      </c>
      <c r="AD1803" s="7">
        <f t="shared" si="86"/>
        <v>2541</v>
      </c>
      <c r="AE1803" s="7">
        <f>IF(F1803="Bullet",H1803*AD1803,MIN(MAX(I1803,1),Assumptions!$B$6)*AD1803)</f>
        <v>2541</v>
      </c>
      <c r="AF1803" s="8">
        <f>IF(F1803="Bullet",MAX(0,Assumptions!$B$4-AB1803),MAX(0,Assumptions!$B$4-L1803))</f>
        <v>17</v>
      </c>
      <c r="AG1803" s="9">
        <v>46254</v>
      </c>
      <c r="AH1803" s="8">
        <f>IF(AG1803="","",Assumptions!$B$4-AG1803)</f>
        <v>44</v>
      </c>
      <c r="AI1803" s="5" t="s">
        <v>57</v>
      </c>
      <c r="AJ1803" s="8">
        <v>2</v>
      </c>
      <c r="AK1803" s="8">
        <v>2</v>
      </c>
      <c r="AL1803" s="8">
        <v>603</v>
      </c>
      <c r="AM1803" s="8">
        <v>0</v>
      </c>
      <c r="AN1803" s="5" t="s">
        <v>57</v>
      </c>
      <c r="AO1803" s="10">
        <v>57.1</v>
      </c>
      <c r="AP1803" s="8">
        <v>50</v>
      </c>
      <c r="AQ1803" s="9">
        <v>46296</v>
      </c>
      <c r="AR1803" s="5" t="s">
        <v>51</v>
      </c>
      <c r="AS1803" s="5" t="s">
        <v>64</v>
      </c>
    </row>
    <row r="1804" spans="1:45" x14ac:dyDescent="0.35">
      <c r="A1804" s="5" t="s">
        <v>7288</v>
      </c>
      <c r="B1804" s="5" t="s">
        <v>4150</v>
      </c>
      <c r="C1804" s="6" t="s">
        <v>7289</v>
      </c>
      <c r="D1804" s="7">
        <v>92100</v>
      </c>
      <c r="E1804" s="5" t="s">
        <v>48</v>
      </c>
      <c r="F1804" s="5" t="s">
        <v>68</v>
      </c>
      <c r="G1804" s="8">
        <v>5</v>
      </c>
      <c r="H1804" s="8">
        <f>IF(F1804="Bullet",MIN(G1804,Assumptions!$B$6),"")</f>
        <v>2</v>
      </c>
      <c r="I1804" s="8"/>
      <c r="J1804" s="8" t="str">
        <f>IF(F1804="Monthly interest",MAX(0,Assumptions!$B$5-I1804),"")</f>
        <v/>
      </c>
      <c r="K1804" s="7">
        <f t="shared" si="84"/>
        <v>5375</v>
      </c>
      <c r="L1804" s="9">
        <v>46134</v>
      </c>
      <c r="M1804" s="5" t="s">
        <v>69</v>
      </c>
      <c r="N1804" s="5" t="s">
        <v>53</v>
      </c>
      <c r="O1804" s="5" t="s">
        <v>168</v>
      </c>
      <c r="P1804" s="5" t="s">
        <v>70</v>
      </c>
      <c r="Q1804" s="5" t="s">
        <v>169</v>
      </c>
      <c r="R1804" s="5" t="s">
        <v>170</v>
      </c>
      <c r="S1804" s="5" t="s">
        <v>253</v>
      </c>
      <c r="T1804" s="5" t="s">
        <v>57</v>
      </c>
      <c r="U1804" s="5" t="s">
        <v>104</v>
      </c>
      <c r="V1804" s="5" t="s">
        <v>59</v>
      </c>
      <c r="W1804" s="5" t="s">
        <v>156</v>
      </c>
      <c r="X1804" s="5" t="s">
        <v>451</v>
      </c>
      <c r="Y1804" s="5" t="s">
        <v>7290</v>
      </c>
      <c r="Z1804" s="9">
        <v>46134</v>
      </c>
      <c r="AA1804" s="8">
        <v>6</v>
      </c>
      <c r="AB1804" s="9">
        <f t="shared" si="85"/>
        <v>46317</v>
      </c>
      <c r="AC1804" s="10">
        <v>14</v>
      </c>
      <c r="AD1804" s="7">
        <f t="shared" si="86"/>
        <v>1075</v>
      </c>
      <c r="AE1804" s="7">
        <f>IF(F1804="Bullet",H1804*AD1804,MIN(MAX(I1804,1),Assumptions!$B$6)*AD1804)</f>
        <v>2150</v>
      </c>
      <c r="AF1804" s="8">
        <f>IF(F1804="Bullet",MAX(0,Assumptions!$B$4-AB1804),MAX(0,Assumptions!$B$4-L1804))</f>
        <v>0</v>
      </c>
      <c r="AG1804" s="9"/>
      <c r="AH1804" s="8" t="str">
        <f>IF(AG1804="","",Assumptions!$B$4-AG1804)</f>
        <v/>
      </c>
      <c r="AI1804" s="5" t="s">
        <v>80</v>
      </c>
      <c r="AJ1804" s="8"/>
      <c r="AK1804" s="8">
        <v>3</v>
      </c>
      <c r="AL1804" s="8">
        <v>800</v>
      </c>
      <c r="AM1804" s="8">
        <v>2</v>
      </c>
      <c r="AN1804" s="5" t="s">
        <v>63</v>
      </c>
      <c r="AO1804" s="10">
        <v>61.5</v>
      </c>
      <c r="AP1804" s="8">
        <v>42</v>
      </c>
      <c r="AQ1804" s="9">
        <v>46288</v>
      </c>
      <c r="AR1804" s="5" t="s">
        <v>51</v>
      </c>
      <c r="AS1804" s="5" t="s">
        <v>64</v>
      </c>
    </row>
    <row r="1805" spans="1:45" x14ac:dyDescent="0.35">
      <c r="A1805" s="5" t="s">
        <v>7291</v>
      </c>
      <c r="B1805" s="5" t="s">
        <v>4117</v>
      </c>
      <c r="C1805" s="6" t="s">
        <v>7292</v>
      </c>
      <c r="D1805" s="7">
        <v>192400</v>
      </c>
      <c r="E1805" s="5" t="s">
        <v>48</v>
      </c>
      <c r="F1805" s="5" t="s">
        <v>68</v>
      </c>
      <c r="G1805" s="8">
        <v>2</v>
      </c>
      <c r="H1805" s="8">
        <f>IF(F1805="Bullet",MIN(G1805,Assumptions!$B$6),"")</f>
        <v>2</v>
      </c>
      <c r="I1805" s="8"/>
      <c r="J1805" s="8" t="str">
        <f>IF(F1805="Monthly interest",MAX(0,Assumptions!$B$5-I1805),"")</f>
        <v/>
      </c>
      <c r="K1805" s="7">
        <f t="shared" si="84"/>
        <v>5772</v>
      </c>
      <c r="L1805" s="9">
        <v>46223</v>
      </c>
      <c r="M1805" s="5" t="s">
        <v>50</v>
      </c>
      <c r="N1805" s="5" t="s">
        <v>51</v>
      </c>
      <c r="O1805" s="5" t="s">
        <v>71</v>
      </c>
      <c r="P1805" s="5" t="s">
        <v>53</v>
      </c>
      <c r="Q1805" s="5" t="s">
        <v>73</v>
      </c>
      <c r="R1805" s="5" t="s">
        <v>74</v>
      </c>
      <c r="S1805" s="5" t="s">
        <v>56</v>
      </c>
      <c r="T1805" s="5" t="s">
        <v>57</v>
      </c>
      <c r="U1805" s="5" t="s">
        <v>104</v>
      </c>
      <c r="V1805" s="5" t="s">
        <v>59</v>
      </c>
      <c r="W1805" s="5" t="s">
        <v>467</v>
      </c>
      <c r="X1805" s="5" t="s">
        <v>1111</v>
      </c>
      <c r="Y1805" s="5" t="s">
        <v>7293</v>
      </c>
      <c r="Z1805" s="9">
        <v>46223</v>
      </c>
      <c r="AA1805" s="8">
        <v>6</v>
      </c>
      <c r="AB1805" s="9">
        <f t="shared" si="85"/>
        <v>46407</v>
      </c>
      <c r="AC1805" s="10">
        <v>18</v>
      </c>
      <c r="AD1805" s="7">
        <f t="shared" si="86"/>
        <v>2886</v>
      </c>
      <c r="AE1805" s="7">
        <f>IF(F1805="Bullet",H1805*AD1805,MIN(MAX(I1805,1),Assumptions!$B$6)*AD1805)</f>
        <v>5772</v>
      </c>
      <c r="AF1805" s="8">
        <f>IF(F1805="Bullet",MAX(0,Assumptions!$B$4-AB1805),MAX(0,Assumptions!$B$4-L1805))</f>
        <v>0</v>
      </c>
      <c r="AG1805" s="9"/>
      <c r="AH1805" s="8" t="str">
        <f>IF(AG1805="","",Assumptions!$B$4-AG1805)</f>
        <v/>
      </c>
      <c r="AI1805" s="5" t="s">
        <v>80</v>
      </c>
      <c r="AJ1805" s="8"/>
      <c r="AK1805" s="8">
        <v>0</v>
      </c>
      <c r="AL1805" s="8">
        <v>678</v>
      </c>
      <c r="AM1805" s="8">
        <v>1</v>
      </c>
      <c r="AN1805" s="5" t="s">
        <v>63</v>
      </c>
      <c r="AO1805" s="10">
        <v>80.5</v>
      </c>
      <c r="AP1805" s="8">
        <v>22</v>
      </c>
      <c r="AQ1805" s="9"/>
      <c r="AR1805" s="5"/>
      <c r="AS1805" s="5" t="s">
        <v>159</v>
      </c>
    </row>
    <row r="1806" spans="1:45" x14ac:dyDescent="0.35">
      <c r="A1806" s="5" t="s">
        <v>7294</v>
      </c>
      <c r="B1806" s="5" t="s">
        <v>7295</v>
      </c>
      <c r="C1806" s="6" t="s">
        <v>7296</v>
      </c>
      <c r="D1806" s="7">
        <v>54000</v>
      </c>
      <c r="E1806" s="5" t="s">
        <v>48</v>
      </c>
      <c r="F1806" s="5" t="s">
        <v>49</v>
      </c>
      <c r="G1806" s="8"/>
      <c r="H1806" s="8" t="str">
        <f>IF(F1806="Bullet",MIN(G1806,Assumptions!$B$6),"")</f>
        <v/>
      </c>
      <c r="I1806" s="8">
        <v>1</v>
      </c>
      <c r="J1806" s="8">
        <f>IF(F1806="Monthly interest",MAX(0,Assumptions!$B$5-I1806),"")</f>
        <v>2</v>
      </c>
      <c r="K1806" s="7">
        <f t="shared" si="84"/>
        <v>720</v>
      </c>
      <c r="L1806" s="9">
        <v>46278</v>
      </c>
      <c r="M1806" s="5" t="s">
        <v>50</v>
      </c>
      <c r="N1806" s="5" t="s">
        <v>51</v>
      </c>
      <c r="O1806" s="5" t="s">
        <v>52</v>
      </c>
      <c r="P1806" s="5" t="s">
        <v>53</v>
      </c>
      <c r="Q1806" s="5" t="s">
        <v>54</v>
      </c>
      <c r="R1806" s="5" t="s">
        <v>55</v>
      </c>
      <c r="S1806" s="5" t="s">
        <v>75</v>
      </c>
      <c r="T1806" s="5" t="s">
        <v>57</v>
      </c>
      <c r="U1806" s="5" t="s">
        <v>86</v>
      </c>
      <c r="V1806" s="5" t="s">
        <v>76</v>
      </c>
      <c r="W1806" s="5" t="s">
        <v>547</v>
      </c>
      <c r="X1806" s="5" t="s">
        <v>1428</v>
      </c>
      <c r="Y1806" s="5" t="s">
        <v>7297</v>
      </c>
      <c r="Z1806" s="9">
        <v>46004</v>
      </c>
      <c r="AA1806" s="8">
        <v>12</v>
      </c>
      <c r="AB1806" s="9">
        <f t="shared" si="85"/>
        <v>46369</v>
      </c>
      <c r="AC1806" s="10">
        <v>16</v>
      </c>
      <c r="AD1806" s="7">
        <f t="shared" si="86"/>
        <v>720</v>
      </c>
      <c r="AE1806" s="7">
        <f>IF(F1806="Bullet",H1806*AD1806,MIN(MAX(I1806,1),Assumptions!$B$6)*AD1806)</f>
        <v>720</v>
      </c>
      <c r="AF1806" s="8">
        <f>IF(F1806="Bullet",MAX(0,Assumptions!$B$4-AB1806),MAX(0,Assumptions!$B$4-L1806))</f>
        <v>20</v>
      </c>
      <c r="AG1806" s="9">
        <v>46249</v>
      </c>
      <c r="AH1806" s="8">
        <f>IF(AG1806="","",Assumptions!$B$4-AG1806)</f>
        <v>49</v>
      </c>
      <c r="AI1806" s="5" t="s">
        <v>57</v>
      </c>
      <c r="AJ1806" s="8">
        <v>1</v>
      </c>
      <c r="AK1806" s="8">
        <v>1</v>
      </c>
      <c r="AL1806" s="8">
        <v>743</v>
      </c>
      <c r="AM1806" s="8">
        <v>1</v>
      </c>
      <c r="AN1806" s="5" t="s">
        <v>63</v>
      </c>
      <c r="AO1806" s="10">
        <v>67.5</v>
      </c>
      <c r="AP1806" s="8">
        <v>25</v>
      </c>
      <c r="AQ1806" s="9">
        <v>46278</v>
      </c>
      <c r="AR1806" s="5" t="s">
        <v>51</v>
      </c>
      <c r="AS1806" s="5" t="s">
        <v>64</v>
      </c>
    </row>
    <row r="1807" spans="1:45" x14ac:dyDescent="0.35">
      <c r="A1807" s="5" t="s">
        <v>7298</v>
      </c>
      <c r="B1807" s="5" t="s">
        <v>7299</v>
      </c>
      <c r="C1807" s="6" t="s">
        <v>7300</v>
      </c>
      <c r="D1807" s="7">
        <v>36000</v>
      </c>
      <c r="E1807" s="5" t="s">
        <v>48</v>
      </c>
      <c r="F1807" s="5" t="s">
        <v>68</v>
      </c>
      <c r="G1807" s="8">
        <v>4</v>
      </c>
      <c r="H1807" s="8">
        <f>IF(F1807="Bullet",MIN(G1807,Assumptions!$B$6),"")</f>
        <v>2</v>
      </c>
      <c r="I1807" s="8"/>
      <c r="J1807" s="8" t="str">
        <f>IF(F1807="Monthly interest",MAX(0,Assumptions!$B$5-I1807),"")</f>
        <v/>
      </c>
      <c r="K1807" s="7">
        <f t="shared" si="84"/>
        <v>2160</v>
      </c>
      <c r="L1807" s="9">
        <v>46173</v>
      </c>
      <c r="M1807" s="5" t="s">
        <v>69</v>
      </c>
      <c r="N1807" s="5" t="s">
        <v>53</v>
      </c>
      <c r="O1807" s="5" t="s">
        <v>152</v>
      </c>
      <c r="P1807" s="5" t="s">
        <v>153</v>
      </c>
      <c r="Q1807" s="5" t="s">
        <v>154</v>
      </c>
      <c r="R1807" s="5" t="s">
        <v>155</v>
      </c>
      <c r="S1807" s="5" t="s">
        <v>85</v>
      </c>
      <c r="T1807" s="5" t="s">
        <v>57</v>
      </c>
      <c r="U1807" s="5" t="s">
        <v>86</v>
      </c>
      <c r="V1807" s="5" t="s">
        <v>96</v>
      </c>
      <c r="W1807" s="5" t="s">
        <v>97</v>
      </c>
      <c r="X1807" s="5" t="s">
        <v>403</v>
      </c>
      <c r="Y1807" s="5" t="s">
        <v>7301</v>
      </c>
      <c r="Z1807" s="9">
        <v>46173</v>
      </c>
      <c r="AA1807" s="8">
        <v>3</v>
      </c>
      <c r="AB1807" s="9">
        <f t="shared" si="85"/>
        <v>46265</v>
      </c>
      <c r="AC1807" s="10">
        <v>18</v>
      </c>
      <c r="AD1807" s="7">
        <f t="shared" si="86"/>
        <v>540</v>
      </c>
      <c r="AE1807" s="7">
        <f>IF(F1807="Bullet",H1807*AD1807,MIN(MAX(I1807,1),Assumptions!$B$6)*AD1807)</f>
        <v>1080</v>
      </c>
      <c r="AF1807" s="8">
        <f>IF(F1807="Bullet",MAX(0,Assumptions!$B$4-AB1807),MAX(0,Assumptions!$B$4-L1807))</f>
        <v>33</v>
      </c>
      <c r="AG1807" s="9"/>
      <c r="AH1807" s="8" t="str">
        <f>IF(AG1807="","",Assumptions!$B$4-AG1807)</f>
        <v/>
      </c>
      <c r="AI1807" s="5" t="s">
        <v>80</v>
      </c>
      <c r="AJ1807" s="8"/>
      <c r="AK1807" s="8">
        <v>0</v>
      </c>
      <c r="AL1807" s="8">
        <v>708</v>
      </c>
      <c r="AM1807" s="8">
        <v>1</v>
      </c>
      <c r="AN1807" s="5" t="s">
        <v>63</v>
      </c>
      <c r="AO1807" s="10">
        <v>62.8</v>
      </c>
      <c r="AP1807" s="8">
        <v>47</v>
      </c>
      <c r="AQ1807" s="9">
        <v>46281</v>
      </c>
      <c r="AR1807" s="5" t="s">
        <v>51</v>
      </c>
      <c r="AS1807" s="5" t="s">
        <v>274</v>
      </c>
    </row>
    <row r="1808" spans="1:45" x14ac:dyDescent="0.35">
      <c r="A1808" s="5" t="s">
        <v>7302</v>
      </c>
      <c r="B1808" s="5" t="s">
        <v>2223</v>
      </c>
      <c r="C1808" s="6" t="s">
        <v>7303</v>
      </c>
      <c r="D1808" s="7">
        <v>41800</v>
      </c>
      <c r="E1808" s="5" t="s">
        <v>48</v>
      </c>
      <c r="F1808" s="5" t="s">
        <v>68</v>
      </c>
      <c r="G1808" s="8">
        <v>6</v>
      </c>
      <c r="H1808" s="8">
        <f>IF(F1808="Bullet",MIN(G1808,Assumptions!$B$6),"")</f>
        <v>2</v>
      </c>
      <c r="I1808" s="8"/>
      <c r="J1808" s="8" t="str">
        <f>IF(F1808="Monthly interest",MAX(0,Assumptions!$B$5-I1808),"")</f>
        <v/>
      </c>
      <c r="K1808" s="7">
        <f t="shared" si="84"/>
        <v>2718</v>
      </c>
      <c r="L1808" s="9">
        <v>46091</v>
      </c>
      <c r="M1808" s="5" t="s">
        <v>116</v>
      </c>
      <c r="N1808" s="5" t="s">
        <v>117</v>
      </c>
      <c r="O1808" s="5" t="s">
        <v>461</v>
      </c>
      <c r="P1808" s="5" t="s">
        <v>72</v>
      </c>
      <c r="Q1808" s="5" t="s">
        <v>169</v>
      </c>
      <c r="R1808" s="5" t="s">
        <v>170</v>
      </c>
      <c r="S1808" s="5" t="s">
        <v>214</v>
      </c>
      <c r="T1808" s="5" t="s">
        <v>57</v>
      </c>
      <c r="U1808" s="5" t="s">
        <v>86</v>
      </c>
      <c r="V1808" s="5" t="s">
        <v>215</v>
      </c>
      <c r="W1808" s="5" t="s">
        <v>216</v>
      </c>
      <c r="X1808" s="5" t="s">
        <v>2179</v>
      </c>
      <c r="Y1808" s="5" t="s">
        <v>7304</v>
      </c>
      <c r="Z1808" s="9">
        <v>46091</v>
      </c>
      <c r="AA1808" s="8">
        <v>6</v>
      </c>
      <c r="AB1808" s="9">
        <f t="shared" si="85"/>
        <v>46275</v>
      </c>
      <c r="AC1808" s="10">
        <v>13</v>
      </c>
      <c r="AD1808" s="7">
        <f t="shared" si="86"/>
        <v>453</v>
      </c>
      <c r="AE1808" s="7">
        <f>IF(F1808="Bullet",H1808*AD1808,MIN(MAX(I1808,1),Assumptions!$B$6)*AD1808)</f>
        <v>906</v>
      </c>
      <c r="AF1808" s="8">
        <f>IF(F1808="Bullet",MAX(0,Assumptions!$B$4-AB1808),MAX(0,Assumptions!$B$4-L1808))</f>
        <v>23</v>
      </c>
      <c r="AG1808" s="9"/>
      <c r="AH1808" s="8" t="str">
        <f>IF(AG1808="","",Assumptions!$B$4-AG1808)</f>
        <v/>
      </c>
      <c r="AI1808" s="5" t="s">
        <v>80</v>
      </c>
      <c r="AJ1808" s="8"/>
      <c r="AK1808" s="8">
        <v>2</v>
      </c>
      <c r="AL1808" s="8">
        <v>694</v>
      </c>
      <c r="AM1808" s="8">
        <v>0</v>
      </c>
      <c r="AN1808" s="5" t="s">
        <v>63</v>
      </c>
      <c r="AO1808" s="10">
        <v>67.2</v>
      </c>
      <c r="AP1808" s="8">
        <v>55</v>
      </c>
      <c r="AQ1808" s="9">
        <v>46290</v>
      </c>
      <c r="AR1808" s="5" t="s">
        <v>51</v>
      </c>
      <c r="AS1808" s="5" t="s">
        <v>64</v>
      </c>
    </row>
    <row r="1809" spans="1:45" x14ac:dyDescent="0.35">
      <c r="A1809" s="5" t="s">
        <v>7305</v>
      </c>
      <c r="B1809" s="5" t="s">
        <v>5260</v>
      </c>
      <c r="C1809" s="6" t="s">
        <v>7306</v>
      </c>
      <c r="D1809" s="7">
        <v>173200</v>
      </c>
      <c r="E1809" s="5" t="s">
        <v>48</v>
      </c>
      <c r="F1809" s="5" t="s">
        <v>49</v>
      </c>
      <c r="G1809" s="8"/>
      <c r="H1809" s="8" t="str">
        <f>IF(F1809="Bullet",MIN(G1809,Assumptions!$B$6),"")</f>
        <v/>
      </c>
      <c r="I1809" s="8">
        <v>1</v>
      </c>
      <c r="J1809" s="8">
        <f>IF(F1809="Monthly interest",MAX(0,Assumptions!$B$5-I1809),"")</f>
        <v>2</v>
      </c>
      <c r="K1809" s="7">
        <f t="shared" si="84"/>
        <v>2021</v>
      </c>
      <c r="L1809" s="9">
        <v>46292</v>
      </c>
      <c r="M1809" s="5" t="s">
        <v>69</v>
      </c>
      <c r="N1809" s="5" t="s">
        <v>53</v>
      </c>
      <c r="O1809" s="5" t="s">
        <v>103</v>
      </c>
      <c r="P1809" s="5" t="s">
        <v>70</v>
      </c>
      <c r="Q1809" s="5" t="s">
        <v>54</v>
      </c>
      <c r="R1809" s="5" t="s">
        <v>55</v>
      </c>
      <c r="S1809" s="5" t="s">
        <v>56</v>
      </c>
      <c r="T1809" s="5" t="s">
        <v>57</v>
      </c>
      <c r="U1809" s="5" t="s">
        <v>58</v>
      </c>
      <c r="V1809" s="5" t="s">
        <v>59</v>
      </c>
      <c r="W1809" s="5" t="s">
        <v>60</v>
      </c>
      <c r="X1809" s="5" t="s">
        <v>4828</v>
      </c>
      <c r="Y1809" s="5" t="s">
        <v>7307</v>
      </c>
      <c r="Z1809" s="9">
        <v>46169</v>
      </c>
      <c r="AA1809" s="8">
        <v>12</v>
      </c>
      <c r="AB1809" s="9">
        <f t="shared" si="85"/>
        <v>46534</v>
      </c>
      <c r="AC1809" s="10">
        <v>14</v>
      </c>
      <c r="AD1809" s="7">
        <f t="shared" si="86"/>
        <v>2021</v>
      </c>
      <c r="AE1809" s="7">
        <f>IF(F1809="Bullet",H1809*AD1809,MIN(MAX(I1809,1),Assumptions!$B$6)*AD1809)</f>
        <v>2021</v>
      </c>
      <c r="AF1809" s="8">
        <f>IF(F1809="Bullet",MAX(0,Assumptions!$B$4-AB1809),MAX(0,Assumptions!$B$4-L1809))</f>
        <v>6</v>
      </c>
      <c r="AG1809" s="9">
        <v>46264</v>
      </c>
      <c r="AH1809" s="8">
        <f>IF(AG1809="","",Assumptions!$B$4-AG1809)</f>
        <v>34</v>
      </c>
      <c r="AI1809" s="5" t="s">
        <v>63</v>
      </c>
      <c r="AJ1809" s="8">
        <v>1</v>
      </c>
      <c r="AK1809" s="8">
        <v>0</v>
      </c>
      <c r="AL1809" s="8">
        <v>667</v>
      </c>
      <c r="AM1809" s="8">
        <v>3</v>
      </c>
      <c r="AN1809" s="5" t="s">
        <v>63</v>
      </c>
      <c r="AO1809" s="10">
        <v>73.5</v>
      </c>
      <c r="AP1809" s="8">
        <v>31</v>
      </c>
      <c r="AQ1809" s="9">
        <v>46288</v>
      </c>
      <c r="AR1809" s="5" t="s">
        <v>51</v>
      </c>
      <c r="AS1809" s="5" t="s">
        <v>81</v>
      </c>
    </row>
    <row r="1810" spans="1:45" x14ac:dyDescent="0.35">
      <c r="A1810" s="5" t="s">
        <v>7308</v>
      </c>
      <c r="B1810" s="5" t="s">
        <v>7309</v>
      </c>
      <c r="C1810" s="6" t="s">
        <v>7310</v>
      </c>
      <c r="D1810" s="7">
        <v>44900</v>
      </c>
      <c r="E1810" s="5" t="s">
        <v>48</v>
      </c>
      <c r="F1810" s="5" t="s">
        <v>68</v>
      </c>
      <c r="G1810" s="8">
        <v>1</v>
      </c>
      <c r="H1810" s="8">
        <f>IF(F1810="Bullet",MIN(G1810,Assumptions!$B$6),"")</f>
        <v>1</v>
      </c>
      <c r="I1810" s="8"/>
      <c r="J1810" s="8" t="str">
        <f>IF(F1810="Monthly interest",MAX(0,Assumptions!$B$5-I1810),"")</f>
        <v/>
      </c>
      <c r="K1810" s="7">
        <f t="shared" si="84"/>
        <v>524</v>
      </c>
      <c r="L1810" s="9">
        <v>46245</v>
      </c>
      <c r="M1810" s="5" t="s">
        <v>50</v>
      </c>
      <c r="N1810" s="5" t="s">
        <v>53</v>
      </c>
      <c r="O1810" s="5" t="s">
        <v>132</v>
      </c>
      <c r="P1810" s="5" t="s">
        <v>153</v>
      </c>
      <c r="Q1810" s="5" t="s">
        <v>154</v>
      </c>
      <c r="R1810" s="5" t="s">
        <v>155</v>
      </c>
      <c r="S1810" s="5" t="s">
        <v>75</v>
      </c>
      <c r="T1810" s="5" t="s">
        <v>57</v>
      </c>
      <c r="U1810" s="5" t="s">
        <v>104</v>
      </c>
      <c r="V1810" s="5" t="s">
        <v>76</v>
      </c>
      <c r="W1810" s="5" t="s">
        <v>105</v>
      </c>
      <c r="X1810" s="5" t="s">
        <v>762</v>
      </c>
      <c r="Y1810" s="5" t="s">
        <v>7311</v>
      </c>
      <c r="Z1810" s="9">
        <v>46245</v>
      </c>
      <c r="AA1810" s="8">
        <v>12</v>
      </c>
      <c r="AB1810" s="9">
        <f t="shared" si="85"/>
        <v>46610</v>
      </c>
      <c r="AC1810" s="10">
        <v>14</v>
      </c>
      <c r="AD1810" s="7">
        <f t="shared" si="86"/>
        <v>524</v>
      </c>
      <c r="AE1810" s="7">
        <f>IF(F1810="Bullet",H1810*AD1810,MIN(MAX(I1810,1),Assumptions!$B$6)*AD1810)</f>
        <v>524</v>
      </c>
      <c r="AF1810" s="8">
        <f>IF(F1810="Bullet",MAX(0,Assumptions!$B$4-AB1810),MAX(0,Assumptions!$B$4-L1810))</f>
        <v>0</v>
      </c>
      <c r="AG1810" s="9"/>
      <c r="AH1810" s="8" t="str">
        <f>IF(AG1810="","",Assumptions!$B$4-AG1810)</f>
        <v/>
      </c>
      <c r="AI1810" s="5" t="s">
        <v>80</v>
      </c>
      <c r="AJ1810" s="8"/>
      <c r="AK1810" s="8">
        <v>0</v>
      </c>
      <c r="AL1810" s="8">
        <v>735</v>
      </c>
      <c r="AM1810" s="8">
        <v>3</v>
      </c>
      <c r="AN1810" s="5" t="s">
        <v>63</v>
      </c>
      <c r="AO1810" s="10">
        <v>65.8</v>
      </c>
      <c r="AP1810" s="8">
        <v>11</v>
      </c>
      <c r="AQ1810" s="9">
        <v>46276</v>
      </c>
      <c r="AR1810" s="5" t="s">
        <v>51</v>
      </c>
      <c r="AS1810" s="5" t="s">
        <v>91</v>
      </c>
    </row>
    <row r="1811" spans="1:45" x14ac:dyDescent="0.35">
      <c r="A1811" s="5" t="s">
        <v>7312</v>
      </c>
      <c r="B1811" s="5" t="s">
        <v>6444</v>
      </c>
      <c r="C1811" s="6" t="s">
        <v>7313</v>
      </c>
      <c r="D1811" s="7">
        <v>527100</v>
      </c>
      <c r="E1811" s="5" t="s">
        <v>48</v>
      </c>
      <c r="F1811" s="5" t="s">
        <v>49</v>
      </c>
      <c r="G1811" s="8"/>
      <c r="H1811" s="8" t="str">
        <f>IF(F1811="Bullet",MIN(G1811,Assumptions!$B$6),"")</f>
        <v/>
      </c>
      <c r="I1811" s="8">
        <v>2</v>
      </c>
      <c r="J1811" s="8">
        <f>IF(F1811="Monthly interest",MAX(0,Assumptions!$B$5-I1811),"")</f>
        <v>1</v>
      </c>
      <c r="K1811" s="7">
        <f t="shared" si="84"/>
        <v>14056</v>
      </c>
      <c r="L1811" s="9">
        <v>46267</v>
      </c>
      <c r="M1811" s="5" t="s">
        <v>116</v>
      </c>
      <c r="N1811" s="5" t="s">
        <v>117</v>
      </c>
      <c r="O1811" s="5" t="s">
        <v>118</v>
      </c>
      <c r="P1811" s="5" t="s">
        <v>72</v>
      </c>
      <c r="Q1811" s="5" t="s">
        <v>119</v>
      </c>
      <c r="R1811" s="5" t="s">
        <v>120</v>
      </c>
      <c r="S1811" s="5" t="s">
        <v>75</v>
      </c>
      <c r="T1811" s="5" t="s">
        <v>63</v>
      </c>
      <c r="U1811" s="5" t="s">
        <v>86</v>
      </c>
      <c r="V1811" s="5" t="s">
        <v>76</v>
      </c>
      <c r="W1811" s="5" t="s">
        <v>77</v>
      </c>
      <c r="X1811" s="5" t="s">
        <v>260</v>
      </c>
      <c r="Y1811" s="5" t="s">
        <v>7314</v>
      </c>
      <c r="Z1811" s="9">
        <v>46144</v>
      </c>
      <c r="AA1811" s="8">
        <v>12</v>
      </c>
      <c r="AB1811" s="9">
        <f t="shared" si="85"/>
        <v>46509</v>
      </c>
      <c r="AC1811" s="10">
        <v>16</v>
      </c>
      <c r="AD1811" s="7">
        <f t="shared" si="86"/>
        <v>7028</v>
      </c>
      <c r="AE1811" s="7">
        <f>IF(F1811="Bullet",H1811*AD1811,MIN(MAX(I1811,1),Assumptions!$B$6)*AD1811)</f>
        <v>14056</v>
      </c>
      <c r="AF1811" s="8">
        <f>IF(F1811="Bullet",MAX(0,Assumptions!$B$4-AB1811),MAX(0,Assumptions!$B$4-L1811))</f>
        <v>31</v>
      </c>
      <c r="AG1811" s="9">
        <v>46238</v>
      </c>
      <c r="AH1811" s="8">
        <f>IF(AG1811="","",Assumptions!$B$4-AG1811)</f>
        <v>60</v>
      </c>
      <c r="AI1811" s="5" t="s">
        <v>63</v>
      </c>
      <c r="AJ1811" s="8">
        <v>2</v>
      </c>
      <c r="AK1811" s="8">
        <v>0</v>
      </c>
      <c r="AL1811" s="8" t="s">
        <v>80</v>
      </c>
      <c r="AM1811" s="8">
        <v>0</v>
      </c>
      <c r="AN1811" s="5" t="s">
        <v>57</v>
      </c>
      <c r="AO1811" s="10">
        <v>64.2</v>
      </c>
      <c r="AP1811" s="8">
        <v>53</v>
      </c>
      <c r="AQ1811" s="9">
        <v>46288</v>
      </c>
      <c r="AR1811" s="5" t="s">
        <v>53</v>
      </c>
      <c r="AS1811" s="5" t="s">
        <v>91</v>
      </c>
    </row>
    <row r="1812" spans="1:45" x14ac:dyDescent="0.35">
      <c r="A1812" s="5" t="s">
        <v>7315</v>
      </c>
      <c r="B1812" s="5" t="s">
        <v>7316</v>
      </c>
      <c r="C1812" s="6" t="s">
        <v>7317</v>
      </c>
      <c r="D1812" s="7">
        <v>55500</v>
      </c>
      <c r="E1812" s="5" t="s">
        <v>48</v>
      </c>
      <c r="F1812" s="5" t="s">
        <v>49</v>
      </c>
      <c r="G1812" s="8"/>
      <c r="H1812" s="8" t="str">
        <f>IF(F1812="Bullet",MIN(G1812,Assumptions!$B$6),"")</f>
        <v/>
      </c>
      <c r="I1812" s="8">
        <v>1</v>
      </c>
      <c r="J1812" s="8">
        <f>IF(F1812="Monthly interest",MAX(0,Assumptions!$B$5-I1812),"")</f>
        <v>2</v>
      </c>
      <c r="K1812" s="7">
        <f t="shared" si="84"/>
        <v>1018</v>
      </c>
      <c r="L1812" s="9">
        <v>46298</v>
      </c>
      <c r="M1812" s="5" t="s">
        <v>50</v>
      </c>
      <c r="N1812" s="5" t="s">
        <v>51</v>
      </c>
      <c r="O1812" s="5" t="s">
        <v>52</v>
      </c>
      <c r="P1812" s="5" t="s">
        <v>53</v>
      </c>
      <c r="Q1812" s="5" t="s">
        <v>54</v>
      </c>
      <c r="R1812" s="5" t="s">
        <v>55</v>
      </c>
      <c r="S1812" s="5" t="s">
        <v>85</v>
      </c>
      <c r="T1812" s="5" t="s">
        <v>57</v>
      </c>
      <c r="U1812" s="5" t="s">
        <v>58</v>
      </c>
      <c r="V1812" s="5" t="s">
        <v>133</v>
      </c>
      <c r="W1812" s="5" t="s">
        <v>594</v>
      </c>
      <c r="X1812" s="5" t="s">
        <v>1480</v>
      </c>
      <c r="Y1812" s="5" t="s">
        <v>7318</v>
      </c>
      <c r="Z1812" s="9">
        <v>46025</v>
      </c>
      <c r="AA1812" s="8">
        <v>12</v>
      </c>
      <c r="AB1812" s="9">
        <f t="shared" si="85"/>
        <v>46390</v>
      </c>
      <c r="AC1812" s="10">
        <v>22</v>
      </c>
      <c r="AD1812" s="7">
        <f t="shared" si="86"/>
        <v>1018</v>
      </c>
      <c r="AE1812" s="7">
        <f>IF(F1812="Bullet",H1812*AD1812,MIN(MAX(I1812,1),Assumptions!$B$6)*AD1812)</f>
        <v>1018</v>
      </c>
      <c r="AF1812" s="8">
        <f>IF(F1812="Bullet",MAX(0,Assumptions!$B$4-AB1812),MAX(0,Assumptions!$B$4-L1812))</f>
        <v>0</v>
      </c>
      <c r="AG1812" s="9">
        <v>46270</v>
      </c>
      <c r="AH1812" s="8">
        <f>IF(AG1812="","",Assumptions!$B$4-AG1812)</f>
        <v>28</v>
      </c>
      <c r="AI1812" s="5" t="s">
        <v>63</v>
      </c>
      <c r="AJ1812" s="8">
        <v>2</v>
      </c>
      <c r="AK1812" s="8">
        <v>0</v>
      </c>
      <c r="AL1812" s="8">
        <v>870</v>
      </c>
      <c r="AM1812" s="8">
        <v>0</v>
      </c>
      <c r="AN1812" s="5" t="s">
        <v>63</v>
      </c>
      <c r="AO1812" s="10">
        <v>57.6</v>
      </c>
      <c r="AP1812" s="8">
        <v>16</v>
      </c>
      <c r="AQ1812" s="9">
        <v>46273</v>
      </c>
      <c r="AR1812" s="5" t="s">
        <v>70</v>
      </c>
      <c r="AS1812" s="5" t="s">
        <v>81</v>
      </c>
    </row>
    <row r="1813" spans="1:45" x14ac:dyDescent="0.35">
      <c r="A1813" s="5" t="s">
        <v>7319</v>
      </c>
      <c r="B1813" s="5" t="s">
        <v>7320</v>
      </c>
      <c r="C1813" s="6" t="s">
        <v>7321</v>
      </c>
      <c r="D1813" s="7">
        <v>142500</v>
      </c>
      <c r="E1813" s="5" t="s">
        <v>48</v>
      </c>
      <c r="F1813" s="5" t="s">
        <v>68</v>
      </c>
      <c r="G1813" s="8">
        <v>3</v>
      </c>
      <c r="H1813" s="8">
        <f>IF(F1813="Bullet",MIN(G1813,Assumptions!$B$6),"")</f>
        <v>2</v>
      </c>
      <c r="I1813" s="8"/>
      <c r="J1813" s="8" t="str">
        <f>IF(F1813="Monthly interest",MAX(0,Assumptions!$B$5-I1813),"")</f>
        <v/>
      </c>
      <c r="K1813" s="7">
        <f t="shared" si="84"/>
        <v>5700</v>
      </c>
      <c r="L1813" s="9">
        <v>46204</v>
      </c>
      <c r="M1813" s="5" t="s">
        <v>69</v>
      </c>
      <c r="N1813" s="5" t="s">
        <v>53</v>
      </c>
      <c r="O1813" s="5" t="s">
        <v>71</v>
      </c>
      <c r="P1813" s="5" t="s">
        <v>70</v>
      </c>
      <c r="Q1813" s="5" t="s">
        <v>73</v>
      </c>
      <c r="R1813" s="5" t="s">
        <v>74</v>
      </c>
      <c r="S1813" s="5" t="s">
        <v>75</v>
      </c>
      <c r="T1813" s="5" t="s">
        <v>57</v>
      </c>
      <c r="U1813" s="5" t="s">
        <v>86</v>
      </c>
      <c r="V1813" s="5" t="s">
        <v>76</v>
      </c>
      <c r="W1813" s="5" t="s">
        <v>140</v>
      </c>
      <c r="X1813" s="5" t="s">
        <v>393</v>
      </c>
      <c r="Y1813" s="5" t="s">
        <v>7322</v>
      </c>
      <c r="Z1813" s="9">
        <v>46204</v>
      </c>
      <c r="AA1813" s="8">
        <v>6</v>
      </c>
      <c r="AB1813" s="9">
        <f t="shared" si="85"/>
        <v>46388</v>
      </c>
      <c r="AC1813" s="10">
        <v>16</v>
      </c>
      <c r="AD1813" s="7">
        <f t="shared" si="86"/>
        <v>1900</v>
      </c>
      <c r="AE1813" s="7">
        <f>IF(F1813="Bullet",H1813*AD1813,MIN(MAX(I1813,1),Assumptions!$B$6)*AD1813)</f>
        <v>3800</v>
      </c>
      <c r="AF1813" s="8">
        <f>IF(F1813="Bullet",MAX(0,Assumptions!$B$4-AB1813),MAX(0,Assumptions!$B$4-L1813))</f>
        <v>0</v>
      </c>
      <c r="AG1813" s="9"/>
      <c r="AH1813" s="8" t="str">
        <f>IF(AG1813="","",Assumptions!$B$4-AG1813)</f>
        <v/>
      </c>
      <c r="AI1813" s="5" t="s">
        <v>80</v>
      </c>
      <c r="AJ1813" s="8"/>
      <c r="AK1813" s="8">
        <v>2</v>
      </c>
      <c r="AL1813" s="8">
        <v>629</v>
      </c>
      <c r="AM1813" s="8">
        <v>1</v>
      </c>
      <c r="AN1813" s="5" t="s">
        <v>57</v>
      </c>
      <c r="AO1813" s="10">
        <v>67.2</v>
      </c>
      <c r="AP1813" s="8">
        <v>45</v>
      </c>
      <c r="AQ1813" s="9">
        <v>46297</v>
      </c>
      <c r="AR1813" s="5" t="s">
        <v>70</v>
      </c>
      <c r="AS1813" s="5" t="s">
        <v>81</v>
      </c>
    </row>
    <row r="1814" spans="1:45" x14ac:dyDescent="0.35">
      <c r="A1814" s="5" t="s">
        <v>7323</v>
      </c>
      <c r="B1814" s="5" t="s">
        <v>7324</v>
      </c>
      <c r="C1814" s="6" t="s">
        <v>7325</v>
      </c>
      <c r="D1814" s="7">
        <v>286700</v>
      </c>
      <c r="E1814" s="5" t="s">
        <v>48</v>
      </c>
      <c r="F1814" s="5" t="s">
        <v>49</v>
      </c>
      <c r="G1814" s="8"/>
      <c r="H1814" s="8" t="str">
        <f>IF(F1814="Bullet",MIN(G1814,Assumptions!$B$6),"")</f>
        <v/>
      </c>
      <c r="I1814" s="8">
        <v>1</v>
      </c>
      <c r="J1814" s="8">
        <f>IF(F1814="Monthly interest",MAX(0,Assumptions!$B$5-I1814),"")</f>
        <v>2</v>
      </c>
      <c r="K1814" s="7">
        <f t="shared" si="84"/>
        <v>4301</v>
      </c>
      <c r="L1814" s="9">
        <v>46297</v>
      </c>
      <c r="M1814" s="5" t="s">
        <v>50</v>
      </c>
      <c r="N1814" s="5" t="s">
        <v>51</v>
      </c>
      <c r="O1814" s="5" t="s">
        <v>52</v>
      </c>
      <c r="P1814" s="5" t="s">
        <v>53</v>
      </c>
      <c r="Q1814" s="5" t="s">
        <v>54</v>
      </c>
      <c r="R1814" s="5" t="s">
        <v>55</v>
      </c>
      <c r="S1814" s="5" t="s">
        <v>214</v>
      </c>
      <c r="T1814" s="5" t="s">
        <v>57</v>
      </c>
      <c r="U1814" s="5" t="s">
        <v>86</v>
      </c>
      <c r="V1814" s="5" t="s">
        <v>215</v>
      </c>
      <c r="W1814" s="5" t="s">
        <v>284</v>
      </c>
      <c r="X1814" s="5" t="s">
        <v>4107</v>
      </c>
      <c r="Y1814" s="5" t="s">
        <v>7326</v>
      </c>
      <c r="Z1814" s="9">
        <v>46055</v>
      </c>
      <c r="AA1814" s="8">
        <v>12</v>
      </c>
      <c r="AB1814" s="9">
        <f t="shared" si="85"/>
        <v>46420</v>
      </c>
      <c r="AC1814" s="10">
        <v>18</v>
      </c>
      <c r="AD1814" s="7">
        <f t="shared" si="86"/>
        <v>4301</v>
      </c>
      <c r="AE1814" s="7">
        <f>IF(F1814="Bullet",H1814*AD1814,MIN(MAX(I1814,1),Assumptions!$B$6)*AD1814)</f>
        <v>4301</v>
      </c>
      <c r="AF1814" s="8">
        <f>IF(F1814="Bullet",MAX(0,Assumptions!$B$4-AB1814),MAX(0,Assumptions!$B$4-L1814))</f>
        <v>1</v>
      </c>
      <c r="AG1814" s="9">
        <v>46269</v>
      </c>
      <c r="AH1814" s="8">
        <f>IF(AG1814="","",Assumptions!$B$4-AG1814)</f>
        <v>29</v>
      </c>
      <c r="AI1814" s="5" t="s">
        <v>63</v>
      </c>
      <c r="AJ1814" s="8">
        <v>1</v>
      </c>
      <c r="AK1814" s="8">
        <v>1</v>
      </c>
      <c r="AL1814" s="8">
        <v>753</v>
      </c>
      <c r="AM1814" s="8">
        <v>1</v>
      </c>
      <c r="AN1814" s="5" t="s">
        <v>63</v>
      </c>
      <c r="AO1814" s="10">
        <v>61.7</v>
      </c>
      <c r="AP1814" s="8">
        <v>23</v>
      </c>
      <c r="AQ1814" s="9"/>
      <c r="AR1814" s="5"/>
      <c r="AS1814" s="5" t="s">
        <v>159</v>
      </c>
    </row>
    <row r="1815" spans="1:45" x14ac:dyDescent="0.35">
      <c r="A1815" s="5" t="s">
        <v>7327</v>
      </c>
      <c r="B1815" s="5" t="s">
        <v>7328</v>
      </c>
      <c r="C1815" s="6" t="s">
        <v>7329</v>
      </c>
      <c r="D1815" s="7">
        <v>210600</v>
      </c>
      <c r="E1815" s="5" t="s">
        <v>48</v>
      </c>
      <c r="F1815" s="5" t="s">
        <v>68</v>
      </c>
      <c r="G1815" s="8">
        <v>2</v>
      </c>
      <c r="H1815" s="8">
        <f>IF(F1815="Bullet",MIN(G1815,Assumptions!$B$6),"")</f>
        <v>2</v>
      </c>
      <c r="I1815" s="8"/>
      <c r="J1815" s="8" t="str">
        <f>IF(F1815="Monthly interest",MAX(0,Assumptions!$B$5-I1815),"")</f>
        <v/>
      </c>
      <c r="K1815" s="7">
        <f t="shared" si="84"/>
        <v>4212</v>
      </c>
      <c r="L1815" s="9">
        <v>46215</v>
      </c>
      <c r="M1815" s="5" t="s">
        <v>50</v>
      </c>
      <c r="N1815" s="5" t="s">
        <v>51</v>
      </c>
      <c r="O1815" s="5" t="s">
        <v>71</v>
      </c>
      <c r="P1815" s="5" t="s">
        <v>53</v>
      </c>
      <c r="Q1815" s="5" t="s">
        <v>73</v>
      </c>
      <c r="R1815" s="5" t="s">
        <v>74</v>
      </c>
      <c r="S1815" s="5" t="s">
        <v>214</v>
      </c>
      <c r="T1815" s="5" t="s">
        <v>57</v>
      </c>
      <c r="U1815" s="5" t="s">
        <v>86</v>
      </c>
      <c r="V1815" s="5" t="s">
        <v>215</v>
      </c>
      <c r="W1815" s="5" t="s">
        <v>242</v>
      </c>
      <c r="X1815" s="5" t="s">
        <v>1361</v>
      </c>
      <c r="Y1815" s="5" t="s">
        <v>7330</v>
      </c>
      <c r="Z1815" s="9">
        <v>46215</v>
      </c>
      <c r="AA1815" s="8">
        <v>6</v>
      </c>
      <c r="AB1815" s="9">
        <f t="shared" si="85"/>
        <v>46399</v>
      </c>
      <c r="AC1815" s="10">
        <v>12</v>
      </c>
      <c r="AD1815" s="7">
        <f t="shared" si="86"/>
        <v>2106</v>
      </c>
      <c r="AE1815" s="7">
        <f>IF(F1815="Bullet",H1815*AD1815,MIN(MAX(I1815,1),Assumptions!$B$6)*AD1815)</f>
        <v>4212</v>
      </c>
      <c r="AF1815" s="8">
        <f>IF(F1815="Bullet",MAX(0,Assumptions!$B$4-AB1815),MAX(0,Assumptions!$B$4-L1815))</f>
        <v>0</v>
      </c>
      <c r="AG1815" s="9"/>
      <c r="AH1815" s="8" t="str">
        <f>IF(AG1815="","",Assumptions!$B$4-AG1815)</f>
        <v/>
      </c>
      <c r="AI1815" s="5" t="s">
        <v>80</v>
      </c>
      <c r="AJ1815" s="8"/>
      <c r="AK1815" s="8">
        <v>0</v>
      </c>
      <c r="AL1815" s="8">
        <v>643</v>
      </c>
      <c r="AM1815" s="8">
        <v>0</v>
      </c>
      <c r="AN1815" s="5" t="s">
        <v>63</v>
      </c>
      <c r="AO1815" s="10">
        <v>77</v>
      </c>
      <c r="AP1815" s="8">
        <v>24</v>
      </c>
      <c r="AQ1815" s="9">
        <v>46274</v>
      </c>
      <c r="AR1815" s="5" t="s">
        <v>70</v>
      </c>
      <c r="AS1815" s="5" t="s">
        <v>81</v>
      </c>
    </row>
    <row r="1816" spans="1:45" x14ac:dyDescent="0.35">
      <c r="A1816" s="5" t="s">
        <v>7331</v>
      </c>
      <c r="B1816" s="5" t="s">
        <v>3178</v>
      </c>
      <c r="C1816" s="6" t="s">
        <v>7332</v>
      </c>
      <c r="D1816" s="7">
        <v>54300</v>
      </c>
      <c r="E1816" s="5" t="s">
        <v>48</v>
      </c>
      <c r="F1816" s="5" t="s">
        <v>68</v>
      </c>
      <c r="G1816" s="8">
        <v>4</v>
      </c>
      <c r="H1816" s="8">
        <f>IF(F1816="Bullet",MIN(G1816,Assumptions!$B$6),"")</f>
        <v>2</v>
      </c>
      <c r="I1816" s="8"/>
      <c r="J1816" s="8" t="str">
        <f>IF(F1816="Monthly interest",MAX(0,Assumptions!$B$5-I1816),"")</f>
        <v/>
      </c>
      <c r="K1816" s="7">
        <f t="shared" si="84"/>
        <v>2536</v>
      </c>
      <c r="L1816" s="9">
        <v>46163</v>
      </c>
      <c r="M1816" s="5" t="s">
        <v>50</v>
      </c>
      <c r="N1816" s="5" t="s">
        <v>53</v>
      </c>
      <c r="O1816" s="5" t="s">
        <v>71</v>
      </c>
      <c r="P1816" s="5" t="s">
        <v>70</v>
      </c>
      <c r="Q1816" s="5" t="s">
        <v>73</v>
      </c>
      <c r="R1816" s="5" t="s">
        <v>74</v>
      </c>
      <c r="S1816" s="5" t="s">
        <v>85</v>
      </c>
      <c r="T1816" s="5" t="s">
        <v>63</v>
      </c>
      <c r="U1816" s="5" t="s">
        <v>86</v>
      </c>
      <c r="V1816" s="5" t="s">
        <v>177</v>
      </c>
      <c r="W1816" s="5" t="s">
        <v>208</v>
      </c>
      <c r="X1816" s="5" t="s">
        <v>904</v>
      </c>
      <c r="Y1816" s="5" t="s">
        <v>7333</v>
      </c>
      <c r="Z1816" s="9">
        <v>46163</v>
      </c>
      <c r="AA1816" s="8">
        <v>6</v>
      </c>
      <c r="AB1816" s="9">
        <f t="shared" si="85"/>
        <v>46347</v>
      </c>
      <c r="AC1816" s="10">
        <v>14</v>
      </c>
      <c r="AD1816" s="7">
        <f t="shared" si="86"/>
        <v>634</v>
      </c>
      <c r="AE1816" s="7">
        <f>IF(F1816="Bullet",H1816*AD1816,MIN(MAX(I1816,1),Assumptions!$B$6)*AD1816)</f>
        <v>1268</v>
      </c>
      <c r="AF1816" s="8">
        <f>IF(F1816="Bullet",MAX(0,Assumptions!$B$4-AB1816),MAX(0,Assumptions!$B$4-L1816))</f>
        <v>0</v>
      </c>
      <c r="AG1816" s="9"/>
      <c r="AH1816" s="8" t="str">
        <f>IF(AG1816="","",Assumptions!$B$4-AG1816)</f>
        <v/>
      </c>
      <c r="AI1816" s="5" t="s">
        <v>80</v>
      </c>
      <c r="AJ1816" s="8"/>
      <c r="AK1816" s="8">
        <v>0</v>
      </c>
      <c r="AL1816" s="8">
        <v>751</v>
      </c>
      <c r="AM1816" s="8">
        <v>0</v>
      </c>
      <c r="AN1816" s="5" t="s">
        <v>63</v>
      </c>
      <c r="AO1816" s="10">
        <v>67.2</v>
      </c>
      <c r="AP1816" s="8">
        <v>18</v>
      </c>
      <c r="AQ1816" s="9"/>
      <c r="AR1816" s="5"/>
      <c r="AS1816" s="5" t="s">
        <v>159</v>
      </c>
    </row>
    <row r="1817" spans="1:45" x14ac:dyDescent="0.35">
      <c r="A1817" s="5" t="s">
        <v>7334</v>
      </c>
      <c r="B1817" s="5" t="s">
        <v>3224</v>
      </c>
      <c r="C1817" s="6" t="s">
        <v>7335</v>
      </c>
      <c r="D1817" s="7">
        <v>108900</v>
      </c>
      <c r="E1817" s="5" t="s">
        <v>48</v>
      </c>
      <c r="F1817" s="5" t="s">
        <v>49</v>
      </c>
      <c r="G1817" s="8"/>
      <c r="H1817" s="8" t="str">
        <f>IF(F1817="Bullet",MIN(G1817,Assumptions!$B$6),"")</f>
        <v/>
      </c>
      <c r="I1817" s="8">
        <v>1</v>
      </c>
      <c r="J1817" s="8">
        <f>IF(F1817="Monthly interest",MAX(0,Assumptions!$B$5-I1817),"")</f>
        <v>2</v>
      </c>
      <c r="K1817" s="7">
        <f t="shared" si="84"/>
        <v>1997</v>
      </c>
      <c r="L1817" s="9">
        <v>46277</v>
      </c>
      <c r="M1817" s="5" t="s">
        <v>69</v>
      </c>
      <c r="N1817" s="5" t="s">
        <v>51</v>
      </c>
      <c r="O1817" s="5" t="s">
        <v>52</v>
      </c>
      <c r="P1817" s="5" t="s">
        <v>53</v>
      </c>
      <c r="Q1817" s="5" t="s">
        <v>54</v>
      </c>
      <c r="R1817" s="5" t="s">
        <v>55</v>
      </c>
      <c r="S1817" s="5" t="s">
        <v>75</v>
      </c>
      <c r="T1817" s="5" t="s">
        <v>57</v>
      </c>
      <c r="U1817" s="5" t="s">
        <v>86</v>
      </c>
      <c r="V1817" s="5" t="s">
        <v>76</v>
      </c>
      <c r="W1817" s="5" t="s">
        <v>547</v>
      </c>
      <c r="X1817" s="5" t="s">
        <v>6756</v>
      </c>
      <c r="Y1817" s="5" t="s">
        <v>7336</v>
      </c>
      <c r="Z1817" s="9">
        <v>46215</v>
      </c>
      <c r="AA1817" s="8">
        <v>12</v>
      </c>
      <c r="AB1817" s="9">
        <f t="shared" si="85"/>
        <v>46580</v>
      </c>
      <c r="AC1817" s="10">
        <v>22</v>
      </c>
      <c r="AD1817" s="7">
        <f t="shared" si="86"/>
        <v>1997</v>
      </c>
      <c r="AE1817" s="7">
        <f>IF(F1817="Bullet",H1817*AD1817,MIN(MAX(I1817,1),Assumptions!$B$6)*AD1817)</f>
        <v>1997</v>
      </c>
      <c r="AF1817" s="8">
        <f>IF(F1817="Bullet",MAX(0,Assumptions!$B$4-AB1817),MAX(0,Assumptions!$B$4-L1817))</f>
        <v>21</v>
      </c>
      <c r="AG1817" s="9">
        <v>46246</v>
      </c>
      <c r="AH1817" s="8">
        <f>IF(AG1817="","",Assumptions!$B$4-AG1817)</f>
        <v>52</v>
      </c>
      <c r="AI1817" s="5" t="s">
        <v>63</v>
      </c>
      <c r="AJ1817" s="8">
        <v>1</v>
      </c>
      <c r="AK1817" s="8">
        <v>0</v>
      </c>
      <c r="AL1817" s="8">
        <v>635</v>
      </c>
      <c r="AM1817" s="8">
        <v>1</v>
      </c>
      <c r="AN1817" s="5" t="s">
        <v>63</v>
      </c>
      <c r="AO1817" s="10">
        <v>74.3</v>
      </c>
      <c r="AP1817" s="8">
        <v>34</v>
      </c>
      <c r="AQ1817" s="9">
        <v>46292</v>
      </c>
      <c r="AR1817" s="5" t="s">
        <v>53</v>
      </c>
      <c r="AS1817" s="5" t="s">
        <v>64</v>
      </c>
    </row>
    <row r="1818" spans="1:45" x14ac:dyDescent="0.35">
      <c r="A1818" s="5" t="s">
        <v>7337</v>
      </c>
      <c r="B1818" s="5" t="s">
        <v>624</v>
      </c>
      <c r="C1818" s="6" t="s">
        <v>7338</v>
      </c>
      <c r="D1818" s="7">
        <v>26700</v>
      </c>
      <c r="E1818" s="5" t="s">
        <v>48</v>
      </c>
      <c r="F1818" s="5" t="s">
        <v>68</v>
      </c>
      <c r="G1818" s="8">
        <v>3</v>
      </c>
      <c r="H1818" s="8">
        <f>IF(F1818="Bullet",MIN(G1818,Assumptions!$B$6),"")</f>
        <v>2</v>
      </c>
      <c r="I1818" s="8"/>
      <c r="J1818" s="8" t="str">
        <f>IF(F1818="Monthly interest",MAX(0,Assumptions!$B$5-I1818),"")</f>
        <v/>
      </c>
      <c r="K1818" s="7">
        <f t="shared" si="84"/>
        <v>1203</v>
      </c>
      <c r="L1818" s="9">
        <v>46202</v>
      </c>
      <c r="M1818" s="5" t="s">
        <v>50</v>
      </c>
      <c r="N1818" s="5" t="s">
        <v>53</v>
      </c>
      <c r="O1818" s="5" t="s">
        <v>152</v>
      </c>
      <c r="P1818" s="5" t="s">
        <v>153</v>
      </c>
      <c r="Q1818" s="5" t="s">
        <v>154</v>
      </c>
      <c r="R1818" s="5" t="s">
        <v>155</v>
      </c>
      <c r="S1818" s="5" t="s">
        <v>185</v>
      </c>
      <c r="T1818" s="5" t="s">
        <v>63</v>
      </c>
      <c r="U1818" s="5" t="s">
        <v>86</v>
      </c>
      <c r="V1818" s="5" t="s">
        <v>200</v>
      </c>
      <c r="W1818" s="5" t="s">
        <v>201</v>
      </c>
      <c r="X1818" s="5" t="s">
        <v>1408</v>
      </c>
      <c r="Y1818" s="5" t="s">
        <v>7339</v>
      </c>
      <c r="Z1818" s="9">
        <v>46202</v>
      </c>
      <c r="AA1818" s="8">
        <v>6</v>
      </c>
      <c r="AB1818" s="9">
        <f t="shared" si="85"/>
        <v>46385</v>
      </c>
      <c r="AC1818" s="10">
        <v>18</v>
      </c>
      <c r="AD1818" s="7">
        <f t="shared" si="86"/>
        <v>401</v>
      </c>
      <c r="AE1818" s="7">
        <f>IF(F1818="Bullet",H1818*AD1818,MIN(MAX(I1818,1),Assumptions!$B$6)*AD1818)</f>
        <v>802</v>
      </c>
      <c r="AF1818" s="8">
        <f>IF(F1818="Bullet",MAX(0,Assumptions!$B$4-AB1818),MAX(0,Assumptions!$B$4-L1818))</f>
        <v>0</v>
      </c>
      <c r="AG1818" s="9"/>
      <c r="AH1818" s="8" t="str">
        <f>IF(AG1818="","",Assumptions!$B$4-AG1818)</f>
        <v/>
      </c>
      <c r="AI1818" s="5" t="s">
        <v>80</v>
      </c>
      <c r="AJ1818" s="8"/>
      <c r="AK1818" s="8">
        <v>1</v>
      </c>
      <c r="AL1818" s="8">
        <v>769</v>
      </c>
      <c r="AM1818" s="8">
        <v>2</v>
      </c>
      <c r="AN1818" s="5" t="s">
        <v>63</v>
      </c>
      <c r="AO1818" s="10">
        <v>64.099999999999994</v>
      </c>
      <c r="AP1818" s="8">
        <v>20</v>
      </c>
      <c r="AQ1818" s="9">
        <v>46289</v>
      </c>
      <c r="AR1818" s="5" t="s">
        <v>53</v>
      </c>
      <c r="AS1818" s="5" t="s">
        <v>81</v>
      </c>
    </row>
    <row r="1819" spans="1:45" x14ac:dyDescent="0.35">
      <c r="A1819" s="5" t="s">
        <v>7340</v>
      </c>
      <c r="B1819" s="5" t="s">
        <v>7341</v>
      </c>
      <c r="C1819" s="6" t="s">
        <v>7342</v>
      </c>
      <c r="D1819" s="7">
        <v>71600</v>
      </c>
      <c r="E1819" s="5" t="s">
        <v>48</v>
      </c>
      <c r="F1819" s="5" t="s">
        <v>49</v>
      </c>
      <c r="G1819" s="8"/>
      <c r="H1819" s="8" t="str">
        <f>IF(F1819="Bullet",MIN(G1819,Assumptions!$B$6),"")</f>
        <v/>
      </c>
      <c r="I1819" s="8">
        <v>1</v>
      </c>
      <c r="J1819" s="8">
        <f>IF(F1819="Monthly interest",MAX(0,Assumptions!$B$5-I1819),"")</f>
        <v>2</v>
      </c>
      <c r="K1819" s="7">
        <f t="shared" si="84"/>
        <v>1193</v>
      </c>
      <c r="L1819" s="9">
        <v>46290</v>
      </c>
      <c r="M1819" s="5" t="s">
        <v>50</v>
      </c>
      <c r="N1819" s="5" t="s">
        <v>51</v>
      </c>
      <c r="O1819" s="5" t="s">
        <v>52</v>
      </c>
      <c r="P1819" s="5" t="s">
        <v>53</v>
      </c>
      <c r="Q1819" s="5" t="s">
        <v>54</v>
      </c>
      <c r="R1819" s="5" t="s">
        <v>55</v>
      </c>
      <c r="S1819" s="5" t="s">
        <v>214</v>
      </c>
      <c r="T1819" s="5" t="s">
        <v>57</v>
      </c>
      <c r="U1819" s="5" t="s">
        <v>86</v>
      </c>
      <c r="V1819" s="5" t="s">
        <v>215</v>
      </c>
      <c r="W1819" s="5" t="s">
        <v>242</v>
      </c>
      <c r="X1819" s="5" t="s">
        <v>243</v>
      </c>
      <c r="Y1819" s="5" t="s">
        <v>7343</v>
      </c>
      <c r="Z1819" s="9">
        <v>46228</v>
      </c>
      <c r="AA1819" s="8">
        <v>12</v>
      </c>
      <c r="AB1819" s="9">
        <f t="shared" si="85"/>
        <v>46593</v>
      </c>
      <c r="AC1819" s="10">
        <v>20</v>
      </c>
      <c r="AD1819" s="7">
        <f t="shared" si="86"/>
        <v>1193</v>
      </c>
      <c r="AE1819" s="7">
        <f>IF(F1819="Bullet",H1819*AD1819,MIN(MAX(I1819,1),Assumptions!$B$6)*AD1819)</f>
        <v>1193</v>
      </c>
      <c r="AF1819" s="8">
        <f>IF(F1819="Bullet",MAX(0,Assumptions!$B$4-AB1819),MAX(0,Assumptions!$B$4-L1819))</f>
        <v>8</v>
      </c>
      <c r="AG1819" s="9">
        <v>46261</v>
      </c>
      <c r="AH1819" s="8">
        <f>IF(AG1819="","",Assumptions!$B$4-AG1819)</f>
        <v>37</v>
      </c>
      <c r="AI1819" s="5" t="s">
        <v>63</v>
      </c>
      <c r="AJ1819" s="8">
        <v>1</v>
      </c>
      <c r="AK1819" s="8">
        <v>0</v>
      </c>
      <c r="AL1819" s="8" t="s">
        <v>80</v>
      </c>
      <c r="AM1819" s="8">
        <v>2</v>
      </c>
      <c r="AN1819" s="5" t="s">
        <v>63</v>
      </c>
      <c r="AO1819" s="10">
        <v>56.5</v>
      </c>
      <c r="AP1819" s="8">
        <v>22</v>
      </c>
      <c r="AQ1819" s="9">
        <v>46273</v>
      </c>
      <c r="AR1819" s="5" t="s">
        <v>51</v>
      </c>
      <c r="AS1819" s="5" t="s">
        <v>64</v>
      </c>
    </row>
    <row r="1820" spans="1:45" x14ac:dyDescent="0.35">
      <c r="A1820" s="5" t="s">
        <v>7344</v>
      </c>
      <c r="B1820" s="5" t="s">
        <v>4799</v>
      </c>
      <c r="C1820" s="6" t="s">
        <v>7345</v>
      </c>
      <c r="D1820" s="7">
        <v>604100</v>
      </c>
      <c r="E1820" s="5" t="s">
        <v>48</v>
      </c>
      <c r="F1820" s="5" t="s">
        <v>68</v>
      </c>
      <c r="G1820" s="8">
        <v>2</v>
      </c>
      <c r="H1820" s="8">
        <f>IF(F1820="Bullet",MIN(G1820,Assumptions!$B$6),"")</f>
        <v>2</v>
      </c>
      <c r="I1820" s="8"/>
      <c r="J1820" s="8" t="str">
        <f>IF(F1820="Monthly interest",MAX(0,Assumptions!$B$5-I1820),"")</f>
        <v/>
      </c>
      <c r="K1820" s="7">
        <f t="shared" si="84"/>
        <v>14096</v>
      </c>
      <c r="L1820" s="9">
        <v>46234</v>
      </c>
      <c r="M1820" s="5" t="s">
        <v>50</v>
      </c>
      <c r="N1820" s="5" t="s">
        <v>70</v>
      </c>
      <c r="O1820" s="5" t="s">
        <v>271</v>
      </c>
      <c r="P1820" s="5" t="s">
        <v>72</v>
      </c>
      <c r="Q1820" s="5" t="s">
        <v>73</v>
      </c>
      <c r="R1820" s="5" t="s">
        <v>74</v>
      </c>
      <c r="S1820" s="5" t="s">
        <v>75</v>
      </c>
      <c r="T1820" s="5" t="s">
        <v>63</v>
      </c>
      <c r="U1820" s="5" t="s">
        <v>86</v>
      </c>
      <c r="V1820" s="5" t="s">
        <v>76</v>
      </c>
      <c r="W1820" s="5" t="s">
        <v>105</v>
      </c>
      <c r="X1820" s="5" t="s">
        <v>585</v>
      </c>
      <c r="Y1820" s="5" t="s">
        <v>7346</v>
      </c>
      <c r="Z1820" s="9">
        <v>46234</v>
      </c>
      <c r="AA1820" s="8">
        <v>12</v>
      </c>
      <c r="AB1820" s="9">
        <f t="shared" si="85"/>
        <v>46599</v>
      </c>
      <c r="AC1820" s="10">
        <v>14</v>
      </c>
      <c r="AD1820" s="7">
        <f t="shared" si="86"/>
        <v>7048</v>
      </c>
      <c r="AE1820" s="7">
        <f>IF(F1820="Bullet",H1820*AD1820,MIN(MAX(I1820,1),Assumptions!$B$6)*AD1820)</f>
        <v>14096</v>
      </c>
      <c r="AF1820" s="8">
        <f>IF(F1820="Bullet",MAX(0,Assumptions!$B$4-AB1820),MAX(0,Assumptions!$B$4-L1820))</f>
        <v>0</v>
      </c>
      <c r="AG1820" s="9"/>
      <c r="AH1820" s="8" t="str">
        <f>IF(AG1820="","",Assumptions!$B$4-AG1820)</f>
        <v/>
      </c>
      <c r="AI1820" s="5" t="s">
        <v>80</v>
      </c>
      <c r="AJ1820" s="8"/>
      <c r="AK1820" s="8">
        <v>0</v>
      </c>
      <c r="AL1820" s="8">
        <v>768</v>
      </c>
      <c r="AM1820" s="8">
        <v>2</v>
      </c>
      <c r="AN1820" s="5" t="s">
        <v>63</v>
      </c>
      <c r="AO1820" s="10">
        <v>77</v>
      </c>
      <c r="AP1820" s="8">
        <v>11</v>
      </c>
      <c r="AQ1820" s="9">
        <v>46287</v>
      </c>
      <c r="AR1820" s="5" t="s">
        <v>70</v>
      </c>
      <c r="AS1820" s="5" t="s">
        <v>274</v>
      </c>
    </row>
    <row r="1821" spans="1:45" x14ac:dyDescent="0.35">
      <c r="A1821" s="5" t="s">
        <v>7347</v>
      </c>
      <c r="B1821" s="5" t="s">
        <v>5408</v>
      </c>
      <c r="C1821" s="6" t="s">
        <v>7348</v>
      </c>
      <c r="D1821" s="7">
        <v>55400</v>
      </c>
      <c r="E1821" s="5" t="s">
        <v>48</v>
      </c>
      <c r="F1821" s="5" t="s">
        <v>49</v>
      </c>
      <c r="G1821" s="8"/>
      <c r="H1821" s="8" t="str">
        <f>IF(F1821="Bullet",MIN(G1821,Assumptions!$B$6),"")</f>
        <v/>
      </c>
      <c r="I1821" s="8">
        <v>2</v>
      </c>
      <c r="J1821" s="8">
        <f>IF(F1821="Monthly interest",MAX(0,Assumptions!$B$5-I1821),"")</f>
        <v>1</v>
      </c>
      <c r="K1821" s="7">
        <f t="shared" si="84"/>
        <v>1478</v>
      </c>
      <c r="L1821" s="9">
        <v>46239</v>
      </c>
      <c r="M1821" s="5" t="s">
        <v>116</v>
      </c>
      <c r="N1821" s="5" t="s">
        <v>117</v>
      </c>
      <c r="O1821" s="5" t="s">
        <v>118</v>
      </c>
      <c r="P1821" s="5" t="s">
        <v>72</v>
      </c>
      <c r="Q1821" s="5" t="s">
        <v>119</v>
      </c>
      <c r="R1821" s="5" t="s">
        <v>120</v>
      </c>
      <c r="S1821" s="5" t="s">
        <v>214</v>
      </c>
      <c r="T1821" s="5" t="s">
        <v>57</v>
      </c>
      <c r="U1821" s="5" t="s">
        <v>104</v>
      </c>
      <c r="V1821" s="5" t="s">
        <v>215</v>
      </c>
      <c r="W1821" s="5" t="s">
        <v>600</v>
      </c>
      <c r="X1821" s="5" t="s">
        <v>601</v>
      </c>
      <c r="Y1821" s="5" t="s">
        <v>7349</v>
      </c>
      <c r="Z1821" s="9">
        <v>46117</v>
      </c>
      <c r="AA1821" s="8">
        <v>12</v>
      </c>
      <c r="AB1821" s="9">
        <f t="shared" si="85"/>
        <v>46482</v>
      </c>
      <c r="AC1821" s="10">
        <v>16</v>
      </c>
      <c r="AD1821" s="7">
        <f t="shared" si="86"/>
        <v>739</v>
      </c>
      <c r="AE1821" s="7">
        <f>IF(F1821="Bullet",H1821*AD1821,MIN(MAX(I1821,1),Assumptions!$B$6)*AD1821)</f>
        <v>1478</v>
      </c>
      <c r="AF1821" s="8">
        <f>IF(F1821="Bullet",MAX(0,Assumptions!$B$4-AB1821),MAX(0,Assumptions!$B$4-L1821))</f>
        <v>59</v>
      </c>
      <c r="AG1821" s="9">
        <v>46211</v>
      </c>
      <c r="AH1821" s="8">
        <f>IF(AG1821="","",Assumptions!$B$4-AG1821)</f>
        <v>87</v>
      </c>
      <c r="AI1821" s="5" t="s">
        <v>57</v>
      </c>
      <c r="AJ1821" s="8">
        <v>4</v>
      </c>
      <c r="AK1821" s="8">
        <v>2</v>
      </c>
      <c r="AL1821" s="8">
        <v>734</v>
      </c>
      <c r="AM1821" s="8">
        <v>2</v>
      </c>
      <c r="AN1821" s="5" t="s">
        <v>63</v>
      </c>
      <c r="AO1821" s="10">
        <v>67.7</v>
      </c>
      <c r="AP1821" s="8">
        <v>59</v>
      </c>
      <c r="AQ1821" s="9">
        <v>46275</v>
      </c>
      <c r="AR1821" s="5" t="s">
        <v>53</v>
      </c>
      <c r="AS1821" s="5" t="s">
        <v>81</v>
      </c>
    </row>
    <row r="1822" spans="1:45" x14ac:dyDescent="0.35">
      <c r="A1822" s="5" t="s">
        <v>7350</v>
      </c>
      <c r="B1822" s="5" t="s">
        <v>1639</v>
      </c>
      <c r="C1822" s="6" t="s">
        <v>7351</v>
      </c>
      <c r="D1822" s="7">
        <v>66600</v>
      </c>
      <c r="E1822" s="5" t="s">
        <v>48</v>
      </c>
      <c r="F1822" s="5" t="s">
        <v>68</v>
      </c>
      <c r="G1822" s="8">
        <v>2</v>
      </c>
      <c r="H1822" s="8">
        <f>IF(F1822="Bullet",MIN(G1822,Assumptions!$B$6),"")</f>
        <v>2</v>
      </c>
      <c r="I1822" s="8"/>
      <c r="J1822" s="8" t="str">
        <f>IF(F1822="Monthly interest",MAX(0,Assumptions!$B$5-I1822),"")</f>
        <v/>
      </c>
      <c r="K1822" s="7">
        <f t="shared" si="84"/>
        <v>1666</v>
      </c>
      <c r="L1822" s="9">
        <v>46228</v>
      </c>
      <c r="M1822" s="5" t="s">
        <v>50</v>
      </c>
      <c r="N1822" s="5" t="s">
        <v>53</v>
      </c>
      <c r="O1822" s="5" t="s">
        <v>132</v>
      </c>
      <c r="P1822" s="5" t="s">
        <v>70</v>
      </c>
      <c r="Q1822" s="5" t="s">
        <v>73</v>
      </c>
      <c r="R1822" s="5" t="s">
        <v>74</v>
      </c>
      <c r="S1822" s="5" t="s">
        <v>85</v>
      </c>
      <c r="T1822" s="5" t="s">
        <v>63</v>
      </c>
      <c r="U1822" s="5" t="s">
        <v>86</v>
      </c>
      <c r="V1822" s="5" t="s">
        <v>177</v>
      </c>
      <c r="W1822" s="5" t="s">
        <v>208</v>
      </c>
      <c r="X1822" s="5" t="s">
        <v>909</v>
      </c>
      <c r="Y1822" s="5" t="s">
        <v>7352</v>
      </c>
      <c r="Z1822" s="9">
        <v>46228</v>
      </c>
      <c r="AA1822" s="8">
        <v>6</v>
      </c>
      <c r="AB1822" s="9">
        <f t="shared" si="85"/>
        <v>46412</v>
      </c>
      <c r="AC1822" s="10">
        <v>15</v>
      </c>
      <c r="AD1822" s="7">
        <f t="shared" si="86"/>
        <v>833</v>
      </c>
      <c r="AE1822" s="7">
        <f>IF(F1822="Bullet",H1822*AD1822,MIN(MAX(I1822,1),Assumptions!$B$6)*AD1822)</f>
        <v>1666</v>
      </c>
      <c r="AF1822" s="8">
        <f>IF(F1822="Bullet",MAX(0,Assumptions!$B$4-AB1822),MAX(0,Assumptions!$B$4-L1822))</f>
        <v>0</v>
      </c>
      <c r="AG1822" s="9"/>
      <c r="AH1822" s="8" t="str">
        <f>IF(AG1822="","",Assumptions!$B$4-AG1822)</f>
        <v/>
      </c>
      <c r="AI1822" s="5" t="s">
        <v>80</v>
      </c>
      <c r="AJ1822" s="8"/>
      <c r="AK1822" s="8">
        <v>0</v>
      </c>
      <c r="AL1822" s="8">
        <v>658</v>
      </c>
      <c r="AM1822" s="8">
        <v>0</v>
      </c>
      <c r="AN1822" s="5" t="s">
        <v>63</v>
      </c>
      <c r="AO1822" s="10">
        <v>69.2</v>
      </c>
      <c r="AP1822" s="8">
        <v>22</v>
      </c>
      <c r="AQ1822" s="9">
        <v>46278</v>
      </c>
      <c r="AR1822" s="5" t="s">
        <v>51</v>
      </c>
      <c r="AS1822" s="5" t="s">
        <v>91</v>
      </c>
    </row>
    <row r="1823" spans="1:45" x14ac:dyDescent="0.35">
      <c r="A1823" s="5" t="s">
        <v>7353</v>
      </c>
      <c r="B1823" s="5" t="s">
        <v>7354</v>
      </c>
      <c r="C1823" s="6" t="s">
        <v>7355</v>
      </c>
      <c r="D1823" s="7">
        <v>112700</v>
      </c>
      <c r="E1823" s="5" t="s">
        <v>48</v>
      </c>
      <c r="F1823" s="5" t="s">
        <v>49</v>
      </c>
      <c r="G1823" s="8"/>
      <c r="H1823" s="8" t="str">
        <f>IF(F1823="Bullet",MIN(G1823,Assumptions!$B$6),"")</f>
        <v/>
      </c>
      <c r="I1823" s="8">
        <v>2</v>
      </c>
      <c r="J1823" s="8">
        <f>IF(F1823="Monthly interest",MAX(0,Assumptions!$B$5-I1823),"")</f>
        <v>1</v>
      </c>
      <c r="K1823" s="7">
        <f t="shared" si="84"/>
        <v>3382</v>
      </c>
      <c r="L1823" s="9">
        <v>46241</v>
      </c>
      <c r="M1823" s="5" t="s">
        <v>69</v>
      </c>
      <c r="N1823" s="5" t="s">
        <v>70</v>
      </c>
      <c r="O1823" s="5" t="s">
        <v>531</v>
      </c>
      <c r="P1823" s="5" t="s">
        <v>72</v>
      </c>
      <c r="Q1823" s="5" t="s">
        <v>73</v>
      </c>
      <c r="R1823" s="5" t="s">
        <v>74</v>
      </c>
      <c r="S1823" s="5" t="s">
        <v>56</v>
      </c>
      <c r="T1823" s="5" t="s">
        <v>63</v>
      </c>
      <c r="U1823" s="5" t="s">
        <v>58</v>
      </c>
      <c r="V1823" s="5" t="s">
        <v>59</v>
      </c>
      <c r="W1823" s="5" t="s">
        <v>323</v>
      </c>
      <c r="X1823" s="5" t="s">
        <v>651</v>
      </c>
      <c r="Y1823" s="5" t="s">
        <v>7356</v>
      </c>
      <c r="Z1823" s="9">
        <v>45968</v>
      </c>
      <c r="AA1823" s="8">
        <v>12</v>
      </c>
      <c r="AB1823" s="9">
        <f t="shared" si="85"/>
        <v>46333</v>
      </c>
      <c r="AC1823" s="10">
        <v>18</v>
      </c>
      <c r="AD1823" s="7">
        <f t="shared" si="86"/>
        <v>1691</v>
      </c>
      <c r="AE1823" s="7">
        <f>IF(F1823="Bullet",H1823*AD1823,MIN(MAX(I1823,1),Assumptions!$B$6)*AD1823)</f>
        <v>3382</v>
      </c>
      <c r="AF1823" s="8">
        <f>IF(F1823="Bullet",MAX(0,Assumptions!$B$4-AB1823),MAX(0,Assumptions!$B$4-L1823))</f>
        <v>57</v>
      </c>
      <c r="AG1823" s="9">
        <v>46214</v>
      </c>
      <c r="AH1823" s="8">
        <f>IF(AG1823="","",Assumptions!$B$4-AG1823)</f>
        <v>84</v>
      </c>
      <c r="AI1823" s="5" t="s">
        <v>63</v>
      </c>
      <c r="AJ1823" s="8">
        <v>2</v>
      </c>
      <c r="AK1823" s="8">
        <v>0</v>
      </c>
      <c r="AL1823" s="8">
        <v>711</v>
      </c>
      <c r="AM1823" s="8">
        <v>1</v>
      </c>
      <c r="AN1823" s="5" t="s">
        <v>63</v>
      </c>
      <c r="AO1823" s="10">
        <v>67.099999999999994</v>
      </c>
      <c r="AP1823" s="8">
        <v>40</v>
      </c>
      <c r="AQ1823" s="9">
        <v>46285</v>
      </c>
      <c r="AR1823" s="5" t="s">
        <v>53</v>
      </c>
      <c r="AS1823" s="5" t="s">
        <v>81</v>
      </c>
    </row>
    <row r="1824" spans="1:45" x14ac:dyDescent="0.35">
      <c r="A1824" s="5" t="s">
        <v>7357</v>
      </c>
      <c r="B1824" s="5" t="s">
        <v>7358</v>
      </c>
      <c r="C1824" s="6" t="s">
        <v>7359</v>
      </c>
      <c r="D1824" s="7">
        <v>112200</v>
      </c>
      <c r="E1824" s="5" t="s">
        <v>48</v>
      </c>
      <c r="F1824" s="5" t="s">
        <v>68</v>
      </c>
      <c r="G1824" s="8">
        <v>4</v>
      </c>
      <c r="H1824" s="8">
        <f>IF(F1824="Bullet",MIN(G1824,Assumptions!$B$6),"")</f>
        <v>2</v>
      </c>
      <c r="I1824" s="8"/>
      <c r="J1824" s="8" t="str">
        <f>IF(F1824="Monthly interest",MAX(0,Assumptions!$B$5-I1824),"")</f>
        <v/>
      </c>
      <c r="K1824" s="7">
        <f t="shared" si="84"/>
        <v>5236</v>
      </c>
      <c r="L1824" s="9">
        <v>46152</v>
      </c>
      <c r="M1824" s="5" t="s">
        <v>69</v>
      </c>
      <c r="N1824" s="5" t="s">
        <v>53</v>
      </c>
      <c r="O1824" s="5" t="s">
        <v>71</v>
      </c>
      <c r="P1824" s="5" t="s">
        <v>70</v>
      </c>
      <c r="Q1824" s="5" t="s">
        <v>73</v>
      </c>
      <c r="R1824" s="5" t="s">
        <v>74</v>
      </c>
      <c r="S1824" s="5" t="s">
        <v>85</v>
      </c>
      <c r="T1824" s="5" t="s">
        <v>57</v>
      </c>
      <c r="U1824" s="5" t="s">
        <v>86</v>
      </c>
      <c r="V1824" s="5" t="s">
        <v>96</v>
      </c>
      <c r="W1824" s="5" t="s">
        <v>171</v>
      </c>
      <c r="X1824" s="5" t="s">
        <v>1248</v>
      </c>
      <c r="Y1824" s="5" t="s">
        <v>7360</v>
      </c>
      <c r="Z1824" s="9">
        <v>46152</v>
      </c>
      <c r="AA1824" s="8">
        <v>6</v>
      </c>
      <c r="AB1824" s="9">
        <f t="shared" si="85"/>
        <v>46336</v>
      </c>
      <c r="AC1824" s="10">
        <v>14</v>
      </c>
      <c r="AD1824" s="7">
        <f t="shared" si="86"/>
        <v>1309</v>
      </c>
      <c r="AE1824" s="7">
        <f>IF(F1824="Bullet",H1824*AD1824,MIN(MAX(I1824,1),Assumptions!$B$6)*AD1824)</f>
        <v>2618</v>
      </c>
      <c r="AF1824" s="8">
        <f>IF(F1824="Bullet",MAX(0,Assumptions!$B$4-AB1824),MAX(0,Assumptions!$B$4-L1824))</f>
        <v>0</v>
      </c>
      <c r="AG1824" s="9"/>
      <c r="AH1824" s="8" t="str">
        <f>IF(AG1824="","",Assumptions!$B$4-AG1824)</f>
        <v/>
      </c>
      <c r="AI1824" s="5" t="s">
        <v>80</v>
      </c>
      <c r="AJ1824" s="8"/>
      <c r="AK1824" s="8">
        <v>0</v>
      </c>
      <c r="AL1824" s="8">
        <v>629</v>
      </c>
      <c r="AM1824" s="8">
        <v>0</v>
      </c>
      <c r="AN1824" s="5" t="s">
        <v>63</v>
      </c>
      <c r="AO1824" s="10">
        <v>68.400000000000006</v>
      </c>
      <c r="AP1824" s="8">
        <v>32</v>
      </c>
      <c r="AQ1824" s="9">
        <v>46285</v>
      </c>
      <c r="AR1824" s="5" t="s">
        <v>51</v>
      </c>
      <c r="AS1824" s="5" t="s">
        <v>81</v>
      </c>
    </row>
    <row r="1825" spans="1:45" x14ac:dyDescent="0.35">
      <c r="A1825" s="5" t="s">
        <v>7361</v>
      </c>
      <c r="B1825" s="5" t="s">
        <v>2079</v>
      </c>
      <c r="C1825" s="6" t="s">
        <v>7362</v>
      </c>
      <c r="D1825" s="7">
        <v>97800</v>
      </c>
      <c r="E1825" s="5" t="s">
        <v>48</v>
      </c>
      <c r="F1825" s="5" t="s">
        <v>49</v>
      </c>
      <c r="G1825" s="8"/>
      <c r="H1825" s="8" t="str">
        <f>IF(F1825="Bullet",MIN(G1825,Assumptions!$B$6),"")</f>
        <v/>
      </c>
      <c r="I1825" s="8">
        <v>2</v>
      </c>
      <c r="J1825" s="8">
        <f>IF(F1825="Monthly interest",MAX(0,Assumptions!$B$5-I1825),"")</f>
        <v>1</v>
      </c>
      <c r="K1825" s="7">
        <f t="shared" si="84"/>
        <v>3260</v>
      </c>
      <c r="L1825" s="9">
        <v>46258</v>
      </c>
      <c r="M1825" s="5" t="s">
        <v>69</v>
      </c>
      <c r="N1825" s="5" t="s">
        <v>53</v>
      </c>
      <c r="O1825" s="5" t="s">
        <v>71</v>
      </c>
      <c r="P1825" s="5" t="s">
        <v>70</v>
      </c>
      <c r="Q1825" s="5" t="s">
        <v>73</v>
      </c>
      <c r="R1825" s="5" t="s">
        <v>74</v>
      </c>
      <c r="S1825" s="5" t="s">
        <v>75</v>
      </c>
      <c r="T1825" s="5" t="s">
        <v>57</v>
      </c>
      <c r="U1825" s="5" t="s">
        <v>86</v>
      </c>
      <c r="V1825" s="5" t="s">
        <v>76</v>
      </c>
      <c r="W1825" s="5" t="s">
        <v>444</v>
      </c>
      <c r="X1825" s="5" t="s">
        <v>445</v>
      </c>
      <c r="Y1825" s="5" t="s">
        <v>7363</v>
      </c>
      <c r="Z1825" s="9">
        <v>45985</v>
      </c>
      <c r="AA1825" s="8">
        <v>18</v>
      </c>
      <c r="AB1825" s="9">
        <f t="shared" si="85"/>
        <v>46531</v>
      </c>
      <c r="AC1825" s="10">
        <v>20</v>
      </c>
      <c r="AD1825" s="7">
        <f t="shared" si="86"/>
        <v>1630</v>
      </c>
      <c r="AE1825" s="7">
        <f>IF(F1825="Bullet",H1825*AD1825,MIN(MAX(I1825,1),Assumptions!$B$6)*AD1825)</f>
        <v>3260</v>
      </c>
      <c r="AF1825" s="8">
        <f>IF(F1825="Bullet",MAX(0,Assumptions!$B$4-AB1825),MAX(0,Assumptions!$B$4-L1825))</f>
        <v>40</v>
      </c>
      <c r="AG1825" s="9">
        <v>46230</v>
      </c>
      <c r="AH1825" s="8">
        <f>IF(AG1825="","",Assumptions!$B$4-AG1825)</f>
        <v>68</v>
      </c>
      <c r="AI1825" s="5" t="s">
        <v>63</v>
      </c>
      <c r="AJ1825" s="8">
        <v>2</v>
      </c>
      <c r="AK1825" s="8">
        <v>0</v>
      </c>
      <c r="AL1825" s="8">
        <v>744</v>
      </c>
      <c r="AM1825" s="8">
        <v>1</v>
      </c>
      <c r="AN1825" s="5" t="s">
        <v>63</v>
      </c>
      <c r="AO1825" s="10">
        <v>62.7</v>
      </c>
      <c r="AP1825" s="8">
        <v>32</v>
      </c>
      <c r="AQ1825" s="9">
        <v>46295</v>
      </c>
      <c r="AR1825" s="5" t="s">
        <v>51</v>
      </c>
      <c r="AS1825" s="5" t="s">
        <v>190</v>
      </c>
    </row>
    <row r="1826" spans="1:45" x14ac:dyDescent="0.35">
      <c r="A1826" s="5" t="s">
        <v>7364</v>
      </c>
      <c r="B1826" s="5" t="s">
        <v>1658</v>
      </c>
      <c r="C1826" s="6" t="s">
        <v>7365</v>
      </c>
      <c r="D1826" s="7">
        <v>62500</v>
      </c>
      <c r="E1826" s="5" t="s">
        <v>48</v>
      </c>
      <c r="F1826" s="5" t="s">
        <v>49</v>
      </c>
      <c r="G1826" s="8"/>
      <c r="H1826" s="8" t="str">
        <f>IF(F1826="Bullet",MIN(G1826,Assumptions!$B$6),"")</f>
        <v/>
      </c>
      <c r="I1826" s="8">
        <v>1</v>
      </c>
      <c r="J1826" s="8">
        <f>IF(F1826="Monthly interest",MAX(0,Assumptions!$B$5-I1826),"")</f>
        <v>2</v>
      </c>
      <c r="K1826" s="7">
        <f t="shared" si="84"/>
        <v>1146</v>
      </c>
      <c r="L1826" s="9">
        <v>46276</v>
      </c>
      <c r="M1826" s="5" t="s">
        <v>69</v>
      </c>
      <c r="N1826" s="5" t="s">
        <v>53</v>
      </c>
      <c r="O1826" s="5" t="s">
        <v>103</v>
      </c>
      <c r="P1826" s="5" t="s">
        <v>70</v>
      </c>
      <c r="Q1826" s="5" t="s">
        <v>54</v>
      </c>
      <c r="R1826" s="5" t="s">
        <v>55</v>
      </c>
      <c r="S1826" s="5" t="s">
        <v>56</v>
      </c>
      <c r="T1826" s="5" t="s">
        <v>57</v>
      </c>
      <c r="U1826" s="5" t="s">
        <v>86</v>
      </c>
      <c r="V1826" s="5" t="s">
        <v>59</v>
      </c>
      <c r="W1826" s="5" t="s">
        <v>194</v>
      </c>
      <c r="X1826" s="5" t="s">
        <v>2879</v>
      </c>
      <c r="Y1826" s="5" t="s">
        <v>7366</v>
      </c>
      <c r="Z1826" s="9">
        <v>46033</v>
      </c>
      <c r="AA1826" s="8">
        <v>12</v>
      </c>
      <c r="AB1826" s="9">
        <f t="shared" si="85"/>
        <v>46398</v>
      </c>
      <c r="AC1826" s="10">
        <v>22</v>
      </c>
      <c r="AD1826" s="7">
        <f t="shared" si="86"/>
        <v>1146</v>
      </c>
      <c r="AE1826" s="7">
        <f>IF(F1826="Bullet",H1826*AD1826,MIN(MAX(I1826,1),Assumptions!$B$6)*AD1826)</f>
        <v>1146</v>
      </c>
      <c r="AF1826" s="8">
        <f>IF(F1826="Bullet",MAX(0,Assumptions!$B$4-AB1826),MAX(0,Assumptions!$B$4-L1826))</f>
        <v>22</v>
      </c>
      <c r="AG1826" s="9">
        <v>46245</v>
      </c>
      <c r="AH1826" s="8">
        <f>IF(AG1826="","",Assumptions!$B$4-AG1826)</f>
        <v>53</v>
      </c>
      <c r="AI1826" s="5" t="s">
        <v>57</v>
      </c>
      <c r="AJ1826" s="8">
        <v>1</v>
      </c>
      <c r="AK1826" s="8">
        <v>0</v>
      </c>
      <c r="AL1826" s="8">
        <v>688</v>
      </c>
      <c r="AM1826" s="8">
        <v>1</v>
      </c>
      <c r="AN1826" s="5" t="s">
        <v>63</v>
      </c>
      <c r="AO1826" s="10">
        <v>86</v>
      </c>
      <c r="AP1826" s="8">
        <v>38</v>
      </c>
      <c r="AQ1826" s="9">
        <v>46297</v>
      </c>
      <c r="AR1826" s="5" t="s">
        <v>51</v>
      </c>
      <c r="AS1826" s="5" t="s">
        <v>81</v>
      </c>
    </row>
    <row r="1827" spans="1:45" x14ac:dyDescent="0.35">
      <c r="A1827" s="5" t="s">
        <v>7367</v>
      </c>
      <c r="B1827" s="5" t="s">
        <v>4073</v>
      </c>
      <c r="C1827" s="6" t="s">
        <v>7368</v>
      </c>
      <c r="D1827" s="7">
        <v>57300</v>
      </c>
      <c r="E1827" s="5" t="s">
        <v>48</v>
      </c>
      <c r="F1827" s="5" t="s">
        <v>68</v>
      </c>
      <c r="G1827" s="8">
        <v>3</v>
      </c>
      <c r="H1827" s="8">
        <f>IF(F1827="Bullet",MIN(G1827,Assumptions!$B$6),"")</f>
        <v>2</v>
      </c>
      <c r="I1827" s="8"/>
      <c r="J1827" s="8" t="str">
        <f>IF(F1827="Monthly interest",MAX(0,Assumptions!$B$5-I1827),"")</f>
        <v/>
      </c>
      <c r="K1827" s="7">
        <f t="shared" si="84"/>
        <v>2580</v>
      </c>
      <c r="L1827" s="9">
        <v>46190</v>
      </c>
      <c r="M1827" s="5" t="s">
        <v>50</v>
      </c>
      <c r="N1827" s="5" t="s">
        <v>70</v>
      </c>
      <c r="O1827" s="5" t="s">
        <v>531</v>
      </c>
      <c r="P1827" s="5" t="s">
        <v>72</v>
      </c>
      <c r="Q1827" s="5" t="s">
        <v>73</v>
      </c>
      <c r="R1827" s="5" t="s">
        <v>74</v>
      </c>
      <c r="S1827" s="5" t="s">
        <v>185</v>
      </c>
      <c r="T1827" s="5" t="s">
        <v>63</v>
      </c>
      <c r="U1827" s="5" t="s">
        <v>104</v>
      </c>
      <c r="V1827" s="5" t="s">
        <v>200</v>
      </c>
      <c r="W1827" s="5" t="s">
        <v>433</v>
      </c>
      <c r="X1827" s="5" t="s">
        <v>7369</v>
      </c>
      <c r="Y1827" s="5" t="s">
        <v>7370</v>
      </c>
      <c r="Z1827" s="9">
        <v>46190</v>
      </c>
      <c r="AA1827" s="8">
        <v>12</v>
      </c>
      <c r="AB1827" s="9">
        <f t="shared" si="85"/>
        <v>46555</v>
      </c>
      <c r="AC1827" s="10">
        <v>18</v>
      </c>
      <c r="AD1827" s="7">
        <f t="shared" si="86"/>
        <v>860</v>
      </c>
      <c r="AE1827" s="7">
        <f>IF(F1827="Bullet",H1827*AD1827,MIN(MAX(I1827,1),Assumptions!$B$6)*AD1827)</f>
        <v>1720</v>
      </c>
      <c r="AF1827" s="8">
        <f>IF(F1827="Bullet",MAX(0,Assumptions!$B$4-AB1827),MAX(0,Assumptions!$B$4-L1827))</f>
        <v>0</v>
      </c>
      <c r="AG1827" s="9"/>
      <c r="AH1827" s="8" t="str">
        <f>IF(AG1827="","",Assumptions!$B$4-AG1827)</f>
        <v/>
      </c>
      <c r="AI1827" s="5" t="s">
        <v>80</v>
      </c>
      <c r="AJ1827" s="8"/>
      <c r="AK1827" s="8">
        <v>1</v>
      </c>
      <c r="AL1827" s="8">
        <v>707</v>
      </c>
      <c r="AM1827" s="8">
        <v>1</v>
      </c>
      <c r="AN1827" s="5" t="s">
        <v>63</v>
      </c>
      <c r="AO1827" s="10">
        <v>78</v>
      </c>
      <c r="AP1827" s="8">
        <v>25</v>
      </c>
      <c r="AQ1827" s="9">
        <v>46293</v>
      </c>
      <c r="AR1827" s="5" t="s">
        <v>53</v>
      </c>
      <c r="AS1827" s="5" t="s">
        <v>81</v>
      </c>
    </row>
    <row r="1828" spans="1:45" x14ac:dyDescent="0.35">
      <c r="A1828" s="5" t="s">
        <v>7371</v>
      </c>
      <c r="B1828" s="5" t="s">
        <v>7372</v>
      </c>
      <c r="C1828" s="6" t="s">
        <v>7373</v>
      </c>
      <c r="D1828" s="7">
        <v>107300</v>
      </c>
      <c r="E1828" s="5" t="s">
        <v>48</v>
      </c>
      <c r="F1828" s="5" t="s">
        <v>49</v>
      </c>
      <c r="G1828" s="8"/>
      <c r="H1828" s="8" t="str">
        <f>IF(F1828="Bullet",MIN(G1828,Assumptions!$B$6),"")</f>
        <v/>
      </c>
      <c r="I1828" s="8">
        <v>1</v>
      </c>
      <c r="J1828" s="8">
        <f>IF(F1828="Monthly interest",MAX(0,Assumptions!$B$5-I1828),"")</f>
        <v>2</v>
      </c>
      <c r="K1828" s="7">
        <f t="shared" si="84"/>
        <v>1788</v>
      </c>
      <c r="L1828" s="9">
        <v>46272</v>
      </c>
      <c r="M1828" s="5" t="s">
        <v>50</v>
      </c>
      <c r="N1828" s="5" t="s">
        <v>51</v>
      </c>
      <c r="O1828" s="5" t="s">
        <v>52</v>
      </c>
      <c r="P1828" s="5" t="s">
        <v>53</v>
      </c>
      <c r="Q1828" s="5" t="s">
        <v>54</v>
      </c>
      <c r="R1828" s="5" t="s">
        <v>55</v>
      </c>
      <c r="S1828" s="5" t="s">
        <v>75</v>
      </c>
      <c r="T1828" s="5" t="s">
        <v>57</v>
      </c>
      <c r="U1828" s="5" t="s">
        <v>86</v>
      </c>
      <c r="V1828" s="5" t="s">
        <v>76</v>
      </c>
      <c r="W1828" s="5" t="s">
        <v>547</v>
      </c>
      <c r="X1828" s="5" t="s">
        <v>2409</v>
      </c>
      <c r="Y1828" s="5" t="s">
        <v>7374</v>
      </c>
      <c r="Z1828" s="9">
        <v>45998</v>
      </c>
      <c r="AA1828" s="8">
        <v>12</v>
      </c>
      <c r="AB1828" s="9">
        <f t="shared" si="85"/>
        <v>46363</v>
      </c>
      <c r="AC1828" s="10">
        <v>20</v>
      </c>
      <c r="AD1828" s="7">
        <f t="shared" si="86"/>
        <v>1788</v>
      </c>
      <c r="AE1828" s="7">
        <f>IF(F1828="Bullet",H1828*AD1828,MIN(MAX(I1828,1),Assumptions!$B$6)*AD1828)</f>
        <v>1788</v>
      </c>
      <c r="AF1828" s="8">
        <f>IF(F1828="Bullet",MAX(0,Assumptions!$B$4-AB1828),MAX(0,Assumptions!$B$4-L1828))</f>
        <v>26</v>
      </c>
      <c r="AG1828" s="9">
        <v>46245</v>
      </c>
      <c r="AH1828" s="8">
        <f>IF(AG1828="","",Assumptions!$B$4-AG1828)</f>
        <v>53</v>
      </c>
      <c r="AI1828" s="5" t="s">
        <v>63</v>
      </c>
      <c r="AJ1828" s="8">
        <v>1</v>
      </c>
      <c r="AK1828" s="8">
        <v>0</v>
      </c>
      <c r="AL1828" s="8">
        <v>717</v>
      </c>
      <c r="AM1828" s="8">
        <v>0</v>
      </c>
      <c r="AN1828" s="5" t="s">
        <v>63</v>
      </c>
      <c r="AO1828" s="10">
        <v>67.2</v>
      </c>
      <c r="AP1828" s="8">
        <v>28</v>
      </c>
      <c r="AQ1828" s="9"/>
      <c r="AR1828" s="5"/>
      <c r="AS1828" s="5" t="s">
        <v>159</v>
      </c>
    </row>
    <row r="1829" spans="1:45" x14ac:dyDescent="0.35">
      <c r="A1829" s="5" t="s">
        <v>7375</v>
      </c>
      <c r="B1829" s="5" t="s">
        <v>7376</v>
      </c>
      <c r="C1829" s="6" t="s">
        <v>7377</v>
      </c>
      <c r="D1829" s="7">
        <v>82300</v>
      </c>
      <c r="E1829" s="5" t="s">
        <v>48</v>
      </c>
      <c r="F1829" s="5" t="s">
        <v>68</v>
      </c>
      <c r="G1829" s="8">
        <v>4</v>
      </c>
      <c r="H1829" s="8">
        <f>IF(F1829="Bullet",MIN(G1829,Assumptions!$B$6),"")</f>
        <v>2</v>
      </c>
      <c r="I1829" s="8"/>
      <c r="J1829" s="8" t="str">
        <f>IF(F1829="Monthly interest",MAX(0,Assumptions!$B$5-I1829),"")</f>
        <v/>
      </c>
      <c r="K1829" s="7">
        <f t="shared" si="84"/>
        <v>4940</v>
      </c>
      <c r="L1829" s="9">
        <v>46154</v>
      </c>
      <c r="M1829" s="5" t="s">
        <v>116</v>
      </c>
      <c r="N1829" s="5" t="s">
        <v>117</v>
      </c>
      <c r="O1829" s="5" t="s">
        <v>207</v>
      </c>
      <c r="P1829" s="5" t="s">
        <v>72</v>
      </c>
      <c r="Q1829" s="5" t="s">
        <v>73</v>
      </c>
      <c r="R1829" s="5" t="s">
        <v>74</v>
      </c>
      <c r="S1829" s="5" t="s">
        <v>185</v>
      </c>
      <c r="T1829" s="5" t="s">
        <v>57</v>
      </c>
      <c r="U1829" s="5" t="s">
        <v>58</v>
      </c>
      <c r="V1829" s="5" t="s">
        <v>186</v>
      </c>
      <c r="W1829" s="5" t="s">
        <v>376</v>
      </c>
      <c r="X1829" s="5" t="s">
        <v>1270</v>
      </c>
      <c r="Y1829" s="5" t="s">
        <v>7378</v>
      </c>
      <c r="Z1829" s="9">
        <v>46154</v>
      </c>
      <c r="AA1829" s="8">
        <v>12</v>
      </c>
      <c r="AB1829" s="9">
        <f t="shared" si="85"/>
        <v>46519</v>
      </c>
      <c r="AC1829" s="10">
        <v>18</v>
      </c>
      <c r="AD1829" s="7">
        <f t="shared" si="86"/>
        <v>1235</v>
      </c>
      <c r="AE1829" s="7">
        <f>IF(F1829="Bullet",H1829*AD1829,MIN(MAX(I1829,1),Assumptions!$B$6)*AD1829)</f>
        <v>2470</v>
      </c>
      <c r="AF1829" s="8">
        <f>IF(F1829="Bullet",MAX(0,Assumptions!$B$4-AB1829),MAX(0,Assumptions!$B$4-L1829))</f>
        <v>0</v>
      </c>
      <c r="AG1829" s="9"/>
      <c r="AH1829" s="8" t="str">
        <f>IF(AG1829="","",Assumptions!$B$4-AG1829)</f>
        <v/>
      </c>
      <c r="AI1829" s="5" t="s">
        <v>80</v>
      </c>
      <c r="AJ1829" s="8"/>
      <c r="AK1829" s="8">
        <v>1</v>
      </c>
      <c r="AL1829" s="8">
        <v>618</v>
      </c>
      <c r="AM1829" s="8">
        <v>3</v>
      </c>
      <c r="AN1829" s="5" t="s">
        <v>57</v>
      </c>
      <c r="AO1829" s="10">
        <v>69.099999999999994</v>
      </c>
      <c r="AP1829" s="8">
        <v>54</v>
      </c>
      <c r="AQ1829" s="9">
        <v>46277</v>
      </c>
      <c r="AR1829" s="5" t="s">
        <v>51</v>
      </c>
      <c r="AS1829" s="5" t="s">
        <v>81</v>
      </c>
    </row>
    <row r="1830" spans="1:45" x14ac:dyDescent="0.35">
      <c r="A1830" s="5" t="s">
        <v>7379</v>
      </c>
      <c r="B1830" s="5" t="s">
        <v>7380</v>
      </c>
      <c r="C1830" s="6" t="s">
        <v>7381</v>
      </c>
      <c r="D1830" s="7">
        <v>970200</v>
      </c>
      <c r="E1830" s="5" t="s">
        <v>48</v>
      </c>
      <c r="F1830" s="5" t="s">
        <v>49</v>
      </c>
      <c r="G1830" s="8"/>
      <c r="H1830" s="8" t="str">
        <f>IF(F1830="Bullet",MIN(G1830,Assumptions!$B$6),"")</f>
        <v/>
      </c>
      <c r="I1830" s="8">
        <v>2</v>
      </c>
      <c r="J1830" s="8">
        <f>IF(F1830="Monthly interest",MAX(0,Assumptions!$B$5-I1830),"")</f>
        <v>1</v>
      </c>
      <c r="K1830" s="7">
        <f t="shared" si="84"/>
        <v>25872</v>
      </c>
      <c r="L1830" s="9">
        <v>46248</v>
      </c>
      <c r="M1830" s="5" t="s">
        <v>116</v>
      </c>
      <c r="N1830" s="5" t="s">
        <v>117</v>
      </c>
      <c r="O1830" s="5" t="s">
        <v>118</v>
      </c>
      <c r="P1830" s="5" t="s">
        <v>72</v>
      </c>
      <c r="Q1830" s="5" t="s">
        <v>119</v>
      </c>
      <c r="R1830" s="5" t="s">
        <v>120</v>
      </c>
      <c r="S1830" s="5" t="s">
        <v>56</v>
      </c>
      <c r="T1830" s="5" t="s">
        <v>57</v>
      </c>
      <c r="U1830" s="5" t="s">
        <v>104</v>
      </c>
      <c r="V1830" s="5" t="s">
        <v>59</v>
      </c>
      <c r="W1830" s="5" t="s">
        <v>156</v>
      </c>
      <c r="X1830" s="5" t="s">
        <v>2781</v>
      </c>
      <c r="Y1830" s="5" t="s">
        <v>7382</v>
      </c>
      <c r="Z1830" s="9">
        <v>46187</v>
      </c>
      <c r="AA1830" s="8">
        <v>24</v>
      </c>
      <c r="AB1830" s="9">
        <f t="shared" si="85"/>
        <v>46918</v>
      </c>
      <c r="AC1830" s="10">
        <v>16</v>
      </c>
      <c r="AD1830" s="7">
        <f t="shared" si="86"/>
        <v>12936</v>
      </c>
      <c r="AE1830" s="7">
        <f>IF(F1830="Bullet",H1830*AD1830,MIN(MAX(I1830,1),Assumptions!$B$6)*AD1830)</f>
        <v>25872</v>
      </c>
      <c r="AF1830" s="8">
        <f>IF(F1830="Bullet",MAX(0,Assumptions!$B$4-AB1830),MAX(0,Assumptions!$B$4-L1830))</f>
        <v>50</v>
      </c>
      <c r="AG1830" s="9">
        <v>46220</v>
      </c>
      <c r="AH1830" s="8">
        <f>IF(AG1830="","",Assumptions!$B$4-AG1830)</f>
        <v>78</v>
      </c>
      <c r="AI1830" s="5" t="s">
        <v>63</v>
      </c>
      <c r="AJ1830" s="8">
        <v>3</v>
      </c>
      <c r="AK1830" s="8">
        <v>0</v>
      </c>
      <c r="AL1830" s="8">
        <v>696</v>
      </c>
      <c r="AM1830" s="8">
        <v>2</v>
      </c>
      <c r="AN1830" s="5" t="s">
        <v>57</v>
      </c>
      <c r="AO1830" s="10">
        <v>78.400000000000006</v>
      </c>
      <c r="AP1830" s="8">
        <v>60</v>
      </c>
      <c r="AQ1830" s="9">
        <v>46274</v>
      </c>
      <c r="AR1830" s="5" t="s">
        <v>70</v>
      </c>
      <c r="AS1830" s="5" t="s">
        <v>81</v>
      </c>
    </row>
    <row r="1831" spans="1:45" x14ac:dyDescent="0.35">
      <c r="A1831" s="5" t="s">
        <v>7383</v>
      </c>
      <c r="B1831" s="5" t="s">
        <v>7384</v>
      </c>
      <c r="C1831" s="6" t="s">
        <v>7385</v>
      </c>
      <c r="D1831" s="7">
        <v>79000</v>
      </c>
      <c r="E1831" s="5" t="s">
        <v>48</v>
      </c>
      <c r="F1831" s="5" t="s">
        <v>49</v>
      </c>
      <c r="G1831" s="8"/>
      <c r="H1831" s="8" t="str">
        <f>IF(F1831="Bullet",MIN(G1831,Assumptions!$B$6),"")</f>
        <v/>
      </c>
      <c r="I1831" s="8">
        <v>1</v>
      </c>
      <c r="J1831" s="8">
        <f>IF(F1831="Monthly interest",MAX(0,Assumptions!$B$5-I1831),"")</f>
        <v>2</v>
      </c>
      <c r="K1831" s="7">
        <f t="shared" si="84"/>
        <v>922</v>
      </c>
      <c r="L1831" s="9">
        <v>46298</v>
      </c>
      <c r="M1831" s="5" t="s">
        <v>50</v>
      </c>
      <c r="N1831" s="5" t="s">
        <v>51</v>
      </c>
      <c r="O1831" s="5" t="s">
        <v>52</v>
      </c>
      <c r="P1831" s="5" t="s">
        <v>53</v>
      </c>
      <c r="Q1831" s="5" t="s">
        <v>54</v>
      </c>
      <c r="R1831" s="5" t="s">
        <v>55</v>
      </c>
      <c r="S1831" s="5" t="s">
        <v>75</v>
      </c>
      <c r="T1831" s="5" t="s">
        <v>57</v>
      </c>
      <c r="U1831" s="5" t="s">
        <v>58</v>
      </c>
      <c r="V1831" s="5" t="s">
        <v>76</v>
      </c>
      <c r="W1831" s="5" t="s">
        <v>547</v>
      </c>
      <c r="X1831" s="5" t="s">
        <v>2125</v>
      </c>
      <c r="Y1831" s="5" t="s">
        <v>7386</v>
      </c>
      <c r="Z1831" s="9">
        <v>46115</v>
      </c>
      <c r="AA1831" s="8">
        <v>18</v>
      </c>
      <c r="AB1831" s="9">
        <f t="shared" si="85"/>
        <v>46663</v>
      </c>
      <c r="AC1831" s="10">
        <v>14</v>
      </c>
      <c r="AD1831" s="7">
        <f t="shared" si="86"/>
        <v>922</v>
      </c>
      <c r="AE1831" s="7">
        <f>IF(F1831="Bullet",H1831*AD1831,MIN(MAX(I1831,1),Assumptions!$B$6)*AD1831)</f>
        <v>922</v>
      </c>
      <c r="AF1831" s="8">
        <f>IF(F1831="Bullet",MAX(0,Assumptions!$B$4-AB1831),MAX(0,Assumptions!$B$4-L1831))</f>
        <v>0</v>
      </c>
      <c r="AG1831" s="9">
        <v>46271</v>
      </c>
      <c r="AH1831" s="8">
        <f>IF(AG1831="","",Assumptions!$B$4-AG1831)</f>
        <v>27</v>
      </c>
      <c r="AI1831" s="5" t="s">
        <v>57</v>
      </c>
      <c r="AJ1831" s="8">
        <v>1</v>
      </c>
      <c r="AK1831" s="8">
        <v>1</v>
      </c>
      <c r="AL1831" s="8">
        <v>806</v>
      </c>
      <c r="AM1831" s="8">
        <v>1</v>
      </c>
      <c r="AN1831" s="5" t="s">
        <v>63</v>
      </c>
      <c r="AO1831" s="10">
        <v>61.3</v>
      </c>
      <c r="AP1831" s="8">
        <v>14</v>
      </c>
      <c r="AQ1831" s="9">
        <v>46296</v>
      </c>
      <c r="AR1831" s="5" t="s">
        <v>53</v>
      </c>
      <c r="AS1831" s="5" t="s">
        <v>181</v>
      </c>
    </row>
    <row r="1832" spans="1:45" x14ac:dyDescent="0.35">
      <c r="A1832" s="5" t="s">
        <v>7387</v>
      </c>
      <c r="B1832" s="5" t="s">
        <v>7388</v>
      </c>
      <c r="C1832" s="6" t="s">
        <v>7389</v>
      </c>
      <c r="D1832" s="7">
        <v>94900</v>
      </c>
      <c r="E1832" s="5" t="s">
        <v>48</v>
      </c>
      <c r="F1832" s="5" t="s">
        <v>68</v>
      </c>
      <c r="G1832" s="8">
        <v>1</v>
      </c>
      <c r="H1832" s="8">
        <f>IF(F1832="Bullet",MIN(G1832,Assumptions!$B$6),"")</f>
        <v>1</v>
      </c>
      <c r="I1832" s="8"/>
      <c r="J1832" s="8" t="str">
        <f>IF(F1832="Monthly interest",MAX(0,Assumptions!$B$5-I1832),"")</f>
        <v/>
      </c>
      <c r="K1832" s="7">
        <f t="shared" si="84"/>
        <v>1424</v>
      </c>
      <c r="L1832" s="9">
        <v>46256</v>
      </c>
      <c r="M1832" s="5" t="s">
        <v>50</v>
      </c>
      <c r="N1832" s="5" t="s">
        <v>51</v>
      </c>
      <c r="O1832" s="5" t="s">
        <v>71</v>
      </c>
      <c r="P1832" s="5" t="s">
        <v>53</v>
      </c>
      <c r="Q1832" s="5" t="s">
        <v>73</v>
      </c>
      <c r="R1832" s="5" t="s">
        <v>74</v>
      </c>
      <c r="S1832" s="5" t="s">
        <v>185</v>
      </c>
      <c r="T1832" s="5" t="s">
        <v>57</v>
      </c>
      <c r="U1832" s="5" t="s">
        <v>104</v>
      </c>
      <c r="V1832" s="5" t="s">
        <v>186</v>
      </c>
      <c r="W1832" s="5" t="s">
        <v>187</v>
      </c>
      <c r="X1832" s="5" t="s">
        <v>2518</v>
      </c>
      <c r="Y1832" s="5" t="s">
        <v>7390</v>
      </c>
      <c r="Z1832" s="9">
        <v>46256</v>
      </c>
      <c r="AA1832" s="8">
        <v>6</v>
      </c>
      <c r="AB1832" s="9">
        <f t="shared" si="85"/>
        <v>46440</v>
      </c>
      <c r="AC1832" s="10">
        <v>18</v>
      </c>
      <c r="AD1832" s="7">
        <f t="shared" si="86"/>
        <v>1424</v>
      </c>
      <c r="AE1832" s="7">
        <f>IF(F1832="Bullet",H1832*AD1832,MIN(MAX(I1832,1),Assumptions!$B$6)*AD1832)</f>
        <v>1424</v>
      </c>
      <c r="AF1832" s="8">
        <f>IF(F1832="Bullet",MAX(0,Assumptions!$B$4-AB1832),MAX(0,Assumptions!$B$4-L1832))</f>
        <v>0</v>
      </c>
      <c r="AG1832" s="9"/>
      <c r="AH1832" s="8" t="str">
        <f>IF(AG1832="","",Assumptions!$B$4-AG1832)</f>
        <v/>
      </c>
      <c r="AI1832" s="5" t="s">
        <v>80</v>
      </c>
      <c r="AJ1832" s="8"/>
      <c r="AK1832" s="8">
        <v>0</v>
      </c>
      <c r="AL1832" s="8">
        <v>712</v>
      </c>
      <c r="AM1832" s="8">
        <v>0</v>
      </c>
      <c r="AN1832" s="5" t="s">
        <v>63</v>
      </c>
      <c r="AO1832" s="10">
        <v>60.2</v>
      </c>
      <c r="AP1832" s="8">
        <v>6</v>
      </c>
      <c r="AQ1832" s="9"/>
      <c r="AR1832" s="5"/>
      <c r="AS1832" s="5" t="s">
        <v>159</v>
      </c>
    </row>
    <row r="1833" spans="1:45" x14ac:dyDescent="0.35">
      <c r="A1833" s="5" t="s">
        <v>7391</v>
      </c>
      <c r="B1833" s="5" t="s">
        <v>5035</v>
      </c>
      <c r="C1833" s="6" t="s">
        <v>7392</v>
      </c>
      <c r="D1833" s="7">
        <v>147800</v>
      </c>
      <c r="E1833" s="5" t="s">
        <v>48</v>
      </c>
      <c r="F1833" s="5" t="s">
        <v>68</v>
      </c>
      <c r="G1833" s="8">
        <v>2</v>
      </c>
      <c r="H1833" s="8">
        <f>IF(F1833="Bullet",MIN(G1833,Assumptions!$B$6),"")</f>
        <v>2</v>
      </c>
      <c r="I1833" s="8"/>
      <c r="J1833" s="8" t="str">
        <f>IF(F1833="Monthly interest",MAX(0,Assumptions!$B$5-I1833),"")</f>
        <v/>
      </c>
      <c r="K1833" s="7">
        <f t="shared" si="84"/>
        <v>4434</v>
      </c>
      <c r="L1833" s="9">
        <v>46235</v>
      </c>
      <c r="M1833" s="5" t="s">
        <v>50</v>
      </c>
      <c r="N1833" s="5" t="s">
        <v>53</v>
      </c>
      <c r="O1833" s="5" t="s">
        <v>95</v>
      </c>
      <c r="P1833" s="5" t="s">
        <v>70</v>
      </c>
      <c r="Q1833" s="5" t="s">
        <v>73</v>
      </c>
      <c r="R1833" s="5" t="s">
        <v>74</v>
      </c>
      <c r="S1833" s="5" t="s">
        <v>85</v>
      </c>
      <c r="T1833" s="5" t="s">
        <v>63</v>
      </c>
      <c r="U1833" s="5" t="s">
        <v>58</v>
      </c>
      <c r="V1833" s="5" t="s">
        <v>177</v>
      </c>
      <c r="W1833" s="5" t="s">
        <v>208</v>
      </c>
      <c r="X1833" s="5" t="s">
        <v>1314</v>
      </c>
      <c r="Y1833" s="5" t="s">
        <v>7393</v>
      </c>
      <c r="Z1833" s="9">
        <v>46235</v>
      </c>
      <c r="AA1833" s="8">
        <v>6</v>
      </c>
      <c r="AB1833" s="9">
        <f t="shared" si="85"/>
        <v>46419</v>
      </c>
      <c r="AC1833" s="10">
        <v>18</v>
      </c>
      <c r="AD1833" s="7">
        <f t="shared" si="86"/>
        <v>2217</v>
      </c>
      <c r="AE1833" s="7">
        <f>IF(F1833="Bullet",H1833*AD1833,MIN(MAX(I1833,1),Assumptions!$B$6)*AD1833)</f>
        <v>4434</v>
      </c>
      <c r="AF1833" s="8">
        <f>IF(F1833="Bullet",MAX(0,Assumptions!$B$4-AB1833),MAX(0,Assumptions!$B$4-L1833))</f>
        <v>0</v>
      </c>
      <c r="AG1833" s="9"/>
      <c r="AH1833" s="8" t="str">
        <f>IF(AG1833="","",Assumptions!$B$4-AG1833)</f>
        <v/>
      </c>
      <c r="AI1833" s="5" t="s">
        <v>80</v>
      </c>
      <c r="AJ1833" s="8"/>
      <c r="AK1833" s="8">
        <v>0</v>
      </c>
      <c r="AL1833" s="8">
        <v>753</v>
      </c>
      <c r="AM1833" s="8">
        <v>0</v>
      </c>
      <c r="AN1833" s="5" t="s">
        <v>63</v>
      </c>
      <c r="AO1833" s="10">
        <v>77.7</v>
      </c>
      <c r="AP1833" s="8">
        <v>14</v>
      </c>
      <c r="AQ1833" s="9">
        <v>46283</v>
      </c>
      <c r="AR1833" s="5" t="s">
        <v>70</v>
      </c>
      <c r="AS1833" s="5" t="s">
        <v>81</v>
      </c>
    </row>
    <row r="1834" spans="1:45" x14ac:dyDescent="0.35">
      <c r="A1834" s="5" t="s">
        <v>7394</v>
      </c>
      <c r="B1834" s="5" t="s">
        <v>6747</v>
      </c>
      <c r="C1834" s="6" t="s">
        <v>7395</v>
      </c>
      <c r="D1834" s="7">
        <v>223900</v>
      </c>
      <c r="E1834" s="5" t="s">
        <v>48</v>
      </c>
      <c r="F1834" s="5" t="s">
        <v>49</v>
      </c>
      <c r="G1834" s="8"/>
      <c r="H1834" s="8" t="str">
        <f>IF(F1834="Bullet",MIN(G1834,Assumptions!$B$6),"")</f>
        <v/>
      </c>
      <c r="I1834" s="8">
        <v>2</v>
      </c>
      <c r="J1834" s="8">
        <f>IF(F1834="Monthly interest",MAX(0,Assumptions!$B$5-I1834),"")</f>
        <v>1</v>
      </c>
      <c r="K1834" s="7">
        <f t="shared" si="84"/>
        <v>5224</v>
      </c>
      <c r="L1834" s="9">
        <v>46247</v>
      </c>
      <c r="M1834" s="5" t="s">
        <v>116</v>
      </c>
      <c r="N1834" s="5" t="s">
        <v>117</v>
      </c>
      <c r="O1834" s="5" t="s">
        <v>118</v>
      </c>
      <c r="P1834" s="5" t="s">
        <v>72</v>
      </c>
      <c r="Q1834" s="5" t="s">
        <v>119</v>
      </c>
      <c r="R1834" s="5" t="s">
        <v>120</v>
      </c>
      <c r="S1834" s="5" t="s">
        <v>56</v>
      </c>
      <c r="T1834" s="5" t="s">
        <v>63</v>
      </c>
      <c r="U1834" s="5" t="s">
        <v>58</v>
      </c>
      <c r="V1834" s="5" t="s">
        <v>59</v>
      </c>
      <c r="W1834" s="5" t="s">
        <v>300</v>
      </c>
      <c r="X1834" s="5" t="s">
        <v>2310</v>
      </c>
      <c r="Y1834" s="5" t="s">
        <v>7396</v>
      </c>
      <c r="Z1834" s="9">
        <v>46155</v>
      </c>
      <c r="AA1834" s="8">
        <v>12</v>
      </c>
      <c r="AB1834" s="9">
        <f t="shared" si="85"/>
        <v>46520</v>
      </c>
      <c r="AC1834" s="10">
        <v>14</v>
      </c>
      <c r="AD1834" s="7">
        <f t="shared" si="86"/>
        <v>2612</v>
      </c>
      <c r="AE1834" s="7">
        <f>IF(F1834="Bullet",H1834*AD1834,MIN(MAX(I1834,1),Assumptions!$B$6)*AD1834)</f>
        <v>5224</v>
      </c>
      <c r="AF1834" s="8">
        <f>IF(F1834="Bullet",MAX(0,Assumptions!$B$4-AB1834),MAX(0,Assumptions!$B$4-L1834))</f>
        <v>51</v>
      </c>
      <c r="AG1834" s="9">
        <v>46221</v>
      </c>
      <c r="AH1834" s="8">
        <f>IF(AG1834="","",Assumptions!$B$4-AG1834)</f>
        <v>77</v>
      </c>
      <c r="AI1834" s="5" t="s">
        <v>63</v>
      </c>
      <c r="AJ1834" s="8">
        <v>2</v>
      </c>
      <c r="AK1834" s="8">
        <v>1</v>
      </c>
      <c r="AL1834" s="8">
        <v>603</v>
      </c>
      <c r="AM1834" s="8">
        <v>2</v>
      </c>
      <c r="AN1834" s="5" t="s">
        <v>63</v>
      </c>
      <c r="AO1834" s="10">
        <v>68.2</v>
      </c>
      <c r="AP1834" s="8">
        <v>61</v>
      </c>
      <c r="AQ1834" s="9">
        <v>46291</v>
      </c>
      <c r="AR1834" s="5" t="s">
        <v>53</v>
      </c>
      <c r="AS1834" s="5" t="s">
        <v>181</v>
      </c>
    </row>
    <row r="1835" spans="1:45" x14ac:dyDescent="0.35">
      <c r="A1835" s="5" t="s">
        <v>7397</v>
      </c>
      <c r="B1835" s="5" t="s">
        <v>343</v>
      </c>
      <c r="C1835" s="6" t="s">
        <v>7398</v>
      </c>
      <c r="D1835" s="7">
        <v>188700</v>
      </c>
      <c r="E1835" s="5" t="s">
        <v>48</v>
      </c>
      <c r="F1835" s="5" t="s">
        <v>49</v>
      </c>
      <c r="G1835" s="8"/>
      <c r="H1835" s="8" t="str">
        <f>IF(F1835="Bullet",MIN(G1835,Assumptions!$B$6),"")</f>
        <v/>
      </c>
      <c r="I1835" s="8">
        <v>1</v>
      </c>
      <c r="J1835" s="8">
        <f>IF(F1835="Monthly interest",MAX(0,Assumptions!$B$5-I1835),"")</f>
        <v>2</v>
      </c>
      <c r="K1835" s="7">
        <f t="shared" si="84"/>
        <v>2516</v>
      </c>
      <c r="L1835" s="9">
        <v>46279</v>
      </c>
      <c r="M1835" s="5" t="s">
        <v>116</v>
      </c>
      <c r="N1835" s="5" t="s">
        <v>117</v>
      </c>
      <c r="O1835" s="5" t="s">
        <v>118</v>
      </c>
      <c r="P1835" s="5" t="s">
        <v>72</v>
      </c>
      <c r="Q1835" s="5" t="s">
        <v>119</v>
      </c>
      <c r="R1835" s="5" t="s">
        <v>120</v>
      </c>
      <c r="S1835" s="5" t="s">
        <v>85</v>
      </c>
      <c r="T1835" s="5" t="s">
        <v>57</v>
      </c>
      <c r="U1835" s="5" t="s">
        <v>58</v>
      </c>
      <c r="V1835" s="5" t="s">
        <v>96</v>
      </c>
      <c r="W1835" s="5" t="s">
        <v>819</v>
      </c>
      <c r="X1835" s="5" t="s">
        <v>1939</v>
      </c>
      <c r="Y1835" s="5" t="s">
        <v>7399</v>
      </c>
      <c r="Z1835" s="9">
        <v>46095</v>
      </c>
      <c r="AA1835" s="8">
        <v>12</v>
      </c>
      <c r="AB1835" s="9">
        <f t="shared" si="85"/>
        <v>46460</v>
      </c>
      <c r="AC1835" s="10">
        <v>16</v>
      </c>
      <c r="AD1835" s="7">
        <f t="shared" si="86"/>
        <v>2516</v>
      </c>
      <c r="AE1835" s="7">
        <f>IF(F1835="Bullet",H1835*AD1835,MIN(MAX(I1835,1),Assumptions!$B$6)*AD1835)</f>
        <v>2516</v>
      </c>
      <c r="AF1835" s="8">
        <f>IF(F1835="Bullet",MAX(0,Assumptions!$B$4-AB1835),MAX(0,Assumptions!$B$4-L1835))</f>
        <v>19</v>
      </c>
      <c r="AG1835" s="9">
        <v>46250</v>
      </c>
      <c r="AH1835" s="8">
        <f>IF(AG1835="","",Assumptions!$B$4-AG1835)</f>
        <v>48</v>
      </c>
      <c r="AI1835" s="5" t="s">
        <v>63</v>
      </c>
      <c r="AJ1835" s="8">
        <v>1</v>
      </c>
      <c r="AK1835" s="8">
        <v>0</v>
      </c>
      <c r="AL1835" s="8">
        <v>497</v>
      </c>
      <c r="AM1835" s="8">
        <v>0</v>
      </c>
      <c r="AN1835" s="5" t="s">
        <v>57</v>
      </c>
      <c r="AO1835" s="10">
        <v>64.900000000000006</v>
      </c>
      <c r="AP1835" s="8">
        <v>58</v>
      </c>
      <c r="AQ1835" s="9"/>
      <c r="AR1835" s="5"/>
      <c r="AS1835" s="5" t="s">
        <v>159</v>
      </c>
    </row>
    <row r="1836" spans="1:45" x14ac:dyDescent="0.35">
      <c r="A1836" s="5" t="s">
        <v>7400</v>
      </c>
      <c r="B1836" s="5" t="s">
        <v>7401</v>
      </c>
      <c r="C1836" s="6" t="s">
        <v>7402</v>
      </c>
      <c r="D1836" s="7">
        <v>45000</v>
      </c>
      <c r="E1836" s="5" t="s">
        <v>48</v>
      </c>
      <c r="F1836" s="5" t="s">
        <v>68</v>
      </c>
      <c r="G1836" s="8">
        <v>6</v>
      </c>
      <c r="H1836" s="8">
        <f>IF(F1836="Bullet",MIN(G1836,Assumptions!$B$6),"")</f>
        <v>2</v>
      </c>
      <c r="I1836" s="8"/>
      <c r="J1836" s="8" t="str">
        <f>IF(F1836="Monthly interest",MAX(0,Assumptions!$B$5-I1836),"")</f>
        <v/>
      </c>
      <c r="K1836" s="7">
        <f t="shared" si="84"/>
        <v>3150</v>
      </c>
      <c r="L1836" s="9">
        <v>46095</v>
      </c>
      <c r="M1836" s="5" t="s">
        <v>69</v>
      </c>
      <c r="N1836" s="5" t="s">
        <v>53</v>
      </c>
      <c r="O1836" s="5" t="s">
        <v>168</v>
      </c>
      <c r="P1836" s="5" t="s">
        <v>70</v>
      </c>
      <c r="Q1836" s="5" t="s">
        <v>169</v>
      </c>
      <c r="R1836" s="5" t="s">
        <v>170</v>
      </c>
      <c r="S1836" s="5" t="s">
        <v>56</v>
      </c>
      <c r="T1836" s="5" t="s">
        <v>57</v>
      </c>
      <c r="U1836" s="5" t="s">
        <v>104</v>
      </c>
      <c r="V1836" s="5" t="s">
        <v>59</v>
      </c>
      <c r="W1836" s="5" t="s">
        <v>60</v>
      </c>
      <c r="X1836" s="5" t="s">
        <v>4828</v>
      </c>
      <c r="Y1836" s="5" t="s">
        <v>7403</v>
      </c>
      <c r="Z1836" s="9">
        <v>46095</v>
      </c>
      <c r="AA1836" s="8">
        <v>12</v>
      </c>
      <c r="AB1836" s="9">
        <f t="shared" si="85"/>
        <v>46460</v>
      </c>
      <c r="AC1836" s="10">
        <v>14</v>
      </c>
      <c r="AD1836" s="7">
        <f t="shared" si="86"/>
        <v>525</v>
      </c>
      <c r="AE1836" s="7">
        <f>IF(F1836="Bullet",H1836*AD1836,MIN(MAX(I1836,1),Assumptions!$B$6)*AD1836)</f>
        <v>1050</v>
      </c>
      <c r="AF1836" s="8">
        <f>IF(F1836="Bullet",MAX(0,Assumptions!$B$4-AB1836),MAX(0,Assumptions!$B$4-L1836))</f>
        <v>0</v>
      </c>
      <c r="AG1836" s="9"/>
      <c r="AH1836" s="8" t="str">
        <f>IF(AG1836="","",Assumptions!$B$4-AG1836)</f>
        <v/>
      </c>
      <c r="AI1836" s="5" t="s">
        <v>80</v>
      </c>
      <c r="AJ1836" s="8"/>
      <c r="AK1836" s="8">
        <v>2</v>
      </c>
      <c r="AL1836" s="8">
        <v>815</v>
      </c>
      <c r="AM1836" s="8">
        <v>0</v>
      </c>
      <c r="AN1836" s="5" t="s">
        <v>63</v>
      </c>
      <c r="AO1836" s="10">
        <v>78.7</v>
      </c>
      <c r="AP1836" s="8">
        <v>44</v>
      </c>
      <c r="AQ1836" s="9">
        <v>46296</v>
      </c>
      <c r="AR1836" s="5" t="s">
        <v>72</v>
      </c>
      <c r="AS1836" s="5" t="s">
        <v>81</v>
      </c>
    </row>
    <row r="1837" spans="1:45" x14ac:dyDescent="0.35">
      <c r="A1837" s="5" t="s">
        <v>7404</v>
      </c>
      <c r="B1837" s="5" t="s">
        <v>7405</v>
      </c>
      <c r="C1837" s="6" t="s">
        <v>7406</v>
      </c>
      <c r="D1837" s="7">
        <v>144300</v>
      </c>
      <c r="E1837" s="5" t="s">
        <v>48</v>
      </c>
      <c r="F1837" s="5" t="s">
        <v>49</v>
      </c>
      <c r="G1837" s="8"/>
      <c r="H1837" s="8" t="str">
        <f>IF(F1837="Bullet",MIN(G1837,Assumptions!$B$6),"")</f>
        <v/>
      </c>
      <c r="I1837" s="8">
        <v>2</v>
      </c>
      <c r="J1837" s="8">
        <f>IF(F1837="Monthly interest",MAX(0,Assumptions!$B$5-I1837),"")</f>
        <v>1</v>
      </c>
      <c r="K1837" s="7">
        <f t="shared" si="84"/>
        <v>4330</v>
      </c>
      <c r="L1837" s="9">
        <v>46255</v>
      </c>
      <c r="M1837" s="5" t="s">
        <v>50</v>
      </c>
      <c r="N1837" s="5" t="s">
        <v>51</v>
      </c>
      <c r="O1837" s="5" t="s">
        <v>71</v>
      </c>
      <c r="P1837" s="5" t="s">
        <v>53</v>
      </c>
      <c r="Q1837" s="5" t="s">
        <v>73</v>
      </c>
      <c r="R1837" s="5" t="s">
        <v>74</v>
      </c>
      <c r="S1837" s="5" t="s">
        <v>75</v>
      </c>
      <c r="T1837" s="5" t="s">
        <v>57</v>
      </c>
      <c r="U1837" s="5" t="s">
        <v>86</v>
      </c>
      <c r="V1837" s="5" t="s">
        <v>76</v>
      </c>
      <c r="W1837" s="5" t="s">
        <v>382</v>
      </c>
      <c r="X1837" s="5" t="s">
        <v>2454</v>
      </c>
      <c r="Y1837" s="5" t="s">
        <v>7407</v>
      </c>
      <c r="Z1837" s="9">
        <v>46194</v>
      </c>
      <c r="AA1837" s="8">
        <v>12</v>
      </c>
      <c r="AB1837" s="9">
        <f t="shared" si="85"/>
        <v>46559</v>
      </c>
      <c r="AC1837" s="10">
        <v>18</v>
      </c>
      <c r="AD1837" s="7">
        <f t="shared" si="86"/>
        <v>2165</v>
      </c>
      <c r="AE1837" s="7">
        <f>IF(F1837="Bullet",H1837*AD1837,MIN(MAX(I1837,1),Assumptions!$B$6)*AD1837)</f>
        <v>4330</v>
      </c>
      <c r="AF1837" s="8">
        <f>IF(F1837="Bullet",MAX(0,Assumptions!$B$4-AB1837),MAX(0,Assumptions!$B$4-L1837))</f>
        <v>43</v>
      </c>
      <c r="AG1837" s="9">
        <v>46225</v>
      </c>
      <c r="AH1837" s="8">
        <f>IF(AG1837="","",Assumptions!$B$4-AG1837)</f>
        <v>73</v>
      </c>
      <c r="AI1837" s="5" t="s">
        <v>63</v>
      </c>
      <c r="AJ1837" s="8">
        <v>2</v>
      </c>
      <c r="AK1837" s="8">
        <v>0</v>
      </c>
      <c r="AL1837" s="8">
        <v>803</v>
      </c>
      <c r="AM1837" s="8">
        <v>2</v>
      </c>
      <c r="AN1837" s="5" t="s">
        <v>63</v>
      </c>
      <c r="AO1837" s="10">
        <v>60.8</v>
      </c>
      <c r="AP1837" s="8">
        <v>22</v>
      </c>
      <c r="AQ1837" s="9">
        <v>46279</v>
      </c>
      <c r="AR1837" s="5" t="s">
        <v>53</v>
      </c>
      <c r="AS1837" s="5" t="s">
        <v>181</v>
      </c>
    </row>
    <row r="1838" spans="1:45" x14ac:dyDescent="0.35">
      <c r="A1838" s="5" t="s">
        <v>7408</v>
      </c>
      <c r="B1838" s="5" t="s">
        <v>6487</v>
      </c>
      <c r="C1838" s="6" t="s">
        <v>7409</v>
      </c>
      <c r="D1838" s="7">
        <v>65900</v>
      </c>
      <c r="E1838" s="5" t="s">
        <v>48</v>
      </c>
      <c r="F1838" s="5" t="s">
        <v>68</v>
      </c>
      <c r="G1838" s="8">
        <v>6</v>
      </c>
      <c r="H1838" s="8">
        <f>IF(F1838="Bullet",MIN(G1838,Assumptions!$B$6),"")</f>
        <v>2</v>
      </c>
      <c r="I1838" s="8"/>
      <c r="J1838" s="8" t="str">
        <f>IF(F1838="Monthly interest",MAX(0,Assumptions!$B$5-I1838),"")</f>
        <v/>
      </c>
      <c r="K1838" s="7">
        <f t="shared" si="84"/>
        <v>4614</v>
      </c>
      <c r="L1838" s="9">
        <v>46107</v>
      </c>
      <c r="M1838" s="5" t="s">
        <v>69</v>
      </c>
      <c r="N1838" s="5" t="s">
        <v>70</v>
      </c>
      <c r="O1838" s="5" t="s">
        <v>295</v>
      </c>
      <c r="P1838" s="5" t="s">
        <v>72</v>
      </c>
      <c r="Q1838" s="5" t="s">
        <v>169</v>
      </c>
      <c r="R1838" s="5" t="s">
        <v>170</v>
      </c>
      <c r="S1838" s="5" t="s">
        <v>85</v>
      </c>
      <c r="T1838" s="5" t="s">
        <v>57</v>
      </c>
      <c r="U1838" s="5" t="s">
        <v>104</v>
      </c>
      <c r="V1838" s="5" t="s">
        <v>177</v>
      </c>
      <c r="W1838" s="5" t="s">
        <v>208</v>
      </c>
      <c r="X1838" s="5" t="s">
        <v>1736</v>
      </c>
      <c r="Y1838" s="5" t="s">
        <v>7410</v>
      </c>
      <c r="Z1838" s="9">
        <v>46107</v>
      </c>
      <c r="AA1838" s="8">
        <v>12</v>
      </c>
      <c r="AB1838" s="9">
        <f t="shared" si="85"/>
        <v>46472</v>
      </c>
      <c r="AC1838" s="10">
        <v>14</v>
      </c>
      <c r="AD1838" s="7">
        <f t="shared" si="86"/>
        <v>769</v>
      </c>
      <c r="AE1838" s="7">
        <f>IF(F1838="Bullet",H1838*AD1838,MIN(MAX(I1838,1),Assumptions!$B$6)*AD1838)</f>
        <v>1538</v>
      </c>
      <c r="AF1838" s="8">
        <f>IF(F1838="Bullet",MAX(0,Assumptions!$B$4-AB1838),MAX(0,Assumptions!$B$4-L1838))</f>
        <v>0</v>
      </c>
      <c r="AG1838" s="9"/>
      <c r="AH1838" s="8" t="str">
        <f>IF(AG1838="","",Assumptions!$B$4-AG1838)</f>
        <v/>
      </c>
      <c r="AI1838" s="5" t="s">
        <v>80</v>
      </c>
      <c r="AJ1838" s="8"/>
      <c r="AK1838" s="8">
        <v>1</v>
      </c>
      <c r="AL1838" s="8">
        <v>704</v>
      </c>
      <c r="AM1838" s="8">
        <v>1</v>
      </c>
      <c r="AN1838" s="5" t="s">
        <v>63</v>
      </c>
      <c r="AO1838" s="10">
        <v>60.6</v>
      </c>
      <c r="AP1838" s="8">
        <v>40</v>
      </c>
      <c r="AQ1838" s="9">
        <v>46275</v>
      </c>
      <c r="AR1838" s="5" t="s">
        <v>53</v>
      </c>
      <c r="AS1838" s="5" t="s">
        <v>91</v>
      </c>
    </row>
    <row r="1839" spans="1:45" x14ac:dyDescent="0.35">
      <c r="A1839" s="5" t="s">
        <v>7411</v>
      </c>
      <c r="B1839" s="5" t="s">
        <v>2430</v>
      </c>
      <c r="C1839" s="6" t="s">
        <v>7412</v>
      </c>
      <c r="D1839" s="7">
        <v>89500</v>
      </c>
      <c r="E1839" s="5" t="s">
        <v>48</v>
      </c>
      <c r="F1839" s="5" t="s">
        <v>49</v>
      </c>
      <c r="G1839" s="8"/>
      <c r="H1839" s="8" t="str">
        <f>IF(F1839="Bullet",MIN(G1839,Assumptions!$B$6),"")</f>
        <v/>
      </c>
      <c r="I1839" s="8">
        <v>1</v>
      </c>
      <c r="J1839" s="8">
        <f>IF(F1839="Monthly interest",MAX(0,Assumptions!$B$5-I1839),"")</f>
        <v>2</v>
      </c>
      <c r="K1839" s="7">
        <f t="shared" si="84"/>
        <v>1044</v>
      </c>
      <c r="L1839" s="9">
        <v>46278</v>
      </c>
      <c r="M1839" s="5" t="s">
        <v>69</v>
      </c>
      <c r="N1839" s="5" t="s">
        <v>51</v>
      </c>
      <c r="O1839" s="5" t="s">
        <v>52</v>
      </c>
      <c r="P1839" s="5" t="s">
        <v>53</v>
      </c>
      <c r="Q1839" s="5" t="s">
        <v>54</v>
      </c>
      <c r="R1839" s="5" t="s">
        <v>55</v>
      </c>
      <c r="S1839" s="5" t="s">
        <v>253</v>
      </c>
      <c r="T1839" s="5" t="s">
        <v>57</v>
      </c>
      <c r="U1839" s="5" t="s">
        <v>58</v>
      </c>
      <c r="V1839" s="5" t="s">
        <v>200</v>
      </c>
      <c r="W1839" s="5" t="s">
        <v>767</v>
      </c>
      <c r="X1839" s="5" t="s">
        <v>3459</v>
      </c>
      <c r="Y1839" s="5" t="s">
        <v>7413</v>
      </c>
      <c r="Z1839" s="9">
        <v>46035</v>
      </c>
      <c r="AA1839" s="8">
        <v>18</v>
      </c>
      <c r="AB1839" s="9">
        <f t="shared" si="85"/>
        <v>46581</v>
      </c>
      <c r="AC1839" s="10">
        <v>14</v>
      </c>
      <c r="AD1839" s="7">
        <f t="shared" si="86"/>
        <v>1044</v>
      </c>
      <c r="AE1839" s="7">
        <f>IF(F1839="Bullet",H1839*AD1839,MIN(MAX(I1839,1),Assumptions!$B$6)*AD1839)</f>
        <v>1044</v>
      </c>
      <c r="AF1839" s="8">
        <f>IF(F1839="Bullet",MAX(0,Assumptions!$B$4-AB1839),MAX(0,Assumptions!$B$4-L1839))</f>
        <v>20</v>
      </c>
      <c r="AG1839" s="9">
        <v>46247</v>
      </c>
      <c r="AH1839" s="8">
        <f>IF(AG1839="","",Assumptions!$B$4-AG1839)</f>
        <v>51</v>
      </c>
      <c r="AI1839" s="5" t="s">
        <v>63</v>
      </c>
      <c r="AJ1839" s="8">
        <v>1</v>
      </c>
      <c r="AK1839" s="8">
        <v>2</v>
      </c>
      <c r="AL1839" s="8">
        <v>706</v>
      </c>
      <c r="AM1839" s="8">
        <v>2</v>
      </c>
      <c r="AN1839" s="5" t="s">
        <v>63</v>
      </c>
      <c r="AO1839" s="10">
        <v>56.7</v>
      </c>
      <c r="AP1839" s="8">
        <v>33</v>
      </c>
      <c r="AQ1839" s="9">
        <v>46283</v>
      </c>
      <c r="AR1839" s="5" t="s">
        <v>51</v>
      </c>
      <c r="AS1839" s="5" t="s">
        <v>181</v>
      </c>
    </row>
    <row r="1840" spans="1:45" x14ac:dyDescent="0.35">
      <c r="A1840" s="5" t="s">
        <v>7414</v>
      </c>
      <c r="B1840" s="5" t="s">
        <v>1890</v>
      </c>
      <c r="C1840" s="6" t="s">
        <v>7415</v>
      </c>
      <c r="D1840" s="7">
        <v>114200</v>
      </c>
      <c r="E1840" s="5" t="s">
        <v>48</v>
      </c>
      <c r="F1840" s="5" t="s">
        <v>49</v>
      </c>
      <c r="G1840" s="8"/>
      <c r="H1840" s="8" t="str">
        <f>IF(F1840="Bullet",MIN(G1840,Assumptions!$B$6),"")</f>
        <v/>
      </c>
      <c r="I1840" s="8">
        <v>1</v>
      </c>
      <c r="J1840" s="8">
        <f>IF(F1840="Monthly interest",MAX(0,Assumptions!$B$5-I1840),"")</f>
        <v>2</v>
      </c>
      <c r="K1840" s="7">
        <f t="shared" si="84"/>
        <v>1428</v>
      </c>
      <c r="L1840" s="9">
        <v>46270</v>
      </c>
      <c r="M1840" s="5" t="s">
        <v>50</v>
      </c>
      <c r="N1840" s="5" t="s">
        <v>53</v>
      </c>
      <c r="O1840" s="5" t="s">
        <v>95</v>
      </c>
      <c r="P1840" s="5" t="s">
        <v>70</v>
      </c>
      <c r="Q1840" s="5" t="s">
        <v>54</v>
      </c>
      <c r="R1840" s="5" t="s">
        <v>55</v>
      </c>
      <c r="S1840" s="5" t="s">
        <v>56</v>
      </c>
      <c r="T1840" s="5" t="s">
        <v>63</v>
      </c>
      <c r="U1840" s="5" t="s">
        <v>86</v>
      </c>
      <c r="V1840" s="5" t="s">
        <v>59</v>
      </c>
      <c r="W1840" s="5" t="s">
        <v>60</v>
      </c>
      <c r="X1840" s="5" t="s">
        <v>61</v>
      </c>
      <c r="Y1840" s="5" t="s">
        <v>7416</v>
      </c>
      <c r="Z1840" s="9">
        <v>46178</v>
      </c>
      <c r="AA1840" s="8">
        <v>12</v>
      </c>
      <c r="AB1840" s="9">
        <f t="shared" si="85"/>
        <v>46543</v>
      </c>
      <c r="AC1840" s="10">
        <v>15</v>
      </c>
      <c r="AD1840" s="7">
        <f t="shared" si="86"/>
        <v>1428</v>
      </c>
      <c r="AE1840" s="7">
        <f>IF(F1840="Bullet",H1840*AD1840,MIN(MAX(I1840,1),Assumptions!$B$6)*AD1840)</f>
        <v>1428</v>
      </c>
      <c r="AF1840" s="8">
        <f>IF(F1840="Bullet",MAX(0,Assumptions!$B$4-AB1840),MAX(0,Assumptions!$B$4-L1840))</f>
        <v>28</v>
      </c>
      <c r="AG1840" s="9">
        <v>46241</v>
      </c>
      <c r="AH1840" s="8">
        <f>IF(AG1840="","",Assumptions!$B$4-AG1840)</f>
        <v>57</v>
      </c>
      <c r="AI1840" s="5" t="s">
        <v>63</v>
      </c>
      <c r="AJ1840" s="8">
        <v>1</v>
      </c>
      <c r="AK1840" s="8">
        <v>0</v>
      </c>
      <c r="AL1840" s="8">
        <v>721</v>
      </c>
      <c r="AM1840" s="8">
        <v>0</v>
      </c>
      <c r="AN1840" s="5" t="s">
        <v>63</v>
      </c>
      <c r="AO1840" s="10">
        <v>78.8</v>
      </c>
      <c r="AP1840" s="8">
        <v>22</v>
      </c>
      <c r="AQ1840" s="9"/>
      <c r="AR1840" s="5"/>
      <c r="AS1840" s="5" t="s">
        <v>159</v>
      </c>
    </row>
    <row r="1841" spans="1:45" x14ac:dyDescent="0.35">
      <c r="A1841" s="5" t="s">
        <v>7417</v>
      </c>
      <c r="B1841" s="5" t="s">
        <v>7418</v>
      </c>
      <c r="C1841" s="6" t="s">
        <v>7419</v>
      </c>
      <c r="D1841" s="7">
        <v>526700</v>
      </c>
      <c r="E1841" s="5" t="s">
        <v>48</v>
      </c>
      <c r="F1841" s="5" t="s">
        <v>68</v>
      </c>
      <c r="G1841" s="8">
        <v>2</v>
      </c>
      <c r="H1841" s="8">
        <f>IF(F1841="Bullet",MIN(G1841,Assumptions!$B$6),"")</f>
        <v>2</v>
      </c>
      <c r="I1841" s="8"/>
      <c r="J1841" s="8" t="str">
        <f>IF(F1841="Monthly interest",MAX(0,Assumptions!$B$5-I1841),"")</f>
        <v/>
      </c>
      <c r="K1841" s="7">
        <f t="shared" si="84"/>
        <v>15802</v>
      </c>
      <c r="L1841" s="9">
        <v>46230</v>
      </c>
      <c r="M1841" s="5" t="s">
        <v>50</v>
      </c>
      <c r="N1841" s="5" t="s">
        <v>51</v>
      </c>
      <c r="O1841" s="5" t="s">
        <v>71</v>
      </c>
      <c r="P1841" s="5" t="s">
        <v>53</v>
      </c>
      <c r="Q1841" s="5" t="s">
        <v>73</v>
      </c>
      <c r="R1841" s="5" t="s">
        <v>74</v>
      </c>
      <c r="S1841" s="5" t="s">
        <v>214</v>
      </c>
      <c r="T1841" s="5" t="s">
        <v>57</v>
      </c>
      <c r="U1841" s="5" t="s">
        <v>58</v>
      </c>
      <c r="V1841" s="5" t="s">
        <v>215</v>
      </c>
      <c r="W1841" s="5" t="s">
        <v>600</v>
      </c>
      <c r="X1841" s="5" t="s">
        <v>1323</v>
      </c>
      <c r="Y1841" s="5" t="s">
        <v>7420</v>
      </c>
      <c r="Z1841" s="9">
        <v>46230</v>
      </c>
      <c r="AA1841" s="8">
        <v>6</v>
      </c>
      <c r="AB1841" s="9">
        <f t="shared" si="85"/>
        <v>46414</v>
      </c>
      <c r="AC1841" s="10">
        <v>18</v>
      </c>
      <c r="AD1841" s="7">
        <f t="shared" si="86"/>
        <v>7901</v>
      </c>
      <c r="AE1841" s="7">
        <f>IF(F1841="Bullet",H1841*AD1841,MIN(MAX(I1841,1),Assumptions!$B$6)*AD1841)</f>
        <v>15802</v>
      </c>
      <c r="AF1841" s="8">
        <f>IF(F1841="Bullet",MAX(0,Assumptions!$B$4-AB1841),MAX(0,Assumptions!$B$4-L1841))</f>
        <v>0</v>
      </c>
      <c r="AG1841" s="9"/>
      <c r="AH1841" s="8" t="str">
        <f>IF(AG1841="","",Assumptions!$B$4-AG1841)</f>
        <v/>
      </c>
      <c r="AI1841" s="5" t="s">
        <v>80</v>
      </c>
      <c r="AJ1841" s="8"/>
      <c r="AK1841" s="8">
        <v>2</v>
      </c>
      <c r="AL1841" s="8" t="s">
        <v>80</v>
      </c>
      <c r="AM1841" s="8">
        <v>0</v>
      </c>
      <c r="AN1841" s="5" t="s">
        <v>63</v>
      </c>
      <c r="AO1841" s="10">
        <v>75</v>
      </c>
      <c r="AP1841" s="8">
        <v>29</v>
      </c>
      <c r="AQ1841" s="9">
        <v>46282</v>
      </c>
      <c r="AR1841" s="5" t="s">
        <v>70</v>
      </c>
      <c r="AS1841" s="5" t="s">
        <v>64</v>
      </c>
    </row>
    <row r="1842" spans="1:45" x14ac:dyDescent="0.35">
      <c r="A1842" s="5" t="s">
        <v>7421</v>
      </c>
      <c r="B1842" s="5" t="s">
        <v>6819</v>
      </c>
      <c r="C1842" s="6" t="s">
        <v>7422</v>
      </c>
      <c r="D1842" s="7">
        <v>272800</v>
      </c>
      <c r="E1842" s="5" t="s">
        <v>48</v>
      </c>
      <c r="F1842" s="5" t="s">
        <v>49</v>
      </c>
      <c r="G1842" s="8"/>
      <c r="H1842" s="8" t="str">
        <f>IF(F1842="Bullet",MIN(G1842,Assumptions!$B$6),"")</f>
        <v/>
      </c>
      <c r="I1842" s="8">
        <v>1</v>
      </c>
      <c r="J1842" s="8">
        <f>IF(F1842="Monthly interest",MAX(0,Assumptions!$B$5-I1842),"")</f>
        <v>2</v>
      </c>
      <c r="K1842" s="7">
        <f t="shared" si="84"/>
        <v>4547</v>
      </c>
      <c r="L1842" s="9">
        <v>46287</v>
      </c>
      <c r="M1842" s="5" t="s">
        <v>50</v>
      </c>
      <c r="N1842" s="5" t="s">
        <v>51</v>
      </c>
      <c r="O1842" s="5" t="s">
        <v>52</v>
      </c>
      <c r="P1842" s="5" t="s">
        <v>53</v>
      </c>
      <c r="Q1842" s="5" t="s">
        <v>54</v>
      </c>
      <c r="R1842" s="5" t="s">
        <v>55</v>
      </c>
      <c r="S1842" s="5" t="s">
        <v>185</v>
      </c>
      <c r="T1842" s="5" t="s">
        <v>57</v>
      </c>
      <c r="U1842" s="5" t="s">
        <v>58</v>
      </c>
      <c r="V1842" s="5" t="s">
        <v>186</v>
      </c>
      <c r="W1842" s="5" t="s">
        <v>187</v>
      </c>
      <c r="X1842" s="5" t="s">
        <v>867</v>
      </c>
      <c r="Y1842" s="5" t="s">
        <v>7423</v>
      </c>
      <c r="Z1842" s="9">
        <v>46103</v>
      </c>
      <c r="AA1842" s="8">
        <v>18</v>
      </c>
      <c r="AB1842" s="9">
        <f t="shared" si="85"/>
        <v>46652</v>
      </c>
      <c r="AC1842" s="10">
        <v>20</v>
      </c>
      <c r="AD1842" s="7">
        <f t="shared" si="86"/>
        <v>4547</v>
      </c>
      <c r="AE1842" s="7">
        <f>IF(F1842="Bullet",H1842*AD1842,MIN(MAX(I1842,1),Assumptions!$B$6)*AD1842)</f>
        <v>4547</v>
      </c>
      <c r="AF1842" s="8">
        <f>IF(F1842="Bullet",MAX(0,Assumptions!$B$4-AB1842),MAX(0,Assumptions!$B$4-L1842))</f>
        <v>11</v>
      </c>
      <c r="AG1842" s="9">
        <v>46258</v>
      </c>
      <c r="AH1842" s="8">
        <f>IF(AG1842="","",Assumptions!$B$4-AG1842)</f>
        <v>40</v>
      </c>
      <c r="AI1842" s="5" t="s">
        <v>63</v>
      </c>
      <c r="AJ1842" s="8">
        <v>1</v>
      </c>
      <c r="AK1842" s="8">
        <v>1</v>
      </c>
      <c r="AL1842" s="8">
        <v>812</v>
      </c>
      <c r="AM1842" s="8">
        <v>1</v>
      </c>
      <c r="AN1842" s="5" t="s">
        <v>63</v>
      </c>
      <c r="AO1842" s="10">
        <v>67.5</v>
      </c>
      <c r="AP1842" s="8">
        <v>16</v>
      </c>
      <c r="AQ1842" s="9">
        <v>46291</v>
      </c>
      <c r="AR1842" s="5" t="s">
        <v>53</v>
      </c>
      <c r="AS1842" s="5" t="s">
        <v>64</v>
      </c>
    </row>
    <row r="1843" spans="1:45" x14ac:dyDescent="0.35">
      <c r="A1843" s="5" t="s">
        <v>7424</v>
      </c>
      <c r="B1843" s="5" t="s">
        <v>985</v>
      </c>
      <c r="C1843" s="6" t="s">
        <v>7425</v>
      </c>
      <c r="D1843" s="7">
        <v>91400</v>
      </c>
      <c r="E1843" s="5" t="s">
        <v>48</v>
      </c>
      <c r="F1843" s="5" t="s">
        <v>49</v>
      </c>
      <c r="G1843" s="8"/>
      <c r="H1843" s="8" t="str">
        <f>IF(F1843="Bullet",MIN(G1843,Assumptions!$B$6),"")</f>
        <v/>
      </c>
      <c r="I1843" s="8">
        <v>2</v>
      </c>
      <c r="J1843" s="8">
        <f>IF(F1843="Monthly interest",MAX(0,Assumptions!$B$5-I1843),"")</f>
        <v>1</v>
      </c>
      <c r="K1843" s="7">
        <f t="shared" si="84"/>
        <v>3656</v>
      </c>
      <c r="L1843" s="9">
        <v>46258</v>
      </c>
      <c r="M1843" s="5" t="s">
        <v>116</v>
      </c>
      <c r="N1843" s="5" t="s">
        <v>117</v>
      </c>
      <c r="O1843" s="5" t="s">
        <v>118</v>
      </c>
      <c r="P1843" s="5" t="s">
        <v>72</v>
      </c>
      <c r="Q1843" s="5" t="s">
        <v>119</v>
      </c>
      <c r="R1843" s="5" t="s">
        <v>120</v>
      </c>
      <c r="S1843" s="5" t="s">
        <v>85</v>
      </c>
      <c r="T1843" s="5" t="s">
        <v>57</v>
      </c>
      <c r="U1843" s="5" t="s">
        <v>104</v>
      </c>
      <c r="V1843" s="5" t="s">
        <v>96</v>
      </c>
      <c r="W1843" s="5" t="s">
        <v>171</v>
      </c>
      <c r="X1843" s="5" t="s">
        <v>5020</v>
      </c>
      <c r="Y1843" s="5" t="s">
        <v>7426</v>
      </c>
      <c r="Z1843" s="9">
        <v>46197</v>
      </c>
      <c r="AA1843" s="8">
        <v>12</v>
      </c>
      <c r="AB1843" s="9">
        <f t="shared" si="85"/>
        <v>46562</v>
      </c>
      <c r="AC1843" s="10">
        <v>24</v>
      </c>
      <c r="AD1843" s="7">
        <f t="shared" si="86"/>
        <v>1828</v>
      </c>
      <c r="AE1843" s="7">
        <f>IF(F1843="Bullet",H1843*AD1843,MIN(MAX(I1843,1),Assumptions!$B$6)*AD1843)</f>
        <v>3656</v>
      </c>
      <c r="AF1843" s="8">
        <f>IF(F1843="Bullet",MAX(0,Assumptions!$B$4-AB1843),MAX(0,Assumptions!$B$4-L1843))</f>
        <v>40</v>
      </c>
      <c r="AG1843" s="9">
        <v>46228</v>
      </c>
      <c r="AH1843" s="8">
        <f>IF(AG1843="","",Assumptions!$B$4-AG1843)</f>
        <v>70</v>
      </c>
      <c r="AI1843" s="5" t="s">
        <v>57</v>
      </c>
      <c r="AJ1843" s="8">
        <v>4</v>
      </c>
      <c r="AK1843" s="8">
        <v>1</v>
      </c>
      <c r="AL1843" s="8" t="s">
        <v>80</v>
      </c>
      <c r="AM1843" s="8">
        <v>1</v>
      </c>
      <c r="AN1843" s="5" t="s">
        <v>63</v>
      </c>
      <c r="AO1843" s="10">
        <v>72.3</v>
      </c>
      <c r="AP1843" s="8">
        <v>51</v>
      </c>
      <c r="AQ1843" s="9">
        <v>46297</v>
      </c>
      <c r="AR1843" s="5" t="s">
        <v>53</v>
      </c>
      <c r="AS1843" s="5" t="s">
        <v>81</v>
      </c>
    </row>
    <row r="1844" spans="1:45" x14ac:dyDescent="0.35">
      <c r="A1844" s="5" t="s">
        <v>7427</v>
      </c>
      <c r="B1844" s="5" t="s">
        <v>7428</v>
      </c>
      <c r="C1844" s="6" t="s">
        <v>7429</v>
      </c>
      <c r="D1844" s="7">
        <v>801200</v>
      </c>
      <c r="E1844" s="5" t="s">
        <v>48</v>
      </c>
      <c r="F1844" s="5" t="s">
        <v>49</v>
      </c>
      <c r="G1844" s="8"/>
      <c r="H1844" s="8" t="str">
        <f>IF(F1844="Bullet",MIN(G1844,Assumptions!$B$6),"")</f>
        <v/>
      </c>
      <c r="I1844" s="8">
        <v>2</v>
      </c>
      <c r="J1844" s="8">
        <f>IF(F1844="Monthly interest",MAX(0,Assumptions!$B$5-I1844),"")</f>
        <v>1</v>
      </c>
      <c r="K1844" s="7">
        <f t="shared" si="84"/>
        <v>32048</v>
      </c>
      <c r="L1844" s="9">
        <v>46249</v>
      </c>
      <c r="M1844" s="5" t="s">
        <v>116</v>
      </c>
      <c r="N1844" s="5" t="s">
        <v>117</v>
      </c>
      <c r="O1844" s="5" t="s">
        <v>118</v>
      </c>
      <c r="P1844" s="5" t="s">
        <v>72</v>
      </c>
      <c r="Q1844" s="5" t="s">
        <v>119</v>
      </c>
      <c r="R1844" s="5" t="s">
        <v>120</v>
      </c>
      <c r="S1844" s="5" t="s">
        <v>75</v>
      </c>
      <c r="T1844" s="5" t="s">
        <v>63</v>
      </c>
      <c r="U1844" s="5" t="s">
        <v>104</v>
      </c>
      <c r="V1844" s="5" t="s">
        <v>76</v>
      </c>
      <c r="W1844" s="5" t="s">
        <v>140</v>
      </c>
      <c r="X1844" s="5" t="s">
        <v>792</v>
      </c>
      <c r="Y1844" s="5" t="s">
        <v>7430</v>
      </c>
      <c r="Z1844" s="9">
        <v>45976</v>
      </c>
      <c r="AA1844" s="8">
        <v>12</v>
      </c>
      <c r="AB1844" s="9">
        <f t="shared" si="85"/>
        <v>46341</v>
      </c>
      <c r="AC1844" s="10">
        <v>24</v>
      </c>
      <c r="AD1844" s="7">
        <f t="shared" si="86"/>
        <v>16024</v>
      </c>
      <c r="AE1844" s="7">
        <f>IF(F1844="Bullet",H1844*AD1844,MIN(MAX(I1844,1),Assumptions!$B$6)*AD1844)</f>
        <v>32048</v>
      </c>
      <c r="AF1844" s="8">
        <f>IF(F1844="Bullet",MAX(0,Assumptions!$B$4-AB1844),MAX(0,Assumptions!$B$4-L1844))</f>
        <v>49</v>
      </c>
      <c r="AG1844" s="9">
        <v>46222</v>
      </c>
      <c r="AH1844" s="8">
        <f>IF(AG1844="","",Assumptions!$B$4-AG1844)</f>
        <v>76</v>
      </c>
      <c r="AI1844" s="5" t="s">
        <v>57</v>
      </c>
      <c r="AJ1844" s="8">
        <v>2</v>
      </c>
      <c r="AK1844" s="8">
        <v>1</v>
      </c>
      <c r="AL1844" s="8">
        <v>805</v>
      </c>
      <c r="AM1844" s="8">
        <v>0</v>
      </c>
      <c r="AN1844" s="5" t="s">
        <v>57</v>
      </c>
      <c r="AO1844" s="10">
        <v>66.2</v>
      </c>
      <c r="AP1844" s="8">
        <v>52</v>
      </c>
      <c r="AQ1844" s="9">
        <v>46288</v>
      </c>
      <c r="AR1844" s="5" t="s">
        <v>51</v>
      </c>
      <c r="AS1844" s="5" t="s">
        <v>274</v>
      </c>
    </row>
    <row r="1845" spans="1:45" x14ac:dyDescent="0.35">
      <c r="A1845" s="5" t="s">
        <v>7431</v>
      </c>
      <c r="B1845" s="5" t="s">
        <v>687</v>
      </c>
      <c r="C1845" s="6" t="s">
        <v>7432</v>
      </c>
      <c r="D1845" s="7">
        <v>51100</v>
      </c>
      <c r="E1845" s="5" t="s">
        <v>48</v>
      </c>
      <c r="F1845" s="5" t="s">
        <v>49</v>
      </c>
      <c r="G1845" s="8"/>
      <c r="H1845" s="8" t="str">
        <f>IF(F1845="Bullet",MIN(G1845,Assumptions!$B$6),"")</f>
        <v/>
      </c>
      <c r="I1845" s="8">
        <v>2</v>
      </c>
      <c r="J1845" s="8">
        <f>IF(F1845="Monthly interest",MAX(0,Assumptions!$B$5-I1845),"")</f>
        <v>1</v>
      </c>
      <c r="K1845" s="7">
        <f t="shared" si="84"/>
        <v>1534</v>
      </c>
      <c r="L1845" s="9">
        <v>46245</v>
      </c>
      <c r="M1845" s="5" t="s">
        <v>116</v>
      </c>
      <c r="N1845" s="5" t="s">
        <v>117</v>
      </c>
      <c r="O1845" s="5" t="s">
        <v>118</v>
      </c>
      <c r="P1845" s="5" t="s">
        <v>72</v>
      </c>
      <c r="Q1845" s="5" t="s">
        <v>119</v>
      </c>
      <c r="R1845" s="5" t="s">
        <v>120</v>
      </c>
      <c r="S1845" s="5" t="s">
        <v>185</v>
      </c>
      <c r="T1845" s="5" t="s">
        <v>57</v>
      </c>
      <c r="U1845" s="5" t="s">
        <v>58</v>
      </c>
      <c r="V1845" s="5" t="s">
        <v>186</v>
      </c>
      <c r="W1845" s="5" t="s">
        <v>694</v>
      </c>
      <c r="X1845" s="5" t="s">
        <v>695</v>
      </c>
      <c r="Y1845" s="5" t="s">
        <v>7433</v>
      </c>
      <c r="Z1845" s="9">
        <v>46033</v>
      </c>
      <c r="AA1845" s="8">
        <v>12</v>
      </c>
      <c r="AB1845" s="9">
        <f t="shared" si="85"/>
        <v>46398</v>
      </c>
      <c r="AC1845" s="10">
        <v>18</v>
      </c>
      <c r="AD1845" s="7">
        <f t="shared" si="86"/>
        <v>767</v>
      </c>
      <c r="AE1845" s="7">
        <f>IF(F1845="Bullet",H1845*AD1845,MIN(MAX(I1845,1),Assumptions!$B$6)*AD1845)</f>
        <v>1534</v>
      </c>
      <c r="AF1845" s="8">
        <f>IF(F1845="Bullet",MAX(0,Assumptions!$B$4-AB1845),MAX(0,Assumptions!$B$4-L1845))</f>
        <v>53</v>
      </c>
      <c r="AG1845" s="9">
        <v>46214</v>
      </c>
      <c r="AH1845" s="8">
        <f>IF(AG1845="","",Assumptions!$B$4-AG1845)</f>
        <v>84</v>
      </c>
      <c r="AI1845" s="5" t="s">
        <v>63</v>
      </c>
      <c r="AJ1845" s="8">
        <v>3</v>
      </c>
      <c r="AK1845" s="8">
        <v>1</v>
      </c>
      <c r="AL1845" s="8">
        <v>634</v>
      </c>
      <c r="AM1845" s="8">
        <v>2</v>
      </c>
      <c r="AN1845" s="5" t="s">
        <v>57</v>
      </c>
      <c r="AO1845" s="10">
        <v>64</v>
      </c>
      <c r="AP1845" s="8">
        <v>71</v>
      </c>
      <c r="AQ1845" s="9">
        <v>46278</v>
      </c>
      <c r="AR1845" s="5" t="s">
        <v>51</v>
      </c>
      <c r="AS1845" s="5" t="s">
        <v>81</v>
      </c>
    </row>
    <row r="1846" spans="1:45" x14ac:dyDescent="0.35">
      <c r="A1846" s="5" t="s">
        <v>7434</v>
      </c>
      <c r="B1846" s="5" t="s">
        <v>5432</v>
      </c>
      <c r="C1846" s="6" t="s">
        <v>7435</v>
      </c>
      <c r="D1846" s="7">
        <v>222300</v>
      </c>
      <c r="E1846" s="5" t="s">
        <v>48</v>
      </c>
      <c r="F1846" s="5" t="s">
        <v>68</v>
      </c>
      <c r="G1846" s="8">
        <v>4</v>
      </c>
      <c r="H1846" s="8">
        <f>IF(F1846="Bullet",MIN(G1846,Assumptions!$B$6),"")</f>
        <v>2</v>
      </c>
      <c r="I1846" s="8"/>
      <c r="J1846" s="8" t="str">
        <f>IF(F1846="Monthly interest",MAX(0,Assumptions!$B$5-I1846),"")</f>
        <v/>
      </c>
      <c r="K1846" s="7">
        <f t="shared" si="84"/>
        <v>11856</v>
      </c>
      <c r="L1846" s="9">
        <v>46169</v>
      </c>
      <c r="M1846" s="5" t="s">
        <v>69</v>
      </c>
      <c r="N1846" s="5" t="s">
        <v>70</v>
      </c>
      <c r="O1846" s="5" t="s">
        <v>71</v>
      </c>
      <c r="P1846" s="5" t="s">
        <v>72</v>
      </c>
      <c r="Q1846" s="5" t="s">
        <v>73</v>
      </c>
      <c r="R1846" s="5" t="s">
        <v>74</v>
      </c>
      <c r="S1846" s="5" t="s">
        <v>214</v>
      </c>
      <c r="T1846" s="5" t="s">
        <v>57</v>
      </c>
      <c r="U1846" s="5" t="s">
        <v>104</v>
      </c>
      <c r="V1846" s="5" t="s">
        <v>215</v>
      </c>
      <c r="W1846" s="5" t="s">
        <v>600</v>
      </c>
      <c r="X1846" s="5" t="s">
        <v>1206</v>
      </c>
      <c r="Y1846" s="5" t="s">
        <v>7436</v>
      </c>
      <c r="Z1846" s="9">
        <v>46169</v>
      </c>
      <c r="AA1846" s="8">
        <v>12</v>
      </c>
      <c r="AB1846" s="9">
        <f t="shared" si="85"/>
        <v>46534</v>
      </c>
      <c r="AC1846" s="10">
        <v>16</v>
      </c>
      <c r="AD1846" s="7">
        <f t="shared" si="86"/>
        <v>2964</v>
      </c>
      <c r="AE1846" s="7">
        <f>IF(F1846="Bullet",H1846*AD1846,MIN(MAX(I1846,1),Assumptions!$B$6)*AD1846)</f>
        <v>5928</v>
      </c>
      <c r="AF1846" s="8">
        <f>IF(F1846="Bullet",MAX(0,Assumptions!$B$4-AB1846),MAX(0,Assumptions!$B$4-L1846))</f>
        <v>0</v>
      </c>
      <c r="AG1846" s="9"/>
      <c r="AH1846" s="8" t="str">
        <f>IF(AG1846="","",Assumptions!$B$4-AG1846)</f>
        <v/>
      </c>
      <c r="AI1846" s="5" t="s">
        <v>80</v>
      </c>
      <c r="AJ1846" s="8"/>
      <c r="AK1846" s="8">
        <v>2</v>
      </c>
      <c r="AL1846" s="8">
        <v>681</v>
      </c>
      <c r="AM1846" s="8">
        <v>1</v>
      </c>
      <c r="AN1846" s="5" t="s">
        <v>63</v>
      </c>
      <c r="AO1846" s="10">
        <v>74.3</v>
      </c>
      <c r="AP1846" s="8">
        <v>41</v>
      </c>
      <c r="AQ1846" s="9">
        <v>46277</v>
      </c>
      <c r="AR1846" s="5" t="s">
        <v>51</v>
      </c>
      <c r="AS1846" s="5" t="s">
        <v>64</v>
      </c>
    </row>
    <row r="1847" spans="1:45" x14ac:dyDescent="0.35">
      <c r="A1847" s="5" t="s">
        <v>7437</v>
      </c>
      <c r="B1847" s="5" t="s">
        <v>7438</v>
      </c>
      <c r="C1847" s="6" t="s">
        <v>7439</v>
      </c>
      <c r="D1847" s="7">
        <v>319200</v>
      </c>
      <c r="E1847" s="5" t="s">
        <v>48</v>
      </c>
      <c r="F1847" s="5" t="s">
        <v>49</v>
      </c>
      <c r="G1847" s="8"/>
      <c r="H1847" s="8" t="str">
        <f>IF(F1847="Bullet",MIN(G1847,Assumptions!$B$6),"")</f>
        <v/>
      </c>
      <c r="I1847" s="8">
        <v>2</v>
      </c>
      <c r="J1847" s="8">
        <f>IF(F1847="Monthly interest",MAX(0,Assumptions!$B$5-I1847),"")</f>
        <v>1</v>
      </c>
      <c r="K1847" s="7">
        <f t="shared" si="84"/>
        <v>12768</v>
      </c>
      <c r="L1847" s="9">
        <v>46246</v>
      </c>
      <c r="M1847" s="5" t="s">
        <v>116</v>
      </c>
      <c r="N1847" s="5" t="s">
        <v>117</v>
      </c>
      <c r="O1847" s="5" t="s">
        <v>118</v>
      </c>
      <c r="P1847" s="5" t="s">
        <v>72</v>
      </c>
      <c r="Q1847" s="5" t="s">
        <v>119</v>
      </c>
      <c r="R1847" s="5" t="s">
        <v>120</v>
      </c>
      <c r="S1847" s="5" t="s">
        <v>56</v>
      </c>
      <c r="T1847" s="5" t="s">
        <v>57</v>
      </c>
      <c r="U1847" s="5" t="s">
        <v>86</v>
      </c>
      <c r="V1847" s="5" t="s">
        <v>59</v>
      </c>
      <c r="W1847" s="5" t="s">
        <v>60</v>
      </c>
      <c r="X1847" s="5" t="s">
        <v>2867</v>
      </c>
      <c r="Y1847" s="5" t="s">
        <v>7440</v>
      </c>
      <c r="Z1847" s="9">
        <v>46185</v>
      </c>
      <c r="AA1847" s="8">
        <v>24</v>
      </c>
      <c r="AB1847" s="9">
        <f t="shared" si="85"/>
        <v>46916</v>
      </c>
      <c r="AC1847" s="10">
        <v>24</v>
      </c>
      <c r="AD1847" s="7">
        <f t="shared" si="86"/>
        <v>6384</v>
      </c>
      <c r="AE1847" s="7">
        <f>IF(F1847="Bullet",H1847*AD1847,MIN(MAX(I1847,1),Assumptions!$B$6)*AD1847)</f>
        <v>12768</v>
      </c>
      <c r="AF1847" s="8">
        <f>IF(F1847="Bullet",MAX(0,Assumptions!$B$4-AB1847),MAX(0,Assumptions!$B$4-L1847))</f>
        <v>52</v>
      </c>
      <c r="AG1847" s="9">
        <v>46218</v>
      </c>
      <c r="AH1847" s="8">
        <f>IF(AG1847="","",Assumptions!$B$4-AG1847)</f>
        <v>80</v>
      </c>
      <c r="AI1847" s="5" t="s">
        <v>57</v>
      </c>
      <c r="AJ1847" s="8">
        <v>2</v>
      </c>
      <c r="AK1847" s="8">
        <v>0</v>
      </c>
      <c r="AL1847" s="8">
        <v>693</v>
      </c>
      <c r="AM1847" s="8">
        <v>2</v>
      </c>
      <c r="AN1847" s="5" t="s">
        <v>63</v>
      </c>
      <c r="AO1847" s="10">
        <v>70.8</v>
      </c>
      <c r="AP1847" s="8">
        <v>49</v>
      </c>
      <c r="AQ1847" s="9">
        <v>46296</v>
      </c>
      <c r="AR1847" s="5" t="s">
        <v>51</v>
      </c>
      <c r="AS1847" s="5" t="s">
        <v>274</v>
      </c>
    </row>
    <row r="1848" spans="1:45" x14ac:dyDescent="0.35">
      <c r="A1848" s="5" t="s">
        <v>7441</v>
      </c>
      <c r="B1848" s="5" t="s">
        <v>7442</v>
      </c>
      <c r="C1848" s="6" t="s">
        <v>7443</v>
      </c>
      <c r="D1848" s="7">
        <v>26900</v>
      </c>
      <c r="E1848" s="5" t="s">
        <v>48</v>
      </c>
      <c r="F1848" s="5" t="s">
        <v>49</v>
      </c>
      <c r="G1848" s="8"/>
      <c r="H1848" s="8" t="str">
        <f>IF(F1848="Bullet",MIN(G1848,Assumptions!$B$6),"")</f>
        <v/>
      </c>
      <c r="I1848" s="8">
        <v>1</v>
      </c>
      <c r="J1848" s="8">
        <f>IF(F1848="Monthly interest",MAX(0,Assumptions!$B$5-I1848),"")</f>
        <v>2</v>
      </c>
      <c r="K1848" s="7">
        <f t="shared" si="84"/>
        <v>448</v>
      </c>
      <c r="L1848" s="9">
        <v>46283</v>
      </c>
      <c r="M1848" s="5" t="s">
        <v>69</v>
      </c>
      <c r="N1848" s="5" t="s">
        <v>51</v>
      </c>
      <c r="O1848" s="5" t="s">
        <v>152</v>
      </c>
      <c r="P1848" s="5" t="s">
        <v>53</v>
      </c>
      <c r="Q1848" s="5" t="s">
        <v>154</v>
      </c>
      <c r="R1848" s="5" t="s">
        <v>155</v>
      </c>
      <c r="S1848" s="5" t="s">
        <v>75</v>
      </c>
      <c r="T1848" s="5" t="s">
        <v>57</v>
      </c>
      <c r="U1848" s="5" t="s">
        <v>58</v>
      </c>
      <c r="V1848" s="5" t="s">
        <v>76</v>
      </c>
      <c r="W1848" s="5" t="s">
        <v>105</v>
      </c>
      <c r="X1848" s="5" t="s">
        <v>565</v>
      </c>
      <c r="Y1848" s="5" t="s">
        <v>7444</v>
      </c>
      <c r="Z1848" s="9">
        <v>46040</v>
      </c>
      <c r="AA1848" s="8">
        <v>18</v>
      </c>
      <c r="AB1848" s="9">
        <f t="shared" si="85"/>
        <v>46586</v>
      </c>
      <c r="AC1848" s="10">
        <v>20</v>
      </c>
      <c r="AD1848" s="7">
        <f t="shared" si="86"/>
        <v>448</v>
      </c>
      <c r="AE1848" s="7">
        <f>IF(F1848="Bullet",H1848*AD1848,MIN(MAX(I1848,1),Assumptions!$B$6)*AD1848)</f>
        <v>448</v>
      </c>
      <c r="AF1848" s="8">
        <f>IF(F1848="Bullet",MAX(0,Assumptions!$B$4-AB1848),MAX(0,Assumptions!$B$4-L1848))</f>
        <v>15</v>
      </c>
      <c r="AG1848" s="9">
        <v>46254</v>
      </c>
      <c r="AH1848" s="8">
        <f>IF(AG1848="","",Assumptions!$B$4-AG1848)</f>
        <v>44</v>
      </c>
      <c r="AI1848" s="5" t="s">
        <v>63</v>
      </c>
      <c r="AJ1848" s="8">
        <v>1</v>
      </c>
      <c r="AK1848" s="8">
        <v>0</v>
      </c>
      <c r="AL1848" s="8" t="s">
        <v>80</v>
      </c>
      <c r="AM1848" s="8">
        <v>2</v>
      </c>
      <c r="AN1848" s="5" t="s">
        <v>63</v>
      </c>
      <c r="AO1848" s="10">
        <v>85.9</v>
      </c>
      <c r="AP1848" s="8">
        <v>34</v>
      </c>
      <c r="AQ1848" s="9"/>
      <c r="AR1848" s="5"/>
      <c r="AS1848" s="5" t="s">
        <v>159</v>
      </c>
    </row>
    <row r="1849" spans="1:45" x14ac:dyDescent="0.35">
      <c r="A1849" s="5" t="s">
        <v>7445</v>
      </c>
      <c r="B1849" s="5" t="s">
        <v>7446</v>
      </c>
      <c r="C1849" s="6" t="s">
        <v>7447</v>
      </c>
      <c r="D1849" s="7">
        <v>99100</v>
      </c>
      <c r="E1849" s="5" t="s">
        <v>48</v>
      </c>
      <c r="F1849" s="5" t="s">
        <v>68</v>
      </c>
      <c r="G1849" s="8">
        <v>3</v>
      </c>
      <c r="H1849" s="8">
        <f>IF(F1849="Bullet",MIN(G1849,Assumptions!$B$6),"")</f>
        <v>2</v>
      </c>
      <c r="I1849" s="8"/>
      <c r="J1849" s="8" t="str">
        <f>IF(F1849="Monthly interest",MAX(0,Assumptions!$B$5-I1849),"")</f>
        <v/>
      </c>
      <c r="K1849" s="7">
        <f t="shared" si="84"/>
        <v>2973</v>
      </c>
      <c r="L1849" s="9">
        <v>46190</v>
      </c>
      <c r="M1849" s="5" t="s">
        <v>50</v>
      </c>
      <c r="N1849" s="5" t="s">
        <v>53</v>
      </c>
      <c r="O1849" s="5" t="s">
        <v>71</v>
      </c>
      <c r="P1849" s="5" t="s">
        <v>70</v>
      </c>
      <c r="Q1849" s="5" t="s">
        <v>73</v>
      </c>
      <c r="R1849" s="5" t="s">
        <v>74</v>
      </c>
      <c r="S1849" s="5" t="s">
        <v>85</v>
      </c>
      <c r="T1849" s="5" t="s">
        <v>63</v>
      </c>
      <c r="U1849" s="5" t="s">
        <v>58</v>
      </c>
      <c r="V1849" s="5" t="s">
        <v>87</v>
      </c>
      <c r="W1849" s="5" t="s">
        <v>88</v>
      </c>
      <c r="X1849" s="5" t="s">
        <v>3940</v>
      </c>
      <c r="Y1849" s="5" t="s">
        <v>7448</v>
      </c>
      <c r="Z1849" s="9">
        <v>46190</v>
      </c>
      <c r="AA1849" s="8">
        <v>12</v>
      </c>
      <c r="AB1849" s="9">
        <f t="shared" si="85"/>
        <v>46555</v>
      </c>
      <c r="AC1849" s="10">
        <v>12</v>
      </c>
      <c r="AD1849" s="7">
        <f t="shared" si="86"/>
        <v>991</v>
      </c>
      <c r="AE1849" s="7">
        <f>IF(F1849="Bullet",H1849*AD1849,MIN(MAX(I1849,1),Assumptions!$B$6)*AD1849)</f>
        <v>1982</v>
      </c>
      <c r="AF1849" s="8">
        <f>IF(F1849="Bullet",MAX(0,Assumptions!$B$4-AB1849),MAX(0,Assumptions!$B$4-L1849))</f>
        <v>0</v>
      </c>
      <c r="AG1849" s="9"/>
      <c r="AH1849" s="8" t="str">
        <f>IF(AG1849="","",Assumptions!$B$4-AG1849)</f>
        <v/>
      </c>
      <c r="AI1849" s="5" t="s">
        <v>80</v>
      </c>
      <c r="AJ1849" s="8"/>
      <c r="AK1849" s="8">
        <v>2</v>
      </c>
      <c r="AL1849" s="8">
        <v>745</v>
      </c>
      <c r="AM1849" s="8">
        <v>1</v>
      </c>
      <c r="AN1849" s="5" t="s">
        <v>63</v>
      </c>
      <c r="AO1849" s="10">
        <v>70.400000000000006</v>
      </c>
      <c r="AP1849" s="8">
        <v>29</v>
      </c>
      <c r="AQ1849" s="9"/>
      <c r="AR1849" s="5"/>
      <c r="AS1849" s="5" t="s">
        <v>159</v>
      </c>
    </row>
    <row r="1850" spans="1:45" x14ac:dyDescent="0.35">
      <c r="A1850" s="5" t="s">
        <v>7449</v>
      </c>
      <c r="B1850" s="5" t="s">
        <v>7158</v>
      </c>
      <c r="C1850" s="6" t="s">
        <v>7450</v>
      </c>
      <c r="D1850" s="7">
        <v>16100</v>
      </c>
      <c r="E1850" s="5" t="s">
        <v>48</v>
      </c>
      <c r="F1850" s="5" t="s">
        <v>49</v>
      </c>
      <c r="G1850" s="8"/>
      <c r="H1850" s="8" t="str">
        <f>IF(F1850="Bullet",MIN(G1850,Assumptions!$B$6),"")</f>
        <v/>
      </c>
      <c r="I1850" s="8">
        <v>1</v>
      </c>
      <c r="J1850" s="8">
        <f>IF(F1850="Monthly interest",MAX(0,Assumptions!$B$5-I1850),"")</f>
        <v>2</v>
      </c>
      <c r="K1850" s="7">
        <f t="shared" si="84"/>
        <v>322</v>
      </c>
      <c r="L1850" s="9">
        <v>46269</v>
      </c>
      <c r="M1850" s="5" t="s">
        <v>50</v>
      </c>
      <c r="N1850" s="5" t="s">
        <v>53</v>
      </c>
      <c r="O1850" s="5" t="s">
        <v>132</v>
      </c>
      <c r="P1850" s="5" t="s">
        <v>153</v>
      </c>
      <c r="Q1850" s="5" t="s">
        <v>154</v>
      </c>
      <c r="R1850" s="5" t="s">
        <v>155</v>
      </c>
      <c r="S1850" s="5" t="s">
        <v>85</v>
      </c>
      <c r="T1850" s="5" t="s">
        <v>57</v>
      </c>
      <c r="U1850" s="5" t="s">
        <v>104</v>
      </c>
      <c r="V1850" s="5" t="s">
        <v>96</v>
      </c>
      <c r="W1850" s="5" t="s">
        <v>819</v>
      </c>
      <c r="X1850" s="5" t="s">
        <v>1939</v>
      </c>
      <c r="Y1850" s="5" t="s">
        <v>7451</v>
      </c>
      <c r="Z1850" s="9">
        <v>46177</v>
      </c>
      <c r="AA1850" s="8">
        <v>12</v>
      </c>
      <c r="AB1850" s="9">
        <f t="shared" si="85"/>
        <v>46542</v>
      </c>
      <c r="AC1850" s="10">
        <v>24</v>
      </c>
      <c r="AD1850" s="7">
        <f t="shared" si="86"/>
        <v>322</v>
      </c>
      <c r="AE1850" s="7">
        <f>IF(F1850="Bullet",H1850*AD1850,MIN(MAX(I1850,1),Assumptions!$B$6)*AD1850)</f>
        <v>322</v>
      </c>
      <c r="AF1850" s="8">
        <f>IF(F1850="Bullet",MAX(0,Assumptions!$B$4-AB1850),MAX(0,Assumptions!$B$4-L1850))</f>
        <v>29</v>
      </c>
      <c r="AG1850" s="9">
        <v>46238</v>
      </c>
      <c r="AH1850" s="8">
        <f>IF(AG1850="","",Assumptions!$B$4-AG1850)</f>
        <v>60</v>
      </c>
      <c r="AI1850" s="5" t="s">
        <v>63</v>
      </c>
      <c r="AJ1850" s="8">
        <v>1</v>
      </c>
      <c r="AK1850" s="8">
        <v>0</v>
      </c>
      <c r="AL1850" s="8" t="s">
        <v>80</v>
      </c>
      <c r="AM1850" s="8">
        <v>0</v>
      </c>
      <c r="AN1850" s="5" t="s">
        <v>63</v>
      </c>
      <c r="AO1850" s="10">
        <v>63.4</v>
      </c>
      <c r="AP1850" s="8">
        <v>22</v>
      </c>
      <c r="AQ1850" s="9">
        <v>46294</v>
      </c>
      <c r="AR1850" s="5" t="s">
        <v>51</v>
      </c>
      <c r="AS1850" s="5" t="s">
        <v>91</v>
      </c>
    </row>
    <row r="1851" spans="1:45" x14ac:dyDescent="0.35">
      <c r="A1851" s="5" t="s">
        <v>7452</v>
      </c>
      <c r="B1851" s="5" t="s">
        <v>7127</v>
      </c>
      <c r="C1851" s="6" t="s">
        <v>7453</v>
      </c>
      <c r="D1851" s="7">
        <v>72400</v>
      </c>
      <c r="E1851" s="5" t="s">
        <v>48</v>
      </c>
      <c r="F1851" s="5" t="s">
        <v>49</v>
      </c>
      <c r="G1851" s="8"/>
      <c r="H1851" s="8" t="str">
        <f>IF(F1851="Bullet",MIN(G1851,Assumptions!$B$6),"")</f>
        <v/>
      </c>
      <c r="I1851" s="8">
        <v>1</v>
      </c>
      <c r="J1851" s="8">
        <f>IF(F1851="Monthly interest",MAX(0,Assumptions!$B$5-I1851),"")</f>
        <v>2</v>
      </c>
      <c r="K1851" s="7">
        <f t="shared" si="84"/>
        <v>1327</v>
      </c>
      <c r="L1851" s="9">
        <v>46274</v>
      </c>
      <c r="M1851" s="5" t="s">
        <v>50</v>
      </c>
      <c r="N1851" s="5" t="s">
        <v>51</v>
      </c>
      <c r="O1851" s="5" t="s">
        <v>52</v>
      </c>
      <c r="P1851" s="5" t="s">
        <v>53</v>
      </c>
      <c r="Q1851" s="5" t="s">
        <v>54</v>
      </c>
      <c r="R1851" s="5" t="s">
        <v>55</v>
      </c>
      <c r="S1851" s="5" t="s">
        <v>85</v>
      </c>
      <c r="T1851" s="5" t="s">
        <v>57</v>
      </c>
      <c r="U1851" s="5" t="s">
        <v>104</v>
      </c>
      <c r="V1851" s="5" t="s">
        <v>177</v>
      </c>
      <c r="W1851" s="5" t="s">
        <v>208</v>
      </c>
      <c r="X1851" s="5" t="s">
        <v>909</v>
      </c>
      <c r="Y1851" s="5" t="s">
        <v>7454</v>
      </c>
      <c r="Z1851" s="9">
        <v>46121</v>
      </c>
      <c r="AA1851" s="8">
        <v>24</v>
      </c>
      <c r="AB1851" s="9">
        <f t="shared" si="85"/>
        <v>46852</v>
      </c>
      <c r="AC1851" s="10">
        <v>22</v>
      </c>
      <c r="AD1851" s="7">
        <f t="shared" si="86"/>
        <v>1327</v>
      </c>
      <c r="AE1851" s="7">
        <f>IF(F1851="Bullet",H1851*AD1851,MIN(MAX(I1851,1),Assumptions!$B$6)*AD1851)</f>
        <v>1327</v>
      </c>
      <c r="AF1851" s="8">
        <f>IF(F1851="Bullet",MAX(0,Assumptions!$B$4-AB1851),MAX(0,Assumptions!$B$4-L1851))</f>
        <v>24</v>
      </c>
      <c r="AG1851" s="9">
        <v>46245</v>
      </c>
      <c r="AH1851" s="8">
        <f>IF(AG1851="","",Assumptions!$B$4-AG1851)</f>
        <v>53</v>
      </c>
      <c r="AI1851" s="5" t="s">
        <v>57</v>
      </c>
      <c r="AJ1851" s="8">
        <v>1</v>
      </c>
      <c r="AK1851" s="8">
        <v>0</v>
      </c>
      <c r="AL1851" s="8">
        <v>634</v>
      </c>
      <c r="AM1851" s="8">
        <v>1</v>
      </c>
      <c r="AN1851" s="5" t="s">
        <v>63</v>
      </c>
      <c r="AO1851" s="10">
        <v>65</v>
      </c>
      <c r="AP1851" s="8">
        <v>26</v>
      </c>
      <c r="AQ1851" s="9">
        <v>46297</v>
      </c>
      <c r="AR1851" s="5" t="s">
        <v>53</v>
      </c>
      <c r="AS1851" s="5" t="s">
        <v>81</v>
      </c>
    </row>
    <row r="1852" spans="1:45" x14ac:dyDescent="0.35">
      <c r="A1852" s="5" t="s">
        <v>7455</v>
      </c>
      <c r="B1852" s="5" t="s">
        <v>809</v>
      </c>
      <c r="C1852" s="6" t="s">
        <v>7456</v>
      </c>
      <c r="D1852" s="7">
        <v>117400</v>
      </c>
      <c r="E1852" s="5" t="s">
        <v>48</v>
      </c>
      <c r="F1852" s="5" t="s">
        <v>68</v>
      </c>
      <c r="G1852" s="8">
        <v>5</v>
      </c>
      <c r="H1852" s="8">
        <f>IF(F1852="Bullet",MIN(G1852,Assumptions!$B$6),"")</f>
        <v>2</v>
      </c>
      <c r="I1852" s="8"/>
      <c r="J1852" s="8" t="str">
        <f>IF(F1852="Monthly interest",MAX(0,Assumptions!$B$5-I1852),"")</f>
        <v/>
      </c>
      <c r="K1852" s="7">
        <f t="shared" si="84"/>
        <v>7825</v>
      </c>
      <c r="L1852" s="9">
        <v>46132</v>
      </c>
      <c r="M1852" s="5" t="s">
        <v>116</v>
      </c>
      <c r="N1852" s="5" t="s">
        <v>117</v>
      </c>
      <c r="O1852" s="5" t="s">
        <v>461</v>
      </c>
      <c r="P1852" s="5" t="s">
        <v>72</v>
      </c>
      <c r="Q1852" s="5" t="s">
        <v>169</v>
      </c>
      <c r="R1852" s="5" t="s">
        <v>170</v>
      </c>
      <c r="S1852" s="5" t="s">
        <v>214</v>
      </c>
      <c r="T1852" s="5" t="s">
        <v>57</v>
      </c>
      <c r="U1852" s="5" t="s">
        <v>58</v>
      </c>
      <c r="V1852" s="5" t="s">
        <v>215</v>
      </c>
      <c r="W1852" s="5" t="s">
        <v>242</v>
      </c>
      <c r="X1852" s="5" t="s">
        <v>1361</v>
      </c>
      <c r="Y1852" s="5" t="s">
        <v>7457</v>
      </c>
      <c r="Z1852" s="9">
        <v>46132</v>
      </c>
      <c r="AA1852" s="8">
        <v>6</v>
      </c>
      <c r="AB1852" s="9">
        <f t="shared" si="85"/>
        <v>46315</v>
      </c>
      <c r="AC1852" s="10">
        <v>16</v>
      </c>
      <c r="AD1852" s="7">
        <f t="shared" si="86"/>
        <v>1565</v>
      </c>
      <c r="AE1852" s="7">
        <f>IF(F1852="Bullet",H1852*AD1852,MIN(MAX(I1852,1),Assumptions!$B$6)*AD1852)</f>
        <v>3130</v>
      </c>
      <c r="AF1852" s="8">
        <f>IF(F1852="Bullet",MAX(0,Assumptions!$B$4-AB1852),MAX(0,Assumptions!$B$4-L1852))</f>
        <v>0</v>
      </c>
      <c r="AG1852" s="9"/>
      <c r="AH1852" s="8" t="str">
        <f>IF(AG1852="","",Assumptions!$B$4-AG1852)</f>
        <v/>
      </c>
      <c r="AI1852" s="5" t="s">
        <v>80</v>
      </c>
      <c r="AJ1852" s="8"/>
      <c r="AK1852" s="8">
        <v>3</v>
      </c>
      <c r="AL1852" s="8">
        <v>680</v>
      </c>
      <c r="AM1852" s="8">
        <v>3</v>
      </c>
      <c r="AN1852" s="5" t="s">
        <v>63</v>
      </c>
      <c r="AO1852" s="10">
        <v>65.900000000000006</v>
      </c>
      <c r="AP1852" s="8">
        <v>64</v>
      </c>
      <c r="AQ1852" s="9"/>
      <c r="AR1852" s="5"/>
      <c r="AS1852" s="5" t="s">
        <v>159</v>
      </c>
    </row>
    <row r="1853" spans="1:45" x14ac:dyDescent="0.35">
      <c r="A1853" s="5" t="s">
        <v>7458</v>
      </c>
      <c r="B1853" s="5" t="s">
        <v>7459</v>
      </c>
      <c r="C1853" s="6" t="s">
        <v>7460</v>
      </c>
      <c r="D1853" s="7">
        <v>62900</v>
      </c>
      <c r="E1853" s="5" t="s">
        <v>48</v>
      </c>
      <c r="F1853" s="5" t="s">
        <v>49</v>
      </c>
      <c r="G1853" s="8"/>
      <c r="H1853" s="8" t="str">
        <f>IF(F1853="Bullet",MIN(G1853,Assumptions!$B$6),"")</f>
        <v/>
      </c>
      <c r="I1853" s="8">
        <v>2</v>
      </c>
      <c r="J1853" s="8">
        <f>IF(F1853="Monthly interest",MAX(0,Assumptions!$B$5-I1853),"")</f>
        <v>1</v>
      </c>
      <c r="K1853" s="7">
        <f t="shared" si="84"/>
        <v>2096</v>
      </c>
      <c r="L1853" s="9">
        <v>46262</v>
      </c>
      <c r="M1853" s="5" t="s">
        <v>116</v>
      </c>
      <c r="N1853" s="5" t="s">
        <v>117</v>
      </c>
      <c r="O1853" s="5" t="s">
        <v>118</v>
      </c>
      <c r="P1853" s="5" t="s">
        <v>72</v>
      </c>
      <c r="Q1853" s="5" t="s">
        <v>119</v>
      </c>
      <c r="R1853" s="5" t="s">
        <v>120</v>
      </c>
      <c r="S1853" s="5" t="s">
        <v>85</v>
      </c>
      <c r="T1853" s="5" t="s">
        <v>57</v>
      </c>
      <c r="U1853" s="5" t="s">
        <v>104</v>
      </c>
      <c r="V1853" s="5" t="s">
        <v>177</v>
      </c>
      <c r="W1853" s="5" t="s">
        <v>178</v>
      </c>
      <c r="X1853" s="5" t="s">
        <v>1261</v>
      </c>
      <c r="Y1853" s="5" t="s">
        <v>7461</v>
      </c>
      <c r="Z1853" s="9">
        <v>46050</v>
      </c>
      <c r="AA1853" s="8">
        <v>24</v>
      </c>
      <c r="AB1853" s="9">
        <f t="shared" si="85"/>
        <v>46780</v>
      </c>
      <c r="AC1853" s="10">
        <v>20</v>
      </c>
      <c r="AD1853" s="7">
        <f t="shared" si="86"/>
        <v>1048</v>
      </c>
      <c r="AE1853" s="7">
        <f>IF(F1853="Bullet",H1853*AD1853,MIN(MAX(I1853,1),Assumptions!$B$6)*AD1853)</f>
        <v>2096</v>
      </c>
      <c r="AF1853" s="8">
        <f>IF(F1853="Bullet",MAX(0,Assumptions!$B$4-AB1853),MAX(0,Assumptions!$B$4-L1853))</f>
        <v>36</v>
      </c>
      <c r="AG1853" s="9">
        <v>46235</v>
      </c>
      <c r="AH1853" s="8">
        <f>IF(AG1853="","",Assumptions!$B$4-AG1853)</f>
        <v>63</v>
      </c>
      <c r="AI1853" s="5" t="s">
        <v>63</v>
      </c>
      <c r="AJ1853" s="8">
        <v>5</v>
      </c>
      <c r="AK1853" s="8">
        <v>1</v>
      </c>
      <c r="AL1853" s="8" t="s">
        <v>80</v>
      </c>
      <c r="AM1853" s="8">
        <v>2</v>
      </c>
      <c r="AN1853" s="5" t="s">
        <v>63</v>
      </c>
      <c r="AO1853" s="10">
        <v>72.3</v>
      </c>
      <c r="AP1853" s="8">
        <v>61</v>
      </c>
      <c r="AQ1853" s="9">
        <v>46274</v>
      </c>
      <c r="AR1853" s="5" t="s">
        <v>53</v>
      </c>
      <c r="AS1853" s="5" t="s">
        <v>81</v>
      </c>
    </row>
    <row r="1854" spans="1:45" x14ac:dyDescent="0.35">
      <c r="A1854" s="5" t="s">
        <v>7462</v>
      </c>
      <c r="B1854" s="5" t="s">
        <v>7151</v>
      </c>
      <c r="C1854" s="6" t="s">
        <v>7463</v>
      </c>
      <c r="D1854" s="7">
        <v>32000</v>
      </c>
      <c r="E1854" s="5" t="s">
        <v>48</v>
      </c>
      <c r="F1854" s="5" t="s">
        <v>49</v>
      </c>
      <c r="G1854" s="8"/>
      <c r="H1854" s="8" t="str">
        <f>IF(F1854="Bullet",MIN(G1854,Assumptions!$B$6),"")</f>
        <v/>
      </c>
      <c r="I1854" s="8">
        <v>2</v>
      </c>
      <c r="J1854" s="8">
        <f>IF(F1854="Monthly interest",MAX(0,Assumptions!$B$5-I1854),"")</f>
        <v>1</v>
      </c>
      <c r="K1854" s="7">
        <f t="shared" si="84"/>
        <v>746</v>
      </c>
      <c r="L1854" s="9">
        <v>46253</v>
      </c>
      <c r="M1854" s="5" t="s">
        <v>116</v>
      </c>
      <c r="N1854" s="5" t="s">
        <v>117</v>
      </c>
      <c r="O1854" s="5" t="s">
        <v>450</v>
      </c>
      <c r="P1854" s="5" t="s">
        <v>72</v>
      </c>
      <c r="Q1854" s="5" t="s">
        <v>154</v>
      </c>
      <c r="R1854" s="5" t="s">
        <v>155</v>
      </c>
      <c r="S1854" s="5" t="s">
        <v>85</v>
      </c>
      <c r="T1854" s="5" t="s">
        <v>63</v>
      </c>
      <c r="U1854" s="5" t="s">
        <v>86</v>
      </c>
      <c r="V1854" s="5" t="s">
        <v>87</v>
      </c>
      <c r="W1854" s="5" t="s">
        <v>88</v>
      </c>
      <c r="X1854" s="5" t="s">
        <v>5216</v>
      </c>
      <c r="Y1854" s="5" t="s">
        <v>7464</v>
      </c>
      <c r="Z1854" s="9">
        <v>45980</v>
      </c>
      <c r="AA1854" s="8">
        <v>12</v>
      </c>
      <c r="AB1854" s="9">
        <f t="shared" si="85"/>
        <v>46345</v>
      </c>
      <c r="AC1854" s="10">
        <v>14</v>
      </c>
      <c r="AD1854" s="7">
        <f t="shared" si="86"/>
        <v>373</v>
      </c>
      <c r="AE1854" s="7">
        <f>IF(F1854="Bullet",H1854*AD1854,MIN(MAX(I1854,1),Assumptions!$B$6)*AD1854)</f>
        <v>746</v>
      </c>
      <c r="AF1854" s="8">
        <f>IF(F1854="Bullet",MAX(0,Assumptions!$B$4-AB1854),MAX(0,Assumptions!$B$4-L1854))</f>
        <v>45</v>
      </c>
      <c r="AG1854" s="9">
        <v>46224</v>
      </c>
      <c r="AH1854" s="8">
        <f>IF(AG1854="","",Assumptions!$B$4-AG1854)</f>
        <v>74</v>
      </c>
      <c r="AI1854" s="5" t="s">
        <v>63</v>
      </c>
      <c r="AJ1854" s="8">
        <v>2</v>
      </c>
      <c r="AK1854" s="8">
        <v>1</v>
      </c>
      <c r="AL1854" s="8">
        <v>601</v>
      </c>
      <c r="AM1854" s="8">
        <v>1</v>
      </c>
      <c r="AN1854" s="5" t="s">
        <v>63</v>
      </c>
      <c r="AO1854" s="10">
        <v>63.1</v>
      </c>
      <c r="AP1854" s="8">
        <v>57</v>
      </c>
      <c r="AQ1854" s="9"/>
      <c r="AR1854" s="5"/>
      <c r="AS1854" s="5" t="s">
        <v>159</v>
      </c>
    </row>
    <row r="1855" spans="1:45" x14ac:dyDescent="0.35">
      <c r="A1855" s="5" t="s">
        <v>7465</v>
      </c>
      <c r="B1855" s="5" t="s">
        <v>3543</v>
      </c>
      <c r="C1855" s="6" t="s">
        <v>7466</v>
      </c>
      <c r="D1855" s="7">
        <v>80000</v>
      </c>
      <c r="E1855" s="5" t="s">
        <v>48</v>
      </c>
      <c r="F1855" s="5" t="s">
        <v>49</v>
      </c>
      <c r="G1855" s="8"/>
      <c r="H1855" s="8" t="str">
        <f>IF(F1855="Bullet",MIN(G1855,Assumptions!$B$6),"")</f>
        <v/>
      </c>
      <c r="I1855" s="8">
        <v>2</v>
      </c>
      <c r="J1855" s="8">
        <f>IF(F1855="Monthly interest",MAX(0,Assumptions!$B$5-I1855),"")</f>
        <v>1</v>
      </c>
      <c r="K1855" s="7">
        <f t="shared" si="84"/>
        <v>2134</v>
      </c>
      <c r="L1855" s="9">
        <v>46248</v>
      </c>
      <c r="M1855" s="5" t="s">
        <v>69</v>
      </c>
      <c r="N1855" s="5" t="s">
        <v>53</v>
      </c>
      <c r="O1855" s="5" t="s">
        <v>71</v>
      </c>
      <c r="P1855" s="5" t="s">
        <v>70</v>
      </c>
      <c r="Q1855" s="5" t="s">
        <v>73</v>
      </c>
      <c r="R1855" s="5" t="s">
        <v>74</v>
      </c>
      <c r="S1855" s="5" t="s">
        <v>214</v>
      </c>
      <c r="T1855" s="5" t="s">
        <v>63</v>
      </c>
      <c r="U1855" s="5" t="s">
        <v>58</v>
      </c>
      <c r="V1855" s="5" t="s">
        <v>215</v>
      </c>
      <c r="W1855" s="5" t="s">
        <v>284</v>
      </c>
      <c r="X1855" s="5" t="s">
        <v>4107</v>
      </c>
      <c r="Y1855" s="5" t="s">
        <v>7467</v>
      </c>
      <c r="Z1855" s="9">
        <v>46095</v>
      </c>
      <c r="AA1855" s="8">
        <v>12</v>
      </c>
      <c r="AB1855" s="9">
        <f t="shared" si="85"/>
        <v>46460</v>
      </c>
      <c r="AC1855" s="10">
        <v>16</v>
      </c>
      <c r="AD1855" s="7">
        <f t="shared" si="86"/>
        <v>1067</v>
      </c>
      <c r="AE1855" s="7">
        <f>IF(F1855="Bullet",H1855*AD1855,MIN(MAX(I1855,1),Assumptions!$B$6)*AD1855)</f>
        <v>2134</v>
      </c>
      <c r="AF1855" s="8">
        <f>IF(F1855="Bullet",MAX(0,Assumptions!$B$4-AB1855),MAX(0,Assumptions!$B$4-L1855))</f>
        <v>50</v>
      </c>
      <c r="AG1855" s="9">
        <v>46219</v>
      </c>
      <c r="AH1855" s="8">
        <f>IF(AG1855="","",Assumptions!$B$4-AG1855)</f>
        <v>79</v>
      </c>
      <c r="AI1855" s="5" t="s">
        <v>63</v>
      </c>
      <c r="AJ1855" s="8">
        <v>2</v>
      </c>
      <c r="AK1855" s="8">
        <v>1</v>
      </c>
      <c r="AL1855" s="8">
        <v>728</v>
      </c>
      <c r="AM1855" s="8">
        <v>0</v>
      </c>
      <c r="AN1855" s="5" t="s">
        <v>63</v>
      </c>
      <c r="AO1855" s="10">
        <v>77.2</v>
      </c>
      <c r="AP1855" s="8">
        <v>43</v>
      </c>
      <c r="AQ1855" s="9">
        <v>46275</v>
      </c>
      <c r="AR1855" s="5" t="s">
        <v>70</v>
      </c>
      <c r="AS1855" s="5" t="s">
        <v>81</v>
      </c>
    </row>
    <row r="1856" spans="1:45" x14ac:dyDescent="0.35">
      <c r="A1856" s="5" t="s">
        <v>7468</v>
      </c>
      <c r="B1856" s="5" t="s">
        <v>7469</v>
      </c>
      <c r="C1856" s="6" t="s">
        <v>7470</v>
      </c>
      <c r="D1856" s="7">
        <v>68000</v>
      </c>
      <c r="E1856" s="5" t="s">
        <v>48</v>
      </c>
      <c r="F1856" s="5" t="s">
        <v>49</v>
      </c>
      <c r="G1856" s="8"/>
      <c r="H1856" s="8" t="str">
        <f>IF(F1856="Bullet",MIN(G1856,Assumptions!$B$6),"")</f>
        <v/>
      </c>
      <c r="I1856" s="8">
        <v>1</v>
      </c>
      <c r="J1856" s="8">
        <f>IF(F1856="Monthly interest",MAX(0,Assumptions!$B$5-I1856),"")</f>
        <v>2</v>
      </c>
      <c r="K1856" s="7">
        <f t="shared" si="84"/>
        <v>1020</v>
      </c>
      <c r="L1856" s="9">
        <v>46281</v>
      </c>
      <c r="M1856" s="5" t="s">
        <v>50</v>
      </c>
      <c r="N1856" s="5" t="s">
        <v>51</v>
      </c>
      <c r="O1856" s="5" t="s">
        <v>52</v>
      </c>
      <c r="P1856" s="5" t="s">
        <v>53</v>
      </c>
      <c r="Q1856" s="5" t="s">
        <v>54</v>
      </c>
      <c r="R1856" s="5" t="s">
        <v>55</v>
      </c>
      <c r="S1856" s="5" t="s">
        <v>185</v>
      </c>
      <c r="T1856" s="5" t="s">
        <v>57</v>
      </c>
      <c r="U1856" s="5" t="s">
        <v>104</v>
      </c>
      <c r="V1856" s="5" t="s">
        <v>200</v>
      </c>
      <c r="W1856" s="5" t="s">
        <v>201</v>
      </c>
      <c r="X1856" s="5" t="s">
        <v>4070</v>
      </c>
      <c r="Y1856" s="5" t="s">
        <v>7471</v>
      </c>
      <c r="Z1856" s="9">
        <v>46189</v>
      </c>
      <c r="AA1856" s="8">
        <v>12</v>
      </c>
      <c r="AB1856" s="9">
        <f t="shared" si="85"/>
        <v>46554</v>
      </c>
      <c r="AC1856" s="10">
        <v>18</v>
      </c>
      <c r="AD1856" s="7">
        <f t="shared" si="86"/>
        <v>1020</v>
      </c>
      <c r="AE1856" s="7">
        <f>IF(F1856="Bullet",H1856*AD1856,MIN(MAX(I1856,1),Assumptions!$B$6)*AD1856)</f>
        <v>1020</v>
      </c>
      <c r="AF1856" s="8">
        <f>IF(F1856="Bullet",MAX(0,Assumptions!$B$4-AB1856),MAX(0,Assumptions!$B$4-L1856))</f>
        <v>17</v>
      </c>
      <c r="AG1856" s="9">
        <v>46252</v>
      </c>
      <c r="AH1856" s="8">
        <f>IF(AG1856="","",Assumptions!$B$4-AG1856)</f>
        <v>46</v>
      </c>
      <c r="AI1856" s="5" t="s">
        <v>57</v>
      </c>
      <c r="AJ1856" s="8">
        <v>3</v>
      </c>
      <c r="AK1856" s="8">
        <v>0</v>
      </c>
      <c r="AL1856" s="8">
        <v>777</v>
      </c>
      <c r="AM1856" s="8">
        <v>0</v>
      </c>
      <c r="AN1856" s="5" t="s">
        <v>63</v>
      </c>
      <c r="AO1856" s="10">
        <v>72.5</v>
      </c>
      <c r="AP1856" s="8">
        <v>24</v>
      </c>
      <c r="AQ1856" s="9">
        <v>46280</v>
      </c>
      <c r="AR1856" s="5" t="s">
        <v>53</v>
      </c>
      <c r="AS1856" s="5" t="s">
        <v>81</v>
      </c>
    </row>
    <row r="1857" spans="1:45" x14ac:dyDescent="0.35">
      <c r="A1857" s="5" t="s">
        <v>7472</v>
      </c>
      <c r="B1857" s="5" t="s">
        <v>7473</v>
      </c>
      <c r="C1857" s="6" t="s">
        <v>7474</v>
      </c>
      <c r="D1857" s="7">
        <v>227900</v>
      </c>
      <c r="E1857" s="5" t="s">
        <v>48</v>
      </c>
      <c r="F1857" s="5" t="s">
        <v>68</v>
      </c>
      <c r="G1857" s="8">
        <v>2</v>
      </c>
      <c r="H1857" s="8">
        <f>IF(F1857="Bullet",MIN(G1857,Assumptions!$B$6),"")</f>
        <v>2</v>
      </c>
      <c r="I1857" s="8"/>
      <c r="J1857" s="8" t="str">
        <f>IF(F1857="Monthly interest",MAX(0,Assumptions!$B$5-I1857),"")</f>
        <v/>
      </c>
      <c r="K1857" s="7">
        <f t="shared" si="84"/>
        <v>4938</v>
      </c>
      <c r="L1857" s="9">
        <v>46224</v>
      </c>
      <c r="M1857" s="5" t="s">
        <v>69</v>
      </c>
      <c r="N1857" s="5" t="s">
        <v>53</v>
      </c>
      <c r="O1857" s="5" t="s">
        <v>71</v>
      </c>
      <c r="P1857" s="5" t="s">
        <v>70</v>
      </c>
      <c r="Q1857" s="5" t="s">
        <v>73</v>
      </c>
      <c r="R1857" s="5" t="s">
        <v>74</v>
      </c>
      <c r="S1857" s="5" t="s">
        <v>85</v>
      </c>
      <c r="T1857" s="5" t="s">
        <v>63</v>
      </c>
      <c r="U1857" s="5" t="s">
        <v>104</v>
      </c>
      <c r="V1857" s="5" t="s">
        <v>96</v>
      </c>
      <c r="W1857" s="5" t="s">
        <v>265</v>
      </c>
      <c r="X1857" s="5" t="s">
        <v>4633</v>
      </c>
      <c r="Y1857" s="5" t="s">
        <v>7475</v>
      </c>
      <c r="Z1857" s="9">
        <v>46224</v>
      </c>
      <c r="AA1857" s="8">
        <v>6</v>
      </c>
      <c r="AB1857" s="9">
        <f t="shared" si="85"/>
        <v>46408</v>
      </c>
      <c r="AC1857" s="10">
        <v>13</v>
      </c>
      <c r="AD1857" s="7">
        <f t="shared" si="86"/>
        <v>2469</v>
      </c>
      <c r="AE1857" s="7">
        <f>IF(F1857="Bullet",H1857*AD1857,MIN(MAX(I1857,1),Assumptions!$B$6)*AD1857)</f>
        <v>4938</v>
      </c>
      <c r="AF1857" s="8">
        <f>IF(F1857="Bullet",MAX(0,Assumptions!$B$4-AB1857),MAX(0,Assumptions!$B$4-L1857))</f>
        <v>0</v>
      </c>
      <c r="AG1857" s="9"/>
      <c r="AH1857" s="8" t="str">
        <f>IF(AG1857="","",Assumptions!$B$4-AG1857)</f>
        <v/>
      </c>
      <c r="AI1857" s="5" t="s">
        <v>80</v>
      </c>
      <c r="AJ1857" s="8"/>
      <c r="AK1857" s="8">
        <v>2</v>
      </c>
      <c r="AL1857" s="8">
        <v>693</v>
      </c>
      <c r="AM1857" s="8">
        <v>0</v>
      </c>
      <c r="AN1857" s="5" t="s">
        <v>63</v>
      </c>
      <c r="AO1857" s="10">
        <v>69.900000000000006</v>
      </c>
      <c r="AP1857" s="8">
        <v>38</v>
      </c>
      <c r="AQ1857" s="9">
        <v>46288</v>
      </c>
      <c r="AR1857" s="5" t="s">
        <v>53</v>
      </c>
      <c r="AS1857" s="5" t="s">
        <v>64</v>
      </c>
    </row>
    <row r="1858" spans="1:45" x14ac:dyDescent="0.35">
      <c r="A1858" s="5" t="s">
        <v>7476</v>
      </c>
      <c r="B1858" s="5" t="s">
        <v>865</v>
      </c>
      <c r="C1858" s="6" t="s">
        <v>7477</v>
      </c>
      <c r="D1858" s="7">
        <v>75800</v>
      </c>
      <c r="E1858" s="5" t="s">
        <v>48</v>
      </c>
      <c r="F1858" s="5" t="s">
        <v>68</v>
      </c>
      <c r="G1858" s="8">
        <v>1</v>
      </c>
      <c r="H1858" s="8">
        <f>IF(F1858="Bullet",MIN(G1858,Assumptions!$B$6),"")</f>
        <v>1</v>
      </c>
      <c r="I1858" s="8"/>
      <c r="J1858" s="8" t="str">
        <f>IF(F1858="Monthly interest",MAX(0,Assumptions!$B$5-I1858),"")</f>
        <v/>
      </c>
      <c r="K1858" s="7">
        <f t="shared" ref="K1858:K1921" si="87">IF(F1858="Bullet",G1858*AD1858,MAX(I1858,1)*AD1858)</f>
        <v>1011</v>
      </c>
      <c r="L1858" s="9">
        <v>46266</v>
      </c>
      <c r="M1858" s="5" t="s">
        <v>50</v>
      </c>
      <c r="N1858" s="5" t="s">
        <v>70</v>
      </c>
      <c r="O1858" s="5" t="s">
        <v>271</v>
      </c>
      <c r="P1858" s="5" t="s">
        <v>72</v>
      </c>
      <c r="Q1858" s="5" t="s">
        <v>73</v>
      </c>
      <c r="R1858" s="5" t="s">
        <v>74</v>
      </c>
      <c r="S1858" s="5" t="s">
        <v>185</v>
      </c>
      <c r="T1858" s="5" t="s">
        <v>57</v>
      </c>
      <c r="U1858" s="5" t="s">
        <v>86</v>
      </c>
      <c r="V1858" s="5" t="s">
        <v>200</v>
      </c>
      <c r="W1858" s="5" t="s">
        <v>201</v>
      </c>
      <c r="X1858" s="5" t="s">
        <v>6414</v>
      </c>
      <c r="Y1858" s="5" t="s">
        <v>7478</v>
      </c>
      <c r="Z1858" s="9">
        <v>46266</v>
      </c>
      <c r="AA1858" s="8">
        <v>12</v>
      </c>
      <c r="AB1858" s="9">
        <f t="shared" ref="AB1858:AB1921" si="88">EDATE(Z1858,AA1858)</f>
        <v>46631</v>
      </c>
      <c r="AC1858" s="10">
        <v>16</v>
      </c>
      <c r="AD1858" s="7">
        <f t="shared" ref="AD1858:AD1921" si="89">ROUND(D1858*AC1858/100/12,0)</f>
        <v>1011</v>
      </c>
      <c r="AE1858" s="7">
        <f>IF(F1858="Bullet",H1858*AD1858,MIN(MAX(I1858,1),Assumptions!$B$6)*AD1858)</f>
        <v>1011</v>
      </c>
      <c r="AF1858" s="8">
        <f>IF(F1858="Bullet",MAX(0,Assumptions!$B$4-AB1858),MAX(0,Assumptions!$B$4-L1858))</f>
        <v>0</v>
      </c>
      <c r="AG1858" s="9"/>
      <c r="AH1858" s="8" t="str">
        <f>IF(AG1858="","",Assumptions!$B$4-AG1858)</f>
        <v/>
      </c>
      <c r="AI1858" s="5" t="s">
        <v>80</v>
      </c>
      <c r="AJ1858" s="8"/>
      <c r="AK1858" s="8">
        <v>1</v>
      </c>
      <c r="AL1858" s="8">
        <v>667</v>
      </c>
      <c r="AM1858" s="8">
        <v>0</v>
      </c>
      <c r="AN1858" s="5" t="s">
        <v>63</v>
      </c>
      <c r="AO1858" s="10">
        <v>75.099999999999994</v>
      </c>
      <c r="AP1858" s="8">
        <v>17</v>
      </c>
      <c r="AQ1858" s="9">
        <v>46283</v>
      </c>
      <c r="AR1858" s="5" t="s">
        <v>70</v>
      </c>
      <c r="AS1858" s="5" t="s">
        <v>274</v>
      </c>
    </row>
    <row r="1859" spans="1:45" x14ac:dyDescent="0.35">
      <c r="A1859" s="5" t="s">
        <v>7479</v>
      </c>
      <c r="B1859" s="5" t="s">
        <v>7480</v>
      </c>
      <c r="C1859" s="6" t="s">
        <v>7481</v>
      </c>
      <c r="D1859" s="7">
        <v>101200</v>
      </c>
      <c r="E1859" s="5" t="s">
        <v>48</v>
      </c>
      <c r="F1859" s="5" t="s">
        <v>49</v>
      </c>
      <c r="G1859" s="8"/>
      <c r="H1859" s="8" t="str">
        <f>IF(F1859="Bullet",MIN(G1859,Assumptions!$B$6),"")</f>
        <v/>
      </c>
      <c r="I1859" s="8">
        <v>1</v>
      </c>
      <c r="J1859" s="8">
        <f>IF(F1859="Monthly interest",MAX(0,Assumptions!$B$5-I1859),"")</f>
        <v>2</v>
      </c>
      <c r="K1859" s="7">
        <f t="shared" si="87"/>
        <v>1855</v>
      </c>
      <c r="L1859" s="9">
        <v>46296</v>
      </c>
      <c r="M1859" s="5" t="s">
        <v>69</v>
      </c>
      <c r="N1859" s="5" t="s">
        <v>51</v>
      </c>
      <c r="O1859" s="5" t="s">
        <v>52</v>
      </c>
      <c r="P1859" s="5" t="s">
        <v>53</v>
      </c>
      <c r="Q1859" s="5" t="s">
        <v>54</v>
      </c>
      <c r="R1859" s="5" t="s">
        <v>55</v>
      </c>
      <c r="S1859" s="5" t="s">
        <v>185</v>
      </c>
      <c r="T1859" s="5" t="s">
        <v>57</v>
      </c>
      <c r="U1859" s="5" t="s">
        <v>86</v>
      </c>
      <c r="V1859" s="5" t="s">
        <v>186</v>
      </c>
      <c r="W1859" s="5" t="s">
        <v>329</v>
      </c>
      <c r="X1859" s="5" t="s">
        <v>626</v>
      </c>
      <c r="Y1859" s="5" t="s">
        <v>7482</v>
      </c>
      <c r="Z1859" s="9">
        <v>46143</v>
      </c>
      <c r="AA1859" s="8">
        <v>18</v>
      </c>
      <c r="AB1859" s="9">
        <f t="shared" si="88"/>
        <v>46692</v>
      </c>
      <c r="AC1859" s="10">
        <v>22</v>
      </c>
      <c r="AD1859" s="7">
        <f t="shared" si="89"/>
        <v>1855</v>
      </c>
      <c r="AE1859" s="7">
        <f>IF(F1859="Bullet",H1859*AD1859,MIN(MAX(I1859,1),Assumptions!$B$6)*AD1859)</f>
        <v>1855</v>
      </c>
      <c r="AF1859" s="8">
        <f>IF(F1859="Bullet",MAX(0,Assumptions!$B$4-AB1859),MAX(0,Assumptions!$B$4-L1859))</f>
        <v>2</v>
      </c>
      <c r="AG1859" s="9">
        <v>46271</v>
      </c>
      <c r="AH1859" s="8">
        <f>IF(AG1859="","",Assumptions!$B$4-AG1859)</f>
        <v>27</v>
      </c>
      <c r="AI1859" s="5" t="s">
        <v>63</v>
      </c>
      <c r="AJ1859" s="8">
        <v>1</v>
      </c>
      <c r="AK1859" s="8">
        <v>0</v>
      </c>
      <c r="AL1859" s="8">
        <v>661</v>
      </c>
      <c r="AM1859" s="8">
        <v>2</v>
      </c>
      <c r="AN1859" s="5" t="s">
        <v>63</v>
      </c>
      <c r="AO1859" s="10">
        <v>74.599999999999994</v>
      </c>
      <c r="AP1859" s="8">
        <v>31</v>
      </c>
      <c r="AQ1859" s="9">
        <v>46292</v>
      </c>
      <c r="AR1859" s="5" t="s">
        <v>53</v>
      </c>
      <c r="AS1859" s="5" t="s">
        <v>81</v>
      </c>
    </row>
    <row r="1860" spans="1:45" x14ac:dyDescent="0.35">
      <c r="A1860" s="5" t="s">
        <v>7483</v>
      </c>
      <c r="B1860" s="5" t="s">
        <v>5459</v>
      </c>
      <c r="C1860" s="6" t="s">
        <v>7484</v>
      </c>
      <c r="D1860" s="7">
        <v>47000</v>
      </c>
      <c r="E1860" s="5" t="s">
        <v>48</v>
      </c>
      <c r="F1860" s="5" t="s">
        <v>49</v>
      </c>
      <c r="G1860" s="8"/>
      <c r="H1860" s="8" t="str">
        <f>IF(F1860="Bullet",MIN(G1860,Assumptions!$B$6),"")</f>
        <v/>
      </c>
      <c r="I1860" s="8">
        <v>1</v>
      </c>
      <c r="J1860" s="8">
        <f>IF(F1860="Monthly interest",MAX(0,Assumptions!$B$5-I1860),"")</f>
        <v>2</v>
      </c>
      <c r="K1860" s="7">
        <f t="shared" si="87"/>
        <v>862</v>
      </c>
      <c r="L1860" s="9">
        <v>46281</v>
      </c>
      <c r="M1860" s="5" t="s">
        <v>50</v>
      </c>
      <c r="N1860" s="5" t="s">
        <v>53</v>
      </c>
      <c r="O1860" s="5" t="s">
        <v>103</v>
      </c>
      <c r="P1860" s="5" t="s">
        <v>153</v>
      </c>
      <c r="Q1860" s="5" t="s">
        <v>154</v>
      </c>
      <c r="R1860" s="5" t="s">
        <v>155</v>
      </c>
      <c r="S1860" s="5" t="s">
        <v>85</v>
      </c>
      <c r="T1860" s="5" t="s">
        <v>57</v>
      </c>
      <c r="U1860" s="5" t="s">
        <v>58</v>
      </c>
      <c r="V1860" s="5" t="s">
        <v>96</v>
      </c>
      <c r="W1860" s="5" t="s">
        <v>265</v>
      </c>
      <c r="X1860" s="5" t="s">
        <v>272</v>
      </c>
      <c r="Y1860" s="5" t="s">
        <v>7485</v>
      </c>
      <c r="Z1860" s="9">
        <v>46069</v>
      </c>
      <c r="AA1860" s="8">
        <v>12</v>
      </c>
      <c r="AB1860" s="9">
        <f t="shared" si="88"/>
        <v>46434</v>
      </c>
      <c r="AC1860" s="10">
        <v>22</v>
      </c>
      <c r="AD1860" s="7">
        <f t="shared" si="89"/>
        <v>862</v>
      </c>
      <c r="AE1860" s="7">
        <f>IF(F1860="Bullet",H1860*AD1860,MIN(MAX(I1860,1),Assumptions!$B$6)*AD1860)</f>
        <v>862</v>
      </c>
      <c r="AF1860" s="8">
        <f>IF(F1860="Bullet",MAX(0,Assumptions!$B$4-AB1860),MAX(0,Assumptions!$B$4-L1860))</f>
        <v>17</v>
      </c>
      <c r="AG1860" s="9">
        <v>46253</v>
      </c>
      <c r="AH1860" s="8">
        <f>IF(AG1860="","",Assumptions!$B$4-AG1860)</f>
        <v>45</v>
      </c>
      <c r="AI1860" s="5" t="s">
        <v>63</v>
      </c>
      <c r="AJ1860" s="8">
        <v>3</v>
      </c>
      <c r="AK1860" s="8">
        <v>0</v>
      </c>
      <c r="AL1860" s="8">
        <v>745</v>
      </c>
      <c r="AM1860" s="8">
        <v>0</v>
      </c>
      <c r="AN1860" s="5" t="s">
        <v>63</v>
      </c>
      <c r="AO1860" s="10">
        <v>65</v>
      </c>
      <c r="AP1860" s="8">
        <v>28</v>
      </c>
      <c r="AQ1860" s="9">
        <v>46286</v>
      </c>
      <c r="AR1860" s="5" t="s">
        <v>51</v>
      </c>
      <c r="AS1860" s="5" t="s">
        <v>81</v>
      </c>
    </row>
    <row r="1861" spans="1:45" x14ac:dyDescent="0.35">
      <c r="A1861" s="5" t="s">
        <v>7486</v>
      </c>
      <c r="B1861" s="5" t="s">
        <v>851</v>
      </c>
      <c r="C1861" s="6" t="s">
        <v>7487</v>
      </c>
      <c r="D1861" s="7">
        <v>226500</v>
      </c>
      <c r="E1861" s="5" t="s">
        <v>48</v>
      </c>
      <c r="F1861" s="5" t="s">
        <v>49</v>
      </c>
      <c r="G1861" s="8"/>
      <c r="H1861" s="8" t="str">
        <f>IF(F1861="Bullet",MIN(G1861,Assumptions!$B$6),"")</f>
        <v/>
      </c>
      <c r="I1861" s="8">
        <v>1</v>
      </c>
      <c r="J1861" s="8">
        <f>IF(F1861="Monthly interest",MAX(0,Assumptions!$B$5-I1861),"")</f>
        <v>2</v>
      </c>
      <c r="K1861" s="7">
        <f t="shared" si="87"/>
        <v>3398</v>
      </c>
      <c r="L1861" s="9">
        <v>46282</v>
      </c>
      <c r="M1861" s="5" t="s">
        <v>50</v>
      </c>
      <c r="N1861" s="5" t="s">
        <v>53</v>
      </c>
      <c r="O1861" s="5" t="s">
        <v>103</v>
      </c>
      <c r="P1861" s="5" t="s">
        <v>51</v>
      </c>
      <c r="Q1861" s="5" t="s">
        <v>54</v>
      </c>
      <c r="R1861" s="5" t="s">
        <v>55</v>
      </c>
      <c r="S1861" s="5" t="s">
        <v>214</v>
      </c>
      <c r="T1861" s="5" t="s">
        <v>57</v>
      </c>
      <c r="U1861" s="5" t="s">
        <v>86</v>
      </c>
      <c r="V1861" s="5" t="s">
        <v>215</v>
      </c>
      <c r="W1861" s="5" t="s">
        <v>216</v>
      </c>
      <c r="X1861" s="5" t="s">
        <v>2179</v>
      </c>
      <c r="Y1861" s="5" t="s">
        <v>7488</v>
      </c>
      <c r="Z1861" s="9">
        <v>46129</v>
      </c>
      <c r="AA1861" s="8">
        <v>24</v>
      </c>
      <c r="AB1861" s="9">
        <f t="shared" si="88"/>
        <v>46860</v>
      </c>
      <c r="AC1861" s="10">
        <v>18</v>
      </c>
      <c r="AD1861" s="7">
        <f t="shared" si="89"/>
        <v>3398</v>
      </c>
      <c r="AE1861" s="7">
        <f>IF(F1861="Bullet",H1861*AD1861,MIN(MAX(I1861,1),Assumptions!$B$6)*AD1861)</f>
        <v>3398</v>
      </c>
      <c r="AF1861" s="8">
        <f>IF(F1861="Bullet",MAX(0,Assumptions!$B$4-AB1861),MAX(0,Assumptions!$B$4-L1861))</f>
        <v>16</v>
      </c>
      <c r="AG1861" s="9">
        <v>46254</v>
      </c>
      <c r="AH1861" s="8">
        <f>IF(AG1861="","",Assumptions!$B$4-AG1861)</f>
        <v>44</v>
      </c>
      <c r="AI1861" s="5" t="s">
        <v>63</v>
      </c>
      <c r="AJ1861" s="8">
        <v>1</v>
      </c>
      <c r="AK1861" s="8">
        <v>0</v>
      </c>
      <c r="AL1861" s="8">
        <v>727</v>
      </c>
      <c r="AM1861" s="8">
        <v>0</v>
      </c>
      <c r="AN1861" s="5" t="s">
        <v>63</v>
      </c>
      <c r="AO1861" s="10">
        <v>64.2</v>
      </c>
      <c r="AP1861" s="8">
        <v>21</v>
      </c>
      <c r="AQ1861" s="9">
        <v>46289</v>
      </c>
      <c r="AR1861" s="5" t="s">
        <v>51</v>
      </c>
      <c r="AS1861" s="5" t="s">
        <v>81</v>
      </c>
    </row>
    <row r="1862" spans="1:45" x14ac:dyDescent="0.35">
      <c r="A1862" s="5" t="s">
        <v>7489</v>
      </c>
      <c r="B1862" s="5" t="s">
        <v>7490</v>
      </c>
      <c r="C1862" s="6" t="s">
        <v>7491</v>
      </c>
      <c r="D1862" s="7">
        <v>24100</v>
      </c>
      <c r="E1862" s="5" t="s">
        <v>48</v>
      </c>
      <c r="F1862" s="5" t="s">
        <v>49</v>
      </c>
      <c r="G1862" s="8"/>
      <c r="H1862" s="8" t="str">
        <f>IF(F1862="Bullet",MIN(G1862,Assumptions!$B$6),"")</f>
        <v/>
      </c>
      <c r="I1862" s="8">
        <v>1</v>
      </c>
      <c r="J1862" s="8">
        <f>IF(F1862="Monthly interest",MAX(0,Assumptions!$B$5-I1862),"")</f>
        <v>2</v>
      </c>
      <c r="K1862" s="7">
        <f t="shared" si="87"/>
        <v>482</v>
      </c>
      <c r="L1862" s="9">
        <v>46274</v>
      </c>
      <c r="M1862" s="5" t="s">
        <v>50</v>
      </c>
      <c r="N1862" s="5" t="s">
        <v>53</v>
      </c>
      <c r="O1862" s="5" t="s">
        <v>132</v>
      </c>
      <c r="P1862" s="5" t="s">
        <v>153</v>
      </c>
      <c r="Q1862" s="5" t="s">
        <v>154</v>
      </c>
      <c r="R1862" s="5" t="s">
        <v>155</v>
      </c>
      <c r="S1862" s="5" t="s">
        <v>185</v>
      </c>
      <c r="T1862" s="5" t="s">
        <v>57</v>
      </c>
      <c r="U1862" s="5" t="s">
        <v>58</v>
      </c>
      <c r="V1862" s="5" t="s">
        <v>200</v>
      </c>
      <c r="W1862" s="5" t="s">
        <v>767</v>
      </c>
      <c r="X1862" s="5" t="s">
        <v>2924</v>
      </c>
      <c r="Y1862" s="5" t="s">
        <v>7492</v>
      </c>
      <c r="Z1862" s="9">
        <v>46212</v>
      </c>
      <c r="AA1862" s="8">
        <v>24</v>
      </c>
      <c r="AB1862" s="9">
        <f t="shared" si="88"/>
        <v>46943</v>
      </c>
      <c r="AC1862" s="10">
        <v>24</v>
      </c>
      <c r="AD1862" s="7">
        <f t="shared" si="89"/>
        <v>482</v>
      </c>
      <c r="AE1862" s="7">
        <f>IF(F1862="Bullet",H1862*AD1862,MIN(MAX(I1862,1),Assumptions!$B$6)*AD1862)</f>
        <v>482</v>
      </c>
      <c r="AF1862" s="8">
        <f>IF(F1862="Bullet",MAX(0,Assumptions!$B$4-AB1862),MAX(0,Assumptions!$B$4-L1862))</f>
        <v>24</v>
      </c>
      <c r="AG1862" s="9">
        <v>46244</v>
      </c>
      <c r="AH1862" s="8">
        <f>IF(AG1862="","",Assumptions!$B$4-AG1862)</f>
        <v>54</v>
      </c>
      <c r="AI1862" s="5" t="s">
        <v>63</v>
      </c>
      <c r="AJ1862" s="8">
        <v>1</v>
      </c>
      <c r="AK1862" s="8">
        <v>0</v>
      </c>
      <c r="AL1862" s="8">
        <v>715</v>
      </c>
      <c r="AM1862" s="8">
        <v>0</v>
      </c>
      <c r="AN1862" s="5" t="s">
        <v>63</v>
      </c>
      <c r="AO1862" s="10">
        <v>60.3</v>
      </c>
      <c r="AP1862" s="8">
        <v>28</v>
      </c>
      <c r="AQ1862" s="9">
        <v>46289</v>
      </c>
      <c r="AR1862" s="5" t="s">
        <v>51</v>
      </c>
      <c r="AS1862" s="5" t="s">
        <v>91</v>
      </c>
    </row>
    <row r="1863" spans="1:45" x14ac:dyDescent="0.35">
      <c r="A1863" s="5" t="s">
        <v>7493</v>
      </c>
      <c r="B1863" s="5" t="s">
        <v>4424</v>
      </c>
      <c r="C1863" s="6" t="s">
        <v>7494</v>
      </c>
      <c r="D1863" s="7">
        <v>70000</v>
      </c>
      <c r="E1863" s="5" t="s">
        <v>48</v>
      </c>
      <c r="F1863" s="5" t="s">
        <v>49</v>
      </c>
      <c r="G1863" s="8"/>
      <c r="H1863" s="8" t="str">
        <f>IF(F1863="Bullet",MIN(G1863,Assumptions!$B$6),"")</f>
        <v/>
      </c>
      <c r="I1863" s="8">
        <v>2</v>
      </c>
      <c r="J1863" s="8">
        <f>IF(F1863="Monthly interest",MAX(0,Assumptions!$B$5-I1863),"")</f>
        <v>1</v>
      </c>
      <c r="K1863" s="7">
        <f t="shared" si="87"/>
        <v>2334</v>
      </c>
      <c r="L1863" s="9">
        <v>46249</v>
      </c>
      <c r="M1863" s="5" t="s">
        <v>69</v>
      </c>
      <c r="N1863" s="5" t="s">
        <v>53</v>
      </c>
      <c r="O1863" s="5" t="s">
        <v>71</v>
      </c>
      <c r="P1863" s="5" t="s">
        <v>70</v>
      </c>
      <c r="Q1863" s="5" t="s">
        <v>73</v>
      </c>
      <c r="R1863" s="5" t="s">
        <v>74</v>
      </c>
      <c r="S1863" s="5" t="s">
        <v>85</v>
      </c>
      <c r="T1863" s="5" t="s">
        <v>57</v>
      </c>
      <c r="U1863" s="5" t="s">
        <v>104</v>
      </c>
      <c r="V1863" s="5" t="s">
        <v>553</v>
      </c>
      <c r="W1863" s="5" t="s">
        <v>1029</v>
      </c>
      <c r="X1863" s="5" t="s">
        <v>4959</v>
      </c>
      <c r="Y1863" s="5" t="s">
        <v>7495</v>
      </c>
      <c r="Z1863" s="9">
        <v>45976</v>
      </c>
      <c r="AA1863" s="8">
        <v>12</v>
      </c>
      <c r="AB1863" s="9">
        <f t="shared" si="88"/>
        <v>46341</v>
      </c>
      <c r="AC1863" s="10">
        <v>20</v>
      </c>
      <c r="AD1863" s="7">
        <f t="shared" si="89"/>
        <v>1167</v>
      </c>
      <c r="AE1863" s="7">
        <f>IF(F1863="Bullet",H1863*AD1863,MIN(MAX(I1863,1),Assumptions!$B$6)*AD1863)</f>
        <v>2334</v>
      </c>
      <c r="AF1863" s="8">
        <f>IF(F1863="Bullet",MAX(0,Assumptions!$B$4-AB1863),MAX(0,Assumptions!$B$4-L1863))</f>
        <v>49</v>
      </c>
      <c r="AG1863" s="9">
        <v>46223</v>
      </c>
      <c r="AH1863" s="8">
        <f>IF(AG1863="","",Assumptions!$B$4-AG1863)</f>
        <v>75</v>
      </c>
      <c r="AI1863" s="5" t="s">
        <v>63</v>
      </c>
      <c r="AJ1863" s="8">
        <v>3</v>
      </c>
      <c r="AK1863" s="8">
        <v>0</v>
      </c>
      <c r="AL1863" s="8" t="s">
        <v>80</v>
      </c>
      <c r="AM1863" s="8">
        <v>1</v>
      </c>
      <c r="AN1863" s="5" t="s">
        <v>63</v>
      </c>
      <c r="AO1863" s="10">
        <v>51.1</v>
      </c>
      <c r="AP1863" s="8">
        <v>47</v>
      </c>
      <c r="AQ1863" s="9"/>
      <c r="AR1863" s="5"/>
      <c r="AS1863" s="5" t="s">
        <v>159</v>
      </c>
    </row>
    <row r="1864" spans="1:45" x14ac:dyDescent="0.35">
      <c r="A1864" s="5" t="s">
        <v>7496</v>
      </c>
      <c r="B1864" s="5" t="s">
        <v>5241</v>
      </c>
      <c r="C1864" s="6" t="s">
        <v>7497</v>
      </c>
      <c r="D1864" s="7">
        <v>227800</v>
      </c>
      <c r="E1864" s="5" t="s">
        <v>48</v>
      </c>
      <c r="F1864" s="5" t="s">
        <v>68</v>
      </c>
      <c r="G1864" s="8">
        <v>2</v>
      </c>
      <c r="H1864" s="8">
        <f>IF(F1864="Bullet",MIN(G1864,Assumptions!$B$6),"")</f>
        <v>2</v>
      </c>
      <c r="I1864" s="8"/>
      <c r="J1864" s="8" t="str">
        <f>IF(F1864="Monthly interest",MAX(0,Assumptions!$B$5-I1864),"")</f>
        <v/>
      </c>
      <c r="K1864" s="7">
        <f t="shared" si="87"/>
        <v>4936</v>
      </c>
      <c r="L1864" s="9">
        <v>46224</v>
      </c>
      <c r="M1864" s="5" t="s">
        <v>50</v>
      </c>
      <c r="N1864" s="5" t="s">
        <v>51</v>
      </c>
      <c r="O1864" s="5" t="s">
        <v>71</v>
      </c>
      <c r="P1864" s="5" t="s">
        <v>53</v>
      </c>
      <c r="Q1864" s="5" t="s">
        <v>73</v>
      </c>
      <c r="R1864" s="5" t="s">
        <v>74</v>
      </c>
      <c r="S1864" s="5" t="s">
        <v>56</v>
      </c>
      <c r="T1864" s="5" t="s">
        <v>57</v>
      </c>
      <c r="U1864" s="5" t="s">
        <v>58</v>
      </c>
      <c r="V1864" s="5" t="s">
        <v>59</v>
      </c>
      <c r="W1864" s="5" t="s">
        <v>60</v>
      </c>
      <c r="X1864" s="5" t="s">
        <v>1660</v>
      </c>
      <c r="Y1864" s="5" t="s">
        <v>7498</v>
      </c>
      <c r="Z1864" s="9">
        <v>46224</v>
      </c>
      <c r="AA1864" s="8">
        <v>3</v>
      </c>
      <c r="AB1864" s="9">
        <f t="shared" si="88"/>
        <v>46316</v>
      </c>
      <c r="AC1864" s="10">
        <v>13</v>
      </c>
      <c r="AD1864" s="7">
        <f t="shared" si="89"/>
        <v>2468</v>
      </c>
      <c r="AE1864" s="7">
        <f>IF(F1864="Bullet",H1864*AD1864,MIN(MAX(I1864,1),Assumptions!$B$6)*AD1864)</f>
        <v>4936</v>
      </c>
      <c r="AF1864" s="8">
        <f>IF(F1864="Bullet",MAX(0,Assumptions!$B$4-AB1864),MAX(0,Assumptions!$B$4-L1864))</f>
        <v>0</v>
      </c>
      <c r="AG1864" s="9"/>
      <c r="AH1864" s="8" t="str">
        <f>IF(AG1864="","",Assumptions!$B$4-AG1864)</f>
        <v/>
      </c>
      <c r="AI1864" s="5" t="s">
        <v>80</v>
      </c>
      <c r="AJ1864" s="8"/>
      <c r="AK1864" s="8">
        <v>1</v>
      </c>
      <c r="AL1864" s="8">
        <v>703</v>
      </c>
      <c r="AM1864" s="8">
        <v>0</v>
      </c>
      <c r="AN1864" s="5" t="s">
        <v>63</v>
      </c>
      <c r="AO1864" s="10">
        <v>69.900000000000006</v>
      </c>
      <c r="AP1864" s="8">
        <v>27</v>
      </c>
      <c r="AQ1864" s="9"/>
      <c r="AR1864" s="5"/>
      <c r="AS1864" s="5" t="s">
        <v>159</v>
      </c>
    </row>
    <row r="1865" spans="1:45" x14ac:dyDescent="0.35">
      <c r="A1865" s="5" t="s">
        <v>7499</v>
      </c>
      <c r="B1865" s="5" t="s">
        <v>4190</v>
      </c>
      <c r="C1865" s="6" t="s">
        <v>7500</v>
      </c>
      <c r="D1865" s="7">
        <v>275800</v>
      </c>
      <c r="E1865" s="5" t="s">
        <v>48</v>
      </c>
      <c r="F1865" s="5" t="s">
        <v>49</v>
      </c>
      <c r="G1865" s="8"/>
      <c r="H1865" s="8" t="str">
        <f>IF(F1865="Bullet",MIN(G1865,Assumptions!$B$6),"")</f>
        <v/>
      </c>
      <c r="I1865" s="8">
        <v>2</v>
      </c>
      <c r="J1865" s="8">
        <f>IF(F1865="Monthly interest",MAX(0,Assumptions!$B$5-I1865),"")</f>
        <v>1</v>
      </c>
      <c r="K1865" s="7">
        <f t="shared" si="87"/>
        <v>6896</v>
      </c>
      <c r="L1865" s="9">
        <v>46267</v>
      </c>
      <c r="M1865" s="5" t="s">
        <v>50</v>
      </c>
      <c r="N1865" s="5" t="s">
        <v>51</v>
      </c>
      <c r="O1865" s="5" t="s">
        <v>71</v>
      </c>
      <c r="P1865" s="5" t="s">
        <v>53</v>
      </c>
      <c r="Q1865" s="5" t="s">
        <v>73</v>
      </c>
      <c r="R1865" s="5" t="s">
        <v>74</v>
      </c>
      <c r="S1865" s="5" t="s">
        <v>56</v>
      </c>
      <c r="T1865" s="5" t="s">
        <v>57</v>
      </c>
      <c r="U1865" s="5" t="s">
        <v>86</v>
      </c>
      <c r="V1865" s="5" t="s">
        <v>59</v>
      </c>
      <c r="W1865" s="5" t="s">
        <v>418</v>
      </c>
      <c r="X1865" s="5" t="s">
        <v>1089</v>
      </c>
      <c r="Y1865" s="5" t="s">
        <v>7501</v>
      </c>
      <c r="Z1865" s="9">
        <v>46205</v>
      </c>
      <c r="AA1865" s="8">
        <v>12</v>
      </c>
      <c r="AB1865" s="9">
        <f t="shared" si="88"/>
        <v>46570</v>
      </c>
      <c r="AC1865" s="10">
        <v>15</v>
      </c>
      <c r="AD1865" s="7">
        <f t="shared" si="89"/>
        <v>3448</v>
      </c>
      <c r="AE1865" s="7">
        <f>IF(F1865="Bullet",H1865*AD1865,MIN(MAX(I1865,1),Assumptions!$B$6)*AD1865)</f>
        <v>6896</v>
      </c>
      <c r="AF1865" s="8">
        <f>IF(F1865="Bullet",MAX(0,Assumptions!$B$4-AB1865),MAX(0,Assumptions!$B$4-L1865))</f>
        <v>31</v>
      </c>
      <c r="AG1865" s="9">
        <v>46240</v>
      </c>
      <c r="AH1865" s="8">
        <f>IF(AG1865="","",Assumptions!$B$4-AG1865)</f>
        <v>58</v>
      </c>
      <c r="AI1865" s="5" t="s">
        <v>63</v>
      </c>
      <c r="AJ1865" s="8">
        <v>2</v>
      </c>
      <c r="AK1865" s="8">
        <v>0</v>
      </c>
      <c r="AL1865" s="8">
        <v>830</v>
      </c>
      <c r="AM1865" s="8">
        <v>1</v>
      </c>
      <c r="AN1865" s="5" t="s">
        <v>63</v>
      </c>
      <c r="AO1865" s="10">
        <v>73.900000000000006</v>
      </c>
      <c r="AP1865" s="8">
        <v>21</v>
      </c>
      <c r="AQ1865" s="9">
        <v>46274</v>
      </c>
      <c r="AR1865" s="5" t="s">
        <v>53</v>
      </c>
      <c r="AS1865" s="5" t="s">
        <v>64</v>
      </c>
    </row>
    <row r="1866" spans="1:45" x14ac:dyDescent="0.35">
      <c r="A1866" s="5" t="s">
        <v>7502</v>
      </c>
      <c r="B1866" s="5" t="s">
        <v>7503</v>
      </c>
      <c r="C1866" s="6" t="s">
        <v>7504</v>
      </c>
      <c r="D1866" s="7">
        <v>35100</v>
      </c>
      <c r="E1866" s="5" t="s">
        <v>48</v>
      </c>
      <c r="F1866" s="5" t="s">
        <v>68</v>
      </c>
      <c r="G1866" s="8">
        <v>6</v>
      </c>
      <c r="H1866" s="8">
        <f>IF(F1866="Bullet",MIN(G1866,Assumptions!$B$6),"")</f>
        <v>2</v>
      </c>
      <c r="I1866" s="8"/>
      <c r="J1866" s="8" t="str">
        <f>IF(F1866="Monthly interest",MAX(0,Assumptions!$B$5-I1866),"")</f>
        <v/>
      </c>
      <c r="K1866" s="7">
        <f t="shared" si="87"/>
        <v>2460</v>
      </c>
      <c r="L1866" s="9">
        <v>46091</v>
      </c>
      <c r="M1866" s="5" t="s">
        <v>69</v>
      </c>
      <c r="N1866" s="5" t="s">
        <v>53</v>
      </c>
      <c r="O1866" s="5" t="s">
        <v>168</v>
      </c>
      <c r="P1866" s="5" t="s">
        <v>70</v>
      </c>
      <c r="Q1866" s="5" t="s">
        <v>169</v>
      </c>
      <c r="R1866" s="5" t="s">
        <v>170</v>
      </c>
      <c r="S1866" s="5" t="s">
        <v>185</v>
      </c>
      <c r="T1866" s="5" t="s">
        <v>57</v>
      </c>
      <c r="U1866" s="5" t="s">
        <v>58</v>
      </c>
      <c r="V1866" s="5" t="s">
        <v>186</v>
      </c>
      <c r="W1866" s="5" t="s">
        <v>187</v>
      </c>
      <c r="X1866" s="5" t="s">
        <v>1145</v>
      </c>
      <c r="Y1866" s="5" t="s">
        <v>7505</v>
      </c>
      <c r="Z1866" s="9">
        <v>46091</v>
      </c>
      <c r="AA1866" s="8">
        <v>12</v>
      </c>
      <c r="AB1866" s="9">
        <f t="shared" si="88"/>
        <v>46456</v>
      </c>
      <c r="AC1866" s="10">
        <v>14</v>
      </c>
      <c r="AD1866" s="7">
        <f t="shared" si="89"/>
        <v>410</v>
      </c>
      <c r="AE1866" s="7">
        <f>IF(F1866="Bullet",H1866*AD1866,MIN(MAX(I1866,1),Assumptions!$B$6)*AD1866)</f>
        <v>820</v>
      </c>
      <c r="AF1866" s="8">
        <f>IF(F1866="Bullet",MAX(0,Assumptions!$B$4-AB1866),MAX(0,Assumptions!$B$4-L1866))</f>
        <v>0</v>
      </c>
      <c r="AG1866" s="9"/>
      <c r="AH1866" s="8" t="str">
        <f>IF(AG1866="","",Assumptions!$B$4-AG1866)</f>
        <v/>
      </c>
      <c r="AI1866" s="5" t="s">
        <v>80</v>
      </c>
      <c r="AJ1866" s="8"/>
      <c r="AK1866" s="8">
        <v>2</v>
      </c>
      <c r="AL1866" s="8" t="s">
        <v>80</v>
      </c>
      <c r="AM1866" s="8">
        <v>0</v>
      </c>
      <c r="AN1866" s="5" t="s">
        <v>63</v>
      </c>
      <c r="AO1866" s="10">
        <v>60.4</v>
      </c>
      <c r="AP1866" s="8">
        <v>44</v>
      </c>
      <c r="AQ1866" s="9">
        <v>46285</v>
      </c>
      <c r="AR1866" s="5" t="s">
        <v>70</v>
      </c>
      <c r="AS1866" s="5" t="s">
        <v>81</v>
      </c>
    </row>
    <row r="1867" spans="1:45" x14ac:dyDescent="0.35">
      <c r="A1867" s="5" t="s">
        <v>7506</v>
      </c>
      <c r="B1867" s="5" t="s">
        <v>7507</v>
      </c>
      <c r="C1867" s="6" t="s">
        <v>7508</v>
      </c>
      <c r="D1867" s="7">
        <v>72000</v>
      </c>
      <c r="E1867" s="5" t="s">
        <v>48</v>
      </c>
      <c r="F1867" s="5" t="s">
        <v>49</v>
      </c>
      <c r="G1867" s="8"/>
      <c r="H1867" s="8" t="str">
        <f>IF(F1867="Bullet",MIN(G1867,Assumptions!$B$6),"")</f>
        <v/>
      </c>
      <c r="I1867" s="8">
        <v>2</v>
      </c>
      <c r="J1867" s="8">
        <f>IF(F1867="Monthly interest",MAX(0,Assumptions!$B$5-I1867),"")</f>
        <v>1</v>
      </c>
      <c r="K1867" s="7">
        <f t="shared" si="87"/>
        <v>1800</v>
      </c>
      <c r="L1867" s="9">
        <v>46260</v>
      </c>
      <c r="M1867" s="5" t="s">
        <v>116</v>
      </c>
      <c r="N1867" s="5" t="s">
        <v>117</v>
      </c>
      <c r="O1867" s="5" t="s">
        <v>118</v>
      </c>
      <c r="P1867" s="5" t="s">
        <v>72</v>
      </c>
      <c r="Q1867" s="5" t="s">
        <v>119</v>
      </c>
      <c r="R1867" s="5" t="s">
        <v>120</v>
      </c>
      <c r="S1867" s="5" t="s">
        <v>75</v>
      </c>
      <c r="T1867" s="5" t="s">
        <v>63</v>
      </c>
      <c r="U1867" s="5" t="s">
        <v>86</v>
      </c>
      <c r="V1867" s="5" t="s">
        <v>76</v>
      </c>
      <c r="W1867" s="5" t="s">
        <v>547</v>
      </c>
      <c r="X1867" s="5" t="s">
        <v>548</v>
      </c>
      <c r="Y1867" s="5" t="s">
        <v>7509</v>
      </c>
      <c r="Z1867" s="9">
        <v>46017</v>
      </c>
      <c r="AA1867" s="8">
        <v>12</v>
      </c>
      <c r="AB1867" s="9">
        <f t="shared" si="88"/>
        <v>46382</v>
      </c>
      <c r="AC1867" s="10">
        <v>15</v>
      </c>
      <c r="AD1867" s="7">
        <f t="shared" si="89"/>
        <v>900</v>
      </c>
      <c r="AE1867" s="7">
        <f>IF(F1867="Bullet",H1867*AD1867,MIN(MAX(I1867,1),Assumptions!$B$6)*AD1867)</f>
        <v>1800</v>
      </c>
      <c r="AF1867" s="8">
        <f>IF(F1867="Bullet",MAX(0,Assumptions!$B$4-AB1867),MAX(0,Assumptions!$B$4-L1867))</f>
        <v>38</v>
      </c>
      <c r="AG1867" s="9">
        <v>46230</v>
      </c>
      <c r="AH1867" s="8">
        <f>IF(AG1867="","",Assumptions!$B$4-AG1867)</f>
        <v>68</v>
      </c>
      <c r="AI1867" s="5" t="s">
        <v>63</v>
      </c>
      <c r="AJ1867" s="8">
        <v>2</v>
      </c>
      <c r="AK1867" s="8">
        <v>0</v>
      </c>
      <c r="AL1867" s="8">
        <v>655</v>
      </c>
      <c r="AM1867" s="8">
        <v>1</v>
      </c>
      <c r="AN1867" s="5" t="s">
        <v>63</v>
      </c>
      <c r="AO1867" s="10">
        <v>76.400000000000006</v>
      </c>
      <c r="AP1867" s="8">
        <v>52</v>
      </c>
      <c r="AQ1867" s="9">
        <v>46279</v>
      </c>
      <c r="AR1867" s="5" t="s">
        <v>51</v>
      </c>
      <c r="AS1867" s="5" t="s">
        <v>81</v>
      </c>
    </row>
    <row r="1868" spans="1:45" x14ac:dyDescent="0.35">
      <c r="A1868" s="5" t="s">
        <v>7510</v>
      </c>
      <c r="B1868" s="5" t="s">
        <v>7511</v>
      </c>
      <c r="C1868" s="6" t="s">
        <v>7512</v>
      </c>
      <c r="D1868" s="7">
        <v>55000</v>
      </c>
      <c r="E1868" s="5" t="s">
        <v>48</v>
      </c>
      <c r="F1868" s="5" t="s">
        <v>68</v>
      </c>
      <c r="G1868" s="8">
        <v>1</v>
      </c>
      <c r="H1868" s="8">
        <f>IF(F1868="Bullet",MIN(G1868,Assumptions!$B$6),"")</f>
        <v>1</v>
      </c>
      <c r="I1868" s="8"/>
      <c r="J1868" s="8" t="str">
        <f>IF(F1868="Monthly interest",MAX(0,Assumptions!$B$5-I1868),"")</f>
        <v/>
      </c>
      <c r="K1868" s="7">
        <f t="shared" si="87"/>
        <v>825</v>
      </c>
      <c r="L1868" s="9">
        <v>46251</v>
      </c>
      <c r="M1868" s="5" t="s">
        <v>50</v>
      </c>
      <c r="N1868" s="5" t="s">
        <v>53</v>
      </c>
      <c r="O1868" s="5" t="s">
        <v>95</v>
      </c>
      <c r="P1868" s="5" t="s">
        <v>70</v>
      </c>
      <c r="Q1868" s="5" t="s">
        <v>73</v>
      </c>
      <c r="R1868" s="5" t="s">
        <v>74</v>
      </c>
      <c r="S1868" s="5" t="s">
        <v>75</v>
      </c>
      <c r="T1868" s="5" t="s">
        <v>63</v>
      </c>
      <c r="U1868" s="5" t="s">
        <v>86</v>
      </c>
      <c r="V1868" s="5" t="s">
        <v>76</v>
      </c>
      <c r="W1868" s="5" t="s">
        <v>444</v>
      </c>
      <c r="X1868" s="5" t="s">
        <v>661</v>
      </c>
      <c r="Y1868" s="5" t="s">
        <v>7513</v>
      </c>
      <c r="Z1868" s="9">
        <v>46251</v>
      </c>
      <c r="AA1868" s="8">
        <v>12</v>
      </c>
      <c r="AB1868" s="9">
        <f t="shared" si="88"/>
        <v>46616</v>
      </c>
      <c r="AC1868" s="10">
        <v>18</v>
      </c>
      <c r="AD1868" s="7">
        <f t="shared" si="89"/>
        <v>825</v>
      </c>
      <c r="AE1868" s="7">
        <f>IF(F1868="Bullet",H1868*AD1868,MIN(MAX(I1868,1),Assumptions!$B$6)*AD1868)</f>
        <v>825</v>
      </c>
      <c r="AF1868" s="8">
        <f>IF(F1868="Bullet",MAX(0,Assumptions!$B$4-AB1868),MAX(0,Assumptions!$B$4-L1868))</f>
        <v>0</v>
      </c>
      <c r="AG1868" s="9"/>
      <c r="AH1868" s="8" t="str">
        <f>IF(AG1868="","",Assumptions!$B$4-AG1868)</f>
        <v/>
      </c>
      <c r="AI1868" s="5" t="s">
        <v>80</v>
      </c>
      <c r="AJ1868" s="8"/>
      <c r="AK1868" s="8">
        <v>1</v>
      </c>
      <c r="AL1868" s="8">
        <v>813</v>
      </c>
      <c r="AM1868" s="8">
        <v>1</v>
      </c>
      <c r="AN1868" s="5" t="s">
        <v>63</v>
      </c>
      <c r="AO1868" s="10">
        <v>68.099999999999994</v>
      </c>
      <c r="AP1868" s="8">
        <v>0</v>
      </c>
      <c r="AQ1868" s="9">
        <v>46284</v>
      </c>
      <c r="AR1868" s="5" t="s">
        <v>51</v>
      </c>
      <c r="AS1868" s="5" t="s">
        <v>64</v>
      </c>
    </row>
    <row r="1869" spans="1:45" x14ac:dyDescent="0.35">
      <c r="A1869" s="5" t="s">
        <v>7514</v>
      </c>
      <c r="B1869" s="5" t="s">
        <v>1119</v>
      </c>
      <c r="C1869" s="6" t="s">
        <v>7515</v>
      </c>
      <c r="D1869" s="7">
        <v>170500</v>
      </c>
      <c r="E1869" s="5" t="s">
        <v>48</v>
      </c>
      <c r="F1869" s="5" t="s">
        <v>49</v>
      </c>
      <c r="G1869" s="8"/>
      <c r="H1869" s="8" t="str">
        <f>IF(F1869="Bullet",MIN(G1869,Assumptions!$B$6),"")</f>
        <v/>
      </c>
      <c r="I1869" s="8">
        <v>1</v>
      </c>
      <c r="J1869" s="8">
        <f>IF(F1869="Monthly interest",MAX(0,Assumptions!$B$5-I1869),"")</f>
        <v>2</v>
      </c>
      <c r="K1869" s="7">
        <f t="shared" si="87"/>
        <v>2273</v>
      </c>
      <c r="L1869" s="9">
        <v>46271</v>
      </c>
      <c r="M1869" s="5" t="s">
        <v>50</v>
      </c>
      <c r="N1869" s="5" t="s">
        <v>51</v>
      </c>
      <c r="O1869" s="5" t="s">
        <v>52</v>
      </c>
      <c r="P1869" s="5" t="s">
        <v>53</v>
      </c>
      <c r="Q1869" s="5" t="s">
        <v>54</v>
      </c>
      <c r="R1869" s="5" t="s">
        <v>55</v>
      </c>
      <c r="S1869" s="5" t="s">
        <v>56</v>
      </c>
      <c r="T1869" s="5" t="s">
        <v>57</v>
      </c>
      <c r="U1869" s="5" t="s">
        <v>86</v>
      </c>
      <c r="V1869" s="5" t="s">
        <v>59</v>
      </c>
      <c r="W1869" s="5" t="s">
        <v>323</v>
      </c>
      <c r="X1869" s="5" t="s">
        <v>2471</v>
      </c>
      <c r="Y1869" s="5" t="s">
        <v>7516</v>
      </c>
      <c r="Z1869" s="9">
        <v>45997</v>
      </c>
      <c r="AA1869" s="8">
        <v>24</v>
      </c>
      <c r="AB1869" s="9">
        <f t="shared" si="88"/>
        <v>46727</v>
      </c>
      <c r="AC1869" s="10">
        <v>16</v>
      </c>
      <c r="AD1869" s="7">
        <f t="shared" si="89"/>
        <v>2273</v>
      </c>
      <c r="AE1869" s="7">
        <f>IF(F1869="Bullet",H1869*AD1869,MIN(MAX(I1869,1),Assumptions!$B$6)*AD1869)</f>
        <v>2273</v>
      </c>
      <c r="AF1869" s="8">
        <f>IF(F1869="Bullet",MAX(0,Assumptions!$B$4-AB1869),MAX(0,Assumptions!$B$4-L1869))</f>
        <v>27</v>
      </c>
      <c r="AG1869" s="9">
        <v>46243</v>
      </c>
      <c r="AH1869" s="8">
        <f>IF(AG1869="","",Assumptions!$B$4-AG1869)</f>
        <v>55</v>
      </c>
      <c r="AI1869" s="5" t="s">
        <v>57</v>
      </c>
      <c r="AJ1869" s="8">
        <v>1</v>
      </c>
      <c r="AK1869" s="8">
        <v>0</v>
      </c>
      <c r="AL1869" s="8">
        <v>740</v>
      </c>
      <c r="AM1869" s="8">
        <v>0</v>
      </c>
      <c r="AN1869" s="5" t="s">
        <v>63</v>
      </c>
      <c r="AO1869" s="10">
        <v>73.2</v>
      </c>
      <c r="AP1869" s="8">
        <v>15</v>
      </c>
      <c r="AQ1869" s="9">
        <v>46274</v>
      </c>
      <c r="AR1869" s="5" t="s">
        <v>51</v>
      </c>
      <c r="AS1869" s="5" t="s">
        <v>274</v>
      </c>
    </row>
    <row r="1870" spans="1:45" x14ac:dyDescent="0.35">
      <c r="A1870" s="5" t="s">
        <v>7517</v>
      </c>
      <c r="B1870" s="5" t="s">
        <v>7518</v>
      </c>
      <c r="C1870" s="6" t="s">
        <v>7519</v>
      </c>
      <c r="D1870" s="7">
        <v>188300</v>
      </c>
      <c r="E1870" s="5" t="s">
        <v>48</v>
      </c>
      <c r="F1870" s="5" t="s">
        <v>49</v>
      </c>
      <c r="G1870" s="8"/>
      <c r="H1870" s="8" t="str">
        <f>IF(F1870="Bullet",MIN(G1870,Assumptions!$B$6),"")</f>
        <v/>
      </c>
      <c r="I1870" s="8">
        <v>2</v>
      </c>
      <c r="J1870" s="8">
        <f>IF(F1870="Monthly interest",MAX(0,Assumptions!$B$5-I1870),"")</f>
        <v>1</v>
      </c>
      <c r="K1870" s="7">
        <f t="shared" si="87"/>
        <v>7532</v>
      </c>
      <c r="L1870" s="9">
        <v>46267</v>
      </c>
      <c r="M1870" s="5" t="s">
        <v>69</v>
      </c>
      <c r="N1870" s="5" t="s">
        <v>53</v>
      </c>
      <c r="O1870" s="5" t="s">
        <v>71</v>
      </c>
      <c r="P1870" s="5" t="s">
        <v>70</v>
      </c>
      <c r="Q1870" s="5" t="s">
        <v>73</v>
      </c>
      <c r="R1870" s="5" t="s">
        <v>74</v>
      </c>
      <c r="S1870" s="5" t="s">
        <v>185</v>
      </c>
      <c r="T1870" s="5" t="s">
        <v>57</v>
      </c>
      <c r="U1870" s="5" t="s">
        <v>104</v>
      </c>
      <c r="V1870" s="5" t="s">
        <v>186</v>
      </c>
      <c r="W1870" s="5" t="s">
        <v>329</v>
      </c>
      <c r="X1870" s="5" t="s">
        <v>1604</v>
      </c>
      <c r="Y1870" s="5" t="s">
        <v>7520</v>
      </c>
      <c r="Z1870" s="9">
        <v>46144</v>
      </c>
      <c r="AA1870" s="8">
        <v>12</v>
      </c>
      <c r="AB1870" s="9">
        <f t="shared" si="88"/>
        <v>46509</v>
      </c>
      <c r="AC1870" s="10">
        <v>24</v>
      </c>
      <c r="AD1870" s="7">
        <f t="shared" si="89"/>
        <v>3766</v>
      </c>
      <c r="AE1870" s="7">
        <f>IF(F1870="Bullet",H1870*AD1870,MIN(MAX(I1870,1),Assumptions!$B$6)*AD1870)</f>
        <v>7532</v>
      </c>
      <c r="AF1870" s="8">
        <f>IF(F1870="Bullet",MAX(0,Assumptions!$B$4-AB1870),MAX(0,Assumptions!$B$4-L1870))</f>
        <v>31</v>
      </c>
      <c r="AG1870" s="9">
        <v>46239</v>
      </c>
      <c r="AH1870" s="8">
        <f>IF(AG1870="","",Assumptions!$B$4-AG1870)</f>
        <v>59</v>
      </c>
      <c r="AI1870" s="5" t="s">
        <v>63</v>
      </c>
      <c r="AJ1870" s="8">
        <v>2</v>
      </c>
      <c r="AK1870" s="8">
        <v>1</v>
      </c>
      <c r="AL1870" s="8">
        <v>750</v>
      </c>
      <c r="AM1870" s="8">
        <v>2</v>
      </c>
      <c r="AN1870" s="5" t="s">
        <v>63</v>
      </c>
      <c r="AO1870" s="10">
        <v>66.099999999999994</v>
      </c>
      <c r="AP1870" s="8">
        <v>47</v>
      </c>
      <c r="AQ1870" s="9">
        <v>46288</v>
      </c>
      <c r="AR1870" s="5" t="s">
        <v>53</v>
      </c>
      <c r="AS1870" s="5" t="s">
        <v>64</v>
      </c>
    </row>
    <row r="1871" spans="1:45" x14ac:dyDescent="0.35">
      <c r="A1871" s="5" t="s">
        <v>7521</v>
      </c>
      <c r="B1871" s="5" t="s">
        <v>6116</v>
      </c>
      <c r="C1871" s="6" t="s">
        <v>7522</v>
      </c>
      <c r="D1871" s="7">
        <v>125200</v>
      </c>
      <c r="E1871" s="5" t="s">
        <v>48</v>
      </c>
      <c r="F1871" s="5" t="s">
        <v>68</v>
      </c>
      <c r="G1871" s="8">
        <v>4</v>
      </c>
      <c r="H1871" s="8">
        <f>IF(F1871="Bullet",MIN(G1871,Assumptions!$B$6),"")</f>
        <v>2</v>
      </c>
      <c r="I1871" s="8"/>
      <c r="J1871" s="8" t="str">
        <f>IF(F1871="Monthly interest",MAX(0,Assumptions!$B$5-I1871),"")</f>
        <v/>
      </c>
      <c r="K1871" s="7">
        <f t="shared" si="87"/>
        <v>6260</v>
      </c>
      <c r="L1871" s="9">
        <v>46173</v>
      </c>
      <c r="M1871" s="5" t="s">
        <v>116</v>
      </c>
      <c r="N1871" s="5" t="s">
        <v>117</v>
      </c>
      <c r="O1871" s="5" t="s">
        <v>207</v>
      </c>
      <c r="P1871" s="5" t="s">
        <v>72</v>
      </c>
      <c r="Q1871" s="5" t="s">
        <v>73</v>
      </c>
      <c r="R1871" s="5" t="s">
        <v>74</v>
      </c>
      <c r="S1871" s="5" t="s">
        <v>56</v>
      </c>
      <c r="T1871" s="5" t="s">
        <v>57</v>
      </c>
      <c r="U1871" s="5" t="s">
        <v>58</v>
      </c>
      <c r="V1871" s="5" t="s">
        <v>59</v>
      </c>
      <c r="W1871" s="5" t="s">
        <v>467</v>
      </c>
      <c r="X1871" s="5" t="s">
        <v>2556</v>
      </c>
      <c r="Y1871" s="5" t="s">
        <v>7523</v>
      </c>
      <c r="Z1871" s="9">
        <v>46173</v>
      </c>
      <c r="AA1871" s="8">
        <v>6</v>
      </c>
      <c r="AB1871" s="9">
        <f t="shared" si="88"/>
        <v>46356</v>
      </c>
      <c r="AC1871" s="10">
        <v>15</v>
      </c>
      <c r="AD1871" s="7">
        <f t="shared" si="89"/>
        <v>1565</v>
      </c>
      <c r="AE1871" s="7">
        <f>IF(F1871="Bullet",H1871*AD1871,MIN(MAX(I1871,1),Assumptions!$B$6)*AD1871)</f>
        <v>3130</v>
      </c>
      <c r="AF1871" s="8">
        <f>IF(F1871="Bullet",MAX(0,Assumptions!$B$4-AB1871),MAX(0,Assumptions!$B$4-L1871))</f>
        <v>0</v>
      </c>
      <c r="AG1871" s="9"/>
      <c r="AH1871" s="8" t="str">
        <f>IF(AG1871="","",Assumptions!$B$4-AG1871)</f>
        <v/>
      </c>
      <c r="AI1871" s="5" t="s">
        <v>80</v>
      </c>
      <c r="AJ1871" s="8"/>
      <c r="AK1871" s="8">
        <v>1</v>
      </c>
      <c r="AL1871" s="8">
        <v>597</v>
      </c>
      <c r="AM1871" s="8">
        <v>1</v>
      </c>
      <c r="AN1871" s="5" t="s">
        <v>57</v>
      </c>
      <c r="AO1871" s="10">
        <v>53.5</v>
      </c>
      <c r="AP1871" s="8">
        <v>53</v>
      </c>
      <c r="AQ1871" s="9">
        <v>46290</v>
      </c>
      <c r="AR1871" s="5" t="s">
        <v>51</v>
      </c>
      <c r="AS1871" s="5" t="s">
        <v>91</v>
      </c>
    </row>
    <row r="1872" spans="1:45" x14ac:dyDescent="0.35">
      <c r="A1872" s="5" t="s">
        <v>7524</v>
      </c>
      <c r="B1872" s="5" t="s">
        <v>7525</v>
      </c>
      <c r="C1872" s="6" t="s">
        <v>7526</v>
      </c>
      <c r="D1872" s="7">
        <v>15000</v>
      </c>
      <c r="E1872" s="5" t="s">
        <v>48</v>
      </c>
      <c r="F1872" s="5" t="s">
        <v>68</v>
      </c>
      <c r="G1872" s="8">
        <v>4</v>
      </c>
      <c r="H1872" s="8">
        <f>IF(F1872="Bullet",MIN(G1872,Assumptions!$B$6),"")</f>
        <v>2</v>
      </c>
      <c r="I1872" s="8"/>
      <c r="J1872" s="8" t="str">
        <f>IF(F1872="Monthly interest",MAX(0,Assumptions!$B$5-I1872),"")</f>
        <v/>
      </c>
      <c r="K1872" s="7">
        <f t="shared" si="87"/>
        <v>752</v>
      </c>
      <c r="L1872" s="9">
        <v>46172</v>
      </c>
      <c r="M1872" s="5" t="s">
        <v>69</v>
      </c>
      <c r="N1872" s="5" t="s">
        <v>53</v>
      </c>
      <c r="O1872" s="5" t="s">
        <v>152</v>
      </c>
      <c r="P1872" s="5" t="s">
        <v>153</v>
      </c>
      <c r="Q1872" s="5" t="s">
        <v>154</v>
      </c>
      <c r="R1872" s="5" t="s">
        <v>155</v>
      </c>
      <c r="S1872" s="5" t="s">
        <v>75</v>
      </c>
      <c r="T1872" s="5" t="s">
        <v>63</v>
      </c>
      <c r="U1872" s="5" t="s">
        <v>86</v>
      </c>
      <c r="V1872" s="5" t="s">
        <v>76</v>
      </c>
      <c r="W1872" s="5" t="s">
        <v>444</v>
      </c>
      <c r="X1872" s="5" t="s">
        <v>2967</v>
      </c>
      <c r="Y1872" s="5" t="s">
        <v>7527</v>
      </c>
      <c r="Z1872" s="9">
        <v>46172</v>
      </c>
      <c r="AA1872" s="8">
        <v>6</v>
      </c>
      <c r="AB1872" s="9">
        <f t="shared" si="88"/>
        <v>46356</v>
      </c>
      <c r="AC1872" s="10">
        <v>15</v>
      </c>
      <c r="AD1872" s="7">
        <f t="shared" si="89"/>
        <v>188</v>
      </c>
      <c r="AE1872" s="7">
        <f>IF(F1872="Bullet",H1872*AD1872,MIN(MAX(I1872,1),Assumptions!$B$6)*AD1872)</f>
        <v>376</v>
      </c>
      <c r="AF1872" s="8">
        <f>IF(F1872="Bullet",MAX(0,Assumptions!$B$4-AB1872),MAX(0,Assumptions!$B$4-L1872))</f>
        <v>0</v>
      </c>
      <c r="AG1872" s="9"/>
      <c r="AH1872" s="8" t="str">
        <f>IF(AG1872="","",Assumptions!$B$4-AG1872)</f>
        <v/>
      </c>
      <c r="AI1872" s="5" t="s">
        <v>80</v>
      </c>
      <c r="AJ1872" s="8"/>
      <c r="AK1872" s="8">
        <v>2</v>
      </c>
      <c r="AL1872" s="8">
        <v>648</v>
      </c>
      <c r="AM1872" s="8">
        <v>3</v>
      </c>
      <c r="AN1872" s="5" t="s">
        <v>63</v>
      </c>
      <c r="AO1872" s="10">
        <v>70.400000000000006</v>
      </c>
      <c r="AP1872" s="8">
        <v>44</v>
      </c>
      <c r="AQ1872" s="9">
        <v>46286</v>
      </c>
      <c r="AR1872" s="5" t="s">
        <v>51</v>
      </c>
      <c r="AS1872" s="5" t="s">
        <v>190</v>
      </c>
    </row>
    <row r="1873" spans="1:45" x14ac:dyDescent="0.35">
      <c r="A1873" s="5" t="s">
        <v>7528</v>
      </c>
      <c r="B1873" s="5" t="s">
        <v>426</v>
      </c>
      <c r="C1873" s="6" t="s">
        <v>7529</v>
      </c>
      <c r="D1873" s="7">
        <v>136900</v>
      </c>
      <c r="E1873" s="5" t="s">
        <v>48</v>
      </c>
      <c r="F1873" s="5" t="s">
        <v>49</v>
      </c>
      <c r="G1873" s="8"/>
      <c r="H1873" s="8" t="str">
        <f>IF(F1873="Bullet",MIN(G1873,Assumptions!$B$6),"")</f>
        <v/>
      </c>
      <c r="I1873" s="8">
        <v>1</v>
      </c>
      <c r="J1873" s="8">
        <f>IF(F1873="Monthly interest",MAX(0,Assumptions!$B$5-I1873),"")</f>
        <v>2</v>
      </c>
      <c r="K1873" s="7">
        <f t="shared" si="87"/>
        <v>1825</v>
      </c>
      <c r="L1873" s="9">
        <v>46296</v>
      </c>
      <c r="M1873" s="5" t="s">
        <v>50</v>
      </c>
      <c r="N1873" s="5" t="s">
        <v>53</v>
      </c>
      <c r="O1873" s="5" t="s">
        <v>95</v>
      </c>
      <c r="P1873" s="5" t="s">
        <v>70</v>
      </c>
      <c r="Q1873" s="5" t="s">
        <v>54</v>
      </c>
      <c r="R1873" s="5" t="s">
        <v>55</v>
      </c>
      <c r="S1873" s="5" t="s">
        <v>253</v>
      </c>
      <c r="T1873" s="5" t="s">
        <v>63</v>
      </c>
      <c r="U1873" s="5" t="s">
        <v>104</v>
      </c>
      <c r="V1873" s="5" t="s">
        <v>200</v>
      </c>
      <c r="W1873" s="5" t="s">
        <v>433</v>
      </c>
      <c r="X1873" s="5" t="s">
        <v>5770</v>
      </c>
      <c r="Y1873" s="5" t="s">
        <v>7530</v>
      </c>
      <c r="Z1873" s="9">
        <v>46174</v>
      </c>
      <c r="AA1873" s="8">
        <v>18</v>
      </c>
      <c r="AB1873" s="9">
        <f t="shared" si="88"/>
        <v>46722</v>
      </c>
      <c r="AC1873" s="10">
        <v>16</v>
      </c>
      <c r="AD1873" s="7">
        <f t="shared" si="89"/>
        <v>1825</v>
      </c>
      <c r="AE1873" s="7">
        <f>IF(F1873="Bullet",H1873*AD1873,MIN(MAX(I1873,1),Assumptions!$B$6)*AD1873)</f>
        <v>1825</v>
      </c>
      <c r="AF1873" s="8">
        <f>IF(F1873="Bullet",MAX(0,Assumptions!$B$4-AB1873),MAX(0,Assumptions!$B$4-L1873))</f>
        <v>2</v>
      </c>
      <c r="AG1873" s="9">
        <v>46266</v>
      </c>
      <c r="AH1873" s="8">
        <f>IF(AG1873="","",Assumptions!$B$4-AG1873)</f>
        <v>32</v>
      </c>
      <c r="AI1873" s="5" t="s">
        <v>63</v>
      </c>
      <c r="AJ1873" s="8">
        <v>1</v>
      </c>
      <c r="AK1873" s="8">
        <v>0</v>
      </c>
      <c r="AL1873" s="8">
        <v>753</v>
      </c>
      <c r="AM1873" s="8">
        <v>1</v>
      </c>
      <c r="AN1873" s="5" t="s">
        <v>63</v>
      </c>
      <c r="AO1873" s="10">
        <v>57</v>
      </c>
      <c r="AP1873" s="8">
        <v>14</v>
      </c>
      <c r="AQ1873" s="9">
        <v>46293</v>
      </c>
      <c r="AR1873" s="5" t="s">
        <v>53</v>
      </c>
      <c r="AS1873" s="5" t="s">
        <v>81</v>
      </c>
    </row>
    <row r="1874" spans="1:45" x14ac:dyDescent="0.35">
      <c r="A1874" s="5" t="s">
        <v>7531</v>
      </c>
      <c r="B1874" s="5" t="s">
        <v>7532</v>
      </c>
      <c r="C1874" s="6" t="s">
        <v>7533</v>
      </c>
      <c r="D1874" s="7">
        <v>108000</v>
      </c>
      <c r="E1874" s="5" t="s">
        <v>48</v>
      </c>
      <c r="F1874" s="5" t="s">
        <v>49</v>
      </c>
      <c r="G1874" s="8"/>
      <c r="H1874" s="8" t="str">
        <f>IF(F1874="Bullet",MIN(G1874,Assumptions!$B$6),"")</f>
        <v/>
      </c>
      <c r="I1874" s="8">
        <v>2</v>
      </c>
      <c r="J1874" s="8">
        <f>IF(F1874="Monthly interest",MAX(0,Assumptions!$B$5-I1874),"")</f>
        <v>1</v>
      </c>
      <c r="K1874" s="7">
        <f t="shared" si="87"/>
        <v>3240</v>
      </c>
      <c r="L1874" s="9">
        <v>46239</v>
      </c>
      <c r="M1874" s="5" t="s">
        <v>69</v>
      </c>
      <c r="N1874" s="5" t="s">
        <v>53</v>
      </c>
      <c r="O1874" s="5" t="s">
        <v>71</v>
      </c>
      <c r="P1874" s="5" t="s">
        <v>70</v>
      </c>
      <c r="Q1874" s="5" t="s">
        <v>73</v>
      </c>
      <c r="R1874" s="5" t="s">
        <v>74</v>
      </c>
      <c r="S1874" s="5" t="s">
        <v>253</v>
      </c>
      <c r="T1874" s="5" t="s">
        <v>57</v>
      </c>
      <c r="U1874" s="5" t="s">
        <v>58</v>
      </c>
      <c r="V1874" s="5" t="s">
        <v>200</v>
      </c>
      <c r="W1874" s="5" t="s">
        <v>767</v>
      </c>
      <c r="X1874" s="5" t="s">
        <v>1126</v>
      </c>
      <c r="Y1874" s="5" t="s">
        <v>7534</v>
      </c>
      <c r="Z1874" s="9">
        <v>45966</v>
      </c>
      <c r="AA1874" s="8">
        <v>18</v>
      </c>
      <c r="AB1874" s="9">
        <f t="shared" si="88"/>
        <v>46512</v>
      </c>
      <c r="AC1874" s="10">
        <v>18</v>
      </c>
      <c r="AD1874" s="7">
        <f t="shared" si="89"/>
        <v>1620</v>
      </c>
      <c r="AE1874" s="7">
        <f>IF(F1874="Bullet",H1874*AD1874,MIN(MAX(I1874,1),Assumptions!$B$6)*AD1874)</f>
        <v>3240</v>
      </c>
      <c r="AF1874" s="8">
        <f>IF(F1874="Bullet",MAX(0,Assumptions!$B$4-AB1874),MAX(0,Assumptions!$B$4-L1874))</f>
        <v>59</v>
      </c>
      <c r="AG1874" s="9">
        <v>46213</v>
      </c>
      <c r="AH1874" s="8">
        <f>IF(AG1874="","",Assumptions!$B$4-AG1874)</f>
        <v>85</v>
      </c>
      <c r="AI1874" s="5" t="s">
        <v>63</v>
      </c>
      <c r="AJ1874" s="8">
        <v>3</v>
      </c>
      <c r="AK1874" s="8">
        <v>1</v>
      </c>
      <c r="AL1874" s="8">
        <v>767</v>
      </c>
      <c r="AM1874" s="8">
        <v>0</v>
      </c>
      <c r="AN1874" s="5" t="s">
        <v>63</v>
      </c>
      <c r="AO1874" s="10">
        <v>77.400000000000006</v>
      </c>
      <c r="AP1874" s="8">
        <v>37</v>
      </c>
      <c r="AQ1874" s="9"/>
      <c r="AR1874" s="5"/>
      <c r="AS1874" s="5" t="s">
        <v>159</v>
      </c>
    </row>
    <row r="1875" spans="1:45" x14ac:dyDescent="0.35">
      <c r="A1875" s="5" t="s">
        <v>7535</v>
      </c>
      <c r="B1875" s="5" t="s">
        <v>4866</v>
      </c>
      <c r="C1875" s="6" t="s">
        <v>7536</v>
      </c>
      <c r="D1875" s="7">
        <v>111200</v>
      </c>
      <c r="E1875" s="5" t="s">
        <v>48</v>
      </c>
      <c r="F1875" s="5" t="s">
        <v>49</v>
      </c>
      <c r="G1875" s="8"/>
      <c r="H1875" s="8" t="str">
        <f>IF(F1875="Bullet",MIN(G1875,Assumptions!$B$6),"")</f>
        <v/>
      </c>
      <c r="I1875" s="8">
        <v>1</v>
      </c>
      <c r="J1875" s="8">
        <f>IF(F1875="Monthly interest",MAX(0,Assumptions!$B$5-I1875),"")</f>
        <v>2</v>
      </c>
      <c r="K1875" s="7">
        <f t="shared" si="87"/>
        <v>1390</v>
      </c>
      <c r="L1875" s="9">
        <v>46292</v>
      </c>
      <c r="M1875" s="5" t="s">
        <v>50</v>
      </c>
      <c r="N1875" s="5" t="s">
        <v>51</v>
      </c>
      <c r="O1875" s="5" t="s">
        <v>52</v>
      </c>
      <c r="P1875" s="5" t="s">
        <v>53</v>
      </c>
      <c r="Q1875" s="5" t="s">
        <v>54</v>
      </c>
      <c r="R1875" s="5" t="s">
        <v>55</v>
      </c>
      <c r="S1875" s="5" t="s">
        <v>185</v>
      </c>
      <c r="T1875" s="5" t="s">
        <v>57</v>
      </c>
      <c r="U1875" s="5" t="s">
        <v>104</v>
      </c>
      <c r="V1875" s="5" t="s">
        <v>200</v>
      </c>
      <c r="W1875" s="5" t="s">
        <v>201</v>
      </c>
      <c r="X1875" s="5" t="s">
        <v>202</v>
      </c>
      <c r="Y1875" s="5" t="s">
        <v>7537</v>
      </c>
      <c r="Z1875" s="9">
        <v>46080</v>
      </c>
      <c r="AA1875" s="8">
        <v>18</v>
      </c>
      <c r="AB1875" s="9">
        <f t="shared" si="88"/>
        <v>46626</v>
      </c>
      <c r="AC1875" s="10">
        <v>15</v>
      </c>
      <c r="AD1875" s="7">
        <f t="shared" si="89"/>
        <v>1390</v>
      </c>
      <c r="AE1875" s="7">
        <f>IF(F1875="Bullet",H1875*AD1875,MIN(MAX(I1875,1),Assumptions!$B$6)*AD1875)</f>
        <v>1390</v>
      </c>
      <c r="AF1875" s="8">
        <f>IF(F1875="Bullet",MAX(0,Assumptions!$B$4-AB1875),MAX(0,Assumptions!$B$4-L1875))</f>
        <v>6</v>
      </c>
      <c r="AG1875" s="9">
        <v>46264</v>
      </c>
      <c r="AH1875" s="8">
        <f>IF(AG1875="","",Assumptions!$B$4-AG1875)</f>
        <v>34</v>
      </c>
      <c r="AI1875" s="5" t="s">
        <v>63</v>
      </c>
      <c r="AJ1875" s="8">
        <v>1</v>
      </c>
      <c r="AK1875" s="8">
        <v>0</v>
      </c>
      <c r="AL1875" s="8">
        <v>775</v>
      </c>
      <c r="AM1875" s="8">
        <v>1</v>
      </c>
      <c r="AN1875" s="5" t="s">
        <v>63</v>
      </c>
      <c r="AO1875" s="10">
        <v>74.5</v>
      </c>
      <c r="AP1875" s="8">
        <v>13</v>
      </c>
      <c r="AQ1875" s="9">
        <v>46288</v>
      </c>
      <c r="AR1875" s="5" t="s">
        <v>51</v>
      </c>
      <c r="AS1875" s="5" t="s">
        <v>274</v>
      </c>
    </row>
    <row r="1876" spans="1:45" x14ac:dyDescent="0.35">
      <c r="A1876" s="5" t="s">
        <v>7538</v>
      </c>
      <c r="B1876" s="5" t="s">
        <v>3988</v>
      </c>
      <c r="C1876" s="6" t="s">
        <v>7539</v>
      </c>
      <c r="D1876" s="7">
        <v>60000</v>
      </c>
      <c r="E1876" s="5" t="s">
        <v>48</v>
      </c>
      <c r="F1876" s="5" t="s">
        <v>49</v>
      </c>
      <c r="G1876" s="8"/>
      <c r="H1876" s="8" t="str">
        <f>IF(F1876="Bullet",MIN(G1876,Assumptions!$B$6),"")</f>
        <v/>
      </c>
      <c r="I1876" s="8">
        <v>1</v>
      </c>
      <c r="J1876" s="8">
        <f>IF(F1876="Monthly interest",MAX(0,Assumptions!$B$5-I1876),"")</f>
        <v>2</v>
      </c>
      <c r="K1876" s="7">
        <f t="shared" si="87"/>
        <v>700</v>
      </c>
      <c r="L1876" s="9">
        <v>46287</v>
      </c>
      <c r="M1876" s="5" t="s">
        <v>50</v>
      </c>
      <c r="N1876" s="5" t="s">
        <v>51</v>
      </c>
      <c r="O1876" s="5" t="s">
        <v>52</v>
      </c>
      <c r="P1876" s="5" t="s">
        <v>53</v>
      </c>
      <c r="Q1876" s="5" t="s">
        <v>54</v>
      </c>
      <c r="R1876" s="5" t="s">
        <v>55</v>
      </c>
      <c r="S1876" s="5" t="s">
        <v>253</v>
      </c>
      <c r="T1876" s="5" t="s">
        <v>57</v>
      </c>
      <c r="U1876" s="5" t="s">
        <v>86</v>
      </c>
      <c r="V1876" s="5" t="s">
        <v>186</v>
      </c>
      <c r="W1876" s="5" t="s">
        <v>329</v>
      </c>
      <c r="X1876" s="5" t="s">
        <v>2919</v>
      </c>
      <c r="Y1876" s="5" t="s">
        <v>7540</v>
      </c>
      <c r="Z1876" s="9">
        <v>46103</v>
      </c>
      <c r="AA1876" s="8">
        <v>12</v>
      </c>
      <c r="AB1876" s="9">
        <f t="shared" si="88"/>
        <v>46468</v>
      </c>
      <c r="AC1876" s="10">
        <v>14</v>
      </c>
      <c r="AD1876" s="7">
        <f t="shared" si="89"/>
        <v>700</v>
      </c>
      <c r="AE1876" s="7">
        <f>IF(F1876="Bullet",H1876*AD1876,MIN(MAX(I1876,1),Assumptions!$B$6)*AD1876)</f>
        <v>700</v>
      </c>
      <c r="AF1876" s="8">
        <f>IF(F1876="Bullet",MAX(0,Assumptions!$B$4-AB1876),MAX(0,Assumptions!$B$4-L1876))</f>
        <v>11</v>
      </c>
      <c r="AG1876" s="9">
        <v>46261</v>
      </c>
      <c r="AH1876" s="8">
        <f>IF(AG1876="","",Assumptions!$B$4-AG1876)</f>
        <v>37</v>
      </c>
      <c r="AI1876" s="5" t="s">
        <v>63</v>
      </c>
      <c r="AJ1876" s="8">
        <v>1</v>
      </c>
      <c r="AK1876" s="8">
        <v>0</v>
      </c>
      <c r="AL1876" s="8">
        <v>761</v>
      </c>
      <c r="AM1876" s="8">
        <v>3</v>
      </c>
      <c r="AN1876" s="5" t="s">
        <v>63</v>
      </c>
      <c r="AO1876" s="10">
        <v>83.6</v>
      </c>
      <c r="AP1876" s="8">
        <v>27</v>
      </c>
      <c r="AQ1876" s="9">
        <v>46275</v>
      </c>
      <c r="AR1876" s="5" t="s">
        <v>51</v>
      </c>
      <c r="AS1876" s="5" t="s">
        <v>190</v>
      </c>
    </row>
    <row r="1877" spans="1:45" x14ac:dyDescent="0.35">
      <c r="A1877" s="5" t="s">
        <v>7541</v>
      </c>
      <c r="B1877" s="5" t="s">
        <v>488</v>
      </c>
      <c r="C1877" s="6" t="s">
        <v>7542</v>
      </c>
      <c r="D1877" s="7">
        <v>24500</v>
      </c>
      <c r="E1877" s="5" t="s">
        <v>48</v>
      </c>
      <c r="F1877" s="5" t="s">
        <v>49</v>
      </c>
      <c r="G1877" s="8"/>
      <c r="H1877" s="8" t="str">
        <f>IF(F1877="Bullet",MIN(G1877,Assumptions!$B$6),"")</f>
        <v/>
      </c>
      <c r="I1877" s="8">
        <v>1</v>
      </c>
      <c r="J1877" s="8">
        <f>IF(F1877="Monthly interest",MAX(0,Assumptions!$B$5-I1877),"")</f>
        <v>2</v>
      </c>
      <c r="K1877" s="7">
        <f t="shared" si="87"/>
        <v>408</v>
      </c>
      <c r="L1877" s="9">
        <v>46274</v>
      </c>
      <c r="M1877" s="5" t="s">
        <v>69</v>
      </c>
      <c r="N1877" s="5" t="s">
        <v>53</v>
      </c>
      <c r="O1877" s="5" t="s">
        <v>103</v>
      </c>
      <c r="P1877" s="5" t="s">
        <v>153</v>
      </c>
      <c r="Q1877" s="5" t="s">
        <v>154</v>
      </c>
      <c r="R1877" s="5" t="s">
        <v>155</v>
      </c>
      <c r="S1877" s="5" t="s">
        <v>214</v>
      </c>
      <c r="T1877" s="5" t="s">
        <v>57</v>
      </c>
      <c r="U1877" s="5" t="s">
        <v>86</v>
      </c>
      <c r="V1877" s="5" t="s">
        <v>215</v>
      </c>
      <c r="W1877" s="5" t="s">
        <v>278</v>
      </c>
      <c r="X1877" s="5" t="s">
        <v>279</v>
      </c>
      <c r="Y1877" s="5" t="s">
        <v>7543</v>
      </c>
      <c r="Z1877" s="9">
        <v>46000</v>
      </c>
      <c r="AA1877" s="8">
        <v>12</v>
      </c>
      <c r="AB1877" s="9">
        <f t="shared" si="88"/>
        <v>46365</v>
      </c>
      <c r="AC1877" s="10">
        <v>20</v>
      </c>
      <c r="AD1877" s="7">
        <f t="shared" si="89"/>
        <v>408</v>
      </c>
      <c r="AE1877" s="7">
        <f>IF(F1877="Bullet",H1877*AD1877,MIN(MAX(I1877,1),Assumptions!$B$6)*AD1877)</f>
        <v>408</v>
      </c>
      <c r="AF1877" s="8">
        <f>IF(F1877="Bullet",MAX(0,Assumptions!$B$4-AB1877),MAX(0,Assumptions!$B$4-L1877))</f>
        <v>24</v>
      </c>
      <c r="AG1877" s="9">
        <v>46247</v>
      </c>
      <c r="AH1877" s="8">
        <f>IF(AG1877="","",Assumptions!$B$4-AG1877)</f>
        <v>51</v>
      </c>
      <c r="AI1877" s="5" t="s">
        <v>63</v>
      </c>
      <c r="AJ1877" s="8">
        <v>1</v>
      </c>
      <c r="AK1877" s="8">
        <v>0</v>
      </c>
      <c r="AL1877" s="8">
        <v>666</v>
      </c>
      <c r="AM1877" s="8">
        <v>0</v>
      </c>
      <c r="AN1877" s="5" t="s">
        <v>57</v>
      </c>
      <c r="AO1877" s="10">
        <v>72.900000000000006</v>
      </c>
      <c r="AP1877" s="8">
        <v>41</v>
      </c>
      <c r="AQ1877" s="9">
        <v>46280</v>
      </c>
      <c r="AR1877" s="5" t="s">
        <v>51</v>
      </c>
      <c r="AS1877" s="5" t="s">
        <v>81</v>
      </c>
    </row>
    <row r="1878" spans="1:45" x14ac:dyDescent="0.35">
      <c r="A1878" s="5" t="s">
        <v>7544</v>
      </c>
      <c r="B1878" s="5" t="s">
        <v>2663</v>
      </c>
      <c r="C1878" s="6" t="s">
        <v>7545</v>
      </c>
      <c r="D1878" s="7">
        <v>198600</v>
      </c>
      <c r="E1878" s="5" t="s">
        <v>48</v>
      </c>
      <c r="F1878" s="5" t="s">
        <v>49</v>
      </c>
      <c r="G1878" s="8"/>
      <c r="H1878" s="8" t="str">
        <f>IF(F1878="Bullet",MIN(G1878,Assumptions!$B$6),"")</f>
        <v/>
      </c>
      <c r="I1878" s="8">
        <v>2</v>
      </c>
      <c r="J1878" s="8">
        <f>IF(F1878="Monthly interest",MAX(0,Assumptions!$B$5-I1878),"")</f>
        <v>1</v>
      </c>
      <c r="K1878" s="7">
        <f t="shared" si="87"/>
        <v>4634</v>
      </c>
      <c r="L1878" s="9">
        <v>46257</v>
      </c>
      <c r="M1878" s="5" t="s">
        <v>116</v>
      </c>
      <c r="N1878" s="5" t="s">
        <v>117</v>
      </c>
      <c r="O1878" s="5" t="s">
        <v>118</v>
      </c>
      <c r="P1878" s="5" t="s">
        <v>72</v>
      </c>
      <c r="Q1878" s="5" t="s">
        <v>119</v>
      </c>
      <c r="R1878" s="5" t="s">
        <v>120</v>
      </c>
      <c r="S1878" s="5" t="s">
        <v>185</v>
      </c>
      <c r="T1878" s="5" t="s">
        <v>57</v>
      </c>
      <c r="U1878" s="5" t="s">
        <v>58</v>
      </c>
      <c r="V1878" s="5" t="s">
        <v>200</v>
      </c>
      <c r="W1878" s="5" t="s">
        <v>500</v>
      </c>
      <c r="X1878" s="5" t="s">
        <v>1495</v>
      </c>
      <c r="Y1878" s="5" t="s">
        <v>7546</v>
      </c>
      <c r="Z1878" s="9">
        <v>46165</v>
      </c>
      <c r="AA1878" s="8">
        <v>12</v>
      </c>
      <c r="AB1878" s="9">
        <f t="shared" si="88"/>
        <v>46530</v>
      </c>
      <c r="AC1878" s="10">
        <v>14</v>
      </c>
      <c r="AD1878" s="7">
        <f t="shared" si="89"/>
        <v>2317</v>
      </c>
      <c r="AE1878" s="7">
        <f>IF(F1878="Bullet",H1878*AD1878,MIN(MAX(I1878,1),Assumptions!$B$6)*AD1878)</f>
        <v>4634</v>
      </c>
      <c r="AF1878" s="8">
        <f>IF(F1878="Bullet",MAX(0,Assumptions!$B$4-AB1878),MAX(0,Assumptions!$B$4-L1878))</f>
        <v>41</v>
      </c>
      <c r="AG1878" s="9">
        <v>46230</v>
      </c>
      <c r="AH1878" s="8">
        <f>IF(AG1878="","",Assumptions!$B$4-AG1878)</f>
        <v>68</v>
      </c>
      <c r="AI1878" s="5" t="s">
        <v>57</v>
      </c>
      <c r="AJ1878" s="8">
        <v>3</v>
      </c>
      <c r="AK1878" s="8">
        <v>1</v>
      </c>
      <c r="AL1878" s="8">
        <v>682</v>
      </c>
      <c r="AM1878" s="8">
        <v>2</v>
      </c>
      <c r="AN1878" s="5" t="s">
        <v>63</v>
      </c>
      <c r="AO1878" s="10">
        <v>61.9</v>
      </c>
      <c r="AP1878" s="8">
        <v>54</v>
      </c>
      <c r="AQ1878" s="9">
        <v>46292</v>
      </c>
      <c r="AR1878" s="5" t="s">
        <v>53</v>
      </c>
      <c r="AS1878" s="5" t="s">
        <v>274</v>
      </c>
    </row>
    <row r="1879" spans="1:45" x14ac:dyDescent="0.35">
      <c r="A1879" s="5" t="s">
        <v>7547</v>
      </c>
      <c r="B1879" s="5" t="s">
        <v>2013</v>
      </c>
      <c r="C1879" s="6" t="s">
        <v>7548</v>
      </c>
      <c r="D1879" s="7">
        <v>131600</v>
      </c>
      <c r="E1879" s="5" t="s">
        <v>48</v>
      </c>
      <c r="F1879" s="5" t="s">
        <v>68</v>
      </c>
      <c r="G1879" s="8">
        <v>3</v>
      </c>
      <c r="H1879" s="8">
        <f>IF(F1879="Bullet",MIN(G1879,Assumptions!$B$6),"")</f>
        <v>2</v>
      </c>
      <c r="I1879" s="8"/>
      <c r="J1879" s="8" t="str">
        <f>IF(F1879="Monthly interest",MAX(0,Assumptions!$B$5-I1879),"")</f>
        <v/>
      </c>
      <c r="K1879" s="7">
        <f t="shared" si="87"/>
        <v>4278</v>
      </c>
      <c r="L1879" s="9">
        <v>46187</v>
      </c>
      <c r="M1879" s="5" t="s">
        <v>50</v>
      </c>
      <c r="N1879" s="5" t="s">
        <v>70</v>
      </c>
      <c r="O1879" s="5" t="s">
        <v>531</v>
      </c>
      <c r="P1879" s="5" t="s">
        <v>72</v>
      </c>
      <c r="Q1879" s="5" t="s">
        <v>73</v>
      </c>
      <c r="R1879" s="5" t="s">
        <v>74</v>
      </c>
      <c r="S1879" s="5" t="s">
        <v>75</v>
      </c>
      <c r="T1879" s="5" t="s">
        <v>57</v>
      </c>
      <c r="U1879" s="5" t="s">
        <v>58</v>
      </c>
      <c r="V1879" s="5" t="s">
        <v>76</v>
      </c>
      <c r="W1879" s="5" t="s">
        <v>146</v>
      </c>
      <c r="X1879" s="5" t="s">
        <v>1723</v>
      </c>
      <c r="Y1879" s="5" t="s">
        <v>7549</v>
      </c>
      <c r="Z1879" s="9">
        <v>46187</v>
      </c>
      <c r="AA1879" s="8">
        <v>12</v>
      </c>
      <c r="AB1879" s="9">
        <f t="shared" si="88"/>
        <v>46552</v>
      </c>
      <c r="AC1879" s="10">
        <v>13</v>
      </c>
      <c r="AD1879" s="7">
        <f t="shared" si="89"/>
        <v>1426</v>
      </c>
      <c r="AE1879" s="7">
        <f>IF(F1879="Bullet",H1879*AD1879,MIN(MAX(I1879,1),Assumptions!$B$6)*AD1879)</f>
        <v>2852</v>
      </c>
      <c r="AF1879" s="8">
        <f>IF(F1879="Bullet",MAX(0,Assumptions!$B$4-AB1879),MAX(0,Assumptions!$B$4-L1879))</f>
        <v>0</v>
      </c>
      <c r="AG1879" s="9"/>
      <c r="AH1879" s="8" t="str">
        <f>IF(AG1879="","",Assumptions!$B$4-AG1879)</f>
        <v/>
      </c>
      <c r="AI1879" s="5" t="s">
        <v>80</v>
      </c>
      <c r="AJ1879" s="8"/>
      <c r="AK1879" s="8">
        <v>0</v>
      </c>
      <c r="AL1879" s="8">
        <v>644</v>
      </c>
      <c r="AM1879" s="8">
        <v>1</v>
      </c>
      <c r="AN1879" s="5" t="s">
        <v>63</v>
      </c>
      <c r="AO1879" s="10">
        <v>62.7</v>
      </c>
      <c r="AP1879" s="8">
        <v>28</v>
      </c>
      <c r="AQ1879" s="9">
        <v>46285</v>
      </c>
      <c r="AR1879" s="5" t="s">
        <v>53</v>
      </c>
      <c r="AS1879" s="5" t="s">
        <v>81</v>
      </c>
    </row>
    <row r="1880" spans="1:45" x14ac:dyDescent="0.35">
      <c r="A1880" s="5" t="s">
        <v>7550</v>
      </c>
      <c r="B1880" s="5" t="s">
        <v>3543</v>
      </c>
      <c r="C1880" s="6" t="s">
        <v>7551</v>
      </c>
      <c r="D1880" s="7">
        <v>418800</v>
      </c>
      <c r="E1880" s="5" t="s">
        <v>48</v>
      </c>
      <c r="F1880" s="5" t="s">
        <v>68</v>
      </c>
      <c r="G1880" s="8">
        <v>5</v>
      </c>
      <c r="H1880" s="8">
        <f>IF(F1880="Bullet",MIN(G1880,Assumptions!$B$6),"")</f>
        <v>2</v>
      </c>
      <c r="I1880" s="8"/>
      <c r="J1880" s="8" t="str">
        <f>IF(F1880="Monthly interest",MAX(0,Assumptions!$B$5-I1880),"")</f>
        <v/>
      </c>
      <c r="K1880" s="7">
        <f t="shared" si="87"/>
        <v>20940</v>
      </c>
      <c r="L1880" s="9">
        <v>46134</v>
      </c>
      <c r="M1880" s="5" t="s">
        <v>69</v>
      </c>
      <c r="N1880" s="5" t="s">
        <v>53</v>
      </c>
      <c r="O1880" s="5" t="s">
        <v>168</v>
      </c>
      <c r="P1880" s="5" t="s">
        <v>70</v>
      </c>
      <c r="Q1880" s="5" t="s">
        <v>169</v>
      </c>
      <c r="R1880" s="5" t="s">
        <v>170</v>
      </c>
      <c r="S1880" s="5" t="s">
        <v>214</v>
      </c>
      <c r="T1880" s="5" t="s">
        <v>63</v>
      </c>
      <c r="U1880" s="5" t="s">
        <v>58</v>
      </c>
      <c r="V1880" s="5" t="s">
        <v>215</v>
      </c>
      <c r="W1880" s="5" t="s">
        <v>242</v>
      </c>
      <c r="X1880" s="5" t="s">
        <v>2699</v>
      </c>
      <c r="Y1880" s="5" t="s">
        <v>7552</v>
      </c>
      <c r="Z1880" s="9">
        <v>46134</v>
      </c>
      <c r="AA1880" s="8">
        <v>6</v>
      </c>
      <c r="AB1880" s="9">
        <f t="shared" si="88"/>
        <v>46317</v>
      </c>
      <c r="AC1880" s="10">
        <v>12</v>
      </c>
      <c r="AD1880" s="7">
        <f t="shared" si="89"/>
        <v>4188</v>
      </c>
      <c r="AE1880" s="7">
        <f>IF(F1880="Bullet",H1880*AD1880,MIN(MAX(I1880,1),Assumptions!$B$6)*AD1880)</f>
        <v>8376</v>
      </c>
      <c r="AF1880" s="8">
        <f>IF(F1880="Bullet",MAX(0,Assumptions!$B$4-AB1880),MAX(0,Assumptions!$B$4-L1880))</f>
        <v>0</v>
      </c>
      <c r="AG1880" s="9"/>
      <c r="AH1880" s="8" t="str">
        <f>IF(AG1880="","",Assumptions!$B$4-AG1880)</f>
        <v/>
      </c>
      <c r="AI1880" s="5" t="s">
        <v>80</v>
      </c>
      <c r="AJ1880" s="8"/>
      <c r="AK1880" s="8">
        <v>1</v>
      </c>
      <c r="AL1880" s="8">
        <v>674</v>
      </c>
      <c r="AM1880" s="8">
        <v>2</v>
      </c>
      <c r="AN1880" s="5" t="s">
        <v>63</v>
      </c>
      <c r="AO1880" s="10">
        <v>73.5</v>
      </c>
      <c r="AP1880" s="8">
        <v>44</v>
      </c>
      <c r="AQ1880" s="9">
        <v>46289</v>
      </c>
      <c r="AR1880" s="5" t="s">
        <v>70</v>
      </c>
      <c r="AS1880" s="5" t="s">
        <v>181</v>
      </c>
    </row>
    <row r="1881" spans="1:45" x14ac:dyDescent="0.35">
      <c r="A1881" s="5" t="s">
        <v>7553</v>
      </c>
      <c r="B1881" s="5" t="s">
        <v>7554</v>
      </c>
      <c r="C1881" s="6" t="s">
        <v>7555</v>
      </c>
      <c r="D1881" s="7">
        <v>198900</v>
      </c>
      <c r="E1881" s="5" t="s">
        <v>48</v>
      </c>
      <c r="F1881" s="5" t="s">
        <v>49</v>
      </c>
      <c r="G1881" s="8"/>
      <c r="H1881" s="8" t="str">
        <f>IF(F1881="Bullet",MIN(G1881,Assumptions!$B$6),"")</f>
        <v/>
      </c>
      <c r="I1881" s="8">
        <v>2</v>
      </c>
      <c r="J1881" s="8">
        <f>IF(F1881="Monthly interest",MAX(0,Assumptions!$B$5-I1881),"")</f>
        <v>1</v>
      </c>
      <c r="K1881" s="7">
        <f t="shared" si="87"/>
        <v>6630</v>
      </c>
      <c r="L1881" s="9">
        <v>46266</v>
      </c>
      <c r="M1881" s="5" t="s">
        <v>69</v>
      </c>
      <c r="N1881" s="5" t="s">
        <v>70</v>
      </c>
      <c r="O1881" s="5" t="s">
        <v>295</v>
      </c>
      <c r="P1881" s="5" t="s">
        <v>72</v>
      </c>
      <c r="Q1881" s="5" t="s">
        <v>73</v>
      </c>
      <c r="R1881" s="5" t="s">
        <v>74</v>
      </c>
      <c r="S1881" s="5" t="s">
        <v>253</v>
      </c>
      <c r="T1881" s="5" t="s">
        <v>57</v>
      </c>
      <c r="U1881" s="5" t="s">
        <v>86</v>
      </c>
      <c r="V1881" s="5" t="s">
        <v>215</v>
      </c>
      <c r="W1881" s="5" t="s">
        <v>232</v>
      </c>
      <c r="X1881" s="5" t="s">
        <v>3242</v>
      </c>
      <c r="Y1881" s="5" t="s">
        <v>7556</v>
      </c>
      <c r="Z1881" s="9">
        <v>46143</v>
      </c>
      <c r="AA1881" s="8">
        <v>24</v>
      </c>
      <c r="AB1881" s="9">
        <f t="shared" si="88"/>
        <v>46874</v>
      </c>
      <c r="AC1881" s="10">
        <v>20</v>
      </c>
      <c r="AD1881" s="7">
        <f t="shared" si="89"/>
        <v>3315</v>
      </c>
      <c r="AE1881" s="7">
        <f>IF(F1881="Bullet",H1881*AD1881,MIN(MAX(I1881,1),Assumptions!$B$6)*AD1881)</f>
        <v>6630</v>
      </c>
      <c r="AF1881" s="8">
        <f>IF(F1881="Bullet",MAX(0,Assumptions!$B$4-AB1881),MAX(0,Assumptions!$B$4-L1881))</f>
        <v>32</v>
      </c>
      <c r="AG1881" s="9">
        <v>46235</v>
      </c>
      <c r="AH1881" s="8">
        <f>IF(AG1881="","",Assumptions!$B$4-AG1881)</f>
        <v>63</v>
      </c>
      <c r="AI1881" s="5" t="s">
        <v>63</v>
      </c>
      <c r="AJ1881" s="8">
        <v>2</v>
      </c>
      <c r="AK1881" s="8">
        <v>0</v>
      </c>
      <c r="AL1881" s="8">
        <v>858</v>
      </c>
      <c r="AM1881" s="8">
        <v>2</v>
      </c>
      <c r="AN1881" s="5" t="s">
        <v>63</v>
      </c>
      <c r="AO1881" s="10">
        <v>67.5</v>
      </c>
      <c r="AP1881" s="8">
        <v>33</v>
      </c>
      <c r="AQ1881" s="9">
        <v>46281</v>
      </c>
      <c r="AR1881" s="5" t="s">
        <v>53</v>
      </c>
      <c r="AS1881" s="5" t="s">
        <v>91</v>
      </c>
    </row>
    <row r="1882" spans="1:45" x14ac:dyDescent="0.35">
      <c r="A1882" s="5" t="s">
        <v>7557</v>
      </c>
      <c r="B1882" s="5" t="s">
        <v>3129</v>
      </c>
      <c r="C1882" s="6" t="s">
        <v>7558</v>
      </c>
      <c r="D1882" s="7">
        <v>401900</v>
      </c>
      <c r="E1882" s="5" t="s">
        <v>48</v>
      </c>
      <c r="F1882" s="5" t="s">
        <v>68</v>
      </c>
      <c r="G1882" s="8">
        <v>2</v>
      </c>
      <c r="H1882" s="8">
        <f>IF(F1882="Bullet",MIN(G1882,Assumptions!$B$6),"")</f>
        <v>2</v>
      </c>
      <c r="I1882" s="8"/>
      <c r="J1882" s="8" t="str">
        <f>IF(F1882="Monthly interest",MAX(0,Assumptions!$B$5-I1882),"")</f>
        <v/>
      </c>
      <c r="K1882" s="7">
        <f t="shared" si="87"/>
        <v>10048</v>
      </c>
      <c r="L1882" s="9">
        <v>46224</v>
      </c>
      <c r="M1882" s="5" t="s">
        <v>50</v>
      </c>
      <c r="N1882" s="5" t="s">
        <v>51</v>
      </c>
      <c r="O1882" s="5" t="s">
        <v>71</v>
      </c>
      <c r="P1882" s="5" t="s">
        <v>53</v>
      </c>
      <c r="Q1882" s="5" t="s">
        <v>73</v>
      </c>
      <c r="R1882" s="5" t="s">
        <v>74</v>
      </c>
      <c r="S1882" s="5" t="s">
        <v>185</v>
      </c>
      <c r="T1882" s="5" t="s">
        <v>57</v>
      </c>
      <c r="U1882" s="5" t="s">
        <v>104</v>
      </c>
      <c r="V1882" s="5" t="s">
        <v>186</v>
      </c>
      <c r="W1882" s="5" t="s">
        <v>187</v>
      </c>
      <c r="X1882" s="5" t="s">
        <v>2963</v>
      </c>
      <c r="Y1882" s="5" t="s">
        <v>7559</v>
      </c>
      <c r="Z1882" s="9">
        <v>46224</v>
      </c>
      <c r="AA1882" s="8">
        <v>6</v>
      </c>
      <c r="AB1882" s="9">
        <f t="shared" si="88"/>
        <v>46408</v>
      </c>
      <c r="AC1882" s="10">
        <v>15</v>
      </c>
      <c r="AD1882" s="7">
        <f t="shared" si="89"/>
        <v>5024</v>
      </c>
      <c r="AE1882" s="7">
        <f>IF(F1882="Bullet",H1882*AD1882,MIN(MAX(I1882,1),Assumptions!$B$6)*AD1882)</f>
        <v>10048</v>
      </c>
      <c r="AF1882" s="8">
        <f>IF(F1882="Bullet",MAX(0,Assumptions!$B$4-AB1882),MAX(0,Assumptions!$B$4-L1882))</f>
        <v>0</v>
      </c>
      <c r="AG1882" s="9"/>
      <c r="AH1882" s="8" t="str">
        <f>IF(AG1882="","",Assumptions!$B$4-AG1882)</f>
        <v/>
      </c>
      <c r="AI1882" s="5" t="s">
        <v>80</v>
      </c>
      <c r="AJ1882" s="8"/>
      <c r="AK1882" s="8">
        <v>0</v>
      </c>
      <c r="AL1882" s="8">
        <v>814</v>
      </c>
      <c r="AM1882" s="8">
        <v>0</v>
      </c>
      <c r="AN1882" s="5" t="s">
        <v>63</v>
      </c>
      <c r="AO1882" s="10">
        <v>64</v>
      </c>
      <c r="AP1882" s="8">
        <v>2</v>
      </c>
      <c r="AQ1882" s="9"/>
      <c r="AR1882" s="5"/>
      <c r="AS1882" s="5" t="s">
        <v>159</v>
      </c>
    </row>
    <row r="1883" spans="1:45" x14ac:dyDescent="0.35">
      <c r="A1883" s="5" t="s">
        <v>7560</v>
      </c>
      <c r="B1883" s="5" t="s">
        <v>7405</v>
      </c>
      <c r="C1883" s="6" t="s">
        <v>7561</v>
      </c>
      <c r="D1883" s="7">
        <v>91500</v>
      </c>
      <c r="E1883" s="5" t="s">
        <v>48</v>
      </c>
      <c r="F1883" s="5" t="s">
        <v>49</v>
      </c>
      <c r="G1883" s="8"/>
      <c r="H1883" s="8" t="str">
        <f>IF(F1883="Bullet",MIN(G1883,Assumptions!$B$6),"")</f>
        <v/>
      </c>
      <c r="I1883" s="8">
        <v>1</v>
      </c>
      <c r="J1883" s="8">
        <f>IF(F1883="Monthly interest",MAX(0,Assumptions!$B$5-I1883),"")</f>
        <v>2</v>
      </c>
      <c r="K1883" s="7">
        <f t="shared" si="87"/>
        <v>1373</v>
      </c>
      <c r="L1883" s="9">
        <v>46270</v>
      </c>
      <c r="M1883" s="5" t="s">
        <v>50</v>
      </c>
      <c r="N1883" s="5" t="s">
        <v>51</v>
      </c>
      <c r="O1883" s="5" t="s">
        <v>52</v>
      </c>
      <c r="P1883" s="5" t="s">
        <v>53</v>
      </c>
      <c r="Q1883" s="5" t="s">
        <v>54</v>
      </c>
      <c r="R1883" s="5" t="s">
        <v>55</v>
      </c>
      <c r="S1883" s="5" t="s">
        <v>75</v>
      </c>
      <c r="T1883" s="5" t="s">
        <v>57</v>
      </c>
      <c r="U1883" s="5" t="s">
        <v>58</v>
      </c>
      <c r="V1883" s="5" t="s">
        <v>76</v>
      </c>
      <c r="W1883" s="5" t="s">
        <v>382</v>
      </c>
      <c r="X1883" s="5" t="s">
        <v>4446</v>
      </c>
      <c r="Y1883" s="5" t="s">
        <v>7562</v>
      </c>
      <c r="Z1883" s="9">
        <v>46027</v>
      </c>
      <c r="AA1883" s="8">
        <v>24</v>
      </c>
      <c r="AB1883" s="9">
        <f t="shared" si="88"/>
        <v>46757</v>
      </c>
      <c r="AC1883" s="10">
        <v>18</v>
      </c>
      <c r="AD1883" s="7">
        <f t="shared" si="89"/>
        <v>1373</v>
      </c>
      <c r="AE1883" s="7">
        <f>IF(F1883="Bullet",H1883*AD1883,MIN(MAX(I1883,1),Assumptions!$B$6)*AD1883)</f>
        <v>1373</v>
      </c>
      <c r="AF1883" s="8">
        <f>IF(F1883="Bullet",MAX(0,Assumptions!$B$4-AB1883),MAX(0,Assumptions!$B$4-L1883))</f>
        <v>28</v>
      </c>
      <c r="AG1883" s="9">
        <v>46241</v>
      </c>
      <c r="AH1883" s="8">
        <f>IF(AG1883="","",Assumptions!$B$4-AG1883)</f>
        <v>57</v>
      </c>
      <c r="AI1883" s="5" t="s">
        <v>57</v>
      </c>
      <c r="AJ1883" s="8">
        <v>1</v>
      </c>
      <c r="AK1883" s="8">
        <v>0</v>
      </c>
      <c r="AL1883" s="8">
        <v>770</v>
      </c>
      <c r="AM1883" s="8">
        <v>1</v>
      </c>
      <c r="AN1883" s="5" t="s">
        <v>63</v>
      </c>
      <c r="AO1883" s="10">
        <v>54.6</v>
      </c>
      <c r="AP1883" s="8">
        <v>16</v>
      </c>
      <c r="AQ1883" s="9">
        <v>46288</v>
      </c>
      <c r="AR1883" s="5" t="s">
        <v>51</v>
      </c>
      <c r="AS1883" s="5" t="s">
        <v>190</v>
      </c>
    </row>
    <row r="1884" spans="1:45" x14ac:dyDescent="0.35">
      <c r="A1884" s="5" t="s">
        <v>7563</v>
      </c>
      <c r="B1884" s="5" t="s">
        <v>7564</v>
      </c>
      <c r="C1884" s="6" t="s">
        <v>7565</v>
      </c>
      <c r="D1884" s="7">
        <v>76700</v>
      </c>
      <c r="E1884" s="5" t="s">
        <v>48</v>
      </c>
      <c r="F1884" s="5" t="s">
        <v>68</v>
      </c>
      <c r="G1884" s="8">
        <v>6</v>
      </c>
      <c r="H1884" s="8">
        <f>IF(F1884="Bullet",MIN(G1884,Assumptions!$B$6),"")</f>
        <v>2</v>
      </c>
      <c r="I1884" s="8"/>
      <c r="J1884" s="8" t="str">
        <f>IF(F1884="Monthly interest",MAX(0,Assumptions!$B$5-I1884),"")</f>
        <v/>
      </c>
      <c r="K1884" s="7">
        <f t="shared" si="87"/>
        <v>6138</v>
      </c>
      <c r="L1884" s="9">
        <v>46103</v>
      </c>
      <c r="M1884" s="5" t="s">
        <v>116</v>
      </c>
      <c r="N1884" s="5" t="s">
        <v>117</v>
      </c>
      <c r="O1884" s="5" t="s">
        <v>461</v>
      </c>
      <c r="P1884" s="5" t="s">
        <v>72</v>
      </c>
      <c r="Q1884" s="5" t="s">
        <v>169</v>
      </c>
      <c r="R1884" s="5" t="s">
        <v>170</v>
      </c>
      <c r="S1884" s="5" t="s">
        <v>214</v>
      </c>
      <c r="T1884" s="5" t="s">
        <v>63</v>
      </c>
      <c r="U1884" s="5" t="s">
        <v>86</v>
      </c>
      <c r="V1884" s="5" t="s">
        <v>215</v>
      </c>
      <c r="W1884" s="5" t="s">
        <v>232</v>
      </c>
      <c r="X1884" s="5" t="s">
        <v>7566</v>
      </c>
      <c r="Y1884" s="5" t="s">
        <v>7567</v>
      </c>
      <c r="Z1884" s="9">
        <v>46103</v>
      </c>
      <c r="AA1884" s="8">
        <v>6</v>
      </c>
      <c r="AB1884" s="9">
        <f t="shared" si="88"/>
        <v>46287</v>
      </c>
      <c r="AC1884" s="10">
        <v>16</v>
      </c>
      <c r="AD1884" s="7">
        <f t="shared" si="89"/>
        <v>1023</v>
      </c>
      <c r="AE1884" s="7">
        <f>IF(F1884="Bullet",H1884*AD1884,MIN(MAX(I1884,1),Assumptions!$B$6)*AD1884)</f>
        <v>2046</v>
      </c>
      <c r="AF1884" s="8">
        <f>IF(F1884="Bullet",MAX(0,Assumptions!$B$4-AB1884),MAX(0,Assumptions!$B$4-L1884))</f>
        <v>11</v>
      </c>
      <c r="AG1884" s="9"/>
      <c r="AH1884" s="8" t="str">
        <f>IF(AG1884="","",Assumptions!$B$4-AG1884)</f>
        <v/>
      </c>
      <c r="AI1884" s="5" t="s">
        <v>80</v>
      </c>
      <c r="AJ1884" s="8"/>
      <c r="AK1884" s="8">
        <v>0</v>
      </c>
      <c r="AL1884" s="8" t="s">
        <v>80</v>
      </c>
      <c r="AM1884" s="8">
        <v>1</v>
      </c>
      <c r="AN1884" s="5" t="s">
        <v>63</v>
      </c>
      <c r="AO1884" s="10">
        <v>74.7</v>
      </c>
      <c r="AP1884" s="8">
        <v>53</v>
      </c>
      <c r="AQ1884" s="9">
        <v>46283</v>
      </c>
      <c r="AR1884" s="5" t="s">
        <v>53</v>
      </c>
      <c r="AS1884" s="5" t="s">
        <v>64</v>
      </c>
    </row>
    <row r="1885" spans="1:45" x14ac:dyDescent="0.35">
      <c r="A1885" s="5" t="s">
        <v>7568</v>
      </c>
      <c r="B1885" s="5" t="s">
        <v>7569</v>
      </c>
      <c r="C1885" s="6" t="s">
        <v>7570</v>
      </c>
      <c r="D1885" s="7">
        <v>104400</v>
      </c>
      <c r="E1885" s="5" t="s">
        <v>48</v>
      </c>
      <c r="F1885" s="5" t="s">
        <v>49</v>
      </c>
      <c r="G1885" s="8"/>
      <c r="H1885" s="8" t="str">
        <f>IF(F1885="Bullet",MIN(G1885,Assumptions!$B$6),"")</f>
        <v/>
      </c>
      <c r="I1885" s="8">
        <v>2</v>
      </c>
      <c r="J1885" s="8">
        <f>IF(F1885="Monthly interest",MAX(0,Assumptions!$B$5-I1885),"")</f>
        <v>1</v>
      </c>
      <c r="K1885" s="7">
        <f t="shared" si="87"/>
        <v>2784</v>
      </c>
      <c r="L1885" s="9">
        <v>46243</v>
      </c>
      <c r="M1885" s="5" t="s">
        <v>116</v>
      </c>
      <c r="N1885" s="5" t="s">
        <v>117</v>
      </c>
      <c r="O1885" s="5" t="s">
        <v>118</v>
      </c>
      <c r="P1885" s="5" t="s">
        <v>72</v>
      </c>
      <c r="Q1885" s="5" t="s">
        <v>119</v>
      </c>
      <c r="R1885" s="5" t="s">
        <v>120</v>
      </c>
      <c r="S1885" s="5" t="s">
        <v>75</v>
      </c>
      <c r="T1885" s="5" t="s">
        <v>57</v>
      </c>
      <c r="U1885" s="5" t="s">
        <v>58</v>
      </c>
      <c r="V1885" s="5" t="s">
        <v>76</v>
      </c>
      <c r="W1885" s="5" t="s">
        <v>444</v>
      </c>
      <c r="X1885" s="5" t="s">
        <v>3591</v>
      </c>
      <c r="Y1885" s="5" t="s">
        <v>7571</v>
      </c>
      <c r="Z1885" s="9">
        <v>46151</v>
      </c>
      <c r="AA1885" s="8">
        <v>18</v>
      </c>
      <c r="AB1885" s="9">
        <f t="shared" si="88"/>
        <v>46700</v>
      </c>
      <c r="AC1885" s="10">
        <v>16</v>
      </c>
      <c r="AD1885" s="7">
        <f t="shared" si="89"/>
        <v>1392</v>
      </c>
      <c r="AE1885" s="7">
        <f>IF(F1885="Bullet",H1885*AD1885,MIN(MAX(I1885,1),Assumptions!$B$6)*AD1885)</f>
        <v>2784</v>
      </c>
      <c r="AF1885" s="8">
        <f>IF(F1885="Bullet",MAX(0,Assumptions!$B$4-AB1885),MAX(0,Assumptions!$B$4-L1885))</f>
        <v>55</v>
      </c>
      <c r="AG1885" s="9">
        <v>46213</v>
      </c>
      <c r="AH1885" s="8">
        <f>IF(AG1885="","",Assumptions!$B$4-AG1885)</f>
        <v>85</v>
      </c>
      <c r="AI1885" s="5" t="s">
        <v>57</v>
      </c>
      <c r="AJ1885" s="8">
        <v>2</v>
      </c>
      <c r="AK1885" s="8">
        <v>0</v>
      </c>
      <c r="AL1885" s="8">
        <v>676</v>
      </c>
      <c r="AM1885" s="8">
        <v>3</v>
      </c>
      <c r="AN1885" s="5" t="s">
        <v>63</v>
      </c>
      <c r="AO1885" s="10">
        <v>68.900000000000006</v>
      </c>
      <c r="AP1885" s="8">
        <v>50</v>
      </c>
      <c r="AQ1885" s="9">
        <v>46277</v>
      </c>
      <c r="AR1885" s="5" t="s">
        <v>72</v>
      </c>
      <c r="AS1885" s="5" t="s">
        <v>91</v>
      </c>
    </row>
    <row r="1886" spans="1:45" x14ac:dyDescent="0.35">
      <c r="A1886" s="5" t="s">
        <v>7572</v>
      </c>
      <c r="B1886" s="5" t="s">
        <v>1124</v>
      </c>
      <c r="C1886" s="6" t="s">
        <v>7573</v>
      </c>
      <c r="D1886" s="7">
        <v>90000</v>
      </c>
      <c r="E1886" s="5" t="s">
        <v>48</v>
      </c>
      <c r="F1886" s="5" t="s">
        <v>68</v>
      </c>
      <c r="G1886" s="8">
        <v>6</v>
      </c>
      <c r="H1886" s="8">
        <f>IF(F1886="Bullet",MIN(G1886,Assumptions!$B$6),"")</f>
        <v>2</v>
      </c>
      <c r="I1886" s="8"/>
      <c r="J1886" s="8" t="str">
        <f>IF(F1886="Monthly interest",MAX(0,Assumptions!$B$5-I1886),"")</f>
        <v/>
      </c>
      <c r="K1886" s="7">
        <f t="shared" si="87"/>
        <v>5400</v>
      </c>
      <c r="L1886" s="9">
        <v>46100</v>
      </c>
      <c r="M1886" s="5" t="s">
        <v>116</v>
      </c>
      <c r="N1886" s="5" t="s">
        <v>117</v>
      </c>
      <c r="O1886" s="5" t="s">
        <v>461</v>
      </c>
      <c r="P1886" s="5" t="s">
        <v>72</v>
      </c>
      <c r="Q1886" s="5" t="s">
        <v>169</v>
      </c>
      <c r="R1886" s="5" t="s">
        <v>170</v>
      </c>
      <c r="S1886" s="5" t="s">
        <v>185</v>
      </c>
      <c r="T1886" s="5" t="s">
        <v>57</v>
      </c>
      <c r="U1886" s="5" t="s">
        <v>58</v>
      </c>
      <c r="V1886" s="5" t="s">
        <v>200</v>
      </c>
      <c r="W1886" s="5" t="s">
        <v>433</v>
      </c>
      <c r="X1886" s="5" t="s">
        <v>978</v>
      </c>
      <c r="Y1886" s="5" t="s">
        <v>7574</v>
      </c>
      <c r="Z1886" s="9">
        <v>46100</v>
      </c>
      <c r="AA1886" s="8">
        <v>6</v>
      </c>
      <c r="AB1886" s="9">
        <f t="shared" si="88"/>
        <v>46284</v>
      </c>
      <c r="AC1886" s="10">
        <v>12</v>
      </c>
      <c r="AD1886" s="7">
        <f t="shared" si="89"/>
        <v>900</v>
      </c>
      <c r="AE1886" s="7">
        <f>IF(F1886="Bullet",H1886*AD1886,MIN(MAX(I1886,1),Assumptions!$B$6)*AD1886)</f>
        <v>1800</v>
      </c>
      <c r="AF1886" s="8">
        <f>IF(F1886="Bullet",MAX(0,Assumptions!$B$4-AB1886),MAX(0,Assumptions!$B$4-L1886))</f>
        <v>14</v>
      </c>
      <c r="AG1886" s="9"/>
      <c r="AH1886" s="8" t="str">
        <f>IF(AG1886="","",Assumptions!$B$4-AG1886)</f>
        <v/>
      </c>
      <c r="AI1886" s="5" t="s">
        <v>80</v>
      </c>
      <c r="AJ1886" s="8"/>
      <c r="AK1886" s="8">
        <v>1</v>
      </c>
      <c r="AL1886" s="8">
        <v>672</v>
      </c>
      <c r="AM1886" s="8">
        <v>1</v>
      </c>
      <c r="AN1886" s="5" t="s">
        <v>63</v>
      </c>
      <c r="AO1886" s="10">
        <v>77.099999999999994</v>
      </c>
      <c r="AP1886" s="8">
        <v>71</v>
      </c>
      <c r="AQ1886" s="9">
        <v>46297</v>
      </c>
      <c r="AR1886" s="5" t="s">
        <v>53</v>
      </c>
      <c r="AS1886" s="5" t="s">
        <v>91</v>
      </c>
    </row>
    <row r="1887" spans="1:45" x14ac:dyDescent="0.35">
      <c r="A1887" s="5" t="s">
        <v>7575</v>
      </c>
      <c r="B1887" s="5" t="s">
        <v>5196</v>
      </c>
      <c r="C1887" s="6" t="s">
        <v>7576</v>
      </c>
      <c r="D1887" s="7">
        <v>211100</v>
      </c>
      <c r="E1887" s="5" t="s">
        <v>48</v>
      </c>
      <c r="F1887" s="5" t="s">
        <v>49</v>
      </c>
      <c r="G1887" s="8"/>
      <c r="H1887" s="8" t="str">
        <f>IF(F1887="Bullet",MIN(G1887,Assumptions!$B$6),"")</f>
        <v/>
      </c>
      <c r="I1887" s="8">
        <v>2</v>
      </c>
      <c r="J1887" s="8">
        <f>IF(F1887="Monthly interest",MAX(0,Assumptions!$B$5-I1887),"")</f>
        <v>1</v>
      </c>
      <c r="K1887" s="7">
        <f t="shared" si="87"/>
        <v>8444</v>
      </c>
      <c r="L1887" s="9">
        <v>46240</v>
      </c>
      <c r="M1887" s="5" t="s">
        <v>116</v>
      </c>
      <c r="N1887" s="5" t="s">
        <v>117</v>
      </c>
      <c r="O1887" s="5" t="s">
        <v>118</v>
      </c>
      <c r="P1887" s="5" t="s">
        <v>72</v>
      </c>
      <c r="Q1887" s="5" t="s">
        <v>119</v>
      </c>
      <c r="R1887" s="5" t="s">
        <v>120</v>
      </c>
      <c r="S1887" s="5" t="s">
        <v>214</v>
      </c>
      <c r="T1887" s="5" t="s">
        <v>57</v>
      </c>
      <c r="U1887" s="5" t="s">
        <v>86</v>
      </c>
      <c r="V1887" s="5" t="s">
        <v>215</v>
      </c>
      <c r="W1887" s="5" t="s">
        <v>284</v>
      </c>
      <c r="X1887" s="5" t="s">
        <v>398</v>
      </c>
      <c r="Y1887" s="5" t="s">
        <v>7577</v>
      </c>
      <c r="Z1887" s="9">
        <v>46118</v>
      </c>
      <c r="AA1887" s="8">
        <v>12</v>
      </c>
      <c r="AB1887" s="9">
        <f t="shared" si="88"/>
        <v>46483</v>
      </c>
      <c r="AC1887" s="10">
        <v>24</v>
      </c>
      <c r="AD1887" s="7">
        <f t="shared" si="89"/>
        <v>4222</v>
      </c>
      <c r="AE1887" s="7">
        <f>IF(F1887="Bullet",H1887*AD1887,MIN(MAX(I1887,1),Assumptions!$B$6)*AD1887)</f>
        <v>8444</v>
      </c>
      <c r="AF1887" s="8">
        <f>IF(F1887="Bullet",MAX(0,Assumptions!$B$4-AB1887),MAX(0,Assumptions!$B$4-L1887))</f>
        <v>58</v>
      </c>
      <c r="AG1887" s="9">
        <v>46210</v>
      </c>
      <c r="AH1887" s="8">
        <f>IF(AG1887="","",Assumptions!$B$4-AG1887)</f>
        <v>88</v>
      </c>
      <c r="AI1887" s="5" t="s">
        <v>63</v>
      </c>
      <c r="AJ1887" s="8">
        <v>2</v>
      </c>
      <c r="AK1887" s="8">
        <v>1</v>
      </c>
      <c r="AL1887" s="8">
        <v>689</v>
      </c>
      <c r="AM1887" s="8">
        <v>1</v>
      </c>
      <c r="AN1887" s="5" t="s">
        <v>63</v>
      </c>
      <c r="AO1887" s="10">
        <v>75.2</v>
      </c>
      <c r="AP1887" s="8">
        <v>55</v>
      </c>
      <c r="AQ1887" s="9">
        <v>46293</v>
      </c>
      <c r="AR1887" s="5" t="s">
        <v>53</v>
      </c>
      <c r="AS1887" s="5" t="s">
        <v>91</v>
      </c>
    </row>
    <row r="1888" spans="1:45" x14ac:dyDescent="0.35">
      <c r="A1888" s="5" t="s">
        <v>7578</v>
      </c>
      <c r="B1888" s="5" t="s">
        <v>7579</v>
      </c>
      <c r="C1888" s="6" t="s">
        <v>7580</v>
      </c>
      <c r="D1888" s="7">
        <v>47200</v>
      </c>
      <c r="E1888" s="5" t="s">
        <v>48</v>
      </c>
      <c r="F1888" s="5" t="s">
        <v>68</v>
      </c>
      <c r="G1888" s="8">
        <v>2</v>
      </c>
      <c r="H1888" s="8">
        <f>IF(F1888="Bullet",MIN(G1888,Assumptions!$B$6),"")</f>
        <v>2</v>
      </c>
      <c r="I1888" s="8"/>
      <c r="J1888" s="8" t="str">
        <f>IF(F1888="Monthly interest",MAX(0,Assumptions!$B$5-I1888),"")</f>
        <v/>
      </c>
      <c r="K1888" s="7">
        <f t="shared" si="87"/>
        <v>944</v>
      </c>
      <c r="L1888" s="9">
        <v>46217</v>
      </c>
      <c r="M1888" s="5" t="s">
        <v>50</v>
      </c>
      <c r="N1888" s="5" t="s">
        <v>53</v>
      </c>
      <c r="O1888" s="5" t="s">
        <v>152</v>
      </c>
      <c r="P1888" s="5" t="s">
        <v>153</v>
      </c>
      <c r="Q1888" s="5" t="s">
        <v>154</v>
      </c>
      <c r="R1888" s="5" t="s">
        <v>155</v>
      </c>
      <c r="S1888" s="5" t="s">
        <v>185</v>
      </c>
      <c r="T1888" s="5" t="s">
        <v>57</v>
      </c>
      <c r="U1888" s="5" t="s">
        <v>86</v>
      </c>
      <c r="V1888" s="5" t="s">
        <v>200</v>
      </c>
      <c r="W1888" s="5" t="s">
        <v>433</v>
      </c>
      <c r="X1888" s="5" t="s">
        <v>434</v>
      </c>
      <c r="Y1888" s="5" t="s">
        <v>7581</v>
      </c>
      <c r="Z1888" s="9">
        <v>46217</v>
      </c>
      <c r="AA1888" s="8">
        <v>6</v>
      </c>
      <c r="AB1888" s="9">
        <f t="shared" si="88"/>
        <v>46401</v>
      </c>
      <c r="AC1888" s="10">
        <v>12</v>
      </c>
      <c r="AD1888" s="7">
        <f t="shared" si="89"/>
        <v>472</v>
      </c>
      <c r="AE1888" s="7">
        <f>IF(F1888="Bullet",H1888*AD1888,MIN(MAX(I1888,1),Assumptions!$B$6)*AD1888)</f>
        <v>944</v>
      </c>
      <c r="AF1888" s="8">
        <f>IF(F1888="Bullet",MAX(0,Assumptions!$B$4-AB1888),MAX(0,Assumptions!$B$4-L1888))</f>
        <v>0</v>
      </c>
      <c r="AG1888" s="9"/>
      <c r="AH1888" s="8" t="str">
        <f>IF(AG1888="","",Assumptions!$B$4-AG1888)</f>
        <v/>
      </c>
      <c r="AI1888" s="5" t="s">
        <v>80</v>
      </c>
      <c r="AJ1888" s="8"/>
      <c r="AK1888" s="8">
        <v>1</v>
      </c>
      <c r="AL1888" s="8">
        <v>695</v>
      </c>
      <c r="AM1888" s="8">
        <v>0</v>
      </c>
      <c r="AN1888" s="5" t="s">
        <v>63</v>
      </c>
      <c r="AO1888" s="10">
        <v>72.7</v>
      </c>
      <c r="AP1888" s="8">
        <v>23</v>
      </c>
      <c r="AQ1888" s="9">
        <v>46276</v>
      </c>
      <c r="AR1888" s="5" t="s">
        <v>72</v>
      </c>
      <c r="AS1888" s="5" t="s">
        <v>64</v>
      </c>
    </row>
    <row r="1889" spans="1:45" x14ac:dyDescent="0.35">
      <c r="A1889" s="5" t="s">
        <v>7582</v>
      </c>
      <c r="B1889" s="5" t="s">
        <v>2800</v>
      </c>
      <c r="C1889" s="6" t="s">
        <v>7583</v>
      </c>
      <c r="D1889" s="7">
        <v>161700</v>
      </c>
      <c r="E1889" s="5" t="s">
        <v>48</v>
      </c>
      <c r="F1889" s="5" t="s">
        <v>68</v>
      </c>
      <c r="G1889" s="8">
        <v>2</v>
      </c>
      <c r="H1889" s="8">
        <f>IF(F1889="Bullet",MIN(G1889,Assumptions!$B$6),"")</f>
        <v>2</v>
      </c>
      <c r="I1889" s="8"/>
      <c r="J1889" s="8" t="str">
        <f>IF(F1889="Monthly interest",MAX(0,Assumptions!$B$5-I1889),"")</f>
        <v/>
      </c>
      <c r="K1889" s="7">
        <f t="shared" si="87"/>
        <v>3234</v>
      </c>
      <c r="L1889" s="9">
        <v>46228</v>
      </c>
      <c r="M1889" s="5" t="s">
        <v>50</v>
      </c>
      <c r="N1889" s="5" t="s">
        <v>51</v>
      </c>
      <c r="O1889" s="5" t="s">
        <v>71</v>
      </c>
      <c r="P1889" s="5" t="s">
        <v>53</v>
      </c>
      <c r="Q1889" s="5" t="s">
        <v>73</v>
      </c>
      <c r="R1889" s="5" t="s">
        <v>74</v>
      </c>
      <c r="S1889" s="5" t="s">
        <v>214</v>
      </c>
      <c r="T1889" s="5" t="s">
        <v>57</v>
      </c>
      <c r="U1889" s="5" t="s">
        <v>58</v>
      </c>
      <c r="V1889" s="5" t="s">
        <v>215</v>
      </c>
      <c r="W1889" s="5" t="s">
        <v>600</v>
      </c>
      <c r="X1889" s="5" t="s">
        <v>2327</v>
      </c>
      <c r="Y1889" s="5" t="s">
        <v>7584</v>
      </c>
      <c r="Z1889" s="9">
        <v>46228</v>
      </c>
      <c r="AA1889" s="8">
        <v>3</v>
      </c>
      <c r="AB1889" s="9">
        <f t="shared" si="88"/>
        <v>46320</v>
      </c>
      <c r="AC1889" s="10">
        <v>12</v>
      </c>
      <c r="AD1889" s="7">
        <f t="shared" si="89"/>
        <v>1617</v>
      </c>
      <c r="AE1889" s="7">
        <f>IF(F1889="Bullet",H1889*AD1889,MIN(MAX(I1889,1),Assumptions!$B$6)*AD1889)</f>
        <v>3234</v>
      </c>
      <c r="AF1889" s="8">
        <f>IF(F1889="Bullet",MAX(0,Assumptions!$B$4-AB1889),MAX(0,Assumptions!$B$4-L1889))</f>
        <v>0</v>
      </c>
      <c r="AG1889" s="9"/>
      <c r="AH1889" s="8" t="str">
        <f>IF(AG1889="","",Assumptions!$B$4-AG1889)</f>
        <v/>
      </c>
      <c r="AI1889" s="5" t="s">
        <v>80</v>
      </c>
      <c r="AJ1889" s="8"/>
      <c r="AK1889" s="8">
        <v>0</v>
      </c>
      <c r="AL1889" s="8">
        <v>835</v>
      </c>
      <c r="AM1889" s="8">
        <v>3</v>
      </c>
      <c r="AN1889" s="5" t="s">
        <v>63</v>
      </c>
      <c r="AO1889" s="10">
        <v>76.400000000000006</v>
      </c>
      <c r="AP1889" s="8">
        <v>22</v>
      </c>
      <c r="AQ1889" s="9">
        <v>46286</v>
      </c>
      <c r="AR1889" s="5" t="s">
        <v>53</v>
      </c>
      <c r="AS1889" s="5" t="s">
        <v>81</v>
      </c>
    </row>
    <row r="1890" spans="1:45" x14ac:dyDescent="0.35">
      <c r="A1890" s="5" t="s">
        <v>7585</v>
      </c>
      <c r="B1890" s="5" t="s">
        <v>7586</v>
      </c>
      <c r="C1890" s="6" t="s">
        <v>7587</v>
      </c>
      <c r="D1890" s="7">
        <v>154600</v>
      </c>
      <c r="E1890" s="5" t="s">
        <v>48</v>
      </c>
      <c r="F1890" s="5" t="s">
        <v>49</v>
      </c>
      <c r="G1890" s="8"/>
      <c r="H1890" s="8" t="str">
        <f>IF(F1890="Bullet",MIN(G1890,Assumptions!$B$6),"")</f>
        <v/>
      </c>
      <c r="I1890" s="8">
        <v>1</v>
      </c>
      <c r="J1890" s="8">
        <f>IF(F1890="Monthly interest",MAX(0,Assumptions!$B$5-I1890),"")</f>
        <v>2</v>
      </c>
      <c r="K1890" s="7">
        <f t="shared" si="87"/>
        <v>2061</v>
      </c>
      <c r="L1890" s="9">
        <v>46291</v>
      </c>
      <c r="M1890" s="5" t="s">
        <v>50</v>
      </c>
      <c r="N1890" s="5" t="s">
        <v>53</v>
      </c>
      <c r="O1890" s="5" t="s">
        <v>103</v>
      </c>
      <c r="P1890" s="5" t="s">
        <v>51</v>
      </c>
      <c r="Q1890" s="5" t="s">
        <v>54</v>
      </c>
      <c r="R1890" s="5" t="s">
        <v>55</v>
      </c>
      <c r="S1890" s="5" t="s">
        <v>75</v>
      </c>
      <c r="T1890" s="5" t="s">
        <v>57</v>
      </c>
      <c r="U1890" s="5" t="s">
        <v>86</v>
      </c>
      <c r="V1890" s="5" t="s">
        <v>76</v>
      </c>
      <c r="W1890" s="5" t="s">
        <v>382</v>
      </c>
      <c r="X1890" s="5" t="s">
        <v>1381</v>
      </c>
      <c r="Y1890" s="5" t="s">
        <v>7588</v>
      </c>
      <c r="Z1890" s="9">
        <v>46168</v>
      </c>
      <c r="AA1890" s="8">
        <v>24</v>
      </c>
      <c r="AB1890" s="9">
        <f t="shared" si="88"/>
        <v>46899</v>
      </c>
      <c r="AC1890" s="10">
        <v>16</v>
      </c>
      <c r="AD1890" s="7">
        <f t="shared" si="89"/>
        <v>2061</v>
      </c>
      <c r="AE1890" s="7">
        <f>IF(F1890="Bullet",H1890*AD1890,MIN(MAX(I1890,1),Assumptions!$B$6)*AD1890)</f>
        <v>2061</v>
      </c>
      <c r="AF1890" s="8">
        <f>IF(F1890="Bullet",MAX(0,Assumptions!$B$4-AB1890),MAX(0,Assumptions!$B$4-L1890))</f>
        <v>7</v>
      </c>
      <c r="AG1890" s="9">
        <v>46263</v>
      </c>
      <c r="AH1890" s="8">
        <f>IF(AG1890="","",Assumptions!$B$4-AG1890)</f>
        <v>35</v>
      </c>
      <c r="AI1890" s="5" t="s">
        <v>63</v>
      </c>
      <c r="AJ1890" s="8">
        <v>1</v>
      </c>
      <c r="AK1890" s="8">
        <v>0</v>
      </c>
      <c r="AL1890" s="8">
        <v>734</v>
      </c>
      <c r="AM1890" s="8">
        <v>0</v>
      </c>
      <c r="AN1890" s="5" t="s">
        <v>63</v>
      </c>
      <c r="AO1890" s="10">
        <v>52</v>
      </c>
      <c r="AP1890" s="8">
        <v>24</v>
      </c>
      <c r="AQ1890" s="9">
        <v>46289</v>
      </c>
      <c r="AR1890" s="5" t="s">
        <v>51</v>
      </c>
      <c r="AS1890" s="5" t="s">
        <v>81</v>
      </c>
    </row>
    <row r="1891" spans="1:45" x14ac:dyDescent="0.35">
      <c r="A1891" s="5" t="s">
        <v>7589</v>
      </c>
      <c r="B1891" s="5" t="s">
        <v>7590</v>
      </c>
      <c r="C1891" s="6" t="s">
        <v>7591</v>
      </c>
      <c r="D1891" s="7">
        <v>82400</v>
      </c>
      <c r="E1891" s="5" t="s">
        <v>48</v>
      </c>
      <c r="F1891" s="5" t="s">
        <v>49</v>
      </c>
      <c r="G1891" s="8"/>
      <c r="H1891" s="8" t="str">
        <f>IF(F1891="Bullet",MIN(G1891,Assumptions!$B$6),"")</f>
        <v/>
      </c>
      <c r="I1891" s="8">
        <v>2</v>
      </c>
      <c r="J1891" s="8">
        <f>IF(F1891="Monthly interest",MAX(0,Assumptions!$B$5-I1891),"")</f>
        <v>1</v>
      </c>
      <c r="K1891" s="7">
        <f t="shared" si="87"/>
        <v>2472</v>
      </c>
      <c r="L1891" s="9">
        <v>46242</v>
      </c>
      <c r="M1891" s="5" t="s">
        <v>116</v>
      </c>
      <c r="N1891" s="5" t="s">
        <v>117</v>
      </c>
      <c r="O1891" s="5" t="s">
        <v>118</v>
      </c>
      <c r="P1891" s="5" t="s">
        <v>72</v>
      </c>
      <c r="Q1891" s="5" t="s">
        <v>119</v>
      </c>
      <c r="R1891" s="5" t="s">
        <v>120</v>
      </c>
      <c r="S1891" s="5" t="s">
        <v>253</v>
      </c>
      <c r="T1891" s="5" t="s">
        <v>57</v>
      </c>
      <c r="U1891" s="5" t="s">
        <v>104</v>
      </c>
      <c r="V1891" s="5" t="s">
        <v>59</v>
      </c>
      <c r="W1891" s="5" t="s">
        <v>194</v>
      </c>
      <c r="X1891" s="5" t="s">
        <v>521</v>
      </c>
      <c r="Y1891" s="5" t="s">
        <v>7592</v>
      </c>
      <c r="Z1891" s="9">
        <v>45969</v>
      </c>
      <c r="AA1891" s="8">
        <v>24</v>
      </c>
      <c r="AB1891" s="9">
        <f t="shared" si="88"/>
        <v>46699</v>
      </c>
      <c r="AC1891" s="10">
        <v>18</v>
      </c>
      <c r="AD1891" s="7">
        <f t="shared" si="89"/>
        <v>1236</v>
      </c>
      <c r="AE1891" s="7">
        <f>IF(F1891="Bullet",H1891*AD1891,MIN(MAX(I1891,1),Assumptions!$B$6)*AD1891)</f>
        <v>2472</v>
      </c>
      <c r="AF1891" s="8">
        <f>IF(F1891="Bullet",MAX(0,Assumptions!$B$4-AB1891),MAX(0,Assumptions!$B$4-L1891))</f>
        <v>56</v>
      </c>
      <c r="AG1891" s="9">
        <v>46213</v>
      </c>
      <c r="AH1891" s="8">
        <f>IF(AG1891="","",Assumptions!$B$4-AG1891)</f>
        <v>85</v>
      </c>
      <c r="AI1891" s="5" t="s">
        <v>63</v>
      </c>
      <c r="AJ1891" s="8">
        <v>2</v>
      </c>
      <c r="AK1891" s="8">
        <v>1</v>
      </c>
      <c r="AL1891" s="8">
        <v>662</v>
      </c>
      <c r="AM1891" s="8">
        <v>0</v>
      </c>
      <c r="AN1891" s="5" t="s">
        <v>63</v>
      </c>
      <c r="AO1891" s="10">
        <v>81.099999999999994</v>
      </c>
      <c r="AP1891" s="8">
        <v>61</v>
      </c>
      <c r="AQ1891" s="9">
        <v>46282</v>
      </c>
      <c r="AR1891" s="5" t="s">
        <v>70</v>
      </c>
      <c r="AS1891" s="5" t="s">
        <v>64</v>
      </c>
    </row>
    <row r="1892" spans="1:45" x14ac:dyDescent="0.35">
      <c r="A1892" s="5" t="s">
        <v>7593</v>
      </c>
      <c r="B1892" s="5" t="s">
        <v>7203</v>
      </c>
      <c r="C1892" s="6" t="s">
        <v>7594</v>
      </c>
      <c r="D1892" s="7">
        <v>365400</v>
      </c>
      <c r="E1892" s="5" t="s">
        <v>48</v>
      </c>
      <c r="F1892" s="5" t="s">
        <v>68</v>
      </c>
      <c r="G1892" s="8">
        <v>2</v>
      </c>
      <c r="H1892" s="8">
        <f>IF(F1892="Bullet",MIN(G1892,Assumptions!$B$6),"")</f>
        <v>2</v>
      </c>
      <c r="I1892" s="8"/>
      <c r="J1892" s="8" t="str">
        <f>IF(F1892="Monthly interest",MAX(0,Assumptions!$B$5-I1892),"")</f>
        <v/>
      </c>
      <c r="K1892" s="7">
        <f t="shared" si="87"/>
        <v>8526</v>
      </c>
      <c r="L1892" s="9">
        <v>46225</v>
      </c>
      <c r="M1892" s="5" t="s">
        <v>50</v>
      </c>
      <c r="N1892" s="5" t="s">
        <v>51</v>
      </c>
      <c r="O1892" s="5" t="s">
        <v>71</v>
      </c>
      <c r="P1892" s="5" t="s">
        <v>53</v>
      </c>
      <c r="Q1892" s="5" t="s">
        <v>73</v>
      </c>
      <c r="R1892" s="5" t="s">
        <v>74</v>
      </c>
      <c r="S1892" s="5" t="s">
        <v>85</v>
      </c>
      <c r="T1892" s="5" t="s">
        <v>57</v>
      </c>
      <c r="U1892" s="5" t="s">
        <v>58</v>
      </c>
      <c r="V1892" s="5" t="s">
        <v>177</v>
      </c>
      <c r="W1892" s="5" t="s">
        <v>178</v>
      </c>
      <c r="X1892" s="5" t="s">
        <v>5798</v>
      </c>
      <c r="Y1892" s="5" t="s">
        <v>7595</v>
      </c>
      <c r="Z1892" s="9">
        <v>46225</v>
      </c>
      <c r="AA1892" s="8">
        <v>6</v>
      </c>
      <c r="AB1892" s="9">
        <f t="shared" si="88"/>
        <v>46409</v>
      </c>
      <c r="AC1892" s="10">
        <v>14</v>
      </c>
      <c r="AD1892" s="7">
        <f t="shared" si="89"/>
        <v>4263</v>
      </c>
      <c r="AE1892" s="7">
        <f>IF(F1892="Bullet",H1892*AD1892,MIN(MAX(I1892,1),Assumptions!$B$6)*AD1892)</f>
        <v>8526</v>
      </c>
      <c r="AF1892" s="8">
        <f>IF(F1892="Bullet",MAX(0,Assumptions!$B$4-AB1892),MAX(0,Assumptions!$B$4-L1892))</f>
        <v>0</v>
      </c>
      <c r="AG1892" s="9"/>
      <c r="AH1892" s="8" t="str">
        <f>IF(AG1892="","",Assumptions!$B$4-AG1892)</f>
        <v/>
      </c>
      <c r="AI1892" s="5" t="s">
        <v>80</v>
      </c>
      <c r="AJ1892" s="8"/>
      <c r="AK1892" s="8">
        <v>0</v>
      </c>
      <c r="AL1892" s="8">
        <v>701</v>
      </c>
      <c r="AM1892" s="8">
        <v>4</v>
      </c>
      <c r="AN1892" s="5" t="s">
        <v>57</v>
      </c>
      <c r="AO1892" s="10">
        <v>61.2</v>
      </c>
      <c r="AP1892" s="8">
        <v>28</v>
      </c>
      <c r="AQ1892" s="9">
        <v>46296</v>
      </c>
      <c r="AR1892" s="5" t="s">
        <v>72</v>
      </c>
      <c r="AS1892" s="5" t="s">
        <v>81</v>
      </c>
    </row>
    <row r="1893" spans="1:45" x14ac:dyDescent="0.35">
      <c r="A1893" s="5" t="s">
        <v>7596</v>
      </c>
      <c r="B1893" s="5" t="s">
        <v>7597</v>
      </c>
      <c r="C1893" s="6" t="s">
        <v>7598</v>
      </c>
      <c r="D1893" s="7">
        <v>278000</v>
      </c>
      <c r="E1893" s="5" t="s">
        <v>48</v>
      </c>
      <c r="F1893" s="5" t="s">
        <v>49</v>
      </c>
      <c r="G1893" s="8"/>
      <c r="H1893" s="8" t="str">
        <f>IF(F1893="Bullet",MIN(G1893,Assumptions!$B$6),"")</f>
        <v/>
      </c>
      <c r="I1893" s="8">
        <v>2</v>
      </c>
      <c r="J1893" s="8">
        <f>IF(F1893="Monthly interest",MAX(0,Assumptions!$B$5-I1893),"")</f>
        <v>1</v>
      </c>
      <c r="K1893" s="7">
        <f t="shared" si="87"/>
        <v>6950</v>
      </c>
      <c r="L1893" s="9">
        <v>46259</v>
      </c>
      <c r="M1893" s="5" t="s">
        <v>69</v>
      </c>
      <c r="N1893" s="5" t="s">
        <v>70</v>
      </c>
      <c r="O1893" s="5" t="s">
        <v>71</v>
      </c>
      <c r="P1893" s="5" t="s">
        <v>72</v>
      </c>
      <c r="Q1893" s="5" t="s">
        <v>73</v>
      </c>
      <c r="R1893" s="5" t="s">
        <v>74</v>
      </c>
      <c r="S1893" s="5" t="s">
        <v>85</v>
      </c>
      <c r="T1893" s="5" t="s">
        <v>57</v>
      </c>
      <c r="U1893" s="5" t="s">
        <v>104</v>
      </c>
      <c r="V1893" s="5" t="s">
        <v>553</v>
      </c>
      <c r="W1893" s="5" t="s">
        <v>1029</v>
      </c>
      <c r="X1893" s="5" t="s">
        <v>4959</v>
      </c>
      <c r="Y1893" s="5" t="s">
        <v>7599</v>
      </c>
      <c r="Z1893" s="9">
        <v>46137</v>
      </c>
      <c r="AA1893" s="8">
        <v>12</v>
      </c>
      <c r="AB1893" s="9">
        <f t="shared" si="88"/>
        <v>46502</v>
      </c>
      <c r="AC1893" s="10">
        <v>15</v>
      </c>
      <c r="AD1893" s="7">
        <f t="shared" si="89"/>
        <v>3475</v>
      </c>
      <c r="AE1893" s="7">
        <f>IF(F1893="Bullet",H1893*AD1893,MIN(MAX(I1893,1),Assumptions!$B$6)*AD1893)</f>
        <v>6950</v>
      </c>
      <c r="AF1893" s="8">
        <f>IF(F1893="Bullet",MAX(0,Assumptions!$B$4-AB1893),MAX(0,Assumptions!$B$4-L1893))</f>
        <v>39</v>
      </c>
      <c r="AG1893" s="9">
        <v>46232</v>
      </c>
      <c r="AH1893" s="8">
        <f>IF(AG1893="","",Assumptions!$B$4-AG1893)</f>
        <v>66</v>
      </c>
      <c r="AI1893" s="5" t="s">
        <v>63</v>
      </c>
      <c r="AJ1893" s="8">
        <v>3</v>
      </c>
      <c r="AK1893" s="8">
        <v>0</v>
      </c>
      <c r="AL1893" s="8">
        <v>703</v>
      </c>
      <c r="AM1893" s="8">
        <v>1</v>
      </c>
      <c r="AN1893" s="5" t="s">
        <v>63</v>
      </c>
      <c r="AO1893" s="10">
        <v>68.5</v>
      </c>
      <c r="AP1893" s="8">
        <v>43</v>
      </c>
      <c r="AQ1893" s="9">
        <v>46282</v>
      </c>
      <c r="AR1893" s="5" t="s">
        <v>53</v>
      </c>
      <c r="AS1893" s="5" t="s">
        <v>64</v>
      </c>
    </row>
    <row r="1894" spans="1:45" x14ac:dyDescent="0.35">
      <c r="A1894" s="5" t="s">
        <v>7600</v>
      </c>
      <c r="B1894" s="5" t="s">
        <v>2995</v>
      </c>
      <c r="C1894" s="6" t="s">
        <v>7601</v>
      </c>
      <c r="D1894" s="7">
        <v>189300</v>
      </c>
      <c r="E1894" s="5" t="s">
        <v>48</v>
      </c>
      <c r="F1894" s="5" t="s">
        <v>49</v>
      </c>
      <c r="G1894" s="8"/>
      <c r="H1894" s="8" t="str">
        <f>IF(F1894="Bullet",MIN(G1894,Assumptions!$B$6),"")</f>
        <v/>
      </c>
      <c r="I1894" s="8">
        <v>2</v>
      </c>
      <c r="J1894" s="8">
        <f>IF(F1894="Monthly interest",MAX(0,Assumptions!$B$5-I1894),"")</f>
        <v>1</v>
      </c>
      <c r="K1894" s="7">
        <f t="shared" si="87"/>
        <v>7572</v>
      </c>
      <c r="L1894" s="9">
        <v>46252</v>
      </c>
      <c r="M1894" s="5" t="s">
        <v>116</v>
      </c>
      <c r="N1894" s="5" t="s">
        <v>117</v>
      </c>
      <c r="O1894" s="5" t="s">
        <v>118</v>
      </c>
      <c r="P1894" s="5" t="s">
        <v>72</v>
      </c>
      <c r="Q1894" s="5" t="s">
        <v>119</v>
      </c>
      <c r="R1894" s="5" t="s">
        <v>120</v>
      </c>
      <c r="S1894" s="5" t="s">
        <v>56</v>
      </c>
      <c r="T1894" s="5" t="s">
        <v>57</v>
      </c>
      <c r="U1894" s="5" t="s">
        <v>104</v>
      </c>
      <c r="V1894" s="5" t="s">
        <v>59</v>
      </c>
      <c r="W1894" s="5" t="s">
        <v>126</v>
      </c>
      <c r="X1894" s="5" t="s">
        <v>4381</v>
      </c>
      <c r="Y1894" s="5" t="s">
        <v>7602</v>
      </c>
      <c r="Z1894" s="9">
        <v>46009</v>
      </c>
      <c r="AA1894" s="8">
        <v>12</v>
      </c>
      <c r="AB1894" s="9">
        <f t="shared" si="88"/>
        <v>46374</v>
      </c>
      <c r="AC1894" s="10">
        <v>24</v>
      </c>
      <c r="AD1894" s="7">
        <f t="shared" si="89"/>
        <v>3786</v>
      </c>
      <c r="AE1894" s="7">
        <f>IF(F1894="Bullet",H1894*AD1894,MIN(MAX(I1894,1),Assumptions!$B$6)*AD1894)</f>
        <v>7572</v>
      </c>
      <c r="AF1894" s="8">
        <f>IF(F1894="Bullet",MAX(0,Assumptions!$B$4-AB1894),MAX(0,Assumptions!$B$4-L1894))</f>
        <v>46</v>
      </c>
      <c r="AG1894" s="9">
        <v>46223</v>
      </c>
      <c r="AH1894" s="8">
        <f>IF(AG1894="","",Assumptions!$B$4-AG1894)</f>
        <v>75</v>
      </c>
      <c r="AI1894" s="5" t="s">
        <v>63</v>
      </c>
      <c r="AJ1894" s="8">
        <v>2</v>
      </c>
      <c r="AK1894" s="8">
        <v>0</v>
      </c>
      <c r="AL1894" s="8" t="s">
        <v>80</v>
      </c>
      <c r="AM1894" s="8">
        <v>1</v>
      </c>
      <c r="AN1894" s="5" t="s">
        <v>63</v>
      </c>
      <c r="AO1894" s="10">
        <v>66.099999999999994</v>
      </c>
      <c r="AP1894" s="8">
        <v>50</v>
      </c>
      <c r="AQ1894" s="9">
        <v>46294</v>
      </c>
      <c r="AR1894" s="5" t="s">
        <v>70</v>
      </c>
      <c r="AS1894" s="5" t="s">
        <v>81</v>
      </c>
    </row>
    <row r="1895" spans="1:45" x14ac:dyDescent="0.35">
      <c r="A1895" s="5" t="s">
        <v>7603</v>
      </c>
      <c r="B1895" s="5" t="s">
        <v>5324</v>
      </c>
      <c r="C1895" s="6" t="s">
        <v>7604</v>
      </c>
      <c r="D1895" s="7">
        <v>129100</v>
      </c>
      <c r="E1895" s="5" t="s">
        <v>48</v>
      </c>
      <c r="F1895" s="5" t="s">
        <v>68</v>
      </c>
      <c r="G1895" s="8">
        <v>6</v>
      </c>
      <c r="H1895" s="8">
        <f>IF(F1895="Bullet",MIN(G1895,Assumptions!$B$6),"")</f>
        <v>2</v>
      </c>
      <c r="I1895" s="8"/>
      <c r="J1895" s="8" t="str">
        <f>IF(F1895="Monthly interest",MAX(0,Assumptions!$B$5-I1895),"")</f>
        <v/>
      </c>
      <c r="K1895" s="7">
        <f t="shared" si="87"/>
        <v>11622</v>
      </c>
      <c r="L1895" s="9">
        <v>46097</v>
      </c>
      <c r="M1895" s="5" t="s">
        <v>116</v>
      </c>
      <c r="N1895" s="5" t="s">
        <v>117</v>
      </c>
      <c r="O1895" s="5" t="s">
        <v>461</v>
      </c>
      <c r="P1895" s="5" t="s">
        <v>72</v>
      </c>
      <c r="Q1895" s="5" t="s">
        <v>169</v>
      </c>
      <c r="R1895" s="5" t="s">
        <v>170</v>
      </c>
      <c r="S1895" s="5" t="s">
        <v>185</v>
      </c>
      <c r="T1895" s="5" t="s">
        <v>57</v>
      </c>
      <c r="U1895" s="5" t="s">
        <v>58</v>
      </c>
      <c r="V1895" s="5" t="s">
        <v>186</v>
      </c>
      <c r="W1895" s="5" t="s">
        <v>376</v>
      </c>
      <c r="X1895" s="5" t="s">
        <v>3839</v>
      </c>
      <c r="Y1895" s="5" t="s">
        <v>7605</v>
      </c>
      <c r="Z1895" s="9">
        <v>46097</v>
      </c>
      <c r="AA1895" s="8">
        <v>6</v>
      </c>
      <c r="AB1895" s="9">
        <f t="shared" si="88"/>
        <v>46281</v>
      </c>
      <c r="AC1895" s="10">
        <v>18</v>
      </c>
      <c r="AD1895" s="7">
        <f t="shared" si="89"/>
        <v>1937</v>
      </c>
      <c r="AE1895" s="7">
        <f>IF(F1895="Bullet",H1895*AD1895,MIN(MAX(I1895,1),Assumptions!$B$6)*AD1895)</f>
        <v>3874</v>
      </c>
      <c r="AF1895" s="8">
        <f>IF(F1895="Bullet",MAX(0,Assumptions!$B$4-AB1895),MAX(0,Assumptions!$B$4-L1895))</f>
        <v>17</v>
      </c>
      <c r="AG1895" s="9"/>
      <c r="AH1895" s="8" t="str">
        <f>IF(AG1895="","",Assumptions!$B$4-AG1895)</f>
        <v/>
      </c>
      <c r="AI1895" s="5" t="s">
        <v>80</v>
      </c>
      <c r="AJ1895" s="8"/>
      <c r="AK1895" s="8">
        <v>0</v>
      </c>
      <c r="AL1895" s="8">
        <v>574</v>
      </c>
      <c r="AM1895" s="8">
        <v>2</v>
      </c>
      <c r="AN1895" s="5" t="s">
        <v>63</v>
      </c>
      <c r="AO1895" s="10">
        <v>75.099999999999994</v>
      </c>
      <c r="AP1895" s="8">
        <v>63</v>
      </c>
      <c r="AQ1895" s="9">
        <v>46283</v>
      </c>
      <c r="AR1895" s="5" t="s">
        <v>72</v>
      </c>
      <c r="AS1895" s="5" t="s">
        <v>64</v>
      </c>
    </row>
    <row r="1896" spans="1:45" x14ac:dyDescent="0.35">
      <c r="A1896" s="5" t="s">
        <v>7606</v>
      </c>
      <c r="B1896" s="5" t="s">
        <v>431</v>
      </c>
      <c r="C1896" s="6" t="s">
        <v>7607</v>
      </c>
      <c r="D1896" s="7">
        <v>28200</v>
      </c>
      <c r="E1896" s="5" t="s">
        <v>48</v>
      </c>
      <c r="F1896" s="5" t="s">
        <v>49</v>
      </c>
      <c r="G1896" s="8"/>
      <c r="H1896" s="8" t="str">
        <f>IF(F1896="Bullet",MIN(G1896,Assumptions!$B$6),"")</f>
        <v/>
      </c>
      <c r="I1896" s="8">
        <v>2</v>
      </c>
      <c r="J1896" s="8">
        <f>IF(F1896="Monthly interest",MAX(0,Assumptions!$B$5-I1896),"")</f>
        <v>1</v>
      </c>
      <c r="K1896" s="7">
        <f t="shared" si="87"/>
        <v>752</v>
      </c>
      <c r="L1896" s="9">
        <v>46256</v>
      </c>
      <c r="M1896" s="5" t="s">
        <v>116</v>
      </c>
      <c r="N1896" s="5" t="s">
        <v>117</v>
      </c>
      <c r="O1896" s="5" t="s">
        <v>450</v>
      </c>
      <c r="P1896" s="5" t="s">
        <v>72</v>
      </c>
      <c r="Q1896" s="5" t="s">
        <v>154</v>
      </c>
      <c r="R1896" s="5" t="s">
        <v>155</v>
      </c>
      <c r="S1896" s="5" t="s">
        <v>185</v>
      </c>
      <c r="T1896" s="5" t="s">
        <v>57</v>
      </c>
      <c r="U1896" s="5" t="s">
        <v>104</v>
      </c>
      <c r="V1896" s="5" t="s">
        <v>200</v>
      </c>
      <c r="W1896" s="5" t="s">
        <v>1332</v>
      </c>
      <c r="X1896" s="5" t="s">
        <v>4535</v>
      </c>
      <c r="Y1896" s="5" t="s">
        <v>7608</v>
      </c>
      <c r="Z1896" s="9">
        <v>46195</v>
      </c>
      <c r="AA1896" s="8">
        <v>12</v>
      </c>
      <c r="AB1896" s="9">
        <f t="shared" si="88"/>
        <v>46560</v>
      </c>
      <c r="AC1896" s="10">
        <v>16</v>
      </c>
      <c r="AD1896" s="7">
        <f t="shared" si="89"/>
        <v>376</v>
      </c>
      <c r="AE1896" s="7">
        <f>IF(F1896="Bullet",H1896*AD1896,MIN(MAX(I1896,1),Assumptions!$B$6)*AD1896)</f>
        <v>752</v>
      </c>
      <c r="AF1896" s="8">
        <f>IF(F1896="Bullet",MAX(0,Assumptions!$B$4-AB1896),MAX(0,Assumptions!$B$4-L1896))</f>
        <v>42</v>
      </c>
      <c r="AG1896" s="9">
        <v>46227</v>
      </c>
      <c r="AH1896" s="8">
        <f>IF(AG1896="","",Assumptions!$B$4-AG1896)</f>
        <v>71</v>
      </c>
      <c r="AI1896" s="5" t="s">
        <v>63</v>
      </c>
      <c r="AJ1896" s="8">
        <v>3</v>
      </c>
      <c r="AK1896" s="8">
        <v>0</v>
      </c>
      <c r="AL1896" s="8">
        <v>633</v>
      </c>
      <c r="AM1896" s="8">
        <v>2</v>
      </c>
      <c r="AN1896" s="5" t="s">
        <v>63</v>
      </c>
      <c r="AO1896" s="10">
        <v>65.900000000000006</v>
      </c>
      <c r="AP1896" s="8">
        <v>56</v>
      </c>
      <c r="AQ1896" s="9">
        <v>46293</v>
      </c>
      <c r="AR1896" s="5" t="s">
        <v>51</v>
      </c>
      <c r="AS1896" s="5" t="s">
        <v>190</v>
      </c>
    </row>
    <row r="1897" spans="1:45" x14ac:dyDescent="0.35">
      <c r="A1897" s="5" t="s">
        <v>7609</v>
      </c>
      <c r="B1897" s="5" t="s">
        <v>7610</v>
      </c>
      <c r="C1897" s="6" t="s">
        <v>7611</v>
      </c>
      <c r="D1897" s="7">
        <v>226600</v>
      </c>
      <c r="E1897" s="5" t="s">
        <v>48</v>
      </c>
      <c r="F1897" s="5" t="s">
        <v>49</v>
      </c>
      <c r="G1897" s="8"/>
      <c r="H1897" s="8" t="str">
        <f>IF(F1897="Bullet",MIN(G1897,Assumptions!$B$6),"")</f>
        <v/>
      </c>
      <c r="I1897" s="8">
        <v>1</v>
      </c>
      <c r="J1897" s="8">
        <f>IF(F1897="Monthly interest",MAX(0,Assumptions!$B$5-I1897),"")</f>
        <v>2</v>
      </c>
      <c r="K1897" s="7">
        <f t="shared" si="87"/>
        <v>3399</v>
      </c>
      <c r="L1897" s="9">
        <v>46269</v>
      </c>
      <c r="M1897" s="5" t="s">
        <v>50</v>
      </c>
      <c r="N1897" s="5" t="s">
        <v>53</v>
      </c>
      <c r="O1897" s="5" t="s">
        <v>95</v>
      </c>
      <c r="P1897" s="5" t="s">
        <v>70</v>
      </c>
      <c r="Q1897" s="5" t="s">
        <v>54</v>
      </c>
      <c r="R1897" s="5" t="s">
        <v>55</v>
      </c>
      <c r="S1897" s="5" t="s">
        <v>75</v>
      </c>
      <c r="T1897" s="5" t="s">
        <v>63</v>
      </c>
      <c r="U1897" s="5" t="s">
        <v>86</v>
      </c>
      <c r="V1897" s="5" t="s">
        <v>76</v>
      </c>
      <c r="W1897" s="5" t="s">
        <v>105</v>
      </c>
      <c r="X1897" s="5" t="s">
        <v>163</v>
      </c>
      <c r="Y1897" s="5" t="s">
        <v>7612</v>
      </c>
      <c r="Z1897" s="9">
        <v>46207</v>
      </c>
      <c r="AA1897" s="8">
        <v>24</v>
      </c>
      <c r="AB1897" s="9">
        <f t="shared" si="88"/>
        <v>46938</v>
      </c>
      <c r="AC1897" s="10">
        <v>18</v>
      </c>
      <c r="AD1897" s="7">
        <f t="shared" si="89"/>
        <v>3399</v>
      </c>
      <c r="AE1897" s="7">
        <f>IF(F1897="Bullet",H1897*AD1897,MIN(MAX(I1897,1),Assumptions!$B$6)*AD1897)</f>
        <v>3399</v>
      </c>
      <c r="AF1897" s="8">
        <f>IF(F1897="Bullet",MAX(0,Assumptions!$B$4-AB1897),MAX(0,Assumptions!$B$4-L1897))</f>
        <v>29</v>
      </c>
      <c r="AG1897" s="9">
        <v>46241</v>
      </c>
      <c r="AH1897" s="8">
        <f>IF(AG1897="","",Assumptions!$B$4-AG1897)</f>
        <v>57</v>
      </c>
      <c r="AI1897" s="5" t="s">
        <v>63</v>
      </c>
      <c r="AJ1897" s="8">
        <v>1</v>
      </c>
      <c r="AK1897" s="8">
        <v>0</v>
      </c>
      <c r="AL1897" s="8">
        <v>684</v>
      </c>
      <c r="AM1897" s="8">
        <v>0</v>
      </c>
      <c r="AN1897" s="5" t="s">
        <v>63</v>
      </c>
      <c r="AO1897" s="10">
        <v>71.8</v>
      </c>
      <c r="AP1897" s="8">
        <v>23</v>
      </c>
      <c r="AQ1897" s="9">
        <v>46274</v>
      </c>
      <c r="AR1897" s="5" t="s">
        <v>51</v>
      </c>
      <c r="AS1897" s="5" t="s">
        <v>64</v>
      </c>
    </row>
    <row r="1898" spans="1:45" x14ac:dyDescent="0.35">
      <c r="A1898" s="5" t="s">
        <v>7613</v>
      </c>
      <c r="B1898" s="5" t="s">
        <v>7614</v>
      </c>
      <c r="C1898" s="6" t="s">
        <v>7615</v>
      </c>
      <c r="D1898" s="7">
        <v>62400</v>
      </c>
      <c r="E1898" s="5" t="s">
        <v>48</v>
      </c>
      <c r="F1898" s="5" t="s">
        <v>68</v>
      </c>
      <c r="G1898" s="8">
        <v>2</v>
      </c>
      <c r="H1898" s="8">
        <f>IF(F1898="Bullet",MIN(G1898,Assumptions!$B$6),"")</f>
        <v>2</v>
      </c>
      <c r="I1898" s="8"/>
      <c r="J1898" s="8" t="str">
        <f>IF(F1898="Monthly interest",MAX(0,Assumptions!$B$5-I1898),"")</f>
        <v/>
      </c>
      <c r="K1898" s="7">
        <f t="shared" si="87"/>
        <v>1248</v>
      </c>
      <c r="L1898" s="9">
        <v>46228</v>
      </c>
      <c r="M1898" s="5" t="s">
        <v>50</v>
      </c>
      <c r="N1898" s="5" t="s">
        <v>51</v>
      </c>
      <c r="O1898" s="5" t="s">
        <v>71</v>
      </c>
      <c r="P1898" s="5" t="s">
        <v>53</v>
      </c>
      <c r="Q1898" s="5" t="s">
        <v>73</v>
      </c>
      <c r="R1898" s="5" t="s">
        <v>74</v>
      </c>
      <c r="S1898" s="5" t="s">
        <v>56</v>
      </c>
      <c r="T1898" s="5" t="s">
        <v>57</v>
      </c>
      <c r="U1898" s="5" t="s">
        <v>104</v>
      </c>
      <c r="V1898" s="5" t="s">
        <v>59</v>
      </c>
      <c r="W1898" s="5" t="s">
        <v>467</v>
      </c>
      <c r="X1898" s="5" t="s">
        <v>1111</v>
      </c>
      <c r="Y1898" s="5" t="s">
        <v>7616</v>
      </c>
      <c r="Z1898" s="9">
        <v>46228</v>
      </c>
      <c r="AA1898" s="8">
        <v>6</v>
      </c>
      <c r="AB1898" s="9">
        <f t="shared" si="88"/>
        <v>46412</v>
      </c>
      <c r="AC1898" s="10">
        <v>12</v>
      </c>
      <c r="AD1898" s="7">
        <f t="shared" si="89"/>
        <v>624</v>
      </c>
      <c r="AE1898" s="7">
        <f>IF(F1898="Bullet",H1898*AD1898,MIN(MAX(I1898,1),Assumptions!$B$6)*AD1898)</f>
        <v>1248</v>
      </c>
      <c r="AF1898" s="8">
        <f>IF(F1898="Bullet",MAX(0,Assumptions!$B$4-AB1898),MAX(0,Assumptions!$B$4-L1898))</f>
        <v>0</v>
      </c>
      <c r="AG1898" s="9"/>
      <c r="AH1898" s="8" t="str">
        <f>IF(AG1898="","",Assumptions!$B$4-AG1898)</f>
        <v/>
      </c>
      <c r="AI1898" s="5" t="s">
        <v>80</v>
      </c>
      <c r="AJ1898" s="8"/>
      <c r="AK1898" s="8">
        <v>0</v>
      </c>
      <c r="AL1898" s="8">
        <v>800</v>
      </c>
      <c r="AM1898" s="8">
        <v>2</v>
      </c>
      <c r="AN1898" s="5" t="s">
        <v>63</v>
      </c>
      <c r="AO1898" s="10">
        <v>67.099999999999994</v>
      </c>
      <c r="AP1898" s="8">
        <v>4</v>
      </c>
      <c r="AQ1898" s="9"/>
      <c r="AR1898" s="5"/>
      <c r="AS1898" s="5" t="s">
        <v>159</v>
      </c>
    </row>
    <row r="1899" spans="1:45" x14ac:dyDescent="0.35">
      <c r="A1899" s="5" t="s">
        <v>7617</v>
      </c>
      <c r="B1899" s="5" t="s">
        <v>3842</v>
      </c>
      <c r="C1899" s="6" t="s">
        <v>7618</v>
      </c>
      <c r="D1899" s="7">
        <v>174200</v>
      </c>
      <c r="E1899" s="5" t="s">
        <v>48</v>
      </c>
      <c r="F1899" s="5" t="s">
        <v>68</v>
      </c>
      <c r="G1899" s="8">
        <v>1</v>
      </c>
      <c r="H1899" s="8">
        <f>IF(F1899="Bullet",MIN(G1899,Assumptions!$B$6),"")</f>
        <v>1</v>
      </c>
      <c r="I1899" s="8"/>
      <c r="J1899" s="8" t="str">
        <f>IF(F1899="Monthly interest",MAX(0,Assumptions!$B$5-I1899),"")</f>
        <v/>
      </c>
      <c r="K1899" s="7">
        <f t="shared" si="87"/>
        <v>1742</v>
      </c>
      <c r="L1899" s="9">
        <v>46246</v>
      </c>
      <c r="M1899" s="5" t="s">
        <v>50</v>
      </c>
      <c r="N1899" s="5" t="s">
        <v>51</v>
      </c>
      <c r="O1899" s="5" t="s">
        <v>71</v>
      </c>
      <c r="P1899" s="5" t="s">
        <v>53</v>
      </c>
      <c r="Q1899" s="5" t="s">
        <v>73</v>
      </c>
      <c r="R1899" s="5" t="s">
        <v>74</v>
      </c>
      <c r="S1899" s="5" t="s">
        <v>185</v>
      </c>
      <c r="T1899" s="5" t="s">
        <v>57</v>
      </c>
      <c r="U1899" s="5" t="s">
        <v>58</v>
      </c>
      <c r="V1899" s="5" t="s">
        <v>200</v>
      </c>
      <c r="W1899" s="5" t="s">
        <v>1332</v>
      </c>
      <c r="X1899" s="5" t="s">
        <v>4535</v>
      </c>
      <c r="Y1899" s="5" t="s">
        <v>7619</v>
      </c>
      <c r="Z1899" s="9">
        <v>46246</v>
      </c>
      <c r="AA1899" s="8">
        <v>6</v>
      </c>
      <c r="AB1899" s="9">
        <f t="shared" si="88"/>
        <v>46430</v>
      </c>
      <c r="AC1899" s="10">
        <v>12</v>
      </c>
      <c r="AD1899" s="7">
        <f t="shared" si="89"/>
        <v>1742</v>
      </c>
      <c r="AE1899" s="7">
        <f>IF(F1899="Bullet",H1899*AD1899,MIN(MAX(I1899,1),Assumptions!$B$6)*AD1899)</f>
        <v>1742</v>
      </c>
      <c r="AF1899" s="8">
        <f>IF(F1899="Bullet",MAX(0,Assumptions!$B$4-AB1899),MAX(0,Assumptions!$B$4-L1899))</f>
        <v>0</v>
      </c>
      <c r="AG1899" s="9"/>
      <c r="AH1899" s="8" t="str">
        <f>IF(AG1899="","",Assumptions!$B$4-AG1899)</f>
        <v/>
      </c>
      <c r="AI1899" s="5" t="s">
        <v>80</v>
      </c>
      <c r="AJ1899" s="8"/>
      <c r="AK1899" s="8">
        <v>0</v>
      </c>
      <c r="AL1899" s="8">
        <v>832</v>
      </c>
      <c r="AM1899" s="8">
        <v>1</v>
      </c>
      <c r="AN1899" s="5" t="s">
        <v>63</v>
      </c>
      <c r="AO1899" s="10">
        <v>69</v>
      </c>
      <c r="AP1899" s="8">
        <v>0</v>
      </c>
      <c r="AQ1899" s="9">
        <v>46275</v>
      </c>
      <c r="AR1899" s="5" t="s">
        <v>53</v>
      </c>
      <c r="AS1899" s="5" t="s">
        <v>81</v>
      </c>
    </row>
    <row r="1900" spans="1:45" x14ac:dyDescent="0.35">
      <c r="A1900" s="5" t="s">
        <v>7620</v>
      </c>
      <c r="B1900" s="5" t="s">
        <v>6227</v>
      </c>
      <c r="C1900" s="6" t="s">
        <v>7621</v>
      </c>
      <c r="D1900" s="7">
        <v>99700</v>
      </c>
      <c r="E1900" s="5" t="s">
        <v>48</v>
      </c>
      <c r="F1900" s="5" t="s">
        <v>49</v>
      </c>
      <c r="G1900" s="8"/>
      <c r="H1900" s="8" t="str">
        <f>IF(F1900="Bullet",MIN(G1900,Assumptions!$B$6),"")</f>
        <v/>
      </c>
      <c r="I1900" s="8">
        <v>2</v>
      </c>
      <c r="J1900" s="8">
        <f>IF(F1900="Monthly interest",MAX(0,Assumptions!$B$5-I1900),"")</f>
        <v>1</v>
      </c>
      <c r="K1900" s="7">
        <f t="shared" si="87"/>
        <v>2992</v>
      </c>
      <c r="L1900" s="9">
        <v>46268</v>
      </c>
      <c r="M1900" s="5" t="s">
        <v>116</v>
      </c>
      <c r="N1900" s="5" t="s">
        <v>117</v>
      </c>
      <c r="O1900" s="5" t="s">
        <v>118</v>
      </c>
      <c r="P1900" s="5" t="s">
        <v>72</v>
      </c>
      <c r="Q1900" s="5" t="s">
        <v>119</v>
      </c>
      <c r="R1900" s="5" t="s">
        <v>120</v>
      </c>
      <c r="S1900" s="5" t="s">
        <v>56</v>
      </c>
      <c r="T1900" s="5" t="s">
        <v>57</v>
      </c>
      <c r="U1900" s="5" t="s">
        <v>86</v>
      </c>
      <c r="V1900" s="5" t="s">
        <v>59</v>
      </c>
      <c r="W1900" s="5" t="s">
        <v>467</v>
      </c>
      <c r="X1900" s="5" t="s">
        <v>4144</v>
      </c>
      <c r="Y1900" s="5" t="s">
        <v>7622</v>
      </c>
      <c r="Z1900" s="9">
        <v>46176</v>
      </c>
      <c r="AA1900" s="8">
        <v>12</v>
      </c>
      <c r="AB1900" s="9">
        <f t="shared" si="88"/>
        <v>46541</v>
      </c>
      <c r="AC1900" s="10">
        <v>18</v>
      </c>
      <c r="AD1900" s="7">
        <f t="shared" si="89"/>
        <v>1496</v>
      </c>
      <c r="AE1900" s="7">
        <f>IF(F1900="Bullet",H1900*AD1900,MIN(MAX(I1900,1),Assumptions!$B$6)*AD1900)</f>
        <v>2992</v>
      </c>
      <c r="AF1900" s="8">
        <f>IF(F1900="Bullet",MAX(0,Assumptions!$B$4-AB1900),MAX(0,Assumptions!$B$4-L1900))</f>
        <v>30</v>
      </c>
      <c r="AG1900" s="9">
        <v>46237</v>
      </c>
      <c r="AH1900" s="8">
        <f>IF(AG1900="","",Assumptions!$B$4-AG1900)</f>
        <v>61</v>
      </c>
      <c r="AI1900" s="5" t="s">
        <v>63</v>
      </c>
      <c r="AJ1900" s="8">
        <v>2</v>
      </c>
      <c r="AK1900" s="8">
        <v>0</v>
      </c>
      <c r="AL1900" s="8">
        <v>750</v>
      </c>
      <c r="AM1900" s="8">
        <v>2</v>
      </c>
      <c r="AN1900" s="5" t="s">
        <v>63</v>
      </c>
      <c r="AO1900" s="10">
        <v>82.6</v>
      </c>
      <c r="AP1900" s="8">
        <v>48</v>
      </c>
      <c r="AQ1900" s="9">
        <v>46295</v>
      </c>
      <c r="AR1900" s="5" t="s">
        <v>70</v>
      </c>
      <c r="AS1900" s="5" t="s">
        <v>81</v>
      </c>
    </row>
    <row r="1901" spans="1:45" x14ac:dyDescent="0.35">
      <c r="A1901" s="5" t="s">
        <v>7623</v>
      </c>
      <c r="B1901" s="5" t="s">
        <v>7624</v>
      </c>
      <c r="C1901" s="6" t="s">
        <v>7625</v>
      </c>
      <c r="D1901" s="7">
        <v>613200</v>
      </c>
      <c r="E1901" s="5" t="s">
        <v>48</v>
      </c>
      <c r="F1901" s="5" t="s">
        <v>68</v>
      </c>
      <c r="G1901" s="8">
        <v>3</v>
      </c>
      <c r="H1901" s="8">
        <f>IF(F1901="Bullet",MIN(G1901,Assumptions!$B$6),"")</f>
        <v>2</v>
      </c>
      <c r="I1901" s="8"/>
      <c r="J1901" s="8" t="str">
        <f>IF(F1901="Monthly interest",MAX(0,Assumptions!$B$5-I1901),"")</f>
        <v/>
      </c>
      <c r="K1901" s="7">
        <f t="shared" si="87"/>
        <v>18396</v>
      </c>
      <c r="L1901" s="9">
        <v>46201</v>
      </c>
      <c r="M1901" s="5" t="s">
        <v>50</v>
      </c>
      <c r="N1901" s="5" t="s">
        <v>53</v>
      </c>
      <c r="O1901" s="5" t="s">
        <v>71</v>
      </c>
      <c r="P1901" s="5" t="s">
        <v>51</v>
      </c>
      <c r="Q1901" s="5" t="s">
        <v>73</v>
      </c>
      <c r="R1901" s="5" t="s">
        <v>74</v>
      </c>
      <c r="S1901" s="5" t="s">
        <v>214</v>
      </c>
      <c r="T1901" s="5" t="s">
        <v>57</v>
      </c>
      <c r="U1901" s="5" t="s">
        <v>104</v>
      </c>
      <c r="V1901" s="5" t="s">
        <v>215</v>
      </c>
      <c r="W1901" s="5" t="s">
        <v>284</v>
      </c>
      <c r="X1901" s="5" t="s">
        <v>285</v>
      </c>
      <c r="Y1901" s="5" t="s">
        <v>7626</v>
      </c>
      <c r="Z1901" s="9">
        <v>46201</v>
      </c>
      <c r="AA1901" s="8">
        <v>12</v>
      </c>
      <c r="AB1901" s="9">
        <f t="shared" si="88"/>
        <v>46566</v>
      </c>
      <c r="AC1901" s="10">
        <v>12</v>
      </c>
      <c r="AD1901" s="7">
        <f t="shared" si="89"/>
        <v>6132</v>
      </c>
      <c r="AE1901" s="7">
        <f>IF(F1901="Bullet",H1901*AD1901,MIN(MAX(I1901,1),Assumptions!$B$6)*AD1901)</f>
        <v>12264</v>
      </c>
      <c r="AF1901" s="8">
        <f>IF(F1901="Bullet",MAX(0,Assumptions!$B$4-AB1901),MAX(0,Assumptions!$B$4-L1901))</f>
        <v>0</v>
      </c>
      <c r="AG1901" s="9"/>
      <c r="AH1901" s="8" t="str">
        <f>IF(AG1901="","",Assumptions!$B$4-AG1901)</f>
        <v/>
      </c>
      <c r="AI1901" s="5" t="s">
        <v>80</v>
      </c>
      <c r="AJ1901" s="8"/>
      <c r="AK1901" s="8">
        <v>1</v>
      </c>
      <c r="AL1901" s="8">
        <v>845</v>
      </c>
      <c r="AM1901" s="8">
        <v>0</v>
      </c>
      <c r="AN1901" s="5" t="s">
        <v>63</v>
      </c>
      <c r="AO1901" s="10">
        <v>74.400000000000006</v>
      </c>
      <c r="AP1901" s="8">
        <v>13</v>
      </c>
      <c r="AQ1901" s="9">
        <v>46295</v>
      </c>
      <c r="AR1901" s="5" t="s">
        <v>51</v>
      </c>
      <c r="AS1901" s="5" t="s">
        <v>81</v>
      </c>
    </row>
    <row r="1902" spans="1:45" x14ac:dyDescent="0.35">
      <c r="A1902" s="5" t="s">
        <v>7627</v>
      </c>
      <c r="B1902" s="5" t="s">
        <v>7628</v>
      </c>
      <c r="C1902" s="6" t="s">
        <v>7629</v>
      </c>
      <c r="D1902" s="7">
        <v>133000</v>
      </c>
      <c r="E1902" s="5" t="s">
        <v>48</v>
      </c>
      <c r="F1902" s="5" t="s">
        <v>49</v>
      </c>
      <c r="G1902" s="8"/>
      <c r="H1902" s="8" t="str">
        <f>IF(F1902="Bullet",MIN(G1902,Assumptions!$B$6),"")</f>
        <v/>
      </c>
      <c r="I1902" s="8">
        <v>2</v>
      </c>
      <c r="J1902" s="8">
        <f>IF(F1902="Monthly interest",MAX(0,Assumptions!$B$5-I1902),"")</f>
        <v>1</v>
      </c>
      <c r="K1902" s="7">
        <f t="shared" si="87"/>
        <v>3326</v>
      </c>
      <c r="L1902" s="9">
        <v>46266</v>
      </c>
      <c r="M1902" s="5" t="s">
        <v>116</v>
      </c>
      <c r="N1902" s="5" t="s">
        <v>117</v>
      </c>
      <c r="O1902" s="5" t="s">
        <v>118</v>
      </c>
      <c r="P1902" s="5" t="s">
        <v>72</v>
      </c>
      <c r="Q1902" s="5" t="s">
        <v>119</v>
      </c>
      <c r="R1902" s="5" t="s">
        <v>120</v>
      </c>
      <c r="S1902" s="5" t="s">
        <v>214</v>
      </c>
      <c r="T1902" s="5" t="s">
        <v>63</v>
      </c>
      <c r="U1902" s="5" t="s">
        <v>104</v>
      </c>
      <c r="V1902" s="5" t="s">
        <v>215</v>
      </c>
      <c r="W1902" s="5" t="s">
        <v>1057</v>
      </c>
      <c r="X1902" s="5" t="s">
        <v>6601</v>
      </c>
      <c r="Y1902" s="5" t="s">
        <v>7630</v>
      </c>
      <c r="Z1902" s="9">
        <v>46054</v>
      </c>
      <c r="AA1902" s="8">
        <v>18</v>
      </c>
      <c r="AB1902" s="9">
        <f t="shared" si="88"/>
        <v>46600</v>
      </c>
      <c r="AC1902" s="10">
        <v>15</v>
      </c>
      <c r="AD1902" s="7">
        <f t="shared" si="89"/>
        <v>1663</v>
      </c>
      <c r="AE1902" s="7">
        <f>IF(F1902="Bullet",H1902*AD1902,MIN(MAX(I1902,1),Assumptions!$B$6)*AD1902)</f>
        <v>3326</v>
      </c>
      <c r="AF1902" s="8">
        <f>IF(F1902="Bullet",MAX(0,Assumptions!$B$4-AB1902),MAX(0,Assumptions!$B$4-L1902))</f>
        <v>32</v>
      </c>
      <c r="AG1902" s="9">
        <v>46235</v>
      </c>
      <c r="AH1902" s="8">
        <f>IF(AG1902="","",Assumptions!$B$4-AG1902)</f>
        <v>63</v>
      </c>
      <c r="AI1902" s="5" t="s">
        <v>63</v>
      </c>
      <c r="AJ1902" s="8">
        <v>2</v>
      </c>
      <c r="AK1902" s="8">
        <v>0</v>
      </c>
      <c r="AL1902" s="8">
        <v>607</v>
      </c>
      <c r="AM1902" s="8">
        <v>0</v>
      </c>
      <c r="AN1902" s="5" t="s">
        <v>63</v>
      </c>
      <c r="AO1902" s="10">
        <v>64.7</v>
      </c>
      <c r="AP1902" s="8">
        <v>52</v>
      </c>
      <c r="AQ1902" s="9">
        <v>46283</v>
      </c>
      <c r="AR1902" s="5" t="s">
        <v>53</v>
      </c>
      <c r="AS1902" s="5" t="s">
        <v>81</v>
      </c>
    </row>
    <row r="1903" spans="1:45" x14ac:dyDescent="0.35">
      <c r="A1903" s="5" t="s">
        <v>7631</v>
      </c>
      <c r="B1903" s="5" t="s">
        <v>5764</v>
      </c>
      <c r="C1903" s="6" t="s">
        <v>7632</v>
      </c>
      <c r="D1903" s="7">
        <v>239300</v>
      </c>
      <c r="E1903" s="5" t="s">
        <v>48</v>
      </c>
      <c r="F1903" s="5" t="s">
        <v>68</v>
      </c>
      <c r="G1903" s="8">
        <v>1</v>
      </c>
      <c r="H1903" s="8">
        <f>IF(F1903="Bullet",MIN(G1903,Assumptions!$B$6),"")</f>
        <v>1</v>
      </c>
      <c r="I1903" s="8"/>
      <c r="J1903" s="8" t="str">
        <f>IF(F1903="Monthly interest",MAX(0,Assumptions!$B$5-I1903),"")</f>
        <v/>
      </c>
      <c r="K1903" s="7">
        <f t="shared" si="87"/>
        <v>2393</v>
      </c>
      <c r="L1903" s="9">
        <v>46252</v>
      </c>
      <c r="M1903" s="5" t="s">
        <v>50</v>
      </c>
      <c r="N1903" s="5" t="s">
        <v>51</v>
      </c>
      <c r="O1903" s="5" t="s">
        <v>71</v>
      </c>
      <c r="P1903" s="5" t="s">
        <v>53</v>
      </c>
      <c r="Q1903" s="5" t="s">
        <v>73</v>
      </c>
      <c r="R1903" s="5" t="s">
        <v>74</v>
      </c>
      <c r="S1903" s="5" t="s">
        <v>185</v>
      </c>
      <c r="T1903" s="5" t="s">
        <v>57</v>
      </c>
      <c r="U1903" s="5" t="s">
        <v>58</v>
      </c>
      <c r="V1903" s="5" t="s">
        <v>200</v>
      </c>
      <c r="W1903" s="5" t="s">
        <v>433</v>
      </c>
      <c r="X1903" s="5" t="s">
        <v>3246</v>
      </c>
      <c r="Y1903" s="5" t="s">
        <v>7633</v>
      </c>
      <c r="Z1903" s="9">
        <v>46252</v>
      </c>
      <c r="AA1903" s="8">
        <v>12</v>
      </c>
      <c r="AB1903" s="9">
        <f t="shared" si="88"/>
        <v>46617</v>
      </c>
      <c r="AC1903" s="10">
        <v>12</v>
      </c>
      <c r="AD1903" s="7">
        <f t="shared" si="89"/>
        <v>2393</v>
      </c>
      <c r="AE1903" s="7">
        <f>IF(F1903="Bullet",H1903*AD1903,MIN(MAX(I1903,1),Assumptions!$B$6)*AD1903)</f>
        <v>2393</v>
      </c>
      <c r="AF1903" s="8">
        <f>IF(F1903="Bullet",MAX(0,Assumptions!$B$4-AB1903),MAX(0,Assumptions!$B$4-L1903))</f>
        <v>0</v>
      </c>
      <c r="AG1903" s="9"/>
      <c r="AH1903" s="8" t="str">
        <f>IF(AG1903="","",Assumptions!$B$4-AG1903)</f>
        <v/>
      </c>
      <c r="AI1903" s="5" t="s">
        <v>80</v>
      </c>
      <c r="AJ1903" s="8"/>
      <c r="AK1903" s="8">
        <v>0</v>
      </c>
      <c r="AL1903" s="8">
        <v>762</v>
      </c>
      <c r="AM1903" s="8">
        <v>1</v>
      </c>
      <c r="AN1903" s="5" t="s">
        <v>63</v>
      </c>
      <c r="AO1903" s="10">
        <v>87.4</v>
      </c>
      <c r="AP1903" s="8">
        <v>17</v>
      </c>
      <c r="AQ1903" s="9"/>
      <c r="AR1903" s="5"/>
      <c r="AS1903" s="5" t="s">
        <v>159</v>
      </c>
    </row>
    <row r="1904" spans="1:45" x14ac:dyDescent="0.35">
      <c r="A1904" s="5" t="s">
        <v>7634</v>
      </c>
      <c r="B1904" s="5" t="s">
        <v>2499</v>
      </c>
      <c r="C1904" s="6" t="s">
        <v>7635</v>
      </c>
      <c r="D1904" s="7">
        <v>66200</v>
      </c>
      <c r="E1904" s="5" t="s">
        <v>48</v>
      </c>
      <c r="F1904" s="5" t="s">
        <v>68</v>
      </c>
      <c r="G1904" s="8">
        <v>4</v>
      </c>
      <c r="H1904" s="8">
        <f>IF(F1904="Bullet",MIN(G1904,Assumptions!$B$6),"")</f>
        <v>2</v>
      </c>
      <c r="I1904" s="8"/>
      <c r="J1904" s="8" t="str">
        <f>IF(F1904="Monthly interest",MAX(0,Assumptions!$B$5-I1904),"")</f>
        <v/>
      </c>
      <c r="K1904" s="7">
        <f t="shared" si="87"/>
        <v>3972</v>
      </c>
      <c r="L1904" s="9">
        <v>46153</v>
      </c>
      <c r="M1904" s="5" t="s">
        <v>69</v>
      </c>
      <c r="N1904" s="5" t="s">
        <v>53</v>
      </c>
      <c r="O1904" s="5" t="s">
        <v>71</v>
      </c>
      <c r="P1904" s="5" t="s">
        <v>70</v>
      </c>
      <c r="Q1904" s="5" t="s">
        <v>73</v>
      </c>
      <c r="R1904" s="5" t="s">
        <v>74</v>
      </c>
      <c r="S1904" s="5" t="s">
        <v>75</v>
      </c>
      <c r="T1904" s="5" t="s">
        <v>57</v>
      </c>
      <c r="U1904" s="5" t="s">
        <v>86</v>
      </c>
      <c r="V1904" s="5" t="s">
        <v>76</v>
      </c>
      <c r="W1904" s="5" t="s">
        <v>105</v>
      </c>
      <c r="X1904" s="5" t="s">
        <v>111</v>
      </c>
      <c r="Y1904" s="5" t="s">
        <v>7636</v>
      </c>
      <c r="Z1904" s="9">
        <v>46153</v>
      </c>
      <c r="AA1904" s="8">
        <v>12</v>
      </c>
      <c r="AB1904" s="9">
        <f t="shared" si="88"/>
        <v>46518</v>
      </c>
      <c r="AC1904" s="10">
        <v>18</v>
      </c>
      <c r="AD1904" s="7">
        <f t="shared" si="89"/>
        <v>993</v>
      </c>
      <c r="AE1904" s="7">
        <f>IF(F1904="Bullet",H1904*AD1904,MIN(MAX(I1904,1),Assumptions!$B$6)*AD1904)</f>
        <v>1986</v>
      </c>
      <c r="AF1904" s="8">
        <f>IF(F1904="Bullet",MAX(0,Assumptions!$B$4-AB1904),MAX(0,Assumptions!$B$4-L1904))</f>
        <v>0</v>
      </c>
      <c r="AG1904" s="9"/>
      <c r="AH1904" s="8" t="str">
        <f>IF(AG1904="","",Assumptions!$B$4-AG1904)</f>
        <v/>
      </c>
      <c r="AI1904" s="5" t="s">
        <v>80</v>
      </c>
      <c r="AJ1904" s="8"/>
      <c r="AK1904" s="8">
        <v>1</v>
      </c>
      <c r="AL1904" s="8">
        <v>658</v>
      </c>
      <c r="AM1904" s="8">
        <v>1</v>
      </c>
      <c r="AN1904" s="5" t="s">
        <v>63</v>
      </c>
      <c r="AO1904" s="10">
        <v>68.900000000000006</v>
      </c>
      <c r="AP1904" s="8">
        <v>37</v>
      </c>
      <c r="AQ1904" s="9">
        <v>46286</v>
      </c>
      <c r="AR1904" s="5" t="s">
        <v>51</v>
      </c>
      <c r="AS1904" s="5" t="s">
        <v>64</v>
      </c>
    </row>
    <row r="1905" spans="1:45" x14ac:dyDescent="0.35">
      <c r="A1905" s="5" t="s">
        <v>7637</v>
      </c>
      <c r="B1905" s="5" t="s">
        <v>5597</v>
      </c>
      <c r="C1905" s="6" t="s">
        <v>7638</v>
      </c>
      <c r="D1905" s="7">
        <v>97200</v>
      </c>
      <c r="E1905" s="5" t="s">
        <v>48</v>
      </c>
      <c r="F1905" s="5" t="s">
        <v>49</v>
      </c>
      <c r="G1905" s="8"/>
      <c r="H1905" s="8" t="str">
        <f>IF(F1905="Bullet",MIN(G1905,Assumptions!$B$6),"")</f>
        <v/>
      </c>
      <c r="I1905" s="8">
        <v>2</v>
      </c>
      <c r="J1905" s="8">
        <f>IF(F1905="Monthly interest",MAX(0,Assumptions!$B$5-I1905),"")</f>
        <v>1</v>
      </c>
      <c r="K1905" s="7">
        <f t="shared" si="87"/>
        <v>3240</v>
      </c>
      <c r="L1905" s="9">
        <v>46240</v>
      </c>
      <c r="M1905" s="5" t="s">
        <v>116</v>
      </c>
      <c r="N1905" s="5" t="s">
        <v>117</v>
      </c>
      <c r="O1905" s="5" t="s">
        <v>118</v>
      </c>
      <c r="P1905" s="5" t="s">
        <v>72</v>
      </c>
      <c r="Q1905" s="5" t="s">
        <v>119</v>
      </c>
      <c r="R1905" s="5" t="s">
        <v>120</v>
      </c>
      <c r="S1905" s="5" t="s">
        <v>75</v>
      </c>
      <c r="T1905" s="5" t="s">
        <v>57</v>
      </c>
      <c r="U1905" s="5" t="s">
        <v>58</v>
      </c>
      <c r="V1905" s="5" t="s">
        <v>76</v>
      </c>
      <c r="W1905" s="5" t="s">
        <v>444</v>
      </c>
      <c r="X1905" s="5" t="s">
        <v>4220</v>
      </c>
      <c r="Y1905" s="5" t="s">
        <v>7639</v>
      </c>
      <c r="Z1905" s="9">
        <v>45967</v>
      </c>
      <c r="AA1905" s="8">
        <v>12</v>
      </c>
      <c r="AB1905" s="9">
        <f t="shared" si="88"/>
        <v>46332</v>
      </c>
      <c r="AC1905" s="10">
        <v>20</v>
      </c>
      <c r="AD1905" s="7">
        <f t="shared" si="89"/>
        <v>1620</v>
      </c>
      <c r="AE1905" s="7">
        <f>IF(F1905="Bullet",H1905*AD1905,MIN(MAX(I1905,1),Assumptions!$B$6)*AD1905)</f>
        <v>3240</v>
      </c>
      <c r="AF1905" s="8">
        <f>IF(F1905="Bullet",MAX(0,Assumptions!$B$4-AB1905),MAX(0,Assumptions!$B$4-L1905))</f>
        <v>58</v>
      </c>
      <c r="AG1905" s="9">
        <v>46213</v>
      </c>
      <c r="AH1905" s="8">
        <f>IF(AG1905="","",Assumptions!$B$4-AG1905)</f>
        <v>85</v>
      </c>
      <c r="AI1905" s="5" t="s">
        <v>63</v>
      </c>
      <c r="AJ1905" s="8">
        <v>3</v>
      </c>
      <c r="AK1905" s="8">
        <v>1</v>
      </c>
      <c r="AL1905" s="8">
        <v>680</v>
      </c>
      <c r="AM1905" s="8">
        <v>3</v>
      </c>
      <c r="AN1905" s="5" t="s">
        <v>63</v>
      </c>
      <c r="AO1905" s="10">
        <v>67.099999999999994</v>
      </c>
      <c r="AP1905" s="8">
        <v>52</v>
      </c>
      <c r="AQ1905" s="9">
        <v>46296</v>
      </c>
      <c r="AR1905" s="5" t="s">
        <v>70</v>
      </c>
      <c r="AS1905" s="5" t="s">
        <v>81</v>
      </c>
    </row>
    <row r="1906" spans="1:45" x14ac:dyDescent="0.35">
      <c r="A1906" s="5" t="s">
        <v>7640</v>
      </c>
      <c r="B1906" s="5" t="s">
        <v>7641</v>
      </c>
      <c r="C1906" s="6" t="s">
        <v>7642</v>
      </c>
      <c r="D1906" s="7">
        <v>74500</v>
      </c>
      <c r="E1906" s="5" t="s">
        <v>48</v>
      </c>
      <c r="F1906" s="5" t="s">
        <v>49</v>
      </c>
      <c r="G1906" s="8"/>
      <c r="H1906" s="8" t="str">
        <f>IF(F1906="Bullet",MIN(G1906,Assumptions!$B$6),"")</f>
        <v/>
      </c>
      <c r="I1906" s="8">
        <v>1</v>
      </c>
      <c r="J1906" s="8">
        <f>IF(F1906="Monthly interest",MAX(0,Assumptions!$B$5-I1906),"")</f>
        <v>2</v>
      </c>
      <c r="K1906" s="7">
        <f t="shared" si="87"/>
        <v>869</v>
      </c>
      <c r="L1906" s="9">
        <v>46270</v>
      </c>
      <c r="M1906" s="5" t="s">
        <v>50</v>
      </c>
      <c r="N1906" s="5" t="s">
        <v>51</v>
      </c>
      <c r="O1906" s="5" t="s">
        <v>52</v>
      </c>
      <c r="P1906" s="5" t="s">
        <v>53</v>
      </c>
      <c r="Q1906" s="5" t="s">
        <v>54</v>
      </c>
      <c r="R1906" s="5" t="s">
        <v>55</v>
      </c>
      <c r="S1906" s="5" t="s">
        <v>85</v>
      </c>
      <c r="T1906" s="5" t="s">
        <v>57</v>
      </c>
      <c r="U1906" s="5" t="s">
        <v>58</v>
      </c>
      <c r="V1906" s="5" t="s">
        <v>133</v>
      </c>
      <c r="W1906" s="5" t="s">
        <v>134</v>
      </c>
      <c r="X1906" s="5" t="s">
        <v>782</v>
      </c>
      <c r="Y1906" s="5" t="s">
        <v>7643</v>
      </c>
      <c r="Z1906" s="9">
        <v>46117</v>
      </c>
      <c r="AA1906" s="8">
        <v>24</v>
      </c>
      <c r="AB1906" s="9">
        <f t="shared" si="88"/>
        <v>46848</v>
      </c>
      <c r="AC1906" s="10">
        <v>14</v>
      </c>
      <c r="AD1906" s="7">
        <f t="shared" si="89"/>
        <v>869</v>
      </c>
      <c r="AE1906" s="7">
        <f>IF(F1906="Bullet",H1906*AD1906,MIN(MAX(I1906,1),Assumptions!$B$6)*AD1906)</f>
        <v>869</v>
      </c>
      <c r="AF1906" s="8">
        <f>IF(F1906="Bullet",MAX(0,Assumptions!$B$4-AB1906),MAX(0,Assumptions!$B$4-L1906))</f>
        <v>28</v>
      </c>
      <c r="AG1906" s="9">
        <v>46243</v>
      </c>
      <c r="AH1906" s="8">
        <f>IF(AG1906="","",Assumptions!$B$4-AG1906)</f>
        <v>55</v>
      </c>
      <c r="AI1906" s="5" t="s">
        <v>63</v>
      </c>
      <c r="AJ1906" s="8">
        <v>1</v>
      </c>
      <c r="AK1906" s="8">
        <v>0</v>
      </c>
      <c r="AL1906" s="8">
        <v>742</v>
      </c>
      <c r="AM1906" s="8">
        <v>0</v>
      </c>
      <c r="AN1906" s="5" t="s">
        <v>63</v>
      </c>
      <c r="AO1906" s="10">
        <v>66.599999999999994</v>
      </c>
      <c r="AP1906" s="8">
        <v>19</v>
      </c>
      <c r="AQ1906" s="9">
        <v>46284</v>
      </c>
      <c r="AR1906" s="5" t="s">
        <v>51</v>
      </c>
      <c r="AS1906" s="5" t="s">
        <v>190</v>
      </c>
    </row>
    <row r="1907" spans="1:45" x14ac:dyDescent="0.35">
      <c r="A1907" s="5" t="s">
        <v>7644</v>
      </c>
      <c r="B1907" s="5" t="s">
        <v>7376</v>
      </c>
      <c r="C1907" s="6" t="s">
        <v>7645</v>
      </c>
      <c r="D1907" s="7">
        <v>207800</v>
      </c>
      <c r="E1907" s="5" t="s">
        <v>48</v>
      </c>
      <c r="F1907" s="5" t="s">
        <v>68</v>
      </c>
      <c r="G1907" s="8">
        <v>5</v>
      </c>
      <c r="H1907" s="8">
        <f>IF(F1907="Bullet",MIN(G1907,Assumptions!$B$6),"")</f>
        <v>2</v>
      </c>
      <c r="I1907" s="8"/>
      <c r="J1907" s="8" t="str">
        <f>IF(F1907="Monthly interest",MAX(0,Assumptions!$B$5-I1907),"")</f>
        <v/>
      </c>
      <c r="K1907" s="7">
        <f t="shared" si="87"/>
        <v>15585</v>
      </c>
      <c r="L1907" s="9">
        <v>46140</v>
      </c>
      <c r="M1907" s="5" t="s">
        <v>69</v>
      </c>
      <c r="N1907" s="5" t="s">
        <v>70</v>
      </c>
      <c r="O1907" s="5" t="s">
        <v>531</v>
      </c>
      <c r="P1907" s="5" t="s">
        <v>72</v>
      </c>
      <c r="Q1907" s="5" t="s">
        <v>169</v>
      </c>
      <c r="R1907" s="5" t="s">
        <v>170</v>
      </c>
      <c r="S1907" s="5" t="s">
        <v>185</v>
      </c>
      <c r="T1907" s="5" t="s">
        <v>57</v>
      </c>
      <c r="U1907" s="5" t="s">
        <v>86</v>
      </c>
      <c r="V1907" s="5" t="s">
        <v>200</v>
      </c>
      <c r="W1907" s="5" t="s">
        <v>433</v>
      </c>
      <c r="X1907" s="5" t="s">
        <v>2668</v>
      </c>
      <c r="Y1907" s="5" t="s">
        <v>7646</v>
      </c>
      <c r="Z1907" s="9">
        <v>46140</v>
      </c>
      <c r="AA1907" s="8">
        <v>6</v>
      </c>
      <c r="AB1907" s="9">
        <f t="shared" si="88"/>
        <v>46323</v>
      </c>
      <c r="AC1907" s="10">
        <v>18</v>
      </c>
      <c r="AD1907" s="7">
        <f t="shared" si="89"/>
        <v>3117</v>
      </c>
      <c r="AE1907" s="7">
        <f>IF(F1907="Bullet",H1907*AD1907,MIN(MAX(I1907,1),Assumptions!$B$6)*AD1907)</f>
        <v>6234</v>
      </c>
      <c r="AF1907" s="8">
        <f>IF(F1907="Bullet",MAX(0,Assumptions!$B$4-AB1907),MAX(0,Assumptions!$B$4-L1907))</f>
        <v>0</v>
      </c>
      <c r="AG1907" s="9"/>
      <c r="AH1907" s="8" t="str">
        <f>IF(AG1907="","",Assumptions!$B$4-AG1907)</f>
        <v/>
      </c>
      <c r="AI1907" s="5" t="s">
        <v>80</v>
      </c>
      <c r="AJ1907" s="8"/>
      <c r="AK1907" s="8">
        <v>1</v>
      </c>
      <c r="AL1907" s="8">
        <v>766</v>
      </c>
      <c r="AM1907" s="8">
        <v>1</v>
      </c>
      <c r="AN1907" s="5" t="s">
        <v>63</v>
      </c>
      <c r="AO1907" s="10">
        <v>68.5</v>
      </c>
      <c r="AP1907" s="8">
        <v>37</v>
      </c>
      <c r="AQ1907" s="9">
        <v>46293</v>
      </c>
      <c r="AR1907" s="5" t="s">
        <v>53</v>
      </c>
      <c r="AS1907" s="5" t="s">
        <v>81</v>
      </c>
    </row>
    <row r="1908" spans="1:45" x14ac:dyDescent="0.35">
      <c r="A1908" s="5" t="s">
        <v>7647</v>
      </c>
      <c r="B1908" s="5" t="s">
        <v>2841</v>
      </c>
      <c r="C1908" s="6" t="s">
        <v>7648</v>
      </c>
      <c r="D1908" s="7">
        <v>151900</v>
      </c>
      <c r="E1908" s="5" t="s">
        <v>48</v>
      </c>
      <c r="F1908" s="5" t="s">
        <v>68</v>
      </c>
      <c r="G1908" s="8">
        <v>1</v>
      </c>
      <c r="H1908" s="8">
        <f>IF(F1908="Bullet",MIN(G1908,Assumptions!$B$6),"")</f>
        <v>1</v>
      </c>
      <c r="I1908" s="8"/>
      <c r="J1908" s="8" t="str">
        <f>IF(F1908="Monthly interest",MAX(0,Assumptions!$B$5-I1908),"")</f>
        <v/>
      </c>
      <c r="K1908" s="7">
        <f t="shared" si="87"/>
        <v>1646</v>
      </c>
      <c r="L1908" s="9">
        <v>46247</v>
      </c>
      <c r="M1908" s="5" t="s">
        <v>50</v>
      </c>
      <c r="N1908" s="5" t="s">
        <v>51</v>
      </c>
      <c r="O1908" s="5" t="s">
        <v>71</v>
      </c>
      <c r="P1908" s="5" t="s">
        <v>53</v>
      </c>
      <c r="Q1908" s="5" t="s">
        <v>73</v>
      </c>
      <c r="R1908" s="5" t="s">
        <v>74</v>
      </c>
      <c r="S1908" s="5" t="s">
        <v>56</v>
      </c>
      <c r="T1908" s="5" t="s">
        <v>57</v>
      </c>
      <c r="U1908" s="5" t="s">
        <v>86</v>
      </c>
      <c r="V1908" s="5" t="s">
        <v>59</v>
      </c>
      <c r="W1908" s="5" t="s">
        <v>156</v>
      </c>
      <c r="X1908" s="5" t="s">
        <v>1500</v>
      </c>
      <c r="Y1908" s="5" t="s">
        <v>7649</v>
      </c>
      <c r="Z1908" s="9">
        <v>46247</v>
      </c>
      <c r="AA1908" s="8">
        <v>12</v>
      </c>
      <c r="AB1908" s="9">
        <f t="shared" si="88"/>
        <v>46612</v>
      </c>
      <c r="AC1908" s="10">
        <v>13</v>
      </c>
      <c r="AD1908" s="7">
        <f t="shared" si="89"/>
        <v>1646</v>
      </c>
      <c r="AE1908" s="7">
        <f>IF(F1908="Bullet",H1908*AD1908,MIN(MAX(I1908,1),Assumptions!$B$6)*AD1908)</f>
        <v>1646</v>
      </c>
      <c r="AF1908" s="8">
        <f>IF(F1908="Bullet",MAX(0,Assumptions!$B$4-AB1908),MAX(0,Assumptions!$B$4-L1908))</f>
        <v>0</v>
      </c>
      <c r="AG1908" s="9"/>
      <c r="AH1908" s="8" t="str">
        <f>IF(AG1908="","",Assumptions!$B$4-AG1908)</f>
        <v/>
      </c>
      <c r="AI1908" s="5" t="s">
        <v>80</v>
      </c>
      <c r="AJ1908" s="8"/>
      <c r="AK1908" s="8">
        <v>0</v>
      </c>
      <c r="AL1908" s="8">
        <v>747</v>
      </c>
      <c r="AM1908" s="8">
        <v>1</v>
      </c>
      <c r="AN1908" s="5" t="s">
        <v>63</v>
      </c>
      <c r="AO1908" s="10">
        <v>62.8</v>
      </c>
      <c r="AP1908" s="8">
        <v>6</v>
      </c>
      <c r="AQ1908" s="9"/>
      <c r="AR1908" s="5"/>
      <c r="AS1908" s="5" t="s">
        <v>159</v>
      </c>
    </row>
    <row r="1909" spans="1:45" x14ac:dyDescent="0.35">
      <c r="A1909" s="5" t="s">
        <v>7650</v>
      </c>
      <c r="B1909" s="5" t="s">
        <v>7651</v>
      </c>
      <c r="C1909" s="6" t="s">
        <v>7652</v>
      </c>
      <c r="D1909" s="7">
        <v>99800</v>
      </c>
      <c r="E1909" s="5" t="s">
        <v>48</v>
      </c>
      <c r="F1909" s="5" t="s">
        <v>68</v>
      </c>
      <c r="G1909" s="8">
        <v>3</v>
      </c>
      <c r="H1909" s="8">
        <f>IF(F1909="Bullet",MIN(G1909,Assumptions!$B$6),"")</f>
        <v>2</v>
      </c>
      <c r="I1909" s="8"/>
      <c r="J1909" s="8" t="str">
        <f>IF(F1909="Monthly interest",MAX(0,Assumptions!$B$5-I1909),"")</f>
        <v/>
      </c>
      <c r="K1909" s="7">
        <f t="shared" si="87"/>
        <v>3744</v>
      </c>
      <c r="L1909" s="9">
        <v>46196</v>
      </c>
      <c r="M1909" s="5" t="s">
        <v>50</v>
      </c>
      <c r="N1909" s="5" t="s">
        <v>53</v>
      </c>
      <c r="O1909" s="5" t="s">
        <v>71</v>
      </c>
      <c r="P1909" s="5" t="s">
        <v>51</v>
      </c>
      <c r="Q1909" s="5" t="s">
        <v>73</v>
      </c>
      <c r="R1909" s="5" t="s">
        <v>74</v>
      </c>
      <c r="S1909" s="5" t="s">
        <v>253</v>
      </c>
      <c r="T1909" s="5" t="s">
        <v>57</v>
      </c>
      <c r="U1909" s="5" t="s">
        <v>86</v>
      </c>
      <c r="V1909" s="5" t="s">
        <v>133</v>
      </c>
      <c r="W1909" s="5" t="s">
        <v>134</v>
      </c>
      <c r="X1909" s="5" t="s">
        <v>815</v>
      </c>
      <c r="Y1909" s="5" t="s">
        <v>7653</v>
      </c>
      <c r="Z1909" s="9">
        <v>46196</v>
      </c>
      <c r="AA1909" s="8">
        <v>6</v>
      </c>
      <c r="AB1909" s="9">
        <f t="shared" si="88"/>
        <v>46379</v>
      </c>
      <c r="AC1909" s="10">
        <v>15</v>
      </c>
      <c r="AD1909" s="7">
        <f t="shared" si="89"/>
        <v>1248</v>
      </c>
      <c r="AE1909" s="7">
        <f>IF(F1909="Bullet",H1909*AD1909,MIN(MAX(I1909,1),Assumptions!$B$6)*AD1909)</f>
        <v>2496</v>
      </c>
      <c r="AF1909" s="8">
        <f>IF(F1909="Bullet",MAX(0,Assumptions!$B$4-AB1909),MAX(0,Assumptions!$B$4-L1909))</f>
        <v>0</v>
      </c>
      <c r="AG1909" s="9"/>
      <c r="AH1909" s="8" t="str">
        <f>IF(AG1909="","",Assumptions!$B$4-AG1909)</f>
        <v/>
      </c>
      <c r="AI1909" s="5" t="s">
        <v>80</v>
      </c>
      <c r="AJ1909" s="8"/>
      <c r="AK1909" s="8">
        <v>2</v>
      </c>
      <c r="AL1909" s="8">
        <v>767</v>
      </c>
      <c r="AM1909" s="8">
        <v>1</v>
      </c>
      <c r="AN1909" s="5" t="s">
        <v>63</v>
      </c>
      <c r="AO1909" s="10">
        <v>74.599999999999994</v>
      </c>
      <c r="AP1909" s="8">
        <v>22</v>
      </c>
      <c r="AQ1909" s="9">
        <v>46290</v>
      </c>
      <c r="AR1909" s="5" t="s">
        <v>51</v>
      </c>
      <c r="AS1909" s="5" t="s">
        <v>181</v>
      </c>
    </row>
    <row r="1910" spans="1:45" x14ac:dyDescent="0.35">
      <c r="A1910" s="5" t="s">
        <v>7654</v>
      </c>
      <c r="B1910" s="5" t="s">
        <v>2893</v>
      </c>
      <c r="C1910" s="6" t="s">
        <v>7655</v>
      </c>
      <c r="D1910" s="7">
        <v>222700</v>
      </c>
      <c r="E1910" s="5" t="s">
        <v>48</v>
      </c>
      <c r="F1910" s="5" t="s">
        <v>68</v>
      </c>
      <c r="G1910" s="8">
        <v>4</v>
      </c>
      <c r="H1910" s="8">
        <f>IF(F1910="Bullet",MIN(G1910,Assumptions!$B$6),"")</f>
        <v>2</v>
      </c>
      <c r="I1910" s="8"/>
      <c r="J1910" s="8" t="str">
        <f>IF(F1910="Monthly interest",MAX(0,Assumptions!$B$5-I1910),"")</f>
        <v/>
      </c>
      <c r="K1910" s="7">
        <f t="shared" si="87"/>
        <v>8908</v>
      </c>
      <c r="L1910" s="9">
        <v>46169</v>
      </c>
      <c r="M1910" s="5" t="s">
        <v>116</v>
      </c>
      <c r="N1910" s="5" t="s">
        <v>117</v>
      </c>
      <c r="O1910" s="5" t="s">
        <v>207</v>
      </c>
      <c r="P1910" s="5" t="s">
        <v>72</v>
      </c>
      <c r="Q1910" s="5" t="s">
        <v>73</v>
      </c>
      <c r="R1910" s="5" t="s">
        <v>74</v>
      </c>
      <c r="S1910" s="5" t="s">
        <v>75</v>
      </c>
      <c r="T1910" s="5" t="s">
        <v>57</v>
      </c>
      <c r="U1910" s="5" t="s">
        <v>58</v>
      </c>
      <c r="V1910" s="5" t="s">
        <v>76</v>
      </c>
      <c r="W1910" s="5" t="s">
        <v>382</v>
      </c>
      <c r="X1910" s="5" t="s">
        <v>2454</v>
      </c>
      <c r="Y1910" s="5" t="s">
        <v>7656</v>
      </c>
      <c r="Z1910" s="9">
        <v>46169</v>
      </c>
      <c r="AA1910" s="8">
        <v>3</v>
      </c>
      <c r="AB1910" s="9">
        <f t="shared" si="88"/>
        <v>46261</v>
      </c>
      <c r="AC1910" s="10">
        <v>12</v>
      </c>
      <c r="AD1910" s="7">
        <f t="shared" si="89"/>
        <v>2227</v>
      </c>
      <c r="AE1910" s="7">
        <f>IF(F1910="Bullet",H1910*AD1910,MIN(MAX(I1910,1),Assumptions!$B$6)*AD1910)</f>
        <v>4454</v>
      </c>
      <c r="AF1910" s="8">
        <f>IF(F1910="Bullet",MAX(0,Assumptions!$B$4-AB1910),MAX(0,Assumptions!$B$4-L1910))</f>
        <v>37</v>
      </c>
      <c r="AG1910" s="9"/>
      <c r="AH1910" s="8" t="str">
        <f>IF(AG1910="","",Assumptions!$B$4-AG1910)</f>
        <v/>
      </c>
      <c r="AI1910" s="5" t="s">
        <v>80</v>
      </c>
      <c r="AJ1910" s="8"/>
      <c r="AK1910" s="8">
        <v>2</v>
      </c>
      <c r="AL1910" s="8">
        <v>649</v>
      </c>
      <c r="AM1910" s="8">
        <v>1</v>
      </c>
      <c r="AN1910" s="5" t="s">
        <v>63</v>
      </c>
      <c r="AO1910" s="10">
        <v>60.1</v>
      </c>
      <c r="AP1910" s="8">
        <v>61</v>
      </c>
      <c r="AQ1910" s="9">
        <v>46297</v>
      </c>
      <c r="AR1910" s="5" t="s">
        <v>51</v>
      </c>
      <c r="AS1910" s="5" t="s">
        <v>91</v>
      </c>
    </row>
    <row r="1911" spans="1:45" x14ac:dyDescent="0.35">
      <c r="A1911" s="5" t="s">
        <v>7657</v>
      </c>
      <c r="B1911" s="5" t="s">
        <v>2390</v>
      </c>
      <c r="C1911" s="6" t="s">
        <v>7658</v>
      </c>
      <c r="D1911" s="7">
        <v>177200</v>
      </c>
      <c r="E1911" s="5" t="s">
        <v>48</v>
      </c>
      <c r="F1911" s="5" t="s">
        <v>68</v>
      </c>
      <c r="G1911" s="8">
        <v>3</v>
      </c>
      <c r="H1911" s="8">
        <f>IF(F1911="Bullet",MIN(G1911,Assumptions!$B$6),"")</f>
        <v>2</v>
      </c>
      <c r="I1911" s="8"/>
      <c r="J1911" s="8" t="str">
        <f>IF(F1911="Monthly interest",MAX(0,Assumptions!$B$5-I1911),"")</f>
        <v/>
      </c>
      <c r="K1911" s="7">
        <f t="shared" si="87"/>
        <v>7089</v>
      </c>
      <c r="L1911" s="9">
        <v>46205</v>
      </c>
      <c r="M1911" s="5" t="s">
        <v>69</v>
      </c>
      <c r="N1911" s="5" t="s">
        <v>53</v>
      </c>
      <c r="O1911" s="5" t="s">
        <v>71</v>
      </c>
      <c r="P1911" s="5" t="s">
        <v>70</v>
      </c>
      <c r="Q1911" s="5" t="s">
        <v>73</v>
      </c>
      <c r="R1911" s="5" t="s">
        <v>74</v>
      </c>
      <c r="S1911" s="5" t="s">
        <v>214</v>
      </c>
      <c r="T1911" s="5" t="s">
        <v>57</v>
      </c>
      <c r="U1911" s="5" t="s">
        <v>86</v>
      </c>
      <c r="V1911" s="5" t="s">
        <v>215</v>
      </c>
      <c r="W1911" s="5" t="s">
        <v>232</v>
      </c>
      <c r="X1911" s="5" t="s">
        <v>3242</v>
      </c>
      <c r="Y1911" s="5" t="s">
        <v>7659</v>
      </c>
      <c r="Z1911" s="9">
        <v>46205</v>
      </c>
      <c r="AA1911" s="8">
        <v>6</v>
      </c>
      <c r="AB1911" s="9">
        <f t="shared" si="88"/>
        <v>46389</v>
      </c>
      <c r="AC1911" s="10">
        <v>16</v>
      </c>
      <c r="AD1911" s="7">
        <f t="shared" si="89"/>
        <v>2363</v>
      </c>
      <c r="AE1911" s="7">
        <f>IF(F1911="Bullet",H1911*AD1911,MIN(MAX(I1911,1),Assumptions!$B$6)*AD1911)</f>
        <v>4726</v>
      </c>
      <c r="AF1911" s="8">
        <f>IF(F1911="Bullet",MAX(0,Assumptions!$B$4-AB1911),MAX(0,Assumptions!$B$4-L1911))</f>
        <v>0</v>
      </c>
      <c r="AG1911" s="9"/>
      <c r="AH1911" s="8" t="str">
        <f>IF(AG1911="","",Assumptions!$B$4-AG1911)</f>
        <v/>
      </c>
      <c r="AI1911" s="5" t="s">
        <v>80</v>
      </c>
      <c r="AJ1911" s="8"/>
      <c r="AK1911" s="8">
        <v>3</v>
      </c>
      <c r="AL1911" s="8">
        <v>717</v>
      </c>
      <c r="AM1911" s="8">
        <v>0</v>
      </c>
      <c r="AN1911" s="5" t="s">
        <v>63</v>
      </c>
      <c r="AO1911" s="10">
        <v>64.3</v>
      </c>
      <c r="AP1911" s="8">
        <v>35</v>
      </c>
      <c r="AQ1911" s="9"/>
      <c r="AR1911" s="5"/>
      <c r="AS1911" s="5" t="s">
        <v>159</v>
      </c>
    </row>
    <row r="1912" spans="1:45" x14ac:dyDescent="0.35">
      <c r="A1912" s="5" t="s">
        <v>7660</v>
      </c>
      <c r="B1912" s="5" t="s">
        <v>2141</v>
      </c>
      <c r="C1912" s="6" t="s">
        <v>7661</v>
      </c>
      <c r="D1912" s="7">
        <v>76700</v>
      </c>
      <c r="E1912" s="5" t="s">
        <v>48</v>
      </c>
      <c r="F1912" s="5" t="s">
        <v>49</v>
      </c>
      <c r="G1912" s="8"/>
      <c r="H1912" s="8" t="str">
        <f>IF(F1912="Bullet",MIN(G1912,Assumptions!$B$6),"")</f>
        <v/>
      </c>
      <c r="I1912" s="8">
        <v>1</v>
      </c>
      <c r="J1912" s="8">
        <f>IF(F1912="Monthly interest",MAX(0,Assumptions!$B$5-I1912),"")</f>
        <v>2</v>
      </c>
      <c r="K1912" s="7">
        <f t="shared" si="87"/>
        <v>1534</v>
      </c>
      <c r="L1912" s="9">
        <v>46283</v>
      </c>
      <c r="M1912" s="5" t="s">
        <v>50</v>
      </c>
      <c r="N1912" s="5" t="s">
        <v>53</v>
      </c>
      <c r="O1912" s="5" t="s">
        <v>132</v>
      </c>
      <c r="P1912" s="5" t="s">
        <v>51</v>
      </c>
      <c r="Q1912" s="5" t="s">
        <v>54</v>
      </c>
      <c r="R1912" s="5" t="s">
        <v>55</v>
      </c>
      <c r="S1912" s="5" t="s">
        <v>56</v>
      </c>
      <c r="T1912" s="5" t="s">
        <v>57</v>
      </c>
      <c r="U1912" s="5" t="s">
        <v>86</v>
      </c>
      <c r="V1912" s="5" t="s">
        <v>59</v>
      </c>
      <c r="W1912" s="5" t="s">
        <v>126</v>
      </c>
      <c r="X1912" s="5" t="s">
        <v>127</v>
      </c>
      <c r="Y1912" s="5" t="s">
        <v>7662</v>
      </c>
      <c r="Z1912" s="9">
        <v>46130</v>
      </c>
      <c r="AA1912" s="8">
        <v>12</v>
      </c>
      <c r="AB1912" s="9">
        <f t="shared" si="88"/>
        <v>46495</v>
      </c>
      <c r="AC1912" s="10">
        <v>24</v>
      </c>
      <c r="AD1912" s="7">
        <f t="shared" si="89"/>
        <v>1534</v>
      </c>
      <c r="AE1912" s="7">
        <f>IF(F1912="Bullet",H1912*AD1912,MIN(MAX(I1912,1),Assumptions!$B$6)*AD1912)</f>
        <v>1534</v>
      </c>
      <c r="AF1912" s="8">
        <f>IF(F1912="Bullet",MAX(0,Assumptions!$B$4-AB1912),MAX(0,Assumptions!$B$4-L1912))</f>
        <v>15</v>
      </c>
      <c r="AG1912" s="9">
        <v>46255</v>
      </c>
      <c r="AH1912" s="8">
        <f>IF(AG1912="","",Assumptions!$B$4-AG1912)</f>
        <v>43</v>
      </c>
      <c r="AI1912" s="5" t="s">
        <v>63</v>
      </c>
      <c r="AJ1912" s="8">
        <v>2</v>
      </c>
      <c r="AK1912" s="8">
        <v>0</v>
      </c>
      <c r="AL1912" s="8">
        <v>737</v>
      </c>
      <c r="AM1912" s="8">
        <v>0</v>
      </c>
      <c r="AN1912" s="5" t="s">
        <v>63</v>
      </c>
      <c r="AO1912" s="10">
        <v>69.3</v>
      </c>
      <c r="AP1912" s="8">
        <v>25</v>
      </c>
      <c r="AQ1912" s="9">
        <v>46281</v>
      </c>
      <c r="AR1912" s="5" t="s">
        <v>51</v>
      </c>
      <c r="AS1912" s="5" t="s">
        <v>91</v>
      </c>
    </row>
    <row r="1913" spans="1:45" x14ac:dyDescent="0.35">
      <c r="A1913" s="5" t="s">
        <v>7663</v>
      </c>
      <c r="B1913" s="5" t="s">
        <v>7664</v>
      </c>
      <c r="C1913" s="6" t="s">
        <v>7665</v>
      </c>
      <c r="D1913" s="7">
        <v>233800</v>
      </c>
      <c r="E1913" s="5" t="s">
        <v>48</v>
      </c>
      <c r="F1913" s="5" t="s">
        <v>49</v>
      </c>
      <c r="G1913" s="8"/>
      <c r="H1913" s="8" t="str">
        <f>IF(F1913="Bullet",MIN(G1913,Assumptions!$B$6),"")</f>
        <v/>
      </c>
      <c r="I1913" s="8">
        <v>1</v>
      </c>
      <c r="J1913" s="8">
        <f>IF(F1913="Monthly interest",MAX(0,Assumptions!$B$5-I1913),"")</f>
        <v>2</v>
      </c>
      <c r="K1913" s="7">
        <f t="shared" si="87"/>
        <v>2923</v>
      </c>
      <c r="L1913" s="9">
        <v>46292</v>
      </c>
      <c r="M1913" s="5" t="s">
        <v>50</v>
      </c>
      <c r="N1913" s="5" t="s">
        <v>51</v>
      </c>
      <c r="O1913" s="5" t="s">
        <v>52</v>
      </c>
      <c r="P1913" s="5" t="s">
        <v>53</v>
      </c>
      <c r="Q1913" s="5" t="s">
        <v>54</v>
      </c>
      <c r="R1913" s="5" t="s">
        <v>55</v>
      </c>
      <c r="S1913" s="5" t="s">
        <v>75</v>
      </c>
      <c r="T1913" s="5" t="s">
        <v>57</v>
      </c>
      <c r="U1913" s="5" t="s">
        <v>58</v>
      </c>
      <c r="V1913" s="5" t="s">
        <v>76</v>
      </c>
      <c r="W1913" s="5" t="s">
        <v>547</v>
      </c>
      <c r="X1913" s="5" t="s">
        <v>4863</v>
      </c>
      <c r="Y1913" s="5" t="s">
        <v>7666</v>
      </c>
      <c r="Z1913" s="9">
        <v>46049</v>
      </c>
      <c r="AA1913" s="8">
        <v>12</v>
      </c>
      <c r="AB1913" s="9">
        <f t="shared" si="88"/>
        <v>46414</v>
      </c>
      <c r="AC1913" s="10">
        <v>15</v>
      </c>
      <c r="AD1913" s="7">
        <f t="shared" si="89"/>
        <v>2923</v>
      </c>
      <c r="AE1913" s="7">
        <f>IF(F1913="Bullet",H1913*AD1913,MIN(MAX(I1913,1),Assumptions!$B$6)*AD1913)</f>
        <v>2923</v>
      </c>
      <c r="AF1913" s="8">
        <f>IF(F1913="Bullet",MAX(0,Assumptions!$B$4-AB1913),MAX(0,Assumptions!$B$4-L1913))</f>
        <v>6</v>
      </c>
      <c r="AG1913" s="9">
        <v>46262</v>
      </c>
      <c r="AH1913" s="8">
        <f>IF(AG1913="","",Assumptions!$B$4-AG1913)</f>
        <v>36</v>
      </c>
      <c r="AI1913" s="5" t="s">
        <v>63</v>
      </c>
      <c r="AJ1913" s="8">
        <v>1</v>
      </c>
      <c r="AK1913" s="8">
        <v>0</v>
      </c>
      <c r="AL1913" s="8">
        <v>691</v>
      </c>
      <c r="AM1913" s="8">
        <v>0</v>
      </c>
      <c r="AN1913" s="5" t="s">
        <v>63</v>
      </c>
      <c r="AO1913" s="10">
        <v>75.2</v>
      </c>
      <c r="AP1913" s="8">
        <v>26</v>
      </c>
      <c r="AQ1913" s="9">
        <v>46289</v>
      </c>
      <c r="AR1913" s="5" t="s">
        <v>53</v>
      </c>
      <c r="AS1913" s="5" t="s">
        <v>81</v>
      </c>
    </row>
    <row r="1914" spans="1:45" x14ac:dyDescent="0.35">
      <c r="A1914" s="5" t="s">
        <v>7667</v>
      </c>
      <c r="B1914" s="5" t="s">
        <v>5733</v>
      </c>
      <c r="C1914" s="6" t="s">
        <v>7668</v>
      </c>
      <c r="D1914" s="7">
        <v>481700</v>
      </c>
      <c r="E1914" s="5" t="s">
        <v>48</v>
      </c>
      <c r="F1914" s="5" t="s">
        <v>49</v>
      </c>
      <c r="G1914" s="8"/>
      <c r="H1914" s="8" t="str">
        <f>IF(F1914="Bullet",MIN(G1914,Assumptions!$B$6),"")</f>
        <v/>
      </c>
      <c r="I1914" s="8">
        <v>1</v>
      </c>
      <c r="J1914" s="8">
        <f>IF(F1914="Monthly interest",MAX(0,Assumptions!$B$5-I1914),"")</f>
        <v>2</v>
      </c>
      <c r="K1914" s="7">
        <f t="shared" si="87"/>
        <v>8831</v>
      </c>
      <c r="L1914" s="9">
        <v>46283</v>
      </c>
      <c r="M1914" s="5" t="s">
        <v>69</v>
      </c>
      <c r="N1914" s="5" t="s">
        <v>51</v>
      </c>
      <c r="O1914" s="5" t="s">
        <v>52</v>
      </c>
      <c r="P1914" s="5" t="s">
        <v>53</v>
      </c>
      <c r="Q1914" s="5" t="s">
        <v>54</v>
      </c>
      <c r="R1914" s="5" t="s">
        <v>55</v>
      </c>
      <c r="S1914" s="5" t="s">
        <v>75</v>
      </c>
      <c r="T1914" s="5" t="s">
        <v>57</v>
      </c>
      <c r="U1914" s="5" t="s">
        <v>104</v>
      </c>
      <c r="V1914" s="5" t="s">
        <v>76</v>
      </c>
      <c r="W1914" s="5" t="s">
        <v>306</v>
      </c>
      <c r="X1914" s="5" t="s">
        <v>307</v>
      </c>
      <c r="Y1914" s="5" t="s">
        <v>7669</v>
      </c>
      <c r="Z1914" s="9">
        <v>46221</v>
      </c>
      <c r="AA1914" s="8">
        <v>18</v>
      </c>
      <c r="AB1914" s="9">
        <f t="shared" si="88"/>
        <v>46770</v>
      </c>
      <c r="AC1914" s="10">
        <v>22</v>
      </c>
      <c r="AD1914" s="7">
        <f t="shared" si="89"/>
        <v>8831</v>
      </c>
      <c r="AE1914" s="7">
        <f>IF(F1914="Bullet",H1914*AD1914,MIN(MAX(I1914,1),Assumptions!$B$6)*AD1914)</f>
        <v>8831</v>
      </c>
      <c r="AF1914" s="8">
        <f>IF(F1914="Bullet",MAX(0,Assumptions!$B$4-AB1914),MAX(0,Assumptions!$B$4-L1914))</f>
        <v>15</v>
      </c>
      <c r="AG1914" s="9">
        <v>46255</v>
      </c>
      <c r="AH1914" s="8">
        <f>IF(AG1914="","",Assumptions!$B$4-AG1914)</f>
        <v>43</v>
      </c>
      <c r="AI1914" s="5" t="s">
        <v>63</v>
      </c>
      <c r="AJ1914" s="8">
        <v>1</v>
      </c>
      <c r="AK1914" s="8">
        <v>1</v>
      </c>
      <c r="AL1914" s="8">
        <v>658</v>
      </c>
      <c r="AM1914" s="8">
        <v>1</v>
      </c>
      <c r="AN1914" s="5" t="s">
        <v>63</v>
      </c>
      <c r="AO1914" s="10">
        <v>65.8</v>
      </c>
      <c r="AP1914" s="8">
        <v>36</v>
      </c>
      <c r="AQ1914" s="9">
        <v>46290</v>
      </c>
      <c r="AR1914" s="5" t="s">
        <v>51</v>
      </c>
      <c r="AS1914" s="5" t="s">
        <v>64</v>
      </c>
    </row>
    <row r="1915" spans="1:45" x14ac:dyDescent="0.35">
      <c r="A1915" s="5" t="s">
        <v>7670</v>
      </c>
      <c r="B1915" s="5" t="s">
        <v>6440</v>
      </c>
      <c r="C1915" s="6" t="s">
        <v>7671</v>
      </c>
      <c r="D1915" s="7">
        <v>356300</v>
      </c>
      <c r="E1915" s="5" t="s">
        <v>48</v>
      </c>
      <c r="F1915" s="5" t="s">
        <v>49</v>
      </c>
      <c r="G1915" s="8"/>
      <c r="H1915" s="8" t="str">
        <f>IF(F1915="Bullet",MIN(G1915,Assumptions!$B$6),"")</f>
        <v/>
      </c>
      <c r="I1915" s="8">
        <v>2</v>
      </c>
      <c r="J1915" s="8">
        <f>IF(F1915="Monthly interest",MAX(0,Assumptions!$B$5-I1915),"")</f>
        <v>1</v>
      </c>
      <c r="K1915" s="7">
        <f t="shared" si="87"/>
        <v>8314</v>
      </c>
      <c r="L1915" s="9">
        <v>46246</v>
      </c>
      <c r="M1915" s="5" t="s">
        <v>69</v>
      </c>
      <c r="N1915" s="5" t="s">
        <v>70</v>
      </c>
      <c r="O1915" s="5" t="s">
        <v>71</v>
      </c>
      <c r="P1915" s="5" t="s">
        <v>72</v>
      </c>
      <c r="Q1915" s="5" t="s">
        <v>73</v>
      </c>
      <c r="R1915" s="5" t="s">
        <v>74</v>
      </c>
      <c r="S1915" s="5" t="s">
        <v>85</v>
      </c>
      <c r="T1915" s="5" t="s">
        <v>57</v>
      </c>
      <c r="U1915" s="5" t="s">
        <v>86</v>
      </c>
      <c r="V1915" s="5" t="s">
        <v>177</v>
      </c>
      <c r="W1915" s="5" t="s">
        <v>208</v>
      </c>
      <c r="X1915" s="5" t="s">
        <v>1817</v>
      </c>
      <c r="Y1915" s="5" t="s">
        <v>7672</v>
      </c>
      <c r="Z1915" s="9">
        <v>46003</v>
      </c>
      <c r="AA1915" s="8">
        <v>12</v>
      </c>
      <c r="AB1915" s="9">
        <f t="shared" si="88"/>
        <v>46368</v>
      </c>
      <c r="AC1915" s="10">
        <v>14</v>
      </c>
      <c r="AD1915" s="7">
        <f t="shared" si="89"/>
        <v>4157</v>
      </c>
      <c r="AE1915" s="7">
        <f>IF(F1915="Bullet",H1915*AD1915,MIN(MAX(I1915,1),Assumptions!$B$6)*AD1915)</f>
        <v>8314</v>
      </c>
      <c r="AF1915" s="8">
        <f>IF(F1915="Bullet",MAX(0,Assumptions!$B$4-AB1915),MAX(0,Assumptions!$B$4-L1915))</f>
        <v>52</v>
      </c>
      <c r="AG1915" s="9">
        <v>46218</v>
      </c>
      <c r="AH1915" s="8">
        <f>IF(AG1915="","",Assumptions!$B$4-AG1915)</f>
        <v>80</v>
      </c>
      <c r="AI1915" s="5" t="s">
        <v>57</v>
      </c>
      <c r="AJ1915" s="8">
        <v>2</v>
      </c>
      <c r="AK1915" s="8">
        <v>0</v>
      </c>
      <c r="AL1915" s="8">
        <v>709</v>
      </c>
      <c r="AM1915" s="8">
        <v>1</v>
      </c>
      <c r="AN1915" s="5" t="s">
        <v>63</v>
      </c>
      <c r="AO1915" s="10">
        <v>46.3</v>
      </c>
      <c r="AP1915" s="8">
        <v>37</v>
      </c>
      <c r="AQ1915" s="9">
        <v>46286</v>
      </c>
      <c r="AR1915" s="5" t="s">
        <v>70</v>
      </c>
      <c r="AS1915" s="5" t="s">
        <v>190</v>
      </c>
    </row>
    <row r="1916" spans="1:45" x14ac:dyDescent="0.35">
      <c r="A1916" s="5" t="s">
        <v>7673</v>
      </c>
      <c r="B1916" s="5" t="s">
        <v>7674</v>
      </c>
      <c r="C1916" s="6" t="s">
        <v>7675</v>
      </c>
      <c r="D1916" s="7">
        <v>375300</v>
      </c>
      <c r="E1916" s="5" t="s">
        <v>48</v>
      </c>
      <c r="F1916" s="5" t="s">
        <v>68</v>
      </c>
      <c r="G1916" s="8">
        <v>3</v>
      </c>
      <c r="H1916" s="8">
        <f>IF(F1916="Bullet",MIN(G1916,Assumptions!$B$6),"")</f>
        <v>2</v>
      </c>
      <c r="I1916" s="8"/>
      <c r="J1916" s="8" t="str">
        <f>IF(F1916="Monthly interest",MAX(0,Assumptions!$B$5-I1916),"")</f>
        <v/>
      </c>
      <c r="K1916" s="7">
        <f t="shared" si="87"/>
        <v>15012</v>
      </c>
      <c r="L1916" s="9">
        <v>46189</v>
      </c>
      <c r="M1916" s="5" t="s">
        <v>69</v>
      </c>
      <c r="N1916" s="5" t="s">
        <v>70</v>
      </c>
      <c r="O1916" s="5" t="s">
        <v>71</v>
      </c>
      <c r="P1916" s="5" t="s">
        <v>72</v>
      </c>
      <c r="Q1916" s="5" t="s">
        <v>73</v>
      </c>
      <c r="R1916" s="5" t="s">
        <v>74</v>
      </c>
      <c r="S1916" s="5" t="s">
        <v>253</v>
      </c>
      <c r="T1916" s="5" t="s">
        <v>63</v>
      </c>
      <c r="U1916" s="5" t="s">
        <v>104</v>
      </c>
      <c r="V1916" s="5" t="s">
        <v>553</v>
      </c>
      <c r="W1916" s="5" t="s">
        <v>1029</v>
      </c>
      <c r="X1916" s="5" t="s">
        <v>2599</v>
      </c>
      <c r="Y1916" s="5" t="s">
        <v>7676</v>
      </c>
      <c r="Z1916" s="9">
        <v>46189</v>
      </c>
      <c r="AA1916" s="8">
        <v>6</v>
      </c>
      <c r="AB1916" s="9">
        <f t="shared" si="88"/>
        <v>46372</v>
      </c>
      <c r="AC1916" s="10">
        <v>16</v>
      </c>
      <c r="AD1916" s="7">
        <f t="shared" si="89"/>
        <v>5004</v>
      </c>
      <c r="AE1916" s="7">
        <f>IF(F1916="Bullet",H1916*AD1916,MIN(MAX(I1916,1),Assumptions!$B$6)*AD1916)</f>
        <v>10008</v>
      </c>
      <c r="AF1916" s="8">
        <f>IF(F1916="Bullet",MAX(0,Assumptions!$B$4-AB1916),MAX(0,Assumptions!$B$4-L1916))</f>
        <v>0</v>
      </c>
      <c r="AG1916" s="9"/>
      <c r="AH1916" s="8" t="str">
        <f>IF(AG1916="","",Assumptions!$B$4-AG1916)</f>
        <v/>
      </c>
      <c r="AI1916" s="5" t="s">
        <v>80</v>
      </c>
      <c r="AJ1916" s="8"/>
      <c r="AK1916" s="8">
        <v>3</v>
      </c>
      <c r="AL1916" s="8">
        <v>741</v>
      </c>
      <c r="AM1916" s="8">
        <v>1</v>
      </c>
      <c r="AN1916" s="5" t="s">
        <v>63</v>
      </c>
      <c r="AO1916" s="10">
        <v>77.3</v>
      </c>
      <c r="AP1916" s="8">
        <v>36</v>
      </c>
      <c r="AQ1916" s="9">
        <v>46290</v>
      </c>
      <c r="AR1916" s="5" t="s">
        <v>51</v>
      </c>
      <c r="AS1916" s="5" t="s">
        <v>64</v>
      </c>
    </row>
    <row r="1917" spans="1:45" x14ac:dyDescent="0.35">
      <c r="A1917" s="5" t="s">
        <v>7677</v>
      </c>
      <c r="B1917" s="5" t="s">
        <v>7641</v>
      </c>
      <c r="C1917" s="6" t="s">
        <v>7678</v>
      </c>
      <c r="D1917" s="7">
        <v>39000</v>
      </c>
      <c r="E1917" s="5" t="s">
        <v>48</v>
      </c>
      <c r="F1917" s="5" t="s">
        <v>49</v>
      </c>
      <c r="G1917" s="8"/>
      <c r="H1917" s="8" t="str">
        <f>IF(F1917="Bullet",MIN(G1917,Assumptions!$B$6),"")</f>
        <v/>
      </c>
      <c r="I1917" s="8">
        <v>1</v>
      </c>
      <c r="J1917" s="8">
        <f>IF(F1917="Monthly interest",MAX(0,Assumptions!$B$5-I1917),"")</f>
        <v>2</v>
      </c>
      <c r="K1917" s="7">
        <f t="shared" si="87"/>
        <v>488</v>
      </c>
      <c r="L1917" s="9">
        <v>46284</v>
      </c>
      <c r="M1917" s="5" t="s">
        <v>116</v>
      </c>
      <c r="N1917" s="5" t="s">
        <v>117</v>
      </c>
      <c r="O1917" s="5" t="s">
        <v>450</v>
      </c>
      <c r="P1917" s="5" t="s">
        <v>72</v>
      </c>
      <c r="Q1917" s="5" t="s">
        <v>154</v>
      </c>
      <c r="R1917" s="5" t="s">
        <v>155</v>
      </c>
      <c r="S1917" s="5" t="s">
        <v>85</v>
      </c>
      <c r="T1917" s="5" t="s">
        <v>63</v>
      </c>
      <c r="U1917" s="5" t="s">
        <v>104</v>
      </c>
      <c r="V1917" s="5" t="s">
        <v>96</v>
      </c>
      <c r="W1917" s="5" t="s">
        <v>171</v>
      </c>
      <c r="X1917" s="5" t="s">
        <v>3348</v>
      </c>
      <c r="Y1917" s="5" t="s">
        <v>7679</v>
      </c>
      <c r="Z1917" s="9">
        <v>46010</v>
      </c>
      <c r="AA1917" s="8">
        <v>12</v>
      </c>
      <c r="AB1917" s="9">
        <f t="shared" si="88"/>
        <v>46375</v>
      </c>
      <c r="AC1917" s="10">
        <v>15</v>
      </c>
      <c r="AD1917" s="7">
        <f t="shared" si="89"/>
        <v>488</v>
      </c>
      <c r="AE1917" s="7">
        <f>IF(F1917="Bullet",H1917*AD1917,MIN(MAX(I1917,1),Assumptions!$B$6)*AD1917)</f>
        <v>488</v>
      </c>
      <c r="AF1917" s="8">
        <f>IF(F1917="Bullet",MAX(0,Assumptions!$B$4-AB1917),MAX(0,Assumptions!$B$4-L1917))</f>
        <v>14</v>
      </c>
      <c r="AG1917" s="9">
        <v>46253</v>
      </c>
      <c r="AH1917" s="8">
        <f>IF(AG1917="","",Assumptions!$B$4-AG1917)</f>
        <v>45</v>
      </c>
      <c r="AI1917" s="5" t="s">
        <v>63</v>
      </c>
      <c r="AJ1917" s="8">
        <v>1</v>
      </c>
      <c r="AK1917" s="8">
        <v>0</v>
      </c>
      <c r="AL1917" s="8">
        <v>670</v>
      </c>
      <c r="AM1917" s="8">
        <v>1</v>
      </c>
      <c r="AN1917" s="5" t="s">
        <v>57</v>
      </c>
      <c r="AO1917" s="10">
        <v>78.2</v>
      </c>
      <c r="AP1917" s="8">
        <v>48</v>
      </c>
      <c r="AQ1917" s="9">
        <v>46287</v>
      </c>
      <c r="AR1917" s="5" t="s">
        <v>51</v>
      </c>
      <c r="AS1917" s="5" t="s">
        <v>81</v>
      </c>
    </row>
    <row r="1918" spans="1:45" x14ac:dyDescent="0.35">
      <c r="A1918" s="5" t="s">
        <v>7680</v>
      </c>
      <c r="B1918" s="5" t="s">
        <v>1581</v>
      </c>
      <c r="C1918" s="6" t="s">
        <v>7681</v>
      </c>
      <c r="D1918" s="7">
        <v>32300</v>
      </c>
      <c r="E1918" s="5" t="s">
        <v>48</v>
      </c>
      <c r="F1918" s="5" t="s">
        <v>49</v>
      </c>
      <c r="G1918" s="8"/>
      <c r="H1918" s="8" t="str">
        <f>IF(F1918="Bullet",MIN(G1918,Assumptions!$B$6),"")</f>
        <v/>
      </c>
      <c r="I1918" s="8">
        <v>2</v>
      </c>
      <c r="J1918" s="8">
        <f>IF(F1918="Monthly interest",MAX(0,Assumptions!$B$5-I1918),"")</f>
        <v>1</v>
      </c>
      <c r="K1918" s="7">
        <f t="shared" si="87"/>
        <v>970</v>
      </c>
      <c r="L1918" s="9">
        <v>46256</v>
      </c>
      <c r="M1918" s="5" t="s">
        <v>69</v>
      </c>
      <c r="N1918" s="5" t="s">
        <v>53</v>
      </c>
      <c r="O1918" s="5" t="s">
        <v>152</v>
      </c>
      <c r="P1918" s="5" t="s">
        <v>153</v>
      </c>
      <c r="Q1918" s="5" t="s">
        <v>154</v>
      </c>
      <c r="R1918" s="5" t="s">
        <v>155</v>
      </c>
      <c r="S1918" s="5" t="s">
        <v>56</v>
      </c>
      <c r="T1918" s="5" t="s">
        <v>57</v>
      </c>
      <c r="U1918" s="5" t="s">
        <v>58</v>
      </c>
      <c r="V1918" s="5" t="s">
        <v>59</v>
      </c>
      <c r="W1918" s="5" t="s">
        <v>194</v>
      </c>
      <c r="X1918" s="5" t="s">
        <v>956</v>
      </c>
      <c r="Y1918" s="5" t="s">
        <v>7682</v>
      </c>
      <c r="Z1918" s="9">
        <v>46195</v>
      </c>
      <c r="AA1918" s="8">
        <v>12</v>
      </c>
      <c r="AB1918" s="9">
        <f t="shared" si="88"/>
        <v>46560</v>
      </c>
      <c r="AC1918" s="10">
        <v>18</v>
      </c>
      <c r="AD1918" s="7">
        <f t="shared" si="89"/>
        <v>485</v>
      </c>
      <c r="AE1918" s="7">
        <f>IF(F1918="Bullet",H1918*AD1918,MIN(MAX(I1918,1),Assumptions!$B$6)*AD1918)</f>
        <v>970</v>
      </c>
      <c r="AF1918" s="8">
        <f>IF(F1918="Bullet",MAX(0,Assumptions!$B$4-AB1918),MAX(0,Assumptions!$B$4-L1918))</f>
        <v>42</v>
      </c>
      <c r="AG1918" s="9">
        <v>46230</v>
      </c>
      <c r="AH1918" s="8">
        <f>IF(AG1918="","",Assumptions!$B$4-AG1918)</f>
        <v>68</v>
      </c>
      <c r="AI1918" s="5" t="s">
        <v>57</v>
      </c>
      <c r="AJ1918" s="8">
        <v>2</v>
      </c>
      <c r="AK1918" s="8">
        <v>0</v>
      </c>
      <c r="AL1918" s="8">
        <v>698</v>
      </c>
      <c r="AM1918" s="8">
        <v>2</v>
      </c>
      <c r="AN1918" s="5" t="s">
        <v>63</v>
      </c>
      <c r="AO1918" s="10">
        <v>52.2</v>
      </c>
      <c r="AP1918" s="8">
        <v>47</v>
      </c>
      <c r="AQ1918" s="9">
        <v>46288</v>
      </c>
      <c r="AR1918" s="5" t="s">
        <v>70</v>
      </c>
      <c r="AS1918" s="5" t="s">
        <v>64</v>
      </c>
    </row>
    <row r="1919" spans="1:45" x14ac:dyDescent="0.35">
      <c r="A1919" s="5" t="s">
        <v>7683</v>
      </c>
      <c r="B1919" s="5" t="s">
        <v>7285</v>
      </c>
      <c r="C1919" s="6" t="s">
        <v>7684</v>
      </c>
      <c r="D1919" s="7">
        <v>95900</v>
      </c>
      <c r="E1919" s="5" t="s">
        <v>48</v>
      </c>
      <c r="F1919" s="5" t="s">
        <v>49</v>
      </c>
      <c r="G1919" s="8"/>
      <c r="H1919" s="8" t="str">
        <f>IF(F1919="Bullet",MIN(G1919,Assumptions!$B$6),"")</f>
        <v/>
      </c>
      <c r="I1919" s="8">
        <v>1</v>
      </c>
      <c r="J1919" s="8">
        <f>IF(F1919="Monthly interest",MAX(0,Assumptions!$B$5-I1919),"")</f>
        <v>2</v>
      </c>
      <c r="K1919" s="7">
        <f t="shared" si="87"/>
        <v>1199</v>
      </c>
      <c r="L1919" s="9">
        <v>46280</v>
      </c>
      <c r="M1919" s="5" t="s">
        <v>50</v>
      </c>
      <c r="N1919" s="5" t="s">
        <v>51</v>
      </c>
      <c r="O1919" s="5" t="s">
        <v>52</v>
      </c>
      <c r="P1919" s="5" t="s">
        <v>53</v>
      </c>
      <c r="Q1919" s="5" t="s">
        <v>54</v>
      </c>
      <c r="R1919" s="5" t="s">
        <v>55</v>
      </c>
      <c r="S1919" s="5" t="s">
        <v>75</v>
      </c>
      <c r="T1919" s="5" t="s">
        <v>57</v>
      </c>
      <c r="U1919" s="5" t="s">
        <v>58</v>
      </c>
      <c r="V1919" s="5" t="s">
        <v>76</v>
      </c>
      <c r="W1919" s="5" t="s">
        <v>146</v>
      </c>
      <c r="X1919" s="5" t="s">
        <v>3285</v>
      </c>
      <c r="Y1919" s="5" t="s">
        <v>7685</v>
      </c>
      <c r="Z1919" s="9">
        <v>46127</v>
      </c>
      <c r="AA1919" s="8">
        <v>12</v>
      </c>
      <c r="AB1919" s="9">
        <f t="shared" si="88"/>
        <v>46492</v>
      </c>
      <c r="AC1919" s="10">
        <v>15</v>
      </c>
      <c r="AD1919" s="7">
        <f t="shared" si="89"/>
        <v>1199</v>
      </c>
      <c r="AE1919" s="7">
        <f>IF(F1919="Bullet",H1919*AD1919,MIN(MAX(I1919,1),Assumptions!$B$6)*AD1919)</f>
        <v>1199</v>
      </c>
      <c r="AF1919" s="8">
        <f>IF(F1919="Bullet",MAX(0,Assumptions!$B$4-AB1919),MAX(0,Assumptions!$B$4-L1919))</f>
        <v>18</v>
      </c>
      <c r="AG1919" s="9">
        <v>46254</v>
      </c>
      <c r="AH1919" s="8">
        <f>IF(AG1919="","",Assumptions!$B$4-AG1919)</f>
        <v>44</v>
      </c>
      <c r="AI1919" s="5" t="s">
        <v>63</v>
      </c>
      <c r="AJ1919" s="8">
        <v>2</v>
      </c>
      <c r="AK1919" s="8">
        <v>0</v>
      </c>
      <c r="AL1919" s="8" t="s">
        <v>80</v>
      </c>
      <c r="AM1919" s="8">
        <v>0</v>
      </c>
      <c r="AN1919" s="5" t="s">
        <v>63</v>
      </c>
      <c r="AO1919" s="10">
        <v>63.1</v>
      </c>
      <c r="AP1919" s="8">
        <v>28</v>
      </c>
      <c r="AQ1919" s="9">
        <v>46276</v>
      </c>
      <c r="AR1919" s="5" t="s">
        <v>70</v>
      </c>
      <c r="AS1919" s="5" t="s">
        <v>91</v>
      </c>
    </row>
    <row r="1920" spans="1:45" x14ac:dyDescent="0.35">
      <c r="A1920" s="5" t="s">
        <v>7686</v>
      </c>
      <c r="B1920" s="5" t="s">
        <v>2449</v>
      </c>
      <c r="C1920" s="6" t="s">
        <v>7687</v>
      </c>
      <c r="D1920" s="7">
        <v>99600</v>
      </c>
      <c r="E1920" s="5" t="s">
        <v>48</v>
      </c>
      <c r="F1920" s="5" t="s">
        <v>68</v>
      </c>
      <c r="G1920" s="8">
        <v>1</v>
      </c>
      <c r="H1920" s="8">
        <f>IF(F1920="Bullet",MIN(G1920,Assumptions!$B$6),"")</f>
        <v>1</v>
      </c>
      <c r="I1920" s="8"/>
      <c r="J1920" s="8" t="str">
        <f>IF(F1920="Monthly interest",MAX(0,Assumptions!$B$5-I1920),"")</f>
        <v/>
      </c>
      <c r="K1920" s="7">
        <f t="shared" si="87"/>
        <v>1079</v>
      </c>
      <c r="L1920" s="9">
        <v>46248</v>
      </c>
      <c r="M1920" s="5" t="s">
        <v>50</v>
      </c>
      <c r="N1920" s="5" t="s">
        <v>51</v>
      </c>
      <c r="O1920" s="5" t="s">
        <v>71</v>
      </c>
      <c r="P1920" s="5" t="s">
        <v>53</v>
      </c>
      <c r="Q1920" s="5" t="s">
        <v>73</v>
      </c>
      <c r="R1920" s="5" t="s">
        <v>74</v>
      </c>
      <c r="S1920" s="5" t="s">
        <v>253</v>
      </c>
      <c r="T1920" s="5" t="s">
        <v>57</v>
      </c>
      <c r="U1920" s="5" t="s">
        <v>86</v>
      </c>
      <c r="V1920" s="5" t="s">
        <v>96</v>
      </c>
      <c r="W1920" s="5" t="s">
        <v>265</v>
      </c>
      <c r="X1920" s="5" t="s">
        <v>2847</v>
      </c>
      <c r="Y1920" s="5" t="s">
        <v>7688</v>
      </c>
      <c r="Z1920" s="9">
        <v>46248</v>
      </c>
      <c r="AA1920" s="8">
        <v>12</v>
      </c>
      <c r="AB1920" s="9">
        <f t="shared" si="88"/>
        <v>46613</v>
      </c>
      <c r="AC1920" s="10">
        <v>13</v>
      </c>
      <c r="AD1920" s="7">
        <f t="shared" si="89"/>
        <v>1079</v>
      </c>
      <c r="AE1920" s="7">
        <f>IF(F1920="Bullet",H1920*AD1920,MIN(MAX(I1920,1),Assumptions!$B$6)*AD1920)</f>
        <v>1079</v>
      </c>
      <c r="AF1920" s="8">
        <f>IF(F1920="Bullet",MAX(0,Assumptions!$B$4-AB1920),MAX(0,Assumptions!$B$4-L1920))</f>
        <v>0</v>
      </c>
      <c r="AG1920" s="9"/>
      <c r="AH1920" s="8" t="str">
        <f>IF(AG1920="","",Assumptions!$B$4-AG1920)</f>
        <v/>
      </c>
      <c r="AI1920" s="5" t="s">
        <v>80</v>
      </c>
      <c r="AJ1920" s="8"/>
      <c r="AK1920" s="8">
        <v>1</v>
      </c>
      <c r="AL1920" s="8">
        <v>694</v>
      </c>
      <c r="AM1920" s="8">
        <v>0</v>
      </c>
      <c r="AN1920" s="5" t="s">
        <v>63</v>
      </c>
      <c r="AO1920" s="10">
        <v>88</v>
      </c>
      <c r="AP1920" s="8">
        <v>29</v>
      </c>
      <c r="AQ1920" s="9">
        <v>46277</v>
      </c>
      <c r="AR1920" s="5" t="s">
        <v>51</v>
      </c>
      <c r="AS1920" s="5" t="s">
        <v>190</v>
      </c>
    </row>
    <row r="1921" spans="1:45" x14ac:dyDescent="0.35">
      <c r="A1921" s="5" t="s">
        <v>7689</v>
      </c>
      <c r="B1921" s="5" t="s">
        <v>6005</v>
      </c>
      <c r="C1921" s="6" t="s">
        <v>7690</v>
      </c>
      <c r="D1921" s="7">
        <v>212300</v>
      </c>
      <c r="E1921" s="5" t="s">
        <v>48</v>
      </c>
      <c r="F1921" s="5" t="s">
        <v>68</v>
      </c>
      <c r="G1921" s="8">
        <v>3</v>
      </c>
      <c r="H1921" s="8">
        <f>IF(F1921="Bullet",MIN(G1921,Assumptions!$B$6),"")</f>
        <v>2</v>
      </c>
      <c r="I1921" s="8"/>
      <c r="J1921" s="8" t="str">
        <f>IF(F1921="Monthly interest",MAX(0,Assumptions!$B$5-I1921),"")</f>
        <v/>
      </c>
      <c r="K1921" s="7">
        <f t="shared" si="87"/>
        <v>6900</v>
      </c>
      <c r="L1921" s="9">
        <v>46182</v>
      </c>
      <c r="M1921" s="5" t="s">
        <v>50</v>
      </c>
      <c r="N1921" s="5" t="s">
        <v>53</v>
      </c>
      <c r="O1921" s="5" t="s">
        <v>71</v>
      </c>
      <c r="P1921" s="5" t="s">
        <v>51</v>
      </c>
      <c r="Q1921" s="5" t="s">
        <v>73</v>
      </c>
      <c r="R1921" s="5" t="s">
        <v>74</v>
      </c>
      <c r="S1921" s="5" t="s">
        <v>75</v>
      </c>
      <c r="T1921" s="5" t="s">
        <v>57</v>
      </c>
      <c r="U1921" s="5" t="s">
        <v>104</v>
      </c>
      <c r="V1921" s="5" t="s">
        <v>76</v>
      </c>
      <c r="W1921" s="5" t="s">
        <v>146</v>
      </c>
      <c r="X1921" s="5" t="s">
        <v>2191</v>
      </c>
      <c r="Y1921" s="5" t="s">
        <v>7691</v>
      </c>
      <c r="Z1921" s="9">
        <v>46182</v>
      </c>
      <c r="AA1921" s="8">
        <v>6</v>
      </c>
      <c r="AB1921" s="9">
        <f t="shared" si="88"/>
        <v>46365</v>
      </c>
      <c r="AC1921" s="10">
        <v>13</v>
      </c>
      <c r="AD1921" s="7">
        <f t="shared" si="89"/>
        <v>2300</v>
      </c>
      <c r="AE1921" s="7">
        <f>IF(F1921="Bullet",H1921*AD1921,MIN(MAX(I1921,1),Assumptions!$B$6)*AD1921)</f>
        <v>4600</v>
      </c>
      <c r="AF1921" s="8">
        <f>IF(F1921="Bullet",MAX(0,Assumptions!$B$4-AB1921),MAX(0,Assumptions!$B$4-L1921))</f>
        <v>0</v>
      </c>
      <c r="AG1921" s="9"/>
      <c r="AH1921" s="8" t="str">
        <f>IF(AG1921="","",Assumptions!$B$4-AG1921)</f>
        <v/>
      </c>
      <c r="AI1921" s="5" t="s">
        <v>80</v>
      </c>
      <c r="AJ1921" s="8"/>
      <c r="AK1921" s="8">
        <v>0</v>
      </c>
      <c r="AL1921" s="8">
        <v>775</v>
      </c>
      <c r="AM1921" s="8">
        <v>0</v>
      </c>
      <c r="AN1921" s="5" t="s">
        <v>63</v>
      </c>
      <c r="AO1921" s="10">
        <v>75.2</v>
      </c>
      <c r="AP1921" s="8">
        <v>12</v>
      </c>
      <c r="AQ1921" s="9"/>
      <c r="AR1921" s="5"/>
      <c r="AS1921" s="5" t="s">
        <v>159</v>
      </c>
    </row>
    <row r="1922" spans="1:45" x14ac:dyDescent="0.35">
      <c r="A1922" s="5" t="s">
        <v>7692</v>
      </c>
      <c r="B1922" s="5" t="s">
        <v>1815</v>
      </c>
      <c r="C1922" s="6" t="s">
        <v>7693</v>
      </c>
      <c r="D1922" s="7">
        <v>184600</v>
      </c>
      <c r="E1922" s="5" t="s">
        <v>48</v>
      </c>
      <c r="F1922" s="5" t="s">
        <v>49</v>
      </c>
      <c r="G1922" s="8"/>
      <c r="H1922" s="8" t="str">
        <f>IF(F1922="Bullet",MIN(G1922,Assumptions!$B$6),"")</f>
        <v/>
      </c>
      <c r="I1922" s="8">
        <v>2</v>
      </c>
      <c r="J1922" s="8">
        <f>IF(F1922="Monthly interest",MAX(0,Assumptions!$B$5-I1922),"")</f>
        <v>1</v>
      </c>
      <c r="K1922" s="7">
        <f t="shared" ref="K1922:K1985" si="90">IF(F1922="Bullet",G1922*AD1922,MAX(I1922,1)*AD1922)</f>
        <v>6768</v>
      </c>
      <c r="L1922" s="9">
        <v>46242</v>
      </c>
      <c r="M1922" s="5" t="s">
        <v>69</v>
      </c>
      <c r="N1922" s="5" t="s">
        <v>53</v>
      </c>
      <c r="O1922" s="5" t="s">
        <v>71</v>
      </c>
      <c r="P1922" s="5" t="s">
        <v>70</v>
      </c>
      <c r="Q1922" s="5" t="s">
        <v>73</v>
      </c>
      <c r="R1922" s="5" t="s">
        <v>74</v>
      </c>
      <c r="S1922" s="5" t="s">
        <v>85</v>
      </c>
      <c r="T1922" s="5" t="s">
        <v>57</v>
      </c>
      <c r="U1922" s="5" t="s">
        <v>86</v>
      </c>
      <c r="V1922" s="5" t="s">
        <v>96</v>
      </c>
      <c r="W1922" s="5" t="s">
        <v>171</v>
      </c>
      <c r="X1922" s="5" t="s">
        <v>636</v>
      </c>
      <c r="Y1922" s="5" t="s">
        <v>7694</v>
      </c>
      <c r="Z1922" s="9">
        <v>45969</v>
      </c>
      <c r="AA1922" s="8">
        <v>18</v>
      </c>
      <c r="AB1922" s="9">
        <f t="shared" ref="AB1922:AB1985" si="91">EDATE(Z1922,AA1922)</f>
        <v>46515</v>
      </c>
      <c r="AC1922" s="10">
        <v>22</v>
      </c>
      <c r="AD1922" s="7">
        <f t="shared" ref="AD1922:AD1985" si="92">ROUND(D1922*AC1922/100/12,0)</f>
        <v>3384</v>
      </c>
      <c r="AE1922" s="7">
        <f>IF(F1922="Bullet",H1922*AD1922,MIN(MAX(I1922,1),Assumptions!$B$6)*AD1922)</f>
        <v>6768</v>
      </c>
      <c r="AF1922" s="8">
        <f>IF(F1922="Bullet",MAX(0,Assumptions!$B$4-AB1922),MAX(0,Assumptions!$B$4-L1922))</f>
        <v>56</v>
      </c>
      <c r="AG1922" s="9">
        <v>46214</v>
      </c>
      <c r="AH1922" s="8">
        <f>IF(AG1922="","",Assumptions!$B$4-AG1922)</f>
        <v>84</v>
      </c>
      <c r="AI1922" s="5" t="s">
        <v>63</v>
      </c>
      <c r="AJ1922" s="8">
        <v>2</v>
      </c>
      <c r="AK1922" s="8">
        <v>0</v>
      </c>
      <c r="AL1922" s="8" t="s">
        <v>80</v>
      </c>
      <c r="AM1922" s="8">
        <v>1</v>
      </c>
      <c r="AN1922" s="5" t="s">
        <v>63</v>
      </c>
      <c r="AO1922" s="10">
        <v>80.8</v>
      </c>
      <c r="AP1922" s="8">
        <v>46</v>
      </c>
      <c r="AQ1922" s="9">
        <v>46282</v>
      </c>
      <c r="AR1922" s="5" t="s">
        <v>51</v>
      </c>
      <c r="AS1922" s="5" t="s">
        <v>81</v>
      </c>
    </row>
    <row r="1923" spans="1:45" x14ac:dyDescent="0.35">
      <c r="A1923" s="5" t="s">
        <v>7695</v>
      </c>
      <c r="B1923" s="5" t="s">
        <v>5511</v>
      </c>
      <c r="C1923" s="6" t="s">
        <v>7696</v>
      </c>
      <c r="D1923" s="7">
        <v>122500</v>
      </c>
      <c r="E1923" s="5" t="s">
        <v>48</v>
      </c>
      <c r="F1923" s="5" t="s">
        <v>68</v>
      </c>
      <c r="G1923" s="8">
        <v>6</v>
      </c>
      <c r="H1923" s="8">
        <f>IF(F1923="Bullet",MIN(G1923,Assumptions!$B$6),"")</f>
        <v>2</v>
      </c>
      <c r="I1923" s="8"/>
      <c r="J1923" s="8" t="str">
        <f>IF(F1923="Monthly interest",MAX(0,Assumptions!$B$5-I1923),"")</f>
        <v/>
      </c>
      <c r="K1923" s="7">
        <f t="shared" si="90"/>
        <v>9186</v>
      </c>
      <c r="L1923" s="9">
        <v>46100</v>
      </c>
      <c r="M1923" s="5" t="s">
        <v>116</v>
      </c>
      <c r="N1923" s="5" t="s">
        <v>117</v>
      </c>
      <c r="O1923" s="5" t="s">
        <v>461</v>
      </c>
      <c r="P1923" s="5" t="s">
        <v>72</v>
      </c>
      <c r="Q1923" s="5" t="s">
        <v>169</v>
      </c>
      <c r="R1923" s="5" t="s">
        <v>170</v>
      </c>
      <c r="S1923" s="5" t="s">
        <v>185</v>
      </c>
      <c r="T1923" s="5" t="s">
        <v>63</v>
      </c>
      <c r="U1923" s="5" t="s">
        <v>104</v>
      </c>
      <c r="V1923" s="5" t="s">
        <v>186</v>
      </c>
      <c r="W1923" s="5" t="s">
        <v>376</v>
      </c>
      <c r="X1923" s="5" t="s">
        <v>5975</v>
      </c>
      <c r="Y1923" s="5" t="s">
        <v>7697</v>
      </c>
      <c r="Z1923" s="9">
        <v>46100</v>
      </c>
      <c r="AA1923" s="8">
        <v>6</v>
      </c>
      <c r="AB1923" s="9">
        <f t="shared" si="91"/>
        <v>46284</v>
      </c>
      <c r="AC1923" s="10">
        <v>15</v>
      </c>
      <c r="AD1923" s="7">
        <f t="shared" si="92"/>
        <v>1531</v>
      </c>
      <c r="AE1923" s="7">
        <f>IF(F1923="Bullet",H1923*AD1923,MIN(MAX(I1923,1),Assumptions!$B$6)*AD1923)</f>
        <v>3062</v>
      </c>
      <c r="AF1923" s="8">
        <f>IF(F1923="Bullet",MAX(0,Assumptions!$B$4-AB1923),MAX(0,Assumptions!$B$4-L1923))</f>
        <v>14</v>
      </c>
      <c r="AG1923" s="9"/>
      <c r="AH1923" s="8" t="str">
        <f>IF(AG1923="","",Assumptions!$B$4-AG1923)</f>
        <v/>
      </c>
      <c r="AI1923" s="5" t="s">
        <v>80</v>
      </c>
      <c r="AJ1923" s="8"/>
      <c r="AK1923" s="8">
        <v>0</v>
      </c>
      <c r="AL1923" s="8">
        <v>707</v>
      </c>
      <c r="AM1923" s="8">
        <v>2</v>
      </c>
      <c r="AN1923" s="5" t="s">
        <v>63</v>
      </c>
      <c r="AO1923" s="10">
        <v>86.8</v>
      </c>
      <c r="AP1923" s="8">
        <v>67</v>
      </c>
      <c r="AQ1923" s="9">
        <v>46291</v>
      </c>
      <c r="AR1923" s="5" t="s">
        <v>53</v>
      </c>
      <c r="AS1923" s="5" t="s">
        <v>81</v>
      </c>
    </row>
    <row r="1924" spans="1:45" x14ac:dyDescent="0.35">
      <c r="A1924" s="5" t="s">
        <v>7698</v>
      </c>
      <c r="B1924" s="5" t="s">
        <v>7699</v>
      </c>
      <c r="C1924" s="6" t="s">
        <v>7700</v>
      </c>
      <c r="D1924" s="7">
        <v>96900</v>
      </c>
      <c r="E1924" s="5" t="s">
        <v>48</v>
      </c>
      <c r="F1924" s="5" t="s">
        <v>49</v>
      </c>
      <c r="G1924" s="8"/>
      <c r="H1924" s="8" t="str">
        <f>IF(F1924="Bullet",MIN(G1924,Assumptions!$B$6),"")</f>
        <v/>
      </c>
      <c r="I1924" s="8">
        <v>2</v>
      </c>
      <c r="J1924" s="8">
        <f>IF(F1924="Monthly interest",MAX(0,Assumptions!$B$5-I1924),"")</f>
        <v>1</v>
      </c>
      <c r="K1924" s="7">
        <f t="shared" si="90"/>
        <v>2262</v>
      </c>
      <c r="L1924" s="9">
        <v>46257</v>
      </c>
      <c r="M1924" s="5" t="s">
        <v>69</v>
      </c>
      <c r="N1924" s="5" t="s">
        <v>53</v>
      </c>
      <c r="O1924" s="5" t="s">
        <v>71</v>
      </c>
      <c r="P1924" s="5" t="s">
        <v>70</v>
      </c>
      <c r="Q1924" s="5" t="s">
        <v>73</v>
      </c>
      <c r="R1924" s="5" t="s">
        <v>74</v>
      </c>
      <c r="S1924" s="5" t="s">
        <v>185</v>
      </c>
      <c r="T1924" s="5" t="s">
        <v>57</v>
      </c>
      <c r="U1924" s="5" t="s">
        <v>58</v>
      </c>
      <c r="V1924" s="5" t="s">
        <v>186</v>
      </c>
      <c r="W1924" s="5" t="s">
        <v>376</v>
      </c>
      <c r="X1924" s="5" t="s">
        <v>377</v>
      </c>
      <c r="Y1924" s="5" t="s">
        <v>7701</v>
      </c>
      <c r="Z1924" s="9">
        <v>45984</v>
      </c>
      <c r="AA1924" s="8">
        <v>12</v>
      </c>
      <c r="AB1924" s="9">
        <f t="shared" si="91"/>
        <v>46349</v>
      </c>
      <c r="AC1924" s="10">
        <v>14</v>
      </c>
      <c r="AD1924" s="7">
        <f t="shared" si="92"/>
        <v>1131</v>
      </c>
      <c r="AE1924" s="7">
        <f>IF(F1924="Bullet",H1924*AD1924,MIN(MAX(I1924,1),Assumptions!$B$6)*AD1924)</f>
        <v>2262</v>
      </c>
      <c r="AF1924" s="8">
        <f>IF(F1924="Bullet",MAX(0,Assumptions!$B$4-AB1924),MAX(0,Assumptions!$B$4-L1924))</f>
        <v>41</v>
      </c>
      <c r="AG1924" s="9">
        <v>46228</v>
      </c>
      <c r="AH1924" s="8">
        <f>IF(AG1924="","",Assumptions!$B$4-AG1924)</f>
        <v>70</v>
      </c>
      <c r="AI1924" s="5" t="s">
        <v>63</v>
      </c>
      <c r="AJ1924" s="8">
        <v>3</v>
      </c>
      <c r="AK1924" s="8">
        <v>0</v>
      </c>
      <c r="AL1924" s="8">
        <v>783</v>
      </c>
      <c r="AM1924" s="8">
        <v>0</v>
      </c>
      <c r="AN1924" s="5" t="s">
        <v>63</v>
      </c>
      <c r="AO1924" s="10">
        <v>65.2</v>
      </c>
      <c r="AP1924" s="8">
        <v>39</v>
      </c>
      <c r="AQ1924" s="9">
        <v>46284</v>
      </c>
      <c r="AR1924" s="5" t="s">
        <v>51</v>
      </c>
      <c r="AS1924" s="5" t="s">
        <v>81</v>
      </c>
    </row>
    <row r="1925" spans="1:45" x14ac:dyDescent="0.35">
      <c r="A1925" s="5" t="s">
        <v>7702</v>
      </c>
      <c r="B1925" s="5" t="s">
        <v>4573</v>
      </c>
      <c r="C1925" s="6" t="s">
        <v>7703</v>
      </c>
      <c r="D1925" s="7">
        <v>140500</v>
      </c>
      <c r="E1925" s="5" t="s">
        <v>48</v>
      </c>
      <c r="F1925" s="5" t="s">
        <v>68</v>
      </c>
      <c r="G1925" s="8">
        <v>4</v>
      </c>
      <c r="H1925" s="8">
        <f>IF(F1925="Bullet",MIN(G1925,Assumptions!$B$6),"")</f>
        <v>2</v>
      </c>
      <c r="I1925" s="8"/>
      <c r="J1925" s="8" t="str">
        <f>IF(F1925="Monthly interest",MAX(0,Assumptions!$B$5-I1925),"")</f>
        <v/>
      </c>
      <c r="K1925" s="7">
        <f t="shared" si="90"/>
        <v>7492</v>
      </c>
      <c r="L1925" s="9">
        <v>46171</v>
      </c>
      <c r="M1925" s="5" t="s">
        <v>69</v>
      </c>
      <c r="N1925" s="5" t="s">
        <v>53</v>
      </c>
      <c r="O1925" s="5" t="s">
        <v>71</v>
      </c>
      <c r="P1925" s="5" t="s">
        <v>70</v>
      </c>
      <c r="Q1925" s="5" t="s">
        <v>73</v>
      </c>
      <c r="R1925" s="5" t="s">
        <v>74</v>
      </c>
      <c r="S1925" s="5" t="s">
        <v>75</v>
      </c>
      <c r="T1925" s="5" t="s">
        <v>57</v>
      </c>
      <c r="U1925" s="5" t="s">
        <v>104</v>
      </c>
      <c r="V1925" s="5" t="s">
        <v>76</v>
      </c>
      <c r="W1925" s="5" t="s">
        <v>382</v>
      </c>
      <c r="X1925" s="5" t="s">
        <v>7704</v>
      </c>
      <c r="Y1925" s="5" t="s">
        <v>7705</v>
      </c>
      <c r="Z1925" s="9">
        <v>46171</v>
      </c>
      <c r="AA1925" s="8">
        <v>6</v>
      </c>
      <c r="AB1925" s="9">
        <f t="shared" si="91"/>
        <v>46355</v>
      </c>
      <c r="AC1925" s="10">
        <v>16</v>
      </c>
      <c r="AD1925" s="7">
        <f t="shared" si="92"/>
        <v>1873</v>
      </c>
      <c r="AE1925" s="7">
        <f>IF(F1925="Bullet",H1925*AD1925,MIN(MAX(I1925,1),Assumptions!$B$6)*AD1925)</f>
        <v>3746</v>
      </c>
      <c r="AF1925" s="8">
        <f>IF(F1925="Bullet",MAX(0,Assumptions!$B$4-AB1925),MAX(0,Assumptions!$B$4-L1925))</f>
        <v>0</v>
      </c>
      <c r="AG1925" s="9"/>
      <c r="AH1925" s="8" t="str">
        <f>IF(AG1925="","",Assumptions!$B$4-AG1925)</f>
        <v/>
      </c>
      <c r="AI1925" s="5" t="s">
        <v>80</v>
      </c>
      <c r="AJ1925" s="8"/>
      <c r="AK1925" s="8">
        <v>1</v>
      </c>
      <c r="AL1925" s="8" t="s">
        <v>80</v>
      </c>
      <c r="AM1925" s="8">
        <v>1</v>
      </c>
      <c r="AN1925" s="5" t="s">
        <v>63</v>
      </c>
      <c r="AO1925" s="10">
        <v>75.599999999999994</v>
      </c>
      <c r="AP1925" s="8">
        <v>32</v>
      </c>
      <c r="AQ1925" s="9">
        <v>46291</v>
      </c>
      <c r="AR1925" s="5" t="s">
        <v>51</v>
      </c>
      <c r="AS1925" s="5" t="s">
        <v>64</v>
      </c>
    </row>
    <row r="1926" spans="1:45" x14ac:dyDescent="0.35">
      <c r="A1926" s="5" t="s">
        <v>7706</v>
      </c>
      <c r="B1926" s="5" t="s">
        <v>813</v>
      </c>
      <c r="C1926" s="6" t="s">
        <v>7707</v>
      </c>
      <c r="D1926" s="7">
        <v>133600</v>
      </c>
      <c r="E1926" s="5" t="s">
        <v>48</v>
      </c>
      <c r="F1926" s="5" t="s">
        <v>49</v>
      </c>
      <c r="G1926" s="8"/>
      <c r="H1926" s="8" t="str">
        <f>IF(F1926="Bullet",MIN(G1926,Assumptions!$B$6),"")</f>
        <v/>
      </c>
      <c r="I1926" s="8">
        <v>2</v>
      </c>
      <c r="J1926" s="8">
        <f>IF(F1926="Monthly interest",MAX(0,Assumptions!$B$5-I1926),"")</f>
        <v>1</v>
      </c>
      <c r="K1926" s="7">
        <f t="shared" si="90"/>
        <v>4008</v>
      </c>
      <c r="L1926" s="9">
        <v>46242</v>
      </c>
      <c r="M1926" s="5" t="s">
        <v>69</v>
      </c>
      <c r="N1926" s="5" t="s">
        <v>53</v>
      </c>
      <c r="O1926" s="5" t="s">
        <v>71</v>
      </c>
      <c r="P1926" s="5" t="s">
        <v>70</v>
      </c>
      <c r="Q1926" s="5" t="s">
        <v>73</v>
      </c>
      <c r="R1926" s="5" t="s">
        <v>74</v>
      </c>
      <c r="S1926" s="5" t="s">
        <v>85</v>
      </c>
      <c r="T1926" s="5" t="s">
        <v>57</v>
      </c>
      <c r="U1926" s="5" t="s">
        <v>104</v>
      </c>
      <c r="V1926" s="5" t="s">
        <v>133</v>
      </c>
      <c r="W1926" s="5" t="s">
        <v>317</v>
      </c>
      <c r="X1926" s="5" t="s">
        <v>7708</v>
      </c>
      <c r="Y1926" s="5" t="s">
        <v>7709</v>
      </c>
      <c r="Z1926" s="9">
        <v>46030</v>
      </c>
      <c r="AA1926" s="8">
        <v>24</v>
      </c>
      <c r="AB1926" s="9">
        <f t="shared" si="91"/>
        <v>46760</v>
      </c>
      <c r="AC1926" s="10">
        <v>18</v>
      </c>
      <c r="AD1926" s="7">
        <f t="shared" si="92"/>
        <v>2004</v>
      </c>
      <c r="AE1926" s="7">
        <f>IF(F1926="Bullet",H1926*AD1926,MIN(MAX(I1926,1),Assumptions!$B$6)*AD1926)</f>
        <v>4008</v>
      </c>
      <c r="AF1926" s="8">
        <f>IF(F1926="Bullet",MAX(0,Assumptions!$B$4-AB1926),MAX(0,Assumptions!$B$4-L1926))</f>
        <v>56</v>
      </c>
      <c r="AG1926" s="9">
        <v>46211</v>
      </c>
      <c r="AH1926" s="8">
        <f>IF(AG1926="","",Assumptions!$B$4-AG1926)</f>
        <v>87</v>
      </c>
      <c r="AI1926" s="5" t="s">
        <v>63</v>
      </c>
      <c r="AJ1926" s="8">
        <v>2</v>
      </c>
      <c r="AK1926" s="8">
        <v>0</v>
      </c>
      <c r="AL1926" s="8">
        <v>772</v>
      </c>
      <c r="AM1926" s="8">
        <v>1</v>
      </c>
      <c r="AN1926" s="5" t="s">
        <v>63</v>
      </c>
      <c r="AO1926" s="10">
        <v>62</v>
      </c>
      <c r="AP1926" s="8">
        <v>35</v>
      </c>
      <c r="AQ1926" s="9">
        <v>46285</v>
      </c>
      <c r="AR1926" s="5" t="s">
        <v>70</v>
      </c>
      <c r="AS1926" s="5" t="s">
        <v>91</v>
      </c>
    </row>
    <row r="1927" spans="1:45" x14ac:dyDescent="0.35">
      <c r="A1927" s="5" t="s">
        <v>7710</v>
      </c>
      <c r="B1927" s="5" t="s">
        <v>7711</v>
      </c>
      <c r="C1927" s="6" t="s">
        <v>7712</v>
      </c>
      <c r="D1927" s="7">
        <v>126000</v>
      </c>
      <c r="E1927" s="5" t="s">
        <v>48</v>
      </c>
      <c r="F1927" s="5" t="s">
        <v>68</v>
      </c>
      <c r="G1927" s="8">
        <v>4</v>
      </c>
      <c r="H1927" s="8">
        <f>IF(F1927="Bullet",MIN(G1927,Assumptions!$B$6),"")</f>
        <v>2</v>
      </c>
      <c r="I1927" s="8"/>
      <c r="J1927" s="8" t="str">
        <f>IF(F1927="Monthly interest",MAX(0,Assumptions!$B$5-I1927),"")</f>
        <v/>
      </c>
      <c r="K1927" s="7">
        <f t="shared" si="90"/>
        <v>7560</v>
      </c>
      <c r="L1927" s="9">
        <v>46164</v>
      </c>
      <c r="M1927" s="5" t="s">
        <v>69</v>
      </c>
      <c r="N1927" s="5" t="s">
        <v>53</v>
      </c>
      <c r="O1927" s="5" t="s">
        <v>71</v>
      </c>
      <c r="P1927" s="5" t="s">
        <v>70</v>
      </c>
      <c r="Q1927" s="5" t="s">
        <v>73</v>
      </c>
      <c r="R1927" s="5" t="s">
        <v>74</v>
      </c>
      <c r="S1927" s="5" t="s">
        <v>214</v>
      </c>
      <c r="T1927" s="5" t="s">
        <v>57</v>
      </c>
      <c r="U1927" s="5" t="s">
        <v>104</v>
      </c>
      <c r="V1927" s="5" t="s">
        <v>215</v>
      </c>
      <c r="W1927" s="5" t="s">
        <v>284</v>
      </c>
      <c r="X1927" s="5" t="s">
        <v>1731</v>
      </c>
      <c r="Y1927" s="5" t="s">
        <v>7713</v>
      </c>
      <c r="Z1927" s="9">
        <v>46164</v>
      </c>
      <c r="AA1927" s="8">
        <v>12</v>
      </c>
      <c r="AB1927" s="9">
        <f t="shared" si="91"/>
        <v>46529</v>
      </c>
      <c r="AC1927" s="10">
        <v>18</v>
      </c>
      <c r="AD1927" s="7">
        <f t="shared" si="92"/>
        <v>1890</v>
      </c>
      <c r="AE1927" s="7">
        <f>IF(F1927="Bullet",H1927*AD1927,MIN(MAX(I1927,1),Assumptions!$B$6)*AD1927)</f>
        <v>3780</v>
      </c>
      <c r="AF1927" s="8">
        <f>IF(F1927="Bullet",MAX(0,Assumptions!$B$4-AB1927),MAX(0,Assumptions!$B$4-L1927))</f>
        <v>0</v>
      </c>
      <c r="AG1927" s="9"/>
      <c r="AH1927" s="8" t="str">
        <f>IF(AG1927="","",Assumptions!$B$4-AG1927)</f>
        <v/>
      </c>
      <c r="AI1927" s="5" t="s">
        <v>80</v>
      </c>
      <c r="AJ1927" s="8"/>
      <c r="AK1927" s="8">
        <v>0</v>
      </c>
      <c r="AL1927" s="8">
        <v>639</v>
      </c>
      <c r="AM1927" s="8">
        <v>0</v>
      </c>
      <c r="AN1927" s="5" t="s">
        <v>63</v>
      </c>
      <c r="AO1927" s="10">
        <v>78.7</v>
      </c>
      <c r="AP1927" s="8">
        <v>36</v>
      </c>
      <c r="AQ1927" s="9">
        <v>46294</v>
      </c>
      <c r="AR1927" s="5" t="s">
        <v>51</v>
      </c>
      <c r="AS1927" s="5" t="s">
        <v>81</v>
      </c>
    </row>
    <row r="1928" spans="1:45" x14ac:dyDescent="0.35">
      <c r="A1928" s="5" t="s">
        <v>7714</v>
      </c>
      <c r="B1928" s="5" t="s">
        <v>1586</v>
      </c>
      <c r="C1928" s="6" t="s">
        <v>7715</v>
      </c>
      <c r="D1928" s="7">
        <v>140400</v>
      </c>
      <c r="E1928" s="5" t="s">
        <v>48</v>
      </c>
      <c r="F1928" s="5" t="s">
        <v>68</v>
      </c>
      <c r="G1928" s="8">
        <v>5</v>
      </c>
      <c r="H1928" s="8">
        <f>IF(F1928="Bullet",MIN(G1928,Assumptions!$B$6),"")</f>
        <v>2</v>
      </c>
      <c r="I1928" s="8"/>
      <c r="J1928" s="8" t="str">
        <f>IF(F1928="Monthly interest",MAX(0,Assumptions!$B$5-I1928),"")</f>
        <v/>
      </c>
      <c r="K1928" s="7">
        <f t="shared" si="90"/>
        <v>7605</v>
      </c>
      <c r="L1928" s="9">
        <v>46143</v>
      </c>
      <c r="M1928" s="5" t="s">
        <v>116</v>
      </c>
      <c r="N1928" s="5" t="s">
        <v>117</v>
      </c>
      <c r="O1928" s="5" t="s">
        <v>461</v>
      </c>
      <c r="P1928" s="5" t="s">
        <v>72</v>
      </c>
      <c r="Q1928" s="5" t="s">
        <v>169</v>
      </c>
      <c r="R1928" s="5" t="s">
        <v>170</v>
      </c>
      <c r="S1928" s="5" t="s">
        <v>75</v>
      </c>
      <c r="T1928" s="5" t="s">
        <v>57</v>
      </c>
      <c r="U1928" s="5" t="s">
        <v>86</v>
      </c>
      <c r="V1928" s="5" t="s">
        <v>76</v>
      </c>
      <c r="W1928" s="5" t="s">
        <v>382</v>
      </c>
      <c r="X1928" s="5" t="s">
        <v>641</v>
      </c>
      <c r="Y1928" s="5" t="s">
        <v>7716</v>
      </c>
      <c r="Z1928" s="9">
        <v>46143</v>
      </c>
      <c r="AA1928" s="8">
        <v>3</v>
      </c>
      <c r="AB1928" s="9">
        <f t="shared" si="91"/>
        <v>46235</v>
      </c>
      <c r="AC1928" s="10">
        <v>13</v>
      </c>
      <c r="AD1928" s="7">
        <f t="shared" si="92"/>
        <v>1521</v>
      </c>
      <c r="AE1928" s="7">
        <f>IF(F1928="Bullet",H1928*AD1928,MIN(MAX(I1928,1),Assumptions!$B$6)*AD1928)</f>
        <v>3042</v>
      </c>
      <c r="AF1928" s="8">
        <f>IF(F1928="Bullet",MAX(0,Assumptions!$B$4-AB1928),MAX(0,Assumptions!$B$4-L1928))</f>
        <v>63</v>
      </c>
      <c r="AG1928" s="9"/>
      <c r="AH1928" s="8" t="str">
        <f>IF(AG1928="","",Assumptions!$B$4-AG1928)</f>
        <v/>
      </c>
      <c r="AI1928" s="5" t="s">
        <v>80</v>
      </c>
      <c r="AJ1928" s="8"/>
      <c r="AK1928" s="8">
        <v>2</v>
      </c>
      <c r="AL1928" s="8">
        <v>791</v>
      </c>
      <c r="AM1928" s="8">
        <v>2</v>
      </c>
      <c r="AN1928" s="5" t="s">
        <v>63</v>
      </c>
      <c r="AO1928" s="10">
        <v>66</v>
      </c>
      <c r="AP1928" s="8">
        <v>49</v>
      </c>
      <c r="AQ1928" s="9">
        <v>46284</v>
      </c>
      <c r="AR1928" s="5" t="s">
        <v>51</v>
      </c>
      <c r="AS1928" s="5" t="s">
        <v>81</v>
      </c>
    </row>
    <row r="1929" spans="1:45" x14ac:dyDescent="0.35">
      <c r="A1929" s="5" t="s">
        <v>7717</v>
      </c>
      <c r="B1929" s="5" t="s">
        <v>7718</v>
      </c>
      <c r="C1929" s="6" t="s">
        <v>7719</v>
      </c>
      <c r="D1929" s="7">
        <v>133000</v>
      </c>
      <c r="E1929" s="5" t="s">
        <v>48</v>
      </c>
      <c r="F1929" s="5" t="s">
        <v>49</v>
      </c>
      <c r="G1929" s="8"/>
      <c r="H1929" s="8" t="str">
        <f>IF(F1929="Bullet",MIN(G1929,Assumptions!$B$6),"")</f>
        <v/>
      </c>
      <c r="I1929" s="8">
        <v>1</v>
      </c>
      <c r="J1929" s="8">
        <f>IF(F1929="Monthly interest",MAX(0,Assumptions!$B$5-I1929),"")</f>
        <v>2</v>
      </c>
      <c r="K1929" s="7">
        <f t="shared" si="90"/>
        <v>2217</v>
      </c>
      <c r="L1929" s="9">
        <v>46273</v>
      </c>
      <c r="M1929" s="5" t="s">
        <v>50</v>
      </c>
      <c r="N1929" s="5" t="s">
        <v>53</v>
      </c>
      <c r="O1929" s="5" t="s">
        <v>132</v>
      </c>
      <c r="P1929" s="5" t="s">
        <v>51</v>
      </c>
      <c r="Q1929" s="5" t="s">
        <v>54</v>
      </c>
      <c r="R1929" s="5" t="s">
        <v>55</v>
      </c>
      <c r="S1929" s="5" t="s">
        <v>214</v>
      </c>
      <c r="T1929" s="5" t="s">
        <v>57</v>
      </c>
      <c r="U1929" s="5" t="s">
        <v>86</v>
      </c>
      <c r="V1929" s="5" t="s">
        <v>215</v>
      </c>
      <c r="W1929" s="5" t="s">
        <v>284</v>
      </c>
      <c r="X1929" s="5" t="s">
        <v>1731</v>
      </c>
      <c r="Y1929" s="5" t="s">
        <v>7720</v>
      </c>
      <c r="Z1929" s="9">
        <v>46120</v>
      </c>
      <c r="AA1929" s="8">
        <v>12</v>
      </c>
      <c r="AB1929" s="9">
        <f t="shared" si="91"/>
        <v>46485</v>
      </c>
      <c r="AC1929" s="10">
        <v>20</v>
      </c>
      <c r="AD1929" s="7">
        <f t="shared" si="92"/>
        <v>2217</v>
      </c>
      <c r="AE1929" s="7">
        <f>IF(F1929="Bullet",H1929*AD1929,MIN(MAX(I1929,1),Assumptions!$B$6)*AD1929)</f>
        <v>2217</v>
      </c>
      <c r="AF1929" s="8">
        <f>IF(F1929="Bullet",MAX(0,Assumptions!$B$4-AB1929),MAX(0,Assumptions!$B$4-L1929))</f>
        <v>25</v>
      </c>
      <c r="AG1929" s="9">
        <v>46245</v>
      </c>
      <c r="AH1929" s="8">
        <f>IF(AG1929="","",Assumptions!$B$4-AG1929)</f>
        <v>53</v>
      </c>
      <c r="AI1929" s="5" t="s">
        <v>63</v>
      </c>
      <c r="AJ1929" s="8">
        <v>2</v>
      </c>
      <c r="AK1929" s="8">
        <v>1</v>
      </c>
      <c r="AL1929" s="8">
        <v>798</v>
      </c>
      <c r="AM1929" s="8">
        <v>0</v>
      </c>
      <c r="AN1929" s="5" t="s">
        <v>63</v>
      </c>
      <c r="AO1929" s="10">
        <v>71.599999999999994</v>
      </c>
      <c r="AP1929" s="8">
        <v>22</v>
      </c>
      <c r="AQ1929" s="9">
        <v>46284</v>
      </c>
      <c r="AR1929" s="5" t="s">
        <v>51</v>
      </c>
      <c r="AS1929" s="5" t="s">
        <v>91</v>
      </c>
    </row>
    <row r="1930" spans="1:45" x14ac:dyDescent="0.35">
      <c r="A1930" s="5" t="s">
        <v>7721</v>
      </c>
      <c r="B1930" s="5" t="s">
        <v>6371</v>
      </c>
      <c r="C1930" s="6" t="s">
        <v>7722</v>
      </c>
      <c r="D1930" s="7">
        <v>90200</v>
      </c>
      <c r="E1930" s="5" t="s">
        <v>48</v>
      </c>
      <c r="F1930" s="5" t="s">
        <v>49</v>
      </c>
      <c r="G1930" s="8"/>
      <c r="H1930" s="8" t="str">
        <f>IF(F1930="Bullet",MIN(G1930,Assumptions!$B$6),"")</f>
        <v/>
      </c>
      <c r="I1930" s="8">
        <v>1</v>
      </c>
      <c r="J1930" s="8">
        <f>IF(F1930="Monthly interest",MAX(0,Assumptions!$B$5-I1930),"")</f>
        <v>2</v>
      </c>
      <c r="K1930" s="7">
        <f t="shared" si="90"/>
        <v>1503</v>
      </c>
      <c r="L1930" s="9">
        <v>46288</v>
      </c>
      <c r="M1930" s="5" t="s">
        <v>69</v>
      </c>
      <c r="N1930" s="5" t="s">
        <v>51</v>
      </c>
      <c r="O1930" s="5" t="s">
        <v>52</v>
      </c>
      <c r="P1930" s="5" t="s">
        <v>53</v>
      </c>
      <c r="Q1930" s="5" t="s">
        <v>54</v>
      </c>
      <c r="R1930" s="5" t="s">
        <v>55</v>
      </c>
      <c r="S1930" s="5" t="s">
        <v>75</v>
      </c>
      <c r="T1930" s="5" t="s">
        <v>57</v>
      </c>
      <c r="U1930" s="5" t="s">
        <v>58</v>
      </c>
      <c r="V1930" s="5" t="s">
        <v>76</v>
      </c>
      <c r="W1930" s="5" t="s">
        <v>444</v>
      </c>
      <c r="X1930" s="5" t="s">
        <v>3591</v>
      </c>
      <c r="Y1930" s="5" t="s">
        <v>7723</v>
      </c>
      <c r="Z1930" s="9">
        <v>46135</v>
      </c>
      <c r="AA1930" s="8">
        <v>24</v>
      </c>
      <c r="AB1930" s="9">
        <f t="shared" si="91"/>
        <v>46866</v>
      </c>
      <c r="AC1930" s="10">
        <v>20</v>
      </c>
      <c r="AD1930" s="7">
        <f t="shared" si="92"/>
        <v>1503</v>
      </c>
      <c r="AE1930" s="7">
        <f>IF(F1930="Bullet",H1930*AD1930,MIN(MAX(I1930,1),Assumptions!$B$6)*AD1930)</f>
        <v>1503</v>
      </c>
      <c r="AF1930" s="8">
        <f>IF(F1930="Bullet",MAX(0,Assumptions!$B$4-AB1930),MAX(0,Assumptions!$B$4-L1930))</f>
        <v>10</v>
      </c>
      <c r="AG1930" s="9">
        <v>46260</v>
      </c>
      <c r="AH1930" s="8">
        <f>IF(AG1930="","",Assumptions!$B$4-AG1930)</f>
        <v>38</v>
      </c>
      <c r="AI1930" s="5" t="s">
        <v>63</v>
      </c>
      <c r="AJ1930" s="8">
        <v>3</v>
      </c>
      <c r="AK1930" s="8">
        <v>0</v>
      </c>
      <c r="AL1930" s="8">
        <v>661</v>
      </c>
      <c r="AM1930" s="8">
        <v>2</v>
      </c>
      <c r="AN1930" s="5" t="s">
        <v>63</v>
      </c>
      <c r="AO1930" s="10">
        <v>81.599999999999994</v>
      </c>
      <c r="AP1930" s="8">
        <v>38</v>
      </c>
      <c r="AQ1930" s="9"/>
      <c r="AR1930" s="5"/>
      <c r="AS1930" s="5" t="s">
        <v>159</v>
      </c>
    </row>
    <row r="1931" spans="1:45" x14ac:dyDescent="0.35">
      <c r="A1931" s="5" t="s">
        <v>7724</v>
      </c>
      <c r="B1931" s="5" t="s">
        <v>7725</v>
      </c>
      <c r="C1931" s="6" t="s">
        <v>7726</v>
      </c>
      <c r="D1931" s="7">
        <v>53900</v>
      </c>
      <c r="E1931" s="5" t="s">
        <v>48</v>
      </c>
      <c r="F1931" s="5" t="s">
        <v>68</v>
      </c>
      <c r="G1931" s="8">
        <v>5</v>
      </c>
      <c r="H1931" s="8">
        <f>IF(F1931="Bullet",MIN(G1931,Assumptions!$B$6),"")</f>
        <v>2</v>
      </c>
      <c r="I1931" s="8"/>
      <c r="J1931" s="8" t="str">
        <f>IF(F1931="Monthly interest",MAX(0,Assumptions!$B$5-I1931),"")</f>
        <v/>
      </c>
      <c r="K1931" s="7">
        <f t="shared" si="90"/>
        <v>3595</v>
      </c>
      <c r="L1931" s="9">
        <v>46125</v>
      </c>
      <c r="M1931" s="5" t="s">
        <v>69</v>
      </c>
      <c r="N1931" s="5" t="s">
        <v>53</v>
      </c>
      <c r="O1931" s="5" t="s">
        <v>168</v>
      </c>
      <c r="P1931" s="5" t="s">
        <v>70</v>
      </c>
      <c r="Q1931" s="5" t="s">
        <v>169</v>
      </c>
      <c r="R1931" s="5" t="s">
        <v>170</v>
      </c>
      <c r="S1931" s="5" t="s">
        <v>185</v>
      </c>
      <c r="T1931" s="5" t="s">
        <v>63</v>
      </c>
      <c r="U1931" s="5" t="s">
        <v>86</v>
      </c>
      <c r="V1931" s="5" t="s">
        <v>186</v>
      </c>
      <c r="W1931" s="5" t="s">
        <v>376</v>
      </c>
      <c r="X1931" s="5" t="s">
        <v>5975</v>
      </c>
      <c r="Y1931" s="5" t="s">
        <v>7727</v>
      </c>
      <c r="Z1931" s="9">
        <v>46125</v>
      </c>
      <c r="AA1931" s="8">
        <v>6</v>
      </c>
      <c r="AB1931" s="9">
        <f t="shared" si="91"/>
        <v>46308</v>
      </c>
      <c r="AC1931" s="10">
        <v>16</v>
      </c>
      <c r="AD1931" s="7">
        <f t="shared" si="92"/>
        <v>719</v>
      </c>
      <c r="AE1931" s="7">
        <f>IF(F1931="Bullet",H1931*AD1931,MIN(MAX(I1931,1),Assumptions!$B$6)*AD1931)</f>
        <v>1438</v>
      </c>
      <c r="AF1931" s="8">
        <f>IF(F1931="Bullet",MAX(0,Assumptions!$B$4-AB1931),MAX(0,Assumptions!$B$4-L1931))</f>
        <v>0</v>
      </c>
      <c r="AG1931" s="9"/>
      <c r="AH1931" s="8" t="str">
        <f>IF(AG1931="","",Assumptions!$B$4-AG1931)</f>
        <v/>
      </c>
      <c r="AI1931" s="5" t="s">
        <v>80</v>
      </c>
      <c r="AJ1931" s="8"/>
      <c r="AK1931" s="8">
        <v>2</v>
      </c>
      <c r="AL1931" s="8">
        <v>812</v>
      </c>
      <c r="AM1931" s="8">
        <v>1</v>
      </c>
      <c r="AN1931" s="5" t="s">
        <v>63</v>
      </c>
      <c r="AO1931" s="10">
        <v>83</v>
      </c>
      <c r="AP1931" s="8">
        <v>46</v>
      </c>
      <c r="AQ1931" s="9"/>
      <c r="AR1931" s="5"/>
      <c r="AS1931" s="5" t="s">
        <v>159</v>
      </c>
    </row>
    <row r="1932" spans="1:45" x14ac:dyDescent="0.35">
      <c r="A1932" s="5" t="s">
        <v>7728</v>
      </c>
      <c r="B1932" s="5" t="s">
        <v>563</v>
      </c>
      <c r="C1932" s="6" t="s">
        <v>7729</v>
      </c>
      <c r="D1932" s="7">
        <v>274600</v>
      </c>
      <c r="E1932" s="5" t="s">
        <v>48</v>
      </c>
      <c r="F1932" s="5" t="s">
        <v>49</v>
      </c>
      <c r="G1932" s="8"/>
      <c r="H1932" s="8" t="str">
        <f>IF(F1932="Bullet",MIN(G1932,Assumptions!$B$6),"")</f>
        <v/>
      </c>
      <c r="I1932" s="8">
        <v>1</v>
      </c>
      <c r="J1932" s="8">
        <f>IF(F1932="Monthly interest",MAX(0,Assumptions!$B$5-I1932),"")</f>
        <v>2</v>
      </c>
      <c r="K1932" s="7">
        <f t="shared" si="90"/>
        <v>3204</v>
      </c>
      <c r="L1932" s="9">
        <v>46296</v>
      </c>
      <c r="M1932" s="5" t="s">
        <v>50</v>
      </c>
      <c r="N1932" s="5" t="s">
        <v>53</v>
      </c>
      <c r="O1932" s="5" t="s">
        <v>132</v>
      </c>
      <c r="P1932" s="5" t="s">
        <v>70</v>
      </c>
      <c r="Q1932" s="5" t="s">
        <v>54</v>
      </c>
      <c r="R1932" s="5" t="s">
        <v>55</v>
      </c>
      <c r="S1932" s="5" t="s">
        <v>75</v>
      </c>
      <c r="T1932" s="5" t="s">
        <v>63</v>
      </c>
      <c r="U1932" s="5" t="s">
        <v>86</v>
      </c>
      <c r="V1932" s="5" t="s">
        <v>76</v>
      </c>
      <c r="W1932" s="5" t="s">
        <v>444</v>
      </c>
      <c r="X1932" s="5" t="s">
        <v>1403</v>
      </c>
      <c r="Y1932" s="5" t="s">
        <v>7730</v>
      </c>
      <c r="Z1932" s="9">
        <v>46054</v>
      </c>
      <c r="AA1932" s="8">
        <v>12</v>
      </c>
      <c r="AB1932" s="9">
        <f t="shared" si="91"/>
        <v>46419</v>
      </c>
      <c r="AC1932" s="10">
        <v>14</v>
      </c>
      <c r="AD1932" s="7">
        <f t="shared" si="92"/>
        <v>3204</v>
      </c>
      <c r="AE1932" s="7">
        <f>IF(F1932="Bullet",H1932*AD1932,MIN(MAX(I1932,1),Assumptions!$B$6)*AD1932)</f>
        <v>3204</v>
      </c>
      <c r="AF1932" s="8">
        <f>IF(F1932="Bullet",MAX(0,Assumptions!$B$4-AB1932),MAX(0,Assumptions!$B$4-L1932))</f>
        <v>2</v>
      </c>
      <c r="AG1932" s="9">
        <v>46271</v>
      </c>
      <c r="AH1932" s="8">
        <f>IF(AG1932="","",Assumptions!$B$4-AG1932)</f>
        <v>27</v>
      </c>
      <c r="AI1932" s="5" t="s">
        <v>63</v>
      </c>
      <c r="AJ1932" s="8">
        <v>1</v>
      </c>
      <c r="AK1932" s="8">
        <v>0</v>
      </c>
      <c r="AL1932" s="8">
        <v>819</v>
      </c>
      <c r="AM1932" s="8">
        <v>0</v>
      </c>
      <c r="AN1932" s="5" t="s">
        <v>63</v>
      </c>
      <c r="AO1932" s="10">
        <v>75</v>
      </c>
      <c r="AP1932" s="8">
        <v>10</v>
      </c>
      <c r="AQ1932" s="9">
        <v>46290</v>
      </c>
      <c r="AR1932" s="5" t="s">
        <v>51</v>
      </c>
      <c r="AS1932" s="5" t="s">
        <v>91</v>
      </c>
    </row>
    <row r="1933" spans="1:45" x14ac:dyDescent="0.35">
      <c r="A1933" s="5" t="s">
        <v>7731</v>
      </c>
      <c r="B1933" s="5" t="s">
        <v>4834</v>
      </c>
      <c r="C1933" s="6" t="s">
        <v>7732</v>
      </c>
      <c r="D1933" s="7">
        <v>109400</v>
      </c>
      <c r="E1933" s="5" t="s">
        <v>48</v>
      </c>
      <c r="F1933" s="5" t="s">
        <v>49</v>
      </c>
      <c r="G1933" s="8"/>
      <c r="H1933" s="8" t="str">
        <f>IF(F1933="Bullet",MIN(G1933,Assumptions!$B$6),"")</f>
        <v/>
      </c>
      <c r="I1933" s="8">
        <v>1</v>
      </c>
      <c r="J1933" s="8">
        <f>IF(F1933="Monthly interest",MAX(0,Assumptions!$B$5-I1933),"")</f>
        <v>2</v>
      </c>
      <c r="K1933" s="7">
        <f t="shared" si="90"/>
        <v>1823</v>
      </c>
      <c r="L1933" s="9">
        <v>46286</v>
      </c>
      <c r="M1933" s="5" t="s">
        <v>50</v>
      </c>
      <c r="N1933" s="5" t="s">
        <v>51</v>
      </c>
      <c r="O1933" s="5" t="s">
        <v>52</v>
      </c>
      <c r="P1933" s="5" t="s">
        <v>53</v>
      </c>
      <c r="Q1933" s="5" t="s">
        <v>54</v>
      </c>
      <c r="R1933" s="5" t="s">
        <v>55</v>
      </c>
      <c r="S1933" s="5" t="s">
        <v>56</v>
      </c>
      <c r="T1933" s="5" t="s">
        <v>57</v>
      </c>
      <c r="U1933" s="5" t="s">
        <v>86</v>
      </c>
      <c r="V1933" s="5" t="s">
        <v>59</v>
      </c>
      <c r="W1933" s="5" t="s">
        <v>60</v>
      </c>
      <c r="X1933" s="5" t="s">
        <v>1076</v>
      </c>
      <c r="Y1933" s="5" t="s">
        <v>7733</v>
      </c>
      <c r="Z1933" s="9">
        <v>46102</v>
      </c>
      <c r="AA1933" s="8">
        <v>12</v>
      </c>
      <c r="AB1933" s="9">
        <f t="shared" si="91"/>
        <v>46467</v>
      </c>
      <c r="AC1933" s="10">
        <v>20</v>
      </c>
      <c r="AD1933" s="7">
        <f t="shared" si="92"/>
        <v>1823</v>
      </c>
      <c r="AE1933" s="7">
        <f>IF(F1933="Bullet",H1933*AD1933,MIN(MAX(I1933,1),Assumptions!$B$6)*AD1933)</f>
        <v>1823</v>
      </c>
      <c r="AF1933" s="8">
        <f>IF(F1933="Bullet",MAX(0,Assumptions!$B$4-AB1933),MAX(0,Assumptions!$B$4-L1933))</f>
        <v>12</v>
      </c>
      <c r="AG1933" s="9">
        <v>46256</v>
      </c>
      <c r="AH1933" s="8">
        <f>IF(AG1933="","",Assumptions!$B$4-AG1933)</f>
        <v>42</v>
      </c>
      <c r="AI1933" s="5" t="s">
        <v>63</v>
      </c>
      <c r="AJ1933" s="8">
        <v>1</v>
      </c>
      <c r="AK1933" s="8">
        <v>0</v>
      </c>
      <c r="AL1933" s="8">
        <v>776</v>
      </c>
      <c r="AM1933" s="8">
        <v>0</v>
      </c>
      <c r="AN1933" s="5" t="s">
        <v>63</v>
      </c>
      <c r="AO1933" s="10">
        <v>58.7</v>
      </c>
      <c r="AP1933" s="8">
        <v>15</v>
      </c>
      <c r="AQ1933" s="9">
        <v>46280</v>
      </c>
      <c r="AR1933" s="5" t="s">
        <v>51</v>
      </c>
      <c r="AS1933" s="5" t="s">
        <v>181</v>
      </c>
    </row>
    <row r="1934" spans="1:45" x14ac:dyDescent="0.35">
      <c r="A1934" s="5" t="s">
        <v>7734</v>
      </c>
      <c r="B1934" s="5" t="s">
        <v>1946</v>
      </c>
      <c r="C1934" s="6" t="s">
        <v>7735</v>
      </c>
      <c r="D1934" s="7">
        <v>15000</v>
      </c>
      <c r="E1934" s="5" t="s">
        <v>48</v>
      </c>
      <c r="F1934" s="5" t="s">
        <v>49</v>
      </c>
      <c r="G1934" s="8"/>
      <c r="H1934" s="8" t="str">
        <f>IF(F1934="Bullet",MIN(G1934,Assumptions!$B$6),"")</f>
        <v/>
      </c>
      <c r="I1934" s="8">
        <v>1</v>
      </c>
      <c r="J1934" s="8">
        <f>IF(F1934="Monthly interest",MAX(0,Assumptions!$B$5-I1934),"")</f>
        <v>2</v>
      </c>
      <c r="K1934" s="7">
        <f t="shared" si="90"/>
        <v>175</v>
      </c>
      <c r="L1934" s="9">
        <v>46283</v>
      </c>
      <c r="M1934" s="5" t="s">
        <v>69</v>
      </c>
      <c r="N1934" s="5" t="s">
        <v>51</v>
      </c>
      <c r="O1934" s="5" t="s">
        <v>152</v>
      </c>
      <c r="P1934" s="5" t="s">
        <v>53</v>
      </c>
      <c r="Q1934" s="5" t="s">
        <v>154</v>
      </c>
      <c r="R1934" s="5" t="s">
        <v>155</v>
      </c>
      <c r="S1934" s="5" t="s">
        <v>253</v>
      </c>
      <c r="T1934" s="5" t="s">
        <v>57</v>
      </c>
      <c r="U1934" s="5" t="s">
        <v>58</v>
      </c>
      <c r="V1934" s="5" t="s">
        <v>215</v>
      </c>
      <c r="W1934" s="5" t="s">
        <v>600</v>
      </c>
      <c r="X1934" s="5" t="s">
        <v>1867</v>
      </c>
      <c r="Y1934" s="5" t="s">
        <v>7736</v>
      </c>
      <c r="Z1934" s="9">
        <v>46221</v>
      </c>
      <c r="AA1934" s="8">
        <v>12</v>
      </c>
      <c r="AB1934" s="9">
        <f t="shared" si="91"/>
        <v>46586</v>
      </c>
      <c r="AC1934" s="10">
        <v>14</v>
      </c>
      <c r="AD1934" s="7">
        <f t="shared" si="92"/>
        <v>175</v>
      </c>
      <c r="AE1934" s="7">
        <f>IF(F1934="Bullet",H1934*AD1934,MIN(MAX(I1934,1),Assumptions!$B$6)*AD1934)</f>
        <v>175</v>
      </c>
      <c r="AF1934" s="8">
        <f>IF(F1934="Bullet",MAX(0,Assumptions!$B$4-AB1934),MAX(0,Assumptions!$B$4-L1934))</f>
        <v>15</v>
      </c>
      <c r="AG1934" s="9">
        <v>46256</v>
      </c>
      <c r="AH1934" s="8">
        <f>IF(AG1934="","",Assumptions!$B$4-AG1934)</f>
        <v>42</v>
      </c>
      <c r="AI1934" s="5" t="s">
        <v>57</v>
      </c>
      <c r="AJ1934" s="8">
        <v>1</v>
      </c>
      <c r="AK1934" s="8">
        <v>0</v>
      </c>
      <c r="AL1934" s="8">
        <v>645</v>
      </c>
      <c r="AM1934" s="8">
        <v>0</v>
      </c>
      <c r="AN1934" s="5" t="s">
        <v>63</v>
      </c>
      <c r="AO1934" s="10">
        <v>65.2</v>
      </c>
      <c r="AP1934" s="8">
        <v>33</v>
      </c>
      <c r="AQ1934" s="9">
        <v>46277</v>
      </c>
      <c r="AR1934" s="5" t="s">
        <v>70</v>
      </c>
      <c r="AS1934" s="5" t="s">
        <v>81</v>
      </c>
    </row>
    <row r="1935" spans="1:45" x14ac:dyDescent="0.35">
      <c r="A1935" s="5" t="s">
        <v>7737</v>
      </c>
      <c r="B1935" s="5" t="s">
        <v>7738</v>
      </c>
      <c r="C1935" s="6" t="s">
        <v>7739</v>
      </c>
      <c r="D1935" s="7">
        <v>35500</v>
      </c>
      <c r="E1935" s="5" t="s">
        <v>48</v>
      </c>
      <c r="F1935" s="5" t="s">
        <v>49</v>
      </c>
      <c r="G1935" s="8"/>
      <c r="H1935" s="8" t="str">
        <f>IF(F1935="Bullet",MIN(G1935,Assumptions!$B$6),"")</f>
        <v/>
      </c>
      <c r="I1935" s="8">
        <v>1</v>
      </c>
      <c r="J1935" s="8">
        <f>IF(F1935="Monthly interest",MAX(0,Assumptions!$B$5-I1935),"")</f>
        <v>2</v>
      </c>
      <c r="K1935" s="7">
        <f t="shared" si="90"/>
        <v>651</v>
      </c>
      <c r="L1935" s="9">
        <v>46278</v>
      </c>
      <c r="M1935" s="5" t="s">
        <v>50</v>
      </c>
      <c r="N1935" s="5" t="s">
        <v>51</v>
      </c>
      <c r="O1935" s="5" t="s">
        <v>152</v>
      </c>
      <c r="P1935" s="5" t="s">
        <v>53</v>
      </c>
      <c r="Q1935" s="5" t="s">
        <v>154</v>
      </c>
      <c r="R1935" s="5" t="s">
        <v>155</v>
      </c>
      <c r="S1935" s="5" t="s">
        <v>185</v>
      </c>
      <c r="T1935" s="5" t="s">
        <v>57</v>
      </c>
      <c r="U1935" s="5" t="s">
        <v>58</v>
      </c>
      <c r="V1935" s="5" t="s">
        <v>200</v>
      </c>
      <c r="W1935" s="5" t="s">
        <v>767</v>
      </c>
      <c r="X1935" s="5" t="s">
        <v>7740</v>
      </c>
      <c r="Y1935" s="5" t="s">
        <v>7741</v>
      </c>
      <c r="Z1935" s="9">
        <v>46066</v>
      </c>
      <c r="AA1935" s="8">
        <v>12</v>
      </c>
      <c r="AB1935" s="9">
        <f t="shared" si="91"/>
        <v>46431</v>
      </c>
      <c r="AC1935" s="10">
        <v>22</v>
      </c>
      <c r="AD1935" s="7">
        <f t="shared" si="92"/>
        <v>651</v>
      </c>
      <c r="AE1935" s="7">
        <f>IF(F1935="Bullet",H1935*AD1935,MIN(MAX(I1935,1),Assumptions!$B$6)*AD1935)</f>
        <v>651</v>
      </c>
      <c r="AF1935" s="8">
        <f>IF(F1935="Bullet",MAX(0,Assumptions!$B$4-AB1935),MAX(0,Assumptions!$B$4-L1935))</f>
        <v>20</v>
      </c>
      <c r="AG1935" s="9">
        <v>46252</v>
      </c>
      <c r="AH1935" s="8">
        <f>IF(AG1935="","",Assumptions!$B$4-AG1935)</f>
        <v>46</v>
      </c>
      <c r="AI1935" s="5" t="s">
        <v>63</v>
      </c>
      <c r="AJ1935" s="8">
        <v>1</v>
      </c>
      <c r="AK1935" s="8">
        <v>0</v>
      </c>
      <c r="AL1935" s="8">
        <v>812</v>
      </c>
      <c r="AM1935" s="8">
        <v>1</v>
      </c>
      <c r="AN1935" s="5" t="s">
        <v>63</v>
      </c>
      <c r="AO1935" s="10">
        <v>68.599999999999994</v>
      </c>
      <c r="AP1935" s="8">
        <v>20</v>
      </c>
      <c r="AQ1935" s="9">
        <v>46282</v>
      </c>
      <c r="AR1935" s="5" t="s">
        <v>53</v>
      </c>
      <c r="AS1935" s="5" t="s">
        <v>274</v>
      </c>
    </row>
    <row r="1936" spans="1:45" x14ac:dyDescent="0.35">
      <c r="A1936" s="5" t="s">
        <v>7742</v>
      </c>
      <c r="B1936" s="5" t="s">
        <v>7743</v>
      </c>
      <c r="C1936" s="6" t="s">
        <v>7744</v>
      </c>
      <c r="D1936" s="7">
        <v>99200</v>
      </c>
      <c r="E1936" s="5" t="s">
        <v>48</v>
      </c>
      <c r="F1936" s="5" t="s">
        <v>49</v>
      </c>
      <c r="G1936" s="8"/>
      <c r="H1936" s="8" t="str">
        <f>IF(F1936="Bullet",MIN(G1936,Assumptions!$B$6),"")</f>
        <v/>
      </c>
      <c r="I1936" s="8">
        <v>2</v>
      </c>
      <c r="J1936" s="8">
        <f>IF(F1936="Monthly interest",MAX(0,Assumptions!$B$5-I1936),"")</f>
        <v>1</v>
      </c>
      <c r="K1936" s="7">
        <f t="shared" si="90"/>
        <v>2646</v>
      </c>
      <c r="L1936" s="9">
        <v>46253</v>
      </c>
      <c r="M1936" s="5" t="s">
        <v>116</v>
      </c>
      <c r="N1936" s="5" t="s">
        <v>117</v>
      </c>
      <c r="O1936" s="5" t="s">
        <v>118</v>
      </c>
      <c r="P1936" s="5" t="s">
        <v>72</v>
      </c>
      <c r="Q1936" s="5" t="s">
        <v>119</v>
      </c>
      <c r="R1936" s="5" t="s">
        <v>120</v>
      </c>
      <c r="S1936" s="5" t="s">
        <v>75</v>
      </c>
      <c r="T1936" s="5" t="s">
        <v>57</v>
      </c>
      <c r="U1936" s="5" t="s">
        <v>104</v>
      </c>
      <c r="V1936" s="5" t="s">
        <v>76</v>
      </c>
      <c r="W1936" s="5" t="s">
        <v>146</v>
      </c>
      <c r="X1936" s="5" t="s">
        <v>147</v>
      </c>
      <c r="Y1936" s="5" t="s">
        <v>7745</v>
      </c>
      <c r="Z1936" s="9">
        <v>46072</v>
      </c>
      <c r="AA1936" s="8">
        <v>24</v>
      </c>
      <c r="AB1936" s="9">
        <f t="shared" si="91"/>
        <v>46802</v>
      </c>
      <c r="AC1936" s="10">
        <v>16</v>
      </c>
      <c r="AD1936" s="7">
        <f t="shared" si="92"/>
        <v>1323</v>
      </c>
      <c r="AE1936" s="7">
        <f>IF(F1936="Bullet",H1936*AD1936,MIN(MAX(I1936,1),Assumptions!$B$6)*AD1936)</f>
        <v>2646</v>
      </c>
      <c r="AF1936" s="8">
        <f>IF(F1936="Bullet",MAX(0,Assumptions!$B$4-AB1936),MAX(0,Assumptions!$B$4-L1936))</f>
        <v>45</v>
      </c>
      <c r="AG1936" s="9">
        <v>46226</v>
      </c>
      <c r="AH1936" s="8">
        <f>IF(AG1936="","",Assumptions!$B$4-AG1936)</f>
        <v>72</v>
      </c>
      <c r="AI1936" s="5" t="s">
        <v>63</v>
      </c>
      <c r="AJ1936" s="8">
        <v>2</v>
      </c>
      <c r="AK1936" s="8">
        <v>1</v>
      </c>
      <c r="AL1936" s="8">
        <v>750</v>
      </c>
      <c r="AM1936" s="8">
        <v>2</v>
      </c>
      <c r="AN1936" s="5" t="s">
        <v>63</v>
      </c>
      <c r="AO1936" s="10">
        <v>88</v>
      </c>
      <c r="AP1936" s="8">
        <v>63</v>
      </c>
      <c r="AQ1936" s="9">
        <v>46274</v>
      </c>
      <c r="AR1936" s="5" t="s">
        <v>51</v>
      </c>
      <c r="AS1936" s="5" t="s">
        <v>91</v>
      </c>
    </row>
    <row r="1937" spans="1:45" x14ac:dyDescent="0.35">
      <c r="A1937" s="5" t="s">
        <v>7746</v>
      </c>
      <c r="B1937" s="5" t="s">
        <v>2671</v>
      </c>
      <c r="C1937" s="6" t="s">
        <v>7747</v>
      </c>
      <c r="D1937" s="7">
        <v>838800</v>
      </c>
      <c r="E1937" s="5" t="s">
        <v>48</v>
      </c>
      <c r="F1937" s="5" t="s">
        <v>68</v>
      </c>
      <c r="G1937" s="8">
        <v>3</v>
      </c>
      <c r="H1937" s="8">
        <f>IF(F1937="Bullet",MIN(G1937,Assumptions!$B$6),"")</f>
        <v>2</v>
      </c>
      <c r="I1937" s="8"/>
      <c r="J1937" s="8" t="str">
        <f>IF(F1937="Monthly interest",MAX(0,Assumptions!$B$5-I1937),"")</f>
        <v/>
      </c>
      <c r="K1937" s="7">
        <f t="shared" si="90"/>
        <v>33552</v>
      </c>
      <c r="L1937" s="9">
        <v>46197</v>
      </c>
      <c r="M1937" s="5" t="s">
        <v>50</v>
      </c>
      <c r="N1937" s="5" t="s">
        <v>53</v>
      </c>
      <c r="O1937" s="5" t="s">
        <v>71</v>
      </c>
      <c r="P1937" s="5" t="s">
        <v>51</v>
      </c>
      <c r="Q1937" s="5" t="s">
        <v>73</v>
      </c>
      <c r="R1937" s="5" t="s">
        <v>74</v>
      </c>
      <c r="S1937" s="5" t="s">
        <v>185</v>
      </c>
      <c r="T1937" s="5" t="s">
        <v>57</v>
      </c>
      <c r="U1937" s="5" t="s">
        <v>86</v>
      </c>
      <c r="V1937" s="5" t="s">
        <v>200</v>
      </c>
      <c r="W1937" s="5" t="s">
        <v>201</v>
      </c>
      <c r="X1937" s="5" t="s">
        <v>6414</v>
      </c>
      <c r="Y1937" s="5" t="s">
        <v>7748</v>
      </c>
      <c r="Z1937" s="9">
        <v>46197</v>
      </c>
      <c r="AA1937" s="8">
        <v>6</v>
      </c>
      <c r="AB1937" s="9">
        <f t="shared" si="91"/>
        <v>46380</v>
      </c>
      <c r="AC1937" s="10">
        <v>16</v>
      </c>
      <c r="AD1937" s="7">
        <f t="shared" si="92"/>
        <v>11184</v>
      </c>
      <c r="AE1937" s="7">
        <f>IF(F1937="Bullet",H1937*AD1937,MIN(MAX(I1937,1),Assumptions!$B$6)*AD1937)</f>
        <v>22368</v>
      </c>
      <c r="AF1937" s="8">
        <f>IF(F1937="Bullet",MAX(0,Assumptions!$B$4-AB1937),MAX(0,Assumptions!$B$4-L1937))</f>
        <v>0</v>
      </c>
      <c r="AG1937" s="9"/>
      <c r="AH1937" s="8" t="str">
        <f>IF(AG1937="","",Assumptions!$B$4-AG1937)</f>
        <v/>
      </c>
      <c r="AI1937" s="5" t="s">
        <v>80</v>
      </c>
      <c r="AJ1937" s="8"/>
      <c r="AK1937" s="8">
        <v>0</v>
      </c>
      <c r="AL1937" s="8">
        <v>738</v>
      </c>
      <c r="AM1937" s="8">
        <v>1</v>
      </c>
      <c r="AN1937" s="5" t="s">
        <v>63</v>
      </c>
      <c r="AO1937" s="10">
        <v>83.3</v>
      </c>
      <c r="AP1937" s="8">
        <v>27</v>
      </c>
      <c r="AQ1937" s="9">
        <v>46296</v>
      </c>
      <c r="AR1937" s="5" t="s">
        <v>53</v>
      </c>
      <c r="AS1937" s="5" t="s">
        <v>190</v>
      </c>
    </row>
    <row r="1938" spans="1:45" x14ac:dyDescent="0.35">
      <c r="A1938" s="5" t="s">
        <v>7749</v>
      </c>
      <c r="B1938" s="5" t="s">
        <v>4929</v>
      </c>
      <c r="C1938" s="6" t="s">
        <v>7750</v>
      </c>
      <c r="D1938" s="7">
        <v>431600</v>
      </c>
      <c r="E1938" s="5" t="s">
        <v>48</v>
      </c>
      <c r="F1938" s="5" t="s">
        <v>49</v>
      </c>
      <c r="G1938" s="8"/>
      <c r="H1938" s="8" t="str">
        <f>IF(F1938="Bullet",MIN(G1938,Assumptions!$B$6),"")</f>
        <v/>
      </c>
      <c r="I1938" s="8">
        <v>1</v>
      </c>
      <c r="J1938" s="8">
        <f>IF(F1938="Monthly interest",MAX(0,Assumptions!$B$5-I1938),"")</f>
        <v>2</v>
      </c>
      <c r="K1938" s="7">
        <f t="shared" si="90"/>
        <v>8632</v>
      </c>
      <c r="L1938" s="9">
        <v>46292</v>
      </c>
      <c r="M1938" s="5" t="s">
        <v>69</v>
      </c>
      <c r="N1938" s="5" t="s">
        <v>51</v>
      </c>
      <c r="O1938" s="5" t="s">
        <v>52</v>
      </c>
      <c r="P1938" s="5" t="s">
        <v>53</v>
      </c>
      <c r="Q1938" s="5" t="s">
        <v>54</v>
      </c>
      <c r="R1938" s="5" t="s">
        <v>55</v>
      </c>
      <c r="S1938" s="5" t="s">
        <v>85</v>
      </c>
      <c r="T1938" s="5" t="s">
        <v>57</v>
      </c>
      <c r="U1938" s="5" t="s">
        <v>58</v>
      </c>
      <c r="V1938" s="5" t="s">
        <v>96</v>
      </c>
      <c r="W1938" s="5" t="s">
        <v>97</v>
      </c>
      <c r="X1938" s="5" t="s">
        <v>7751</v>
      </c>
      <c r="Y1938" s="5" t="s">
        <v>7752</v>
      </c>
      <c r="Z1938" s="9">
        <v>46230</v>
      </c>
      <c r="AA1938" s="8">
        <v>24</v>
      </c>
      <c r="AB1938" s="9">
        <f t="shared" si="91"/>
        <v>46961</v>
      </c>
      <c r="AC1938" s="10">
        <v>24</v>
      </c>
      <c r="AD1938" s="7">
        <f t="shared" si="92"/>
        <v>8632</v>
      </c>
      <c r="AE1938" s="7">
        <f>IF(F1938="Bullet",H1938*AD1938,MIN(MAX(I1938,1),Assumptions!$B$6)*AD1938)</f>
        <v>8632</v>
      </c>
      <c r="AF1938" s="8">
        <f>IF(F1938="Bullet",MAX(0,Assumptions!$B$4-AB1938),MAX(0,Assumptions!$B$4-L1938))</f>
        <v>6</v>
      </c>
      <c r="AG1938" s="9">
        <v>46266</v>
      </c>
      <c r="AH1938" s="8">
        <f>IF(AG1938="","",Assumptions!$B$4-AG1938)</f>
        <v>32</v>
      </c>
      <c r="AI1938" s="5" t="s">
        <v>63</v>
      </c>
      <c r="AJ1938" s="8">
        <v>1</v>
      </c>
      <c r="AK1938" s="8">
        <v>1</v>
      </c>
      <c r="AL1938" s="8">
        <v>741</v>
      </c>
      <c r="AM1938" s="8">
        <v>0</v>
      </c>
      <c r="AN1938" s="5" t="s">
        <v>63</v>
      </c>
      <c r="AO1938" s="10">
        <v>88</v>
      </c>
      <c r="AP1938" s="8">
        <v>43</v>
      </c>
      <c r="AQ1938" s="9">
        <v>46297</v>
      </c>
      <c r="AR1938" s="5" t="s">
        <v>51</v>
      </c>
      <c r="AS1938" s="5" t="s">
        <v>64</v>
      </c>
    </row>
    <row r="1939" spans="1:45" x14ac:dyDescent="0.35">
      <c r="A1939" s="5" t="s">
        <v>7753</v>
      </c>
      <c r="B1939" s="5" t="s">
        <v>4131</v>
      </c>
      <c r="C1939" s="6" t="s">
        <v>7754</v>
      </c>
      <c r="D1939" s="7">
        <v>139100</v>
      </c>
      <c r="E1939" s="5" t="s">
        <v>48</v>
      </c>
      <c r="F1939" s="5" t="s">
        <v>49</v>
      </c>
      <c r="G1939" s="8"/>
      <c r="H1939" s="8" t="str">
        <f>IF(F1939="Bullet",MIN(G1939,Assumptions!$B$6),"")</f>
        <v/>
      </c>
      <c r="I1939" s="8">
        <v>2</v>
      </c>
      <c r="J1939" s="8">
        <f>IF(F1939="Monthly interest",MAX(0,Assumptions!$B$5-I1939),"")</f>
        <v>1</v>
      </c>
      <c r="K1939" s="7">
        <f t="shared" si="90"/>
        <v>5564</v>
      </c>
      <c r="L1939" s="9">
        <v>46260</v>
      </c>
      <c r="M1939" s="5" t="s">
        <v>116</v>
      </c>
      <c r="N1939" s="5" t="s">
        <v>117</v>
      </c>
      <c r="O1939" s="5" t="s">
        <v>118</v>
      </c>
      <c r="P1939" s="5" t="s">
        <v>72</v>
      </c>
      <c r="Q1939" s="5" t="s">
        <v>119</v>
      </c>
      <c r="R1939" s="5" t="s">
        <v>120</v>
      </c>
      <c r="S1939" s="5" t="s">
        <v>75</v>
      </c>
      <c r="T1939" s="5" t="s">
        <v>57</v>
      </c>
      <c r="U1939" s="5" t="s">
        <v>58</v>
      </c>
      <c r="V1939" s="5" t="s">
        <v>76</v>
      </c>
      <c r="W1939" s="5" t="s">
        <v>140</v>
      </c>
      <c r="X1939" s="5" t="s">
        <v>3198</v>
      </c>
      <c r="Y1939" s="5" t="s">
        <v>7755</v>
      </c>
      <c r="Z1939" s="9">
        <v>46199</v>
      </c>
      <c r="AA1939" s="8">
        <v>24</v>
      </c>
      <c r="AB1939" s="9">
        <f t="shared" si="91"/>
        <v>46930</v>
      </c>
      <c r="AC1939" s="10">
        <v>24</v>
      </c>
      <c r="AD1939" s="7">
        <f t="shared" si="92"/>
        <v>2782</v>
      </c>
      <c r="AE1939" s="7">
        <f>IF(F1939="Bullet",H1939*AD1939,MIN(MAX(I1939,1),Assumptions!$B$6)*AD1939)</f>
        <v>5564</v>
      </c>
      <c r="AF1939" s="8">
        <f>IF(F1939="Bullet",MAX(0,Assumptions!$B$4-AB1939),MAX(0,Assumptions!$B$4-L1939))</f>
        <v>38</v>
      </c>
      <c r="AG1939" s="9">
        <v>46234</v>
      </c>
      <c r="AH1939" s="8">
        <f>IF(AG1939="","",Assumptions!$B$4-AG1939)</f>
        <v>64</v>
      </c>
      <c r="AI1939" s="5" t="s">
        <v>63</v>
      </c>
      <c r="AJ1939" s="8">
        <v>3</v>
      </c>
      <c r="AK1939" s="8">
        <v>0</v>
      </c>
      <c r="AL1939" s="8">
        <v>689</v>
      </c>
      <c r="AM1939" s="8">
        <v>1</v>
      </c>
      <c r="AN1939" s="5" t="s">
        <v>63</v>
      </c>
      <c r="AO1939" s="10">
        <v>57.3</v>
      </c>
      <c r="AP1939" s="8">
        <v>52</v>
      </c>
      <c r="AQ1939" s="9"/>
      <c r="AR1939" s="5"/>
      <c r="AS1939" s="5" t="s">
        <v>159</v>
      </c>
    </row>
    <row r="1940" spans="1:45" x14ac:dyDescent="0.35">
      <c r="A1940" s="5" t="s">
        <v>7756</v>
      </c>
      <c r="B1940" s="5" t="s">
        <v>6812</v>
      </c>
      <c r="C1940" s="6" t="s">
        <v>7757</v>
      </c>
      <c r="D1940" s="7">
        <v>40600</v>
      </c>
      <c r="E1940" s="5" t="s">
        <v>48</v>
      </c>
      <c r="F1940" s="5" t="s">
        <v>68</v>
      </c>
      <c r="G1940" s="8">
        <v>2</v>
      </c>
      <c r="H1940" s="8">
        <f>IF(F1940="Bullet",MIN(G1940,Assumptions!$B$6),"")</f>
        <v>2</v>
      </c>
      <c r="I1940" s="8"/>
      <c r="J1940" s="8" t="str">
        <f>IF(F1940="Monthly interest",MAX(0,Assumptions!$B$5-I1940),"")</f>
        <v/>
      </c>
      <c r="K1940" s="7">
        <f t="shared" si="90"/>
        <v>1218</v>
      </c>
      <c r="L1940" s="9">
        <v>46214</v>
      </c>
      <c r="M1940" s="5" t="s">
        <v>50</v>
      </c>
      <c r="N1940" s="5" t="s">
        <v>53</v>
      </c>
      <c r="O1940" s="5" t="s">
        <v>152</v>
      </c>
      <c r="P1940" s="5" t="s">
        <v>153</v>
      </c>
      <c r="Q1940" s="5" t="s">
        <v>154</v>
      </c>
      <c r="R1940" s="5" t="s">
        <v>155</v>
      </c>
      <c r="S1940" s="5" t="s">
        <v>214</v>
      </c>
      <c r="T1940" s="5" t="s">
        <v>57</v>
      </c>
      <c r="U1940" s="5" t="s">
        <v>86</v>
      </c>
      <c r="V1940" s="5" t="s">
        <v>215</v>
      </c>
      <c r="W1940" s="5" t="s">
        <v>216</v>
      </c>
      <c r="X1940" s="5" t="s">
        <v>5187</v>
      </c>
      <c r="Y1940" s="5" t="s">
        <v>7758</v>
      </c>
      <c r="Z1940" s="9">
        <v>46214</v>
      </c>
      <c r="AA1940" s="8">
        <v>3</v>
      </c>
      <c r="AB1940" s="9">
        <f t="shared" si="91"/>
        <v>46306</v>
      </c>
      <c r="AC1940" s="10">
        <v>18</v>
      </c>
      <c r="AD1940" s="7">
        <f t="shared" si="92"/>
        <v>609</v>
      </c>
      <c r="AE1940" s="7">
        <f>IF(F1940="Bullet",H1940*AD1940,MIN(MAX(I1940,1),Assumptions!$B$6)*AD1940)</f>
        <v>1218</v>
      </c>
      <c r="AF1940" s="8">
        <f>IF(F1940="Bullet",MAX(0,Assumptions!$B$4-AB1940),MAX(0,Assumptions!$B$4-L1940))</f>
        <v>0</v>
      </c>
      <c r="AG1940" s="9"/>
      <c r="AH1940" s="8" t="str">
        <f>IF(AG1940="","",Assumptions!$B$4-AG1940)</f>
        <v/>
      </c>
      <c r="AI1940" s="5" t="s">
        <v>80</v>
      </c>
      <c r="AJ1940" s="8"/>
      <c r="AK1940" s="8">
        <v>0</v>
      </c>
      <c r="AL1940" s="8" t="s">
        <v>80</v>
      </c>
      <c r="AM1940" s="8">
        <v>2</v>
      </c>
      <c r="AN1940" s="5" t="s">
        <v>63</v>
      </c>
      <c r="AO1940" s="10">
        <v>55.7</v>
      </c>
      <c r="AP1940" s="8">
        <v>19</v>
      </c>
      <c r="AQ1940" s="9">
        <v>46281</v>
      </c>
      <c r="AR1940" s="5" t="s">
        <v>53</v>
      </c>
      <c r="AS1940" s="5" t="s">
        <v>190</v>
      </c>
    </row>
    <row r="1941" spans="1:45" x14ac:dyDescent="0.35">
      <c r="A1941" s="5" t="s">
        <v>7759</v>
      </c>
      <c r="B1941" s="5" t="s">
        <v>7760</v>
      </c>
      <c r="C1941" s="6" t="s">
        <v>7761</v>
      </c>
      <c r="D1941" s="7">
        <v>132600</v>
      </c>
      <c r="E1941" s="5" t="s">
        <v>48</v>
      </c>
      <c r="F1941" s="5" t="s">
        <v>49</v>
      </c>
      <c r="G1941" s="8"/>
      <c r="H1941" s="8" t="str">
        <f>IF(F1941="Bullet",MIN(G1941,Assumptions!$B$6),"")</f>
        <v/>
      </c>
      <c r="I1941" s="8">
        <v>2</v>
      </c>
      <c r="J1941" s="8">
        <f>IF(F1941="Monthly interest",MAX(0,Assumptions!$B$5-I1941),"")</f>
        <v>1</v>
      </c>
      <c r="K1941" s="7">
        <f t="shared" si="90"/>
        <v>3978</v>
      </c>
      <c r="L1941" s="9">
        <v>46266</v>
      </c>
      <c r="M1941" s="5" t="s">
        <v>69</v>
      </c>
      <c r="N1941" s="5" t="s">
        <v>53</v>
      </c>
      <c r="O1941" s="5" t="s">
        <v>71</v>
      </c>
      <c r="P1941" s="5" t="s">
        <v>70</v>
      </c>
      <c r="Q1941" s="5" t="s">
        <v>73</v>
      </c>
      <c r="R1941" s="5" t="s">
        <v>74</v>
      </c>
      <c r="S1941" s="5" t="s">
        <v>185</v>
      </c>
      <c r="T1941" s="5" t="s">
        <v>57</v>
      </c>
      <c r="U1941" s="5" t="s">
        <v>104</v>
      </c>
      <c r="V1941" s="5" t="s">
        <v>186</v>
      </c>
      <c r="W1941" s="5" t="s">
        <v>376</v>
      </c>
      <c r="X1941" s="5" t="s">
        <v>495</v>
      </c>
      <c r="Y1941" s="5" t="s">
        <v>7762</v>
      </c>
      <c r="Z1941" s="9">
        <v>46174</v>
      </c>
      <c r="AA1941" s="8">
        <v>18</v>
      </c>
      <c r="AB1941" s="9">
        <f t="shared" si="91"/>
        <v>46722</v>
      </c>
      <c r="AC1941" s="10">
        <v>18</v>
      </c>
      <c r="AD1941" s="7">
        <f t="shared" si="92"/>
        <v>1989</v>
      </c>
      <c r="AE1941" s="7">
        <f>IF(F1941="Bullet",H1941*AD1941,MIN(MAX(I1941,1),Assumptions!$B$6)*AD1941)</f>
        <v>3978</v>
      </c>
      <c r="AF1941" s="8">
        <f>IF(F1941="Bullet",MAX(0,Assumptions!$B$4-AB1941),MAX(0,Assumptions!$B$4-L1941))</f>
        <v>32</v>
      </c>
      <c r="AG1941" s="9">
        <v>46235</v>
      </c>
      <c r="AH1941" s="8">
        <f>IF(AG1941="","",Assumptions!$B$4-AG1941)</f>
        <v>63</v>
      </c>
      <c r="AI1941" s="5" t="s">
        <v>63</v>
      </c>
      <c r="AJ1941" s="8">
        <v>2</v>
      </c>
      <c r="AK1941" s="8">
        <v>0</v>
      </c>
      <c r="AL1941" s="8">
        <v>772</v>
      </c>
      <c r="AM1941" s="8">
        <v>0</v>
      </c>
      <c r="AN1941" s="5" t="s">
        <v>63</v>
      </c>
      <c r="AO1941" s="10">
        <v>64</v>
      </c>
      <c r="AP1941" s="8">
        <v>34</v>
      </c>
      <c r="AQ1941" s="9"/>
      <c r="AR1941" s="5"/>
      <c r="AS1941" s="5" t="s">
        <v>159</v>
      </c>
    </row>
    <row r="1942" spans="1:45" x14ac:dyDescent="0.35">
      <c r="A1942" s="5" t="s">
        <v>7763</v>
      </c>
      <c r="B1942" s="5" t="s">
        <v>2055</v>
      </c>
      <c r="C1942" s="6" t="s">
        <v>7764</v>
      </c>
      <c r="D1942" s="7">
        <v>93000</v>
      </c>
      <c r="E1942" s="5" t="s">
        <v>48</v>
      </c>
      <c r="F1942" s="5" t="s">
        <v>49</v>
      </c>
      <c r="G1942" s="8"/>
      <c r="H1942" s="8" t="str">
        <f>IF(F1942="Bullet",MIN(G1942,Assumptions!$B$6),"")</f>
        <v/>
      </c>
      <c r="I1942" s="8">
        <v>1</v>
      </c>
      <c r="J1942" s="8">
        <f>IF(F1942="Monthly interest",MAX(0,Assumptions!$B$5-I1942),"")</f>
        <v>2</v>
      </c>
      <c r="K1942" s="7">
        <f t="shared" si="90"/>
        <v>1395</v>
      </c>
      <c r="L1942" s="9">
        <v>46279</v>
      </c>
      <c r="M1942" s="5" t="s">
        <v>50</v>
      </c>
      <c r="N1942" s="5" t="s">
        <v>53</v>
      </c>
      <c r="O1942" s="5" t="s">
        <v>103</v>
      </c>
      <c r="P1942" s="5" t="s">
        <v>51</v>
      </c>
      <c r="Q1942" s="5" t="s">
        <v>54</v>
      </c>
      <c r="R1942" s="5" t="s">
        <v>55</v>
      </c>
      <c r="S1942" s="5" t="s">
        <v>185</v>
      </c>
      <c r="T1942" s="5" t="s">
        <v>57</v>
      </c>
      <c r="U1942" s="5" t="s">
        <v>104</v>
      </c>
      <c r="V1942" s="5" t="s">
        <v>186</v>
      </c>
      <c r="W1942" s="5" t="s">
        <v>694</v>
      </c>
      <c r="X1942" s="5" t="s">
        <v>695</v>
      </c>
      <c r="Y1942" s="5" t="s">
        <v>7765</v>
      </c>
      <c r="Z1942" s="9">
        <v>46187</v>
      </c>
      <c r="AA1942" s="8">
        <v>18</v>
      </c>
      <c r="AB1942" s="9">
        <f t="shared" si="91"/>
        <v>46735</v>
      </c>
      <c r="AC1942" s="10">
        <v>18</v>
      </c>
      <c r="AD1942" s="7">
        <f t="shared" si="92"/>
        <v>1395</v>
      </c>
      <c r="AE1942" s="7">
        <f>IF(F1942="Bullet",H1942*AD1942,MIN(MAX(I1942,1),Assumptions!$B$6)*AD1942)</f>
        <v>1395</v>
      </c>
      <c r="AF1942" s="8">
        <f>IF(F1942="Bullet",MAX(0,Assumptions!$B$4-AB1942),MAX(0,Assumptions!$B$4-L1942))</f>
        <v>19</v>
      </c>
      <c r="AG1942" s="9">
        <v>46249</v>
      </c>
      <c r="AH1942" s="8">
        <f>IF(AG1942="","",Assumptions!$B$4-AG1942)</f>
        <v>49</v>
      </c>
      <c r="AI1942" s="5" t="s">
        <v>63</v>
      </c>
      <c r="AJ1942" s="8">
        <v>5</v>
      </c>
      <c r="AK1942" s="8">
        <v>0</v>
      </c>
      <c r="AL1942" s="8">
        <v>862</v>
      </c>
      <c r="AM1942" s="8">
        <v>2</v>
      </c>
      <c r="AN1942" s="5" t="s">
        <v>63</v>
      </c>
      <c r="AO1942" s="10">
        <v>68.599999999999994</v>
      </c>
      <c r="AP1942" s="8">
        <v>21</v>
      </c>
      <c r="AQ1942" s="9">
        <v>46285</v>
      </c>
      <c r="AR1942" s="5" t="s">
        <v>51</v>
      </c>
      <c r="AS1942" s="5" t="s">
        <v>81</v>
      </c>
    </row>
    <row r="1943" spans="1:45" x14ac:dyDescent="0.35">
      <c r="A1943" s="5" t="s">
        <v>7766</v>
      </c>
      <c r="B1943" s="5" t="s">
        <v>7767</v>
      </c>
      <c r="C1943" s="6" t="s">
        <v>7768</v>
      </c>
      <c r="D1943" s="7">
        <v>111000</v>
      </c>
      <c r="E1943" s="5" t="s">
        <v>48</v>
      </c>
      <c r="F1943" s="5" t="s">
        <v>68</v>
      </c>
      <c r="G1943" s="8">
        <v>2</v>
      </c>
      <c r="H1943" s="8">
        <f>IF(F1943="Bullet",MIN(G1943,Assumptions!$B$6),"")</f>
        <v>2</v>
      </c>
      <c r="I1943" s="8"/>
      <c r="J1943" s="8" t="str">
        <f>IF(F1943="Monthly interest",MAX(0,Assumptions!$B$5-I1943),"")</f>
        <v/>
      </c>
      <c r="K1943" s="7">
        <f t="shared" si="90"/>
        <v>2590</v>
      </c>
      <c r="L1943" s="9">
        <v>46218</v>
      </c>
      <c r="M1943" s="5" t="s">
        <v>50</v>
      </c>
      <c r="N1943" s="5" t="s">
        <v>51</v>
      </c>
      <c r="O1943" s="5" t="s">
        <v>71</v>
      </c>
      <c r="P1943" s="5" t="s">
        <v>53</v>
      </c>
      <c r="Q1943" s="5" t="s">
        <v>73</v>
      </c>
      <c r="R1943" s="5" t="s">
        <v>74</v>
      </c>
      <c r="S1943" s="5" t="s">
        <v>214</v>
      </c>
      <c r="T1943" s="5" t="s">
        <v>57</v>
      </c>
      <c r="U1943" s="5" t="s">
        <v>86</v>
      </c>
      <c r="V1943" s="5" t="s">
        <v>215</v>
      </c>
      <c r="W1943" s="5" t="s">
        <v>1057</v>
      </c>
      <c r="X1943" s="5" t="s">
        <v>3126</v>
      </c>
      <c r="Y1943" s="5" t="s">
        <v>7769</v>
      </c>
      <c r="Z1943" s="9">
        <v>46218</v>
      </c>
      <c r="AA1943" s="8">
        <v>6</v>
      </c>
      <c r="AB1943" s="9">
        <f t="shared" si="91"/>
        <v>46402</v>
      </c>
      <c r="AC1943" s="10">
        <v>14</v>
      </c>
      <c r="AD1943" s="7">
        <f t="shared" si="92"/>
        <v>1295</v>
      </c>
      <c r="AE1943" s="7">
        <f>IF(F1943="Bullet",H1943*AD1943,MIN(MAX(I1943,1),Assumptions!$B$6)*AD1943)</f>
        <v>2590</v>
      </c>
      <c r="AF1943" s="8">
        <f>IF(F1943="Bullet",MAX(0,Assumptions!$B$4-AB1943),MAX(0,Assumptions!$B$4-L1943))</f>
        <v>0</v>
      </c>
      <c r="AG1943" s="9"/>
      <c r="AH1943" s="8" t="str">
        <f>IF(AG1943="","",Assumptions!$B$4-AG1943)</f>
        <v/>
      </c>
      <c r="AI1943" s="5" t="s">
        <v>80</v>
      </c>
      <c r="AJ1943" s="8"/>
      <c r="AK1943" s="8">
        <v>0</v>
      </c>
      <c r="AL1943" s="8">
        <v>751</v>
      </c>
      <c r="AM1943" s="8">
        <v>1</v>
      </c>
      <c r="AN1943" s="5" t="s">
        <v>63</v>
      </c>
      <c r="AO1943" s="10">
        <v>74.5</v>
      </c>
      <c r="AP1943" s="8">
        <v>14</v>
      </c>
      <c r="AQ1943" s="9"/>
      <c r="AR1943" s="5"/>
      <c r="AS1943" s="5" t="s">
        <v>159</v>
      </c>
    </row>
    <row r="1944" spans="1:45" x14ac:dyDescent="0.35">
      <c r="A1944" s="5" t="s">
        <v>7770</v>
      </c>
      <c r="B1944" s="5" t="s">
        <v>7018</v>
      </c>
      <c r="C1944" s="6" t="s">
        <v>7771</v>
      </c>
      <c r="D1944" s="7">
        <v>122300</v>
      </c>
      <c r="E1944" s="5" t="s">
        <v>48</v>
      </c>
      <c r="F1944" s="5" t="s">
        <v>49</v>
      </c>
      <c r="G1944" s="8"/>
      <c r="H1944" s="8" t="str">
        <f>IF(F1944="Bullet",MIN(G1944,Assumptions!$B$6),"")</f>
        <v/>
      </c>
      <c r="I1944" s="8">
        <v>1</v>
      </c>
      <c r="J1944" s="8">
        <f>IF(F1944="Monthly interest",MAX(0,Assumptions!$B$5-I1944),"")</f>
        <v>2</v>
      </c>
      <c r="K1944" s="7">
        <f t="shared" si="90"/>
        <v>2242</v>
      </c>
      <c r="L1944" s="9">
        <v>46288</v>
      </c>
      <c r="M1944" s="5" t="s">
        <v>116</v>
      </c>
      <c r="N1944" s="5" t="s">
        <v>117</v>
      </c>
      <c r="O1944" s="5" t="s">
        <v>118</v>
      </c>
      <c r="P1944" s="5" t="s">
        <v>72</v>
      </c>
      <c r="Q1944" s="5" t="s">
        <v>119</v>
      </c>
      <c r="R1944" s="5" t="s">
        <v>120</v>
      </c>
      <c r="S1944" s="5" t="s">
        <v>185</v>
      </c>
      <c r="T1944" s="5" t="s">
        <v>63</v>
      </c>
      <c r="U1944" s="5" t="s">
        <v>104</v>
      </c>
      <c r="V1944" s="5" t="s">
        <v>200</v>
      </c>
      <c r="W1944" s="5" t="s">
        <v>500</v>
      </c>
      <c r="X1944" s="5" t="s">
        <v>1495</v>
      </c>
      <c r="Y1944" s="5" t="s">
        <v>7772</v>
      </c>
      <c r="Z1944" s="9">
        <v>46226</v>
      </c>
      <c r="AA1944" s="8">
        <v>12</v>
      </c>
      <c r="AB1944" s="9">
        <f t="shared" si="91"/>
        <v>46591</v>
      </c>
      <c r="AC1944" s="10">
        <v>22</v>
      </c>
      <c r="AD1944" s="7">
        <f t="shared" si="92"/>
        <v>2242</v>
      </c>
      <c r="AE1944" s="7">
        <f>IF(F1944="Bullet",H1944*AD1944,MIN(MAX(I1944,1),Assumptions!$B$6)*AD1944)</f>
        <v>2242</v>
      </c>
      <c r="AF1944" s="8">
        <f>IF(F1944="Bullet",MAX(0,Assumptions!$B$4-AB1944),MAX(0,Assumptions!$B$4-L1944))</f>
        <v>10</v>
      </c>
      <c r="AG1944" s="9">
        <v>46257</v>
      </c>
      <c r="AH1944" s="8">
        <f>IF(AG1944="","",Assumptions!$B$4-AG1944)</f>
        <v>41</v>
      </c>
      <c r="AI1944" s="5" t="s">
        <v>63</v>
      </c>
      <c r="AJ1944" s="8">
        <v>1</v>
      </c>
      <c r="AK1944" s="8">
        <v>0</v>
      </c>
      <c r="AL1944" s="8">
        <v>616</v>
      </c>
      <c r="AM1944" s="8">
        <v>2</v>
      </c>
      <c r="AN1944" s="5" t="s">
        <v>57</v>
      </c>
      <c r="AO1944" s="10">
        <v>64.400000000000006</v>
      </c>
      <c r="AP1944" s="8">
        <v>54</v>
      </c>
      <c r="AQ1944" s="9">
        <v>46291</v>
      </c>
      <c r="AR1944" s="5" t="s">
        <v>51</v>
      </c>
      <c r="AS1944" s="5" t="s">
        <v>81</v>
      </c>
    </row>
    <row r="1945" spans="1:45" x14ac:dyDescent="0.35">
      <c r="A1945" s="5" t="s">
        <v>7773</v>
      </c>
      <c r="B1945" s="5" t="s">
        <v>5721</v>
      </c>
      <c r="C1945" s="6" t="s">
        <v>7774</v>
      </c>
      <c r="D1945" s="7">
        <v>117600</v>
      </c>
      <c r="E1945" s="5" t="s">
        <v>48</v>
      </c>
      <c r="F1945" s="5" t="s">
        <v>68</v>
      </c>
      <c r="G1945" s="8">
        <v>6</v>
      </c>
      <c r="H1945" s="8">
        <f>IF(F1945="Bullet",MIN(G1945,Assumptions!$B$6),"")</f>
        <v>2</v>
      </c>
      <c r="I1945" s="8"/>
      <c r="J1945" s="8" t="str">
        <f>IF(F1945="Monthly interest",MAX(0,Assumptions!$B$5-I1945),"")</f>
        <v/>
      </c>
      <c r="K1945" s="7">
        <f t="shared" si="90"/>
        <v>8232</v>
      </c>
      <c r="L1945" s="9">
        <v>46091</v>
      </c>
      <c r="M1945" s="5" t="s">
        <v>69</v>
      </c>
      <c r="N1945" s="5" t="s">
        <v>53</v>
      </c>
      <c r="O1945" s="5" t="s">
        <v>168</v>
      </c>
      <c r="P1945" s="5" t="s">
        <v>70</v>
      </c>
      <c r="Q1945" s="5" t="s">
        <v>169</v>
      </c>
      <c r="R1945" s="5" t="s">
        <v>170</v>
      </c>
      <c r="S1945" s="5" t="s">
        <v>214</v>
      </c>
      <c r="T1945" s="5" t="s">
        <v>57</v>
      </c>
      <c r="U1945" s="5" t="s">
        <v>86</v>
      </c>
      <c r="V1945" s="5" t="s">
        <v>215</v>
      </c>
      <c r="W1945" s="5" t="s">
        <v>242</v>
      </c>
      <c r="X1945" s="5" t="s">
        <v>1957</v>
      </c>
      <c r="Y1945" s="5" t="s">
        <v>7775</v>
      </c>
      <c r="Z1945" s="9">
        <v>46091</v>
      </c>
      <c r="AA1945" s="8">
        <v>6</v>
      </c>
      <c r="AB1945" s="9">
        <f t="shared" si="91"/>
        <v>46275</v>
      </c>
      <c r="AC1945" s="10">
        <v>14</v>
      </c>
      <c r="AD1945" s="7">
        <f t="shared" si="92"/>
        <v>1372</v>
      </c>
      <c r="AE1945" s="7">
        <f>IF(F1945="Bullet",H1945*AD1945,MIN(MAX(I1945,1),Assumptions!$B$6)*AD1945)</f>
        <v>2744</v>
      </c>
      <c r="AF1945" s="8">
        <f>IF(F1945="Bullet",MAX(0,Assumptions!$B$4-AB1945),MAX(0,Assumptions!$B$4-L1945))</f>
        <v>23</v>
      </c>
      <c r="AG1945" s="9"/>
      <c r="AH1945" s="8" t="str">
        <f>IF(AG1945="","",Assumptions!$B$4-AG1945)</f>
        <v/>
      </c>
      <c r="AI1945" s="5" t="s">
        <v>80</v>
      </c>
      <c r="AJ1945" s="8"/>
      <c r="AK1945" s="8">
        <v>0</v>
      </c>
      <c r="AL1945" s="8">
        <v>764</v>
      </c>
      <c r="AM1945" s="8">
        <v>2</v>
      </c>
      <c r="AN1945" s="5" t="s">
        <v>63</v>
      </c>
      <c r="AO1945" s="10">
        <v>74.599999999999994</v>
      </c>
      <c r="AP1945" s="8">
        <v>47</v>
      </c>
      <c r="AQ1945" s="9"/>
      <c r="AR1945" s="5"/>
      <c r="AS1945" s="5" t="s">
        <v>159</v>
      </c>
    </row>
    <row r="1946" spans="1:45" x14ac:dyDescent="0.35">
      <c r="A1946" s="5" t="s">
        <v>7776</v>
      </c>
      <c r="B1946" s="5" t="s">
        <v>1586</v>
      </c>
      <c r="C1946" s="6" t="s">
        <v>7777</v>
      </c>
      <c r="D1946" s="7">
        <v>51300</v>
      </c>
      <c r="E1946" s="5" t="s">
        <v>48</v>
      </c>
      <c r="F1946" s="5" t="s">
        <v>49</v>
      </c>
      <c r="G1946" s="8"/>
      <c r="H1946" s="8" t="str">
        <f>IF(F1946="Bullet",MIN(G1946,Assumptions!$B$6),"")</f>
        <v/>
      </c>
      <c r="I1946" s="8">
        <v>1</v>
      </c>
      <c r="J1946" s="8">
        <f>IF(F1946="Monthly interest",MAX(0,Assumptions!$B$5-I1946),"")</f>
        <v>2</v>
      </c>
      <c r="K1946" s="7">
        <f t="shared" si="90"/>
        <v>770</v>
      </c>
      <c r="L1946" s="9">
        <v>46290</v>
      </c>
      <c r="M1946" s="5" t="s">
        <v>50</v>
      </c>
      <c r="N1946" s="5" t="s">
        <v>53</v>
      </c>
      <c r="O1946" s="5" t="s">
        <v>103</v>
      </c>
      <c r="P1946" s="5" t="s">
        <v>70</v>
      </c>
      <c r="Q1946" s="5" t="s">
        <v>54</v>
      </c>
      <c r="R1946" s="5" t="s">
        <v>55</v>
      </c>
      <c r="S1946" s="5" t="s">
        <v>75</v>
      </c>
      <c r="T1946" s="5" t="s">
        <v>63</v>
      </c>
      <c r="U1946" s="5" t="s">
        <v>86</v>
      </c>
      <c r="V1946" s="5" t="s">
        <v>76</v>
      </c>
      <c r="W1946" s="5" t="s">
        <v>444</v>
      </c>
      <c r="X1946" s="5" t="s">
        <v>787</v>
      </c>
      <c r="Y1946" s="5" t="s">
        <v>7778</v>
      </c>
      <c r="Z1946" s="9">
        <v>46047</v>
      </c>
      <c r="AA1946" s="8">
        <v>18</v>
      </c>
      <c r="AB1946" s="9">
        <f t="shared" si="91"/>
        <v>46593</v>
      </c>
      <c r="AC1946" s="10">
        <v>18</v>
      </c>
      <c r="AD1946" s="7">
        <f t="shared" si="92"/>
        <v>770</v>
      </c>
      <c r="AE1946" s="7">
        <f>IF(F1946="Bullet",H1946*AD1946,MIN(MAX(I1946,1),Assumptions!$B$6)*AD1946)</f>
        <v>770</v>
      </c>
      <c r="AF1946" s="8">
        <f>IF(F1946="Bullet",MAX(0,Assumptions!$B$4-AB1946),MAX(0,Assumptions!$B$4-L1946))</f>
        <v>8</v>
      </c>
      <c r="AG1946" s="9">
        <v>46260</v>
      </c>
      <c r="AH1946" s="8">
        <f>IF(AG1946="","",Assumptions!$B$4-AG1946)</f>
        <v>38</v>
      </c>
      <c r="AI1946" s="5" t="s">
        <v>63</v>
      </c>
      <c r="AJ1946" s="8">
        <v>1</v>
      </c>
      <c r="AK1946" s="8">
        <v>0</v>
      </c>
      <c r="AL1946" s="8">
        <v>636</v>
      </c>
      <c r="AM1946" s="8">
        <v>2</v>
      </c>
      <c r="AN1946" s="5" t="s">
        <v>63</v>
      </c>
      <c r="AO1946" s="10">
        <v>66.2</v>
      </c>
      <c r="AP1946" s="8">
        <v>27</v>
      </c>
      <c r="AQ1946" s="9">
        <v>46290</v>
      </c>
      <c r="AR1946" s="5" t="s">
        <v>51</v>
      </c>
      <c r="AS1946" s="5" t="s">
        <v>81</v>
      </c>
    </row>
    <row r="1947" spans="1:45" x14ac:dyDescent="0.35">
      <c r="A1947" s="5" t="s">
        <v>7779</v>
      </c>
      <c r="B1947" s="5" t="s">
        <v>7780</v>
      </c>
      <c r="C1947" s="6" t="s">
        <v>7781</v>
      </c>
      <c r="D1947" s="7">
        <v>51600</v>
      </c>
      <c r="E1947" s="5" t="s">
        <v>48</v>
      </c>
      <c r="F1947" s="5" t="s">
        <v>49</v>
      </c>
      <c r="G1947" s="8"/>
      <c r="H1947" s="8" t="str">
        <f>IF(F1947="Bullet",MIN(G1947,Assumptions!$B$6),"")</f>
        <v/>
      </c>
      <c r="I1947" s="8">
        <v>2</v>
      </c>
      <c r="J1947" s="8">
        <f>IF(F1947="Monthly interest",MAX(0,Assumptions!$B$5-I1947),"")</f>
        <v>1</v>
      </c>
      <c r="K1947" s="7">
        <f t="shared" si="90"/>
        <v>1720</v>
      </c>
      <c r="L1947" s="9">
        <v>46253</v>
      </c>
      <c r="M1947" s="5" t="s">
        <v>116</v>
      </c>
      <c r="N1947" s="5" t="s">
        <v>117</v>
      </c>
      <c r="O1947" s="5" t="s">
        <v>118</v>
      </c>
      <c r="P1947" s="5" t="s">
        <v>72</v>
      </c>
      <c r="Q1947" s="5" t="s">
        <v>119</v>
      </c>
      <c r="R1947" s="5" t="s">
        <v>120</v>
      </c>
      <c r="S1947" s="5" t="s">
        <v>214</v>
      </c>
      <c r="T1947" s="5" t="s">
        <v>57</v>
      </c>
      <c r="U1947" s="5" t="s">
        <v>58</v>
      </c>
      <c r="V1947" s="5" t="s">
        <v>215</v>
      </c>
      <c r="W1947" s="5" t="s">
        <v>242</v>
      </c>
      <c r="X1947" s="5" t="s">
        <v>243</v>
      </c>
      <c r="Y1947" s="5" t="s">
        <v>7782</v>
      </c>
      <c r="Z1947" s="9">
        <v>45980</v>
      </c>
      <c r="AA1947" s="8">
        <v>18</v>
      </c>
      <c r="AB1947" s="9">
        <f t="shared" si="91"/>
        <v>46526</v>
      </c>
      <c r="AC1947" s="10">
        <v>20</v>
      </c>
      <c r="AD1947" s="7">
        <f t="shared" si="92"/>
        <v>860</v>
      </c>
      <c r="AE1947" s="7">
        <f>IF(F1947="Bullet",H1947*AD1947,MIN(MAX(I1947,1),Assumptions!$B$6)*AD1947)</f>
        <v>1720</v>
      </c>
      <c r="AF1947" s="8">
        <f>IF(F1947="Bullet",MAX(0,Assumptions!$B$4-AB1947),MAX(0,Assumptions!$B$4-L1947))</f>
        <v>45</v>
      </c>
      <c r="AG1947" s="9">
        <v>46223</v>
      </c>
      <c r="AH1947" s="8">
        <f>IF(AG1947="","",Assumptions!$B$4-AG1947)</f>
        <v>75</v>
      </c>
      <c r="AI1947" s="5" t="s">
        <v>63</v>
      </c>
      <c r="AJ1947" s="8">
        <v>3</v>
      </c>
      <c r="AK1947" s="8">
        <v>0</v>
      </c>
      <c r="AL1947" s="8">
        <v>792</v>
      </c>
      <c r="AM1947" s="8">
        <v>3</v>
      </c>
      <c r="AN1947" s="5" t="s">
        <v>63</v>
      </c>
      <c r="AO1947" s="10">
        <v>85.5</v>
      </c>
      <c r="AP1947" s="8">
        <v>50</v>
      </c>
      <c r="AQ1947" s="9">
        <v>46283</v>
      </c>
      <c r="AR1947" s="5" t="s">
        <v>53</v>
      </c>
      <c r="AS1947" s="5" t="s">
        <v>91</v>
      </c>
    </row>
    <row r="1948" spans="1:45" x14ac:dyDescent="0.35">
      <c r="A1948" s="5" t="s">
        <v>7783</v>
      </c>
      <c r="B1948" s="5" t="s">
        <v>7784</v>
      </c>
      <c r="C1948" s="6" t="s">
        <v>7785</v>
      </c>
      <c r="D1948" s="7">
        <v>128100</v>
      </c>
      <c r="E1948" s="5" t="s">
        <v>48</v>
      </c>
      <c r="F1948" s="5" t="s">
        <v>68</v>
      </c>
      <c r="G1948" s="8">
        <v>3</v>
      </c>
      <c r="H1948" s="8">
        <f>IF(F1948="Bullet",MIN(G1948,Assumptions!$B$6),"")</f>
        <v>2</v>
      </c>
      <c r="I1948" s="8"/>
      <c r="J1948" s="8" t="str">
        <f>IF(F1948="Monthly interest",MAX(0,Assumptions!$B$5-I1948),"")</f>
        <v/>
      </c>
      <c r="K1948" s="7">
        <f t="shared" si="90"/>
        <v>4164</v>
      </c>
      <c r="L1948" s="9">
        <v>46198</v>
      </c>
      <c r="M1948" s="5" t="s">
        <v>50</v>
      </c>
      <c r="N1948" s="5" t="s">
        <v>53</v>
      </c>
      <c r="O1948" s="5" t="s">
        <v>71</v>
      </c>
      <c r="P1948" s="5" t="s">
        <v>70</v>
      </c>
      <c r="Q1948" s="5" t="s">
        <v>73</v>
      </c>
      <c r="R1948" s="5" t="s">
        <v>74</v>
      </c>
      <c r="S1948" s="5" t="s">
        <v>75</v>
      </c>
      <c r="T1948" s="5" t="s">
        <v>63</v>
      </c>
      <c r="U1948" s="5" t="s">
        <v>86</v>
      </c>
      <c r="V1948" s="5" t="s">
        <v>76</v>
      </c>
      <c r="W1948" s="5" t="s">
        <v>140</v>
      </c>
      <c r="X1948" s="5" t="s">
        <v>5693</v>
      </c>
      <c r="Y1948" s="5" t="s">
        <v>7786</v>
      </c>
      <c r="Z1948" s="9">
        <v>46198</v>
      </c>
      <c r="AA1948" s="8">
        <v>12</v>
      </c>
      <c r="AB1948" s="9">
        <f t="shared" si="91"/>
        <v>46563</v>
      </c>
      <c r="AC1948" s="10">
        <v>13</v>
      </c>
      <c r="AD1948" s="7">
        <f t="shared" si="92"/>
        <v>1388</v>
      </c>
      <c r="AE1948" s="7">
        <f>IF(F1948="Bullet",H1948*AD1948,MIN(MAX(I1948,1),Assumptions!$B$6)*AD1948)</f>
        <v>2776</v>
      </c>
      <c r="AF1948" s="8">
        <f>IF(F1948="Bullet",MAX(0,Assumptions!$B$4-AB1948),MAX(0,Assumptions!$B$4-L1948))</f>
        <v>0</v>
      </c>
      <c r="AG1948" s="9"/>
      <c r="AH1948" s="8" t="str">
        <f>IF(AG1948="","",Assumptions!$B$4-AG1948)</f>
        <v/>
      </c>
      <c r="AI1948" s="5" t="s">
        <v>80</v>
      </c>
      <c r="AJ1948" s="8"/>
      <c r="AK1948" s="8">
        <v>1</v>
      </c>
      <c r="AL1948" s="8">
        <v>706</v>
      </c>
      <c r="AM1948" s="8">
        <v>0</v>
      </c>
      <c r="AN1948" s="5" t="s">
        <v>63</v>
      </c>
      <c r="AO1948" s="10">
        <v>81.099999999999994</v>
      </c>
      <c r="AP1948" s="8">
        <v>25</v>
      </c>
      <c r="AQ1948" s="9">
        <v>46273</v>
      </c>
      <c r="AR1948" s="5" t="s">
        <v>70</v>
      </c>
      <c r="AS1948" s="5" t="s">
        <v>181</v>
      </c>
    </row>
    <row r="1949" spans="1:45" x14ac:dyDescent="0.35">
      <c r="A1949" s="5" t="s">
        <v>7787</v>
      </c>
      <c r="B1949" s="5" t="s">
        <v>7031</v>
      </c>
      <c r="C1949" s="6" t="s">
        <v>7788</v>
      </c>
      <c r="D1949" s="7">
        <v>565200</v>
      </c>
      <c r="E1949" s="5" t="s">
        <v>48</v>
      </c>
      <c r="F1949" s="5" t="s">
        <v>68</v>
      </c>
      <c r="G1949" s="8">
        <v>3</v>
      </c>
      <c r="H1949" s="8">
        <f>IF(F1949="Bullet",MIN(G1949,Assumptions!$B$6),"")</f>
        <v>2</v>
      </c>
      <c r="I1949" s="8"/>
      <c r="J1949" s="8" t="str">
        <f>IF(F1949="Monthly interest",MAX(0,Assumptions!$B$5-I1949),"")</f>
        <v/>
      </c>
      <c r="K1949" s="7">
        <f t="shared" si="90"/>
        <v>21195</v>
      </c>
      <c r="L1949" s="9">
        <v>46185</v>
      </c>
      <c r="M1949" s="5" t="s">
        <v>50</v>
      </c>
      <c r="N1949" s="5" t="s">
        <v>53</v>
      </c>
      <c r="O1949" s="5" t="s">
        <v>71</v>
      </c>
      <c r="P1949" s="5" t="s">
        <v>51</v>
      </c>
      <c r="Q1949" s="5" t="s">
        <v>73</v>
      </c>
      <c r="R1949" s="5" t="s">
        <v>74</v>
      </c>
      <c r="S1949" s="5" t="s">
        <v>75</v>
      </c>
      <c r="T1949" s="5" t="s">
        <v>57</v>
      </c>
      <c r="U1949" s="5" t="s">
        <v>86</v>
      </c>
      <c r="V1949" s="5" t="s">
        <v>76</v>
      </c>
      <c r="W1949" s="5" t="s">
        <v>77</v>
      </c>
      <c r="X1949" s="5" t="s">
        <v>2899</v>
      </c>
      <c r="Y1949" s="5" t="s">
        <v>7789</v>
      </c>
      <c r="Z1949" s="9">
        <v>46185</v>
      </c>
      <c r="AA1949" s="8">
        <v>6</v>
      </c>
      <c r="AB1949" s="9">
        <f t="shared" si="91"/>
        <v>46368</v>
      </c>
      <c r="AC1949" s="10">
        <v>15</v>
      </c>
      <c r="AD1949" s="7">
        <f t="shared" si="92"/>
        <v>7065</v>
      </c>
      <c r="AE1949" s="7">
        <f>IF(F1949="Bullet",H1949*AD1949,MIN(MAX(I1949,1),Assumptions!$B$6)*AD1949)</f>
        <v>14130</v>
      </c>
      <c r="AF1949" s="8">
        <f>IF(F1949="Bullet",MAX(0,Assumptions!$B$4-AB1949),MAX(0,Assumptions!$B$4-L1949))</f>
        <v>0</v>
      </c>
      <c r="AG1949" s="9"/>
      <c r="AH1949" s="8" t="str">
        <f>IF(AG1949="","",Assumptions!$B$4-AG1949)</f>
        <v/>
      </c>
      <c r="AI1949" s="5" t="s">
        <v>80</v>
      </c>
      <c r="AJ1949" s="8"/>
      <c r="AK1949" s="8">
        <v>1</v>
      </c>
      <c r="AL1949" s="8">
        <v>766</v>
      </c>
      <c r="AM1949" s="8">
        <v>1</v>
      </c>
      <c r="AN1949" s="5" t="s">
        <v>57</v>
      </c>
      <c r="AO1949" s="10">
        <v>71.400000000000006</v>
      </c>
      <c r="AP1949" s="8">
        <v>21</v>
      </c>
      <c r="AQ1949" s="9">
        <v>46293</v>
      </c>
      <c r="AR1949" s="5" t="s">
        <v>72</v>
      </c>
      <c r="AS1949" s="5" t="s">
        <v>81</v>
      </c>
    </row>
    <row r="1950" spans="1:45" x14ac:dyDescent="0.35">
      <c r="A1950" s="5" t="s">
        <v>7790</v>
      </c>
      <c r="B1950" s="5" t="s">
        <v>7791</v>
      </c>
      <c r="C1950" s="6" t="s">
        <v>7792</v>
      </c>
      <c r="D1950" s="7">
        <v>188400</v>
      </c>
      <c r="E1950" s="5" t="s">
        <v>48</v>
      </c>
      <c r="F1950" s="5" t="s">
        <v>68</v>
      </c>
      <c r="G1950" s="8">
        <v>6</v>
      </c>
      <c r="H1950" s="8">
        <f>IF(F1950="Bullet",MIN(G1950,Assumptions!$B$6),"")</f>
        <v>2</v>
      </c>
      <c r="I1950" s="8"/>
      <c r="J1950" s="8" t="str">
        <f>IF(F1950="Monthly interest",MAX(0,Assumptions!$B$5-I1950),"")</f>
        <v/>
      </c>
      <c r="K1950" s="7">
        <f t="shared" si="90"/>
        <v>12246</v>
      </c>
      <c r="L1950" s="9">
        <v>46111</v>
      </c>
      <c r="M1950" s="5" t="s">
        <v>69</v>
      </c>
      <c r="N1950" s="5" t="s">
        <v>53</v>
      </c>
      <c r="O1950" s="5" t="s">
        <v>168</v>
      </c>
      <c r="P1950" s="5" t="s">
        <v>70</v>
      </c>
      <c r="Q1950" s="5" t="s">
        <v>169</v>
      </c>
      <c r="R1950" s="5" t="s">
        <v>170</v>
      </c>
      <c r="S1950" s="5" t="s">
        <v>56</v>
      </c>
      <c r="T1950" s="5" t="s">
        <v>57</v>
      </c>
      <c r="U1950" s="5" t="s">
        <v>86</v>
      </c>
      <c r="V1950" s="5" t="s">
        <v>59</v>
      </c>
      <c r="W1950" s="5" t="s">
        <v>418</v>
      </c>
      <c r="X1950" s="5" t="s">
        <v>743</v>
      </c>
      <c r="Y1950" s="5" t="s">
        <v>7793</v>
      </c>
      <c r="Z1950" s="9">
        <v>46111</v>
      </c>
      <c r="AA1950" s="8">
        <v>6</v>
      </c>
      <c r="AB1950" s="9">
        <f t="shared" si="91"/>
        <v>46295</v>
      </c>
      <c r="AC1950" s="10">
        <v>13</v>
      </c>
      <c r="AD1950" s="7">
        <f t="shared" si="92"/>
        <v>2041</v>
      </c>
      <c r="AE1950" s="7">
        <f>IF(F1950="Bullet",H1950*AD1950,MIN(MAX(I1950,1),Assumptions!$B$6)*AD1950)</f>
        <v>4082</v>
      </c>
      <c r="AF1950" s="8">
        <f>IF(F1950="Bullet",MAX(0,Assumptions!$B$4-AB1950),MAX(0,Assumptions!$B$4-L1950))</f>
        <v>3</v>
      </c>
      <c r="AG1950" s="9"/>
      <c r="AH1950" s="8" t="str">
        <f>IF(AG1950="","",Assumptions!$B$4-AG1950)</f>
        <v/>
      </c>
      <c r="AI1950" s="5" t="s">
        <v>80</v>
      </c>
      <c r="AJ1950" s="8"/>
      <c r="AK1950" s="8">
        <v>1</v>
      </c>
      <c r="AL1950" s="8">
        <v>772</v>
      </c>
      <c r="AM1950" s="8">
        <v>0</v>
      </c>
      <c r="AN1950" s="5" t="s">
        <v>63</v>
      </c>
      <c r="AO1950" s="10">
        <v>58.2</v>
      </c>
      <c r="AP1950" s="8">
        <v>46</v>
      </c>
      <c r="AQ1950" s="9">
        <v>46276</v>
      </c>
      <c r="AR1950" s="5" t="s">
        <v>51</v>
      </c>
      <c r="AS1950" s="5" t="s">
        <v>81</v>
      </c>
    </row>
    <row r="1951" spans="1:45" x14ac:dyDescent="0.35">
      <c r="A1951" s="5" t="s">
        <v>7794</v>
      </c>
      <c r="B1951" s="5" t="s">
        <v>7795</v>
      </c>
      <c r="C1951" s="6" t="s">
        <v>7796</v>
      </c>
      <c r="D1951" s="7">
        <v>387500</v>
      </c>
      <c r="E1951" s="5" t="s">
        <v>48</v>
      </c>
      <c r="F1951" s="5" t="s">
        <v>68</v>
      </c>
      <c r="G1951" s="8">
        <v>2</v>
      </c>
      <c r="H1951" s="8">
        <f>IF(F1951="Bullet",MIN(G1951,Assumptions!$B$6),"")</f>
        <v>2</v>
      </c>
      <c r="I1951" s="8"/>
      <c r="J1951" s="8" t="str">
        <f>IF(F1951="Monthly interest",MAX(0,Assumptions!$B$5-I1951),"")</f>
        <v/>
      </c>
      <c r="K1951" s="7">
        <f t="shared" si="90"/>
        <v>9688</v>
      </c>
      <c r="L1951" s="9">
        <v>46215</v>
      </c>
      <c r="M1951" s="5" t="s">
        <v>50</v>
      </c>
      <c r="N1951" s="5" t="s">
        <v>51</v>
      </c>
      <c r="O1951" s="5" t="s">
        <v>71</v>
      </c>
      <c r="P1951" s="5" t="s">
        <v>53</v>
      </c>
      <c r="Q1951" s="5" t="s">
        <v>73</v>
      </c>
      <c r="R1951" s="5" t="s">
        <v>74</v>
      </c>
      <c r="S1951" s="5" t="s">
        <v>214</v>
      </c>
      <c r="T1951" s="5" t="s">
        <v>57</v>
      </c>
      <c r="U1951" s="5" t="s">
        <v>104</v>
      </c>
      <c r="V1951" s="5" t="s">
        <v>215</v>
      </c>
      <c r="W1951" s="5" t="s">
        <v>216</v>
      </c>
      <c r="X1951" s="5" t="s">
        <v>862</v>
      </c>
      <c r="Y1951" s="5" t="s">
        <v>7797</v>
      </c>
      <c r="Z1951" s="9">
        <v>46215</v>
      </c>
      <c r="AA1951" s="8">
        <v>6</v>
      </c>
      <c r="AB1951" s="9">
        <f t="shared" si="91"/>
        <v>46399</v>
      </c>
      <c r="AC1951" s="10">
        <v>15</v>
      </c>
      <c r="AD1951" s="7">
        <f t="shared" si="92"/>
        <v>4844</v>
      </c>
      <c r="AE1951" s="7">
        <f>IF(F1951="Bullet",H1951*AD1951,MIN(MAX(I1951,1),Assumptions!$B$6)*AD1951)</f>
        <v>9688</v>
      </c>
      <c r="AF1951" s="8">
        <f>IF(F1951="Bullet",MAX(0,Assumptions!$B$4-AB1951),MAX(0,Assumptions!$B$4-L1951))</f>
        <v>0</v>
      </c>
      <c r="AG1951" s="9"/>
      <c r="AH1951" s="8" t="str">
        <f>IF(AG1951="","",Assumptions!$B$4-AG1951)</f>
        <v/>
      </c>
      <c r="AI1951" s="5" t="s">
        <v>80</v>
      </c>
      <c r="AJ1951" s="8"/>
      <c r="AK1951" s="8">
        <v>0</v>
      </c>
      <c r="AL1951" s="8">
        <v>735</v>
      </c>
      <c r="AM1951" s="8">
        <v>3</v>
      </c>
      <c r="AN1951" s="5" t="s">
        <v>63</v>
      </c>
      <c r="AO1951" s="10">
        <v>64.8</v>
      </c>
      <c r="AP1951" s="8">
        <v>13</v>
      </c>
      <c r="AQ1951" s="9">
        <v>46274</v>
      </c>
      <c r="AR1951" s="5" t="s">
        <v>70</v>
      </c>
      <c r="AS1951" s="5" t="s">
        <v>91</v>
      </c>
    </row>
    <row r="1952" spans="1:45" x14ac:dyDescent="0.35">
      <c r="A1952" s="5" t="s">
        <v>7798</v>
      </c>
      <c r="B1952" s="5" t="s">
        <v>7799</v>
      </c>
      <c r="C1952" s="6" t="s">
        <v>7800</v>
      </c>
      <c r="D1952" s="7">
        <v>164100</v>
      </c>
      <c r="E1952" s="5" t="s">
        <v>48</v>
      </c>
      <c r="F1952" s="5" t="s">
        <v>68</v>
      </c>
      <c r="G1952" s="8">
        <v>2</v>
      </c>
      <c r="H1952" s="8">
        <f>IF(F1952="Bullet",MIN(G1952,Assumptions!$B$6),"")</f>
        <v>2</v>
      </c>
      <c r="I1952" s="8"/>
      <c r="J1952" s="8" t="str">
        <f>IF(F1952="Monthly interest",MAX(0,Assumptions!$B$5-I1952),"")</f>
        <v/>
      </c>
      <c r="K1952" s="7">
        <f t="shared" si="90"/>
        <v>4102</v>
      </c>
      <c r="L1952" s="9">
        <v>46225</v>
      </c>
      <c r="M1952" s="5" t="s">
        <v>50</v>
      </c>
      <c r="N1952" s="5" t="s">
        <v>51</v>
      </c>
      <c r="O1952" s="5" t="s">
        <v>71</v>
      </c>
      <c r="P1952" s="5" t="s">
        <v>53</v>
      </c>
      <c r="Q1952" s="5" t="s">
        <v>73</v>
      </c>
      <c r="R1952" s="5" t="s">
        <v>74</v>
      </c>
      <c r="S1952" s="5" t="s">
        <v>75</v>
      </c>
      <c r="T1952" s="5" t="s">
        <v>57</v>
      </c>
      <c r="U1952" s="5" t="s">
        <v>104</v>
      </c>
      <c r="V1952" s="5" t="s">
        <v>76</v>
      </c>
      <c r="W1952" s="5" t="s">
        <v>444</v>
      </c>
      <c r="X1952" s="5" t="s">
        <v>1228</v>
      </c>
      <c r="Y1952" s="5" t="s">
        <v>7801</v>
      </c>
      <c r="Z1952" s="9">
        <v>46225</v>
      </c>
      <c r="AA1952" s="8">
        <v>12</v>
      </c>
      <c r="AB1952" s="9">
        <f t="shared" si="91"/>
        <v>46590</v>
      </c>
      <c r="AC1952" s="10">
        <v>15</v>
      </c>
      <c r="AD1952" s="7">
        <f t="shared" si="92"/>
        <v>2051</v>
      </c>
      <c r="AE1952" s="7">
        <f>IF(F1952="Bullet",H1952*AD1952,MIN(MAX(I1952,1),Assumptions!$B$6)*AD1952)</f>
        <v>4102</v>
      </c>
      <c r="AF1952" s="8">
        <f>IF(F1952="Bullet",MAX(0,Assumptions!$B$4-AB1952),MAX(0,Assumptions!$B$4-L1952))</f>
        <v>0</v>
      </c>
      <c r="AG1952" s="9"/>
      <c r="AH1952" s="8" t="str">
        <f>IF(AG1952="","",Assumptions!$B$4-AG1952)</f>
        <v/>
      </c>
      <c r="AI1952" s="5" t="s">
        <v>80</v>
      </c>
      <c r="AJ1952" s="8"/>
      <c r="AK1952" s="8">
        <v>0</v>
      </c>
      <c r="AL1952" s="8">
        <v>709</v>
      </c>
      <c r="AM1952" s="8">
        <v>2</v>
      </c>
      <c r="AN1952" s="5" t="s">
        <v>63</v>
      </c>
      <c r="AO1952" s="10">
        <v>57.8</v>
      </c>
      <c r="AP1952" s="8">
        <v>15</v>
      </c>
      <c r="AQ1952" s="9">
        <v>46277</v>
      </c>
      <c r="AR1952" s="5" t="s">
        <v>70</v>
      </c>
      <c r="AS1952" s="5" t="s">
        <v>81</v>
      </c>
    </row>
    <row r="1953" spans="1:45" x14ac:dyDescent="0.35">
      <c r="A1953" s="5" t="s">
        <v>7802</v>
      </c>
      <c r="B1953" s="5" t="s">
        <v>7803</v>
      </c>
      <c r="C1953" s="6" t="s">
        <v>7804</v>
      </c>
      <c r="D1953" s="7">
        <v>78000</v>
      </c>
      <c r="E1953" s="5" t="s">
        <v>48</v>
      </c>
      <c r="F1953" s="5" t="s">
        <v>68</v>
      </c>
      <c r="G1953" s="8">
        <v>4</v>
      </c>
      <c r="H1953" s="8">
        <f>IF(F1953="Bullet",MIN(G1953,Assumptions!$B$6),"")</f>
        <v>2</v>
      </c>
      <c r="I1953" s="8"/>
      <c r="J1953" s="8" t="str">
        <f>IF(F1953="Monthly interest",MAX(0,Assumptions!$B$5-I1953),"")</f>
        <v/>
      </c>
      <c r="K1953" s="7">
        <f t="shared" si="90"/>
        <v>4160</v>
      </c>
      <c r="L1953" s="9">
        <v>46159</v>
      </c>
      <c r="M1953" s="5" t="s">
        <v>69</v>
      </c>
      <c r="N1953" s="5" t="s">
        <v>53</v>
      </c>
      <c r="O1953" s="5" t="s">
        <v>71</v>
      </c>
      <c r="P1953" s="5" t="s">
        <v>70</v>
      </c>
      <c r="Q1953" s="5" t="s">
        <v>73</v>
      </c>
      <c r="R1953" s="5" t="s">
        <v>74</v>
      </c>
      <c r="S1953" s="5" t="s">
        <v>85</v>
      </c>
      <c r="T1953" s="5" t="s">
        <v>63</v>
      </c>
      <c r="U1953" s="5" t="s">
        <v>104</v>
      </c>
      <c r="V1953" s="5" t="s">
        <v>177</v>
      </c>
      <c r="W1953" s="5" t="s">
        <v>178</v>
      </c>
      <c r="X1953" s="5" t="s">
        <v>1261</v>
      </c>
      <c r="Y1953" s="5" t="s">
        <v>7805</v>
      </c>
      <c r="Z1953" s="9">
        <v>46159</v>
      </c>
      <c r="AA1953" s="8">
        <v>6</v>
      </c>
      <c r="AB1953" s="9">
        <f t="shared" si="91"/>
        <v>46343</v>
      </c>
      <c r="AC1953" s="10">
        <v>16</v>
      </c>
      <c r="AD1953" s="7">
        <f t="shared" si="92"/>
        <v>1040</v>
      </c>
      <c r="AE1953" s="7">
        <f>IF(F1953="Bullet",H1953*AD1953,MIN(MAX(I1953,1),Assumptions!$B$6)*AD1953)</f>
        <v>2080</v>
      </c>
      <c r="AF1953" s="8">
        <f>IF(F1953="Bullet",MAX(0,Assumptions!$B$4-AB1953),MAX(0,Assumptions!$B$4-L1953))</f>
        <v>0</v>
      </c>
      <c r="AG1953" s="9"/>
      <c r="AH1953" s="8" t="str">
        <f>IF(AG1953="","",Assumptions!$B$4-AG1953)</f>
        <v/>
      </c>
      <c r="AI1953" s="5" t="s">
        <v>80</v>
      </c>
      <c r="AJ1953" s="8"/>
      <c r="AK1953" s="8">
        <v>3</v>
      </c>
      <c r="AL1953" s="8">
        <v>735</v>
      </c>
      <c r="AM1953" s="8">
        <v>2</v>
      </c>
      <c r="AN1953" s="5" t="s">
        <v>63</v>
      </c>
      <c r="AO1953" s="10">
        <v>71.8</v>
      </c>
      <c r="AP1953" s="8">
        <v>40</v>
      </c>
      <c r="AQ1953" s="9">
        <v>46296</v>
      </c>
      <c r="AR1953" s="5" t="s">
        <v>70</v>
      </c>
      <c r="AS1953" s="5" t="s">
        <v>190</v>
      </c>
    </row>
    <row r="1954" spans="1:45" x14ac:dyDescent="0.35">
      <c r="A1954" s="5" t="s">
        <v>7806</v>
      </c>
      <c r="B1954" s="5" t="s">
        <v>3060</v>
      </c>
      <c r="C1954" s="6" t="s">
        <v>7807</v>
      </c>
      <c r="D1954" s="7">
        <v>396700</v>
      </c>
      <c r="E1954" s="5" t="s">
        <v>48</v>
      </c>
      <c r="F1954" s="5" t="s">
        <v>49</v>
      </c>
      <c r="G1954" s="8"/>
      <c r="H1954" s="8" t="str">
        <f>IF(F1954="Bullet",MIN(G1954,Assumptions!$B$6),"")</f>
        <v/>
      </c>
      <c r="I1954" s="8">
        <v>2</v>
      </c>
      <c r="J1954" s="8">
        <f>IF(F1954="Monthly interest",MAX(0,Assumptions!$B$5-I1954),"")</f>
        <v>1</v>
      </c>
      <c r="K1954" s="7">
        <f t="shared" si="90"/>
        <v>9256</v>
      </c>
      <c r="L1954" s="9">
        <v>46261</v>
      </c>
      <c r="M1954" s="5" t="s">
        <v>116</v>
      </c>
      <c r="N1954" s="5" t="s">
        <v>117</v>
      </c>
      <c r="O1954" s="5" t="s">
        <v>118</v>
      </c>
      <c r="P1954" s="5" t="s">
        <v>72</v>
      </c>
      <c r="Q1954" s="5" t="s">
        <v>119</v>
      </c>
      <c r="R1954" s="5" t="s">
        <v>120</v>
      </c>
      <c r="S1954" s="5" t="s">
        <v>214</v>
      </c>
      <c r="T1954" s="5" t="s">
        <v>63</v>
      </c>
      <c r="U1954" s="5" t="s">
        <v>86</v>
      </c>
      <c r="V1954" s="5" t="s">
        <v>215</v>
      </c>
      <c r="W1954" s="5" t="s">
        <v>600</v>
      </c>
      <c r="X1954" s="5" t="s">
        <v>7808</v>
      </c>
      <c r="Y1954" s="5" t="s">
        <v>7809</v>
      </c>
      <c r="Z1954" s="9">
        <v>46108</v>
      </c>
      <c r="AA1954" s="8">
        <v>12</v>
      </c>
      <c r="AB1954" s="9">
        <f t="shared" si="91"/>
        <v>46473</v>
      </c>
      <c r="AC1954" s="10">
        <v>14</v>
      </c>
      <c r="AD1954" s="7">
        <f t="shared" si="92"/>
        <v>4628</v>
      </c>
      <c r="AE1954" s="7">
        <f>IF(F1954="Bullet",H1954*AD1954,MIN(MAX(I1954,1),Assumptions!$B$6)*AD1954)</f>
        <v>9256</v>
      </c>
      <c r="AF1954" s="8">
        <f>IF(F1954="Bullet",MAX(0,Assumptions!$B$4-AB1954),MAX(0,Assumptions!$B$4-L1954))</f>
        <v>37</v>
      </c>
      <c r="AG1954" s="9">
        <v>46231</v>
      </c>
      <c r="AH1954" s="8">
        <f>IF(AG1954="","",Assumptions!$B$4-AG1954)</f>
        <v>67</v>
      </c>
      <c r="AI1954" s="5" t="s">
        <v>63</v>
      </c>
      <c r="AJ1954" s="8">
        <v>3</v>
      </c>
      <c r="AK1954" s="8">
        <v>0</v>
      </c>
      <c r="AL1954" s="8">
        <v>619</v>
      </c>
      <c r="AM1954" s="8">
        <v>0</v>
      </c>
      <c r="AN1954" s="5" t="s">
        <v>63</v>
      </c>
      <c r="AO1954" s="10">
        <v>72.2</v>
      </c>
      <c r="AP1954" s="8">
        <v>56</v>
      </c>
      <c r="AQ1954" s="9">
        <v>46292</v>
      </c>
      <c r="AR1954" s="5" t="s">
        <v>51</v>
      </c>
      <c r="AS1954" s="5" t="s">
        <v>91</v>
      </c>
    </row>
    <row r="1955" spans="1:45" x14ac:dyDescent="0.35">
      <c r="A1955" s="5" t="s">
        <v>7810</v>
      </c>
      <c r="B1955" s="5" t="s">
        <v>7811</v>
      </c>
      <c r="C1955" s="6" t="s">
        <v>7812</v>
      </c>
      <c r="D1955" s="7">
        <v>691600</v>
      </c>
      <c r="E1955" s="5" t="s">
        <v>48</v>
      </c>
      <c r="F1955" s="5" t="s">
        <v>68</v>
      </c>
      <c r="G1955" s="8">
        <v>4</v>
      </c>
      <c r="H1955" s="8">
        <f>IF(F1955="Bullet",MIN(G1955,Assumptions!$B$6),"")</f>
        <v>2</v>
      </c>
      <c r="I1955" s="8"/>
      <c r="J1955" s="8" t="str">
        <f>IF(F1955="Monthly interest",MAX(0,Assumptions!$B$5-I1955),"")</f>
        <v/>
      </c>
      <c r="K1955" s="7">
        <f t="shared" si="90"/>
        <v>34580</v>
      </c>
      <c r="L1955" s="9">
        <v>46152</v>
      </c>
      <c r="M1955" s="5" t="s">
        <v>69</v>
      </c>
      <c r="N1955" s="5" t="s">
        <v>70</v>
      </c>
      <c r="O1955" s="5" t="s">
        <v>71</v>
      </c>
      <c r="P1955" s="5" t="s">
        <v>72</v>
      </c>
      <c r="Q1955" s="5" t="s">
        <v>73</v>
      </c>
      <c r="R1955" s="5" t="s">
        <v>74</v>
      </c>
      <c r="S1955" s="5" t="s">
        <v>56</v>
      </c>
      <c r="T1955" s="5" t="s">
        <v>57</v>
      </c>
      <c r="U1955" s="5" t="s">
        <v>86</v>
      </c>
      <c r="V1955" s="5" t="s">
        <v>59</v>
      </c>
      <c r="W1955" s="5" t="s">
        <v>467</v>
      </c>
      <c r="X1955" s="5" t="s">
        <v>1740</v>
      </c>
      <c r="Y1955" s="5" t="s">
        <v>7813</v>
      </c>
      <c r="Z1955" s="9">
        <v>46152</v>
      </c>
      <c r="AA1955" s="8">
        <v>6</v>
      </c>
      <c r="AB1955" s="9">
        <f t="shared" si="91"/>
        <v>46336</v>
      </c>
      <c r="AC1955" s="10">
        <v>15</v>
      </c>
      <c r="AD1955" s="7">
        <f t="shared" si="92"/>
        <v>8645</v>
      </c>
      <c r="AE1955" s="7">
        <f>IF(F1955="Bullet",H1955*AD1955,MIN(MAX(I1955,1),Assumptions!$B$6)*AD1955)</f>
        <v>17290</v>
      </c>
      <c r="AF1955" s="8">
        <f>IF(F1955="Bullet",MAX(0,Assumptions!$B$4-AB1955),MAX(0,Assumptions!$B$4-L1955))</f>
        <v>0</v>
      </c>
      <c r="AG1955" s="9"/>
      <c r="AH1955" s="8" t="str">
        <f>IF(AG1955="","",Assumptions!$B$4-AG1955)</f>
        <v/>
      </c>
      <c r="AI1955" s="5" t="s">
        <v>80</v>
      </c>
      <c r="AJ1955" s="8"/>
      <c r="AK1955" s="8">
        <v>2</v>
      </c>
      <c r="AL1955" s="8">
        <v>715</v>
      </c>
      <c r="AM1955" s="8">
        <v>1</v>
      </c>
      <c r="AN1955" s="5" t="s">
        <v>63</v>
      </c>
      <c r="AO1955" s="10">
        <v>85.6</v>
      </c>
      <c r="AP1955" s="8">
        <v>42</v>
      </c>
      <c r="AQ1955" s="9">
        <v>46297</v>
      </c>
      <c r="AR1955" s="5" t="s">
        <v>51</v>
      </c>
      <c r="AS1955" s="5" t="s">
        <v>64</v>
      </c>
    </row>
    <row r="1956" spans="1:45" x14ac:dyDescent="0.35">
      <c r="A1956" s="5" t="s">
        <v>7814</v>
      </c>
      <c r="B1956" s="5" t="s">
        <v>5147</v>
      </c>
      <c r="C1956" s="6" t="s">
        <v>7815</v>
      </c>
      <c r="D1956" s="7">
        <v>128700</v>
      </c>
      <c r="E1956" s="5" t="s">
        <v>48</v>
      </c>
      <c r="F1956" s="5" t="s">
        <v>49</v>
      </c>
      <c r="G1956" s="8"/>
      <c r="H1956" s="8" t="str">
        <f>IF(F1956="Bullet",MIN(G1956,Assumptions!$B$6),"")</f>
        <v/>
      </c>
      <c r="I1956" s="8">
        <v>1</v>
      </c>
      <c r="J1956" s="8">
        <f>IF(F1956="Monthly interest",MAX(0,Assumptions!$B$5-I1956),"")</f>
        <v>2</v>
      </c>
      <c r="K1956" s="7">
        <f t="shared" si="90"/>
        <v>1931</v>
      </c>
      <c r="L1956" s="9">
        <v>46291</v>
      </c>
      <c r="M1956" s="5" t="s">
        <v>69</v>
      </c>
      <c r="N1956" s="5" t="s">
        <v>51</v>
      </c>
      <c r="O1956" s="5" t="s">
        <v>52</v>
      </c>
      <c r="P1956" s="5" t="s">
        <v>53</v>
      </c>
      <c r="Q1956" s="5" t="s">
        <v>54</v>
      </c>
      <c r="R1956" s="5" t="s">
        <v>55</v>
      </c>
      <c r="S1956" s="5" t="s">
        <v>253</v>
      </c>
      <c r="T1956" s="5" t="s">
        <v>57</v>
      </c>
      <c r="U1956" s="5" t="s">
        <v>104</v>
      </c>
      <c r="V1956" s="5" t="s">
        <v>177</v>
      </c>
      <c r="W1956" s="5" t="s">
        <v>345</v>
      </c>
      <c r="X1956" s="5" t="s">
        <v>1969</v>
      </c>
      <c r="Y1956" s="5" t="s">
        <v>7816</v>
      </c>
      <c r="Z1956" s="9">
        <v>46107</v>
      </c>
      <c r="AA1956" s="8">
        <v>18</v>
      </c>
      <c r="AB1956" s="9">
        <f t="shared" si="91"/>
        <v>46656</v>
      </c>
      <c r="AC1956" s="10">
        <v>18</v>
      </c>
      <c r="AD1956" s="7">
        <f t="shared" si="92"/>
        <v>1931</v>
      </c>
      <c r="AE1956" s="7">
        <f>IF(F1956="Bullet",H1956*AD1956,MIN(MAX(I1956,1),Assumptions!$B$6)*AD1956)</f>
        <v>1931</v>
      </c>
      <c r="AF1956" s="8">
        <f>IF(F1956="Bullet",MAX(0,Assumptions!$B$4-AB1956),MAX(0,Assumptions!$B$4-L1956))</f>
        <v>7</v>
      </c>
      <c r="AG1956" s="9">
        <v>46261</v>
      </c>
      <c r="AH1956" s="8">
        <f>IF(AG1956="","",Assumptions!$B$4-AG1956)</f>
        <v>37</v>
      </c>
      <c r="AI1956" s="5" t="s">
        <v>57</v>
      </c>
      <c r="AJ1956" s="8">
        <v>1</v>
      </c>
      <c r="AK1956" s="8">
        <v>0</v>
      </c>
      <c r="AL1956" s="8">
        <v>720</v>
      </c>
      <c r="AM1956" s="8">
        <v>1</v>
      </c>
      <c r="AN1956" s="5" t="s">
        <v>63</v>
      </c>
      <c r="AO1956" s="10">
        <v>82</v>
      </c>
      <c r="AP1956" s="8">
        <v>32</v>
      </c>
      <c r="AQ1956" s="9">
        <v>46282</v>
      </c>
      <c r="AR1956" s="5" t="s">
        <v>51</v>
      </c>
      <c r="AS1956" s="5" t="s">
        <v>274</v>
      </c>
    </row>
    <row r="1957" spans="1:45" x14ac:dyDescent="0.35">
      <c r="A1957" s="5" t="s">
        <v>7817</v>
      </c>
      <c r="B1957" s="5" t="s">
        <v>3896</v>
      </c>
      <c r="C1957" s="6" t="s">
        <v>7818</v>
      </c>
      <c r="D1957" s="7">
        <v>101400</v>
      </c>
      <c r="E1957" s="5" t="s">
        <v>48</v>
      </c>
      <c r="F1957" s="5" t="s">
        <v>68</v>
      </c>
      <c r="G1957" s="8">
        <v>5</v>
      </c>
      <c r="H1957" s="8">
        <f>IF(F1957="Bullet",MIN(G1957,Assumptions!$B$6),"")</f>
        <v>2</v>
      </c>
      <c r="I1957" s="8"/>
      <c r="J1957" s="8" t="str">
        <f>IF(F1957="Monthly interest",MAX(0,Assumptions!$B$5-I1957),"")</f>
        <v/>
      </c>
      <c r="K1957" s="7">
        <f t="shared" si="90"/>
        <v>5915</v>
      </c>
      <c r="L1957" s="9">
        <v>46144</v>
      </c>
      <c r="M1957" s="5" t="s">
        <v>116</v>
      </c>
      <c r="N1957" s="5" t="s">
        <v>117</v>
      </c>
      <c r="O1957" s="5" t="s">
        <v>461</v>
      </c>
      <c r="P1957" s="5" t="s">
        <v>72</v>
      </c>
      <c r="Q1957" s="5" t="s">
        <v>169</v>
      </c>
      <c r="R1957" s="5" t="s">
        <v>170</v>
      </c>
      <c r="S1957" s="5" t="s">
        <v>185</v>
      </c>
      <c r="T1957" s="5" t="s">
        <v>57</v>
      </c>
      <c r="U1957" s="5" t="s">
        <v>104</v>
      </c>
      <c r="V1957" s="5" t="s">
        <v>186</v>
      </c>
      <c r="W1957" s="5" t="s">
        <v>376</v>
      </c>
      <c r="X1957" s="5" t="s">
        <v>2747</v>
      </c>
      <c r="Y1957" s="5" t="s">
        <v>7819</v>
      </c>
      <c r="Z1957" s="9">
        <v>46144</v>
      </c>
      <c r="AA1957" s="8">
        <v>6</v>
      </c>
      <c r="AB1957" s="9">
        <f t="shared" si="91"/>
        <v>46328</v>
      </c>
      <c r="AC1957" s="10">
        <v>14</v>
      </c>
      <c r="AD1957" s="7">
        <f t="shared" si="92"/>
        <v>1183</v>
      </c>
      <c r="AE1957" s="7">
        <f>IF(F1957="Bullet",H1957*AD1957,MIN(MAX(I1957,1),Assumptions!$B$6)*AD1957)</f>
        <v>2366</v>
      </c>
      <c r="AF1957" s="8">
        <f>IF(F1957="Bullet",MAX(0,Assumptions!$B$4-AB1957),MAX(0,Assumptions!$B$4-L1957))</f>
        <v>0</v>
      </c>
      <c r="AG1957" s="9"/>
      <c r="AH1957" s="8" t="str">
        <f>IF(AG1957="","",Assumptions!$B$4-AG1957)</f>
        <v/>
      </c>
      <c r="AI1957" s="5" t="s">
        <v>80</v>
      </c>
      <c r="AJ1957" s="8"/>
      <c r="AK1957" s="8">
        <v>1</v>
      </c>
      <c r="AL1957" s="8" t="s">
        <v>80</v>
      </c>
      <c r="AM1957" s="8">
        <v>2</v>
      </c>
      <c r="AN1957" s="5" t="s">
        <v>63</v>
      </c>
      <c r="AO1957" s="10">
        <v>79.599999999999994</v>
      </c>
      <c r="AP1957" s="8">
        <v>54</v>
      </c>
      <c r="AQ1957" s="9">
        <v>46294</v>
      </c>
      <c r="AR1957" s="5" t="s">
        <v>53</v>
      </c>
      <c r="AS1957" s="5" t="s">
        <v>81</v>
      </c>
    </row>
    <row r="1958" spans="1:45" x14ac:dyDescent="0.35">
      <c r="A1958" s="5" t="s">
        <v>7820</v>
      </c>
      <c r="B1958" s="5" t="s">
        <v>3334</v>
      </c>
      <c r="C1958" s="6" t="s">
        <v>7821</v>
      </c>
      <c r="D1958" s="7">
        <v>104600</v>
      </c>
      <c r="E1958" s="5" t="s">
        <v>48</v>
      </c>
      <c r="F1958" s="5" t="s">
        <v>49</v>
      </c>
      <c r="G1958" s="8"/>
      <c r="H1958" s="8" t="str">
        <f>IF(F1958="Bullet",MIN(G1958,Assumptions!$B$6),"")</f>
        <v/>
      </c>
      <c r="I1958" s="8">
        <v>2</v>
      </c>
      <c r="J1958" s="8">
        <f>IF(F1958="Monthly interest",MAX(0,Assumptions!$B$5-I1958),"")</f>
        <v>1</v>
      </c>
      <c r="K1958" s="7">
        <f t="shared" si="90"/>
        <v>4184</v>
      </c>
      <c r="L1958" s="9">
        <v>46257</v>
      </c>
      <c r="M1958" s="5" t="s">
        <v>116</v>
      </c>
      <c r="N1958" s="5" t="s">
        <v>117</v>
      </c>
      <c r="O1958" s="5" t="s">
        <v>118</v>
      </c>
      <c r="P1958" s="5" t="s">
        <v>72</v>
      </c>
      <c r="Q1958" s="5" t="s">
        <v>119</v>
      </c>
      <c r="R1958" s="5" t="s">
        <v>120</v>
      </c>
      <c r="S1958" s="5" t="s">
        <v>85</v>
      </c>
      <c r="T1958" s="5" t="s">
        <v>57</v>
      </c>
      <c r="U1958" s="5" t="s">
        <v>58</v>
      </c>
      <c r="V1958" s="5" t="s">
        <v>133</v>
      </c>
      <c r="W1958" s="5" t="s">
        <v>594</v>
      </c>
      <c r="X1958" s="5" t="s">
        <v>3723</v>
      </c>
      <c r="Y1958" s="5" t="s">
        <v>7822</v>
      </c>
      <c r="Z1958" s="9">
        <v>46045</v>
      </c>
      <c r="AA1958" s="8">
        <v>12</v>
      </c>
      <c r="AB1958" s="9">
        <f t="shared" si="91"/>
        <v>46410</v>
      </c>
      <c r="AC1958" s="10">
        <v>24</v>
      </c>
      <c r="AD1958" s="7">
        <f t="shared" si="92"/>
        <v>2092</v>
      </c>
      <c r="AE1958" s="7">
        <f>IF(F1958="Bullet",H1958*AD1958,MIN(MAX(I1958,1),Assumptions!$B$6)*AD1958)</f>
        <v>4184</v>
      </c>
      <c r="AF1958" s="8">
        <f>IF(F1958="Bullet",MAX(0,Assumptions!$B$4-AB1958),MAX(0,Assumptions!$B$4-L1958))</f>
        <v>41</v>
      </c>
      <c r="AG1958" s="9">
        <v>46231</v>
      </c>
      <c r="AH1958" s="8">
        <f>IF(AG1958="","",Assumptions!$B$4-AG1958)</f>
        <v>67</v>
      </c>
      <c r="AI1958" s="5" t="s">
        <v>57</v>
      </c>
      <c r="AJ1958" s="8">
        <v>4</v>
      </c>
      <c r="AK1958" s="8">
        <v>3</v>
      </c>
      <c r="AL1958" s="8">
        <v>760</v>
      </c>
      <c r="AM1958" s="8">
        <v>1</v>
      </c>
      <c r="AN1958" s="5" t="s">
        <v>63</v>
      </c>
      <c r="AO1958" s="10">
        <v>84.2</v>
      </c>
      <c r="AP1958" s="8">
        <v>63</v>
      </c>
      <c r="AQ1958" s="9">
        <v>46285</v>
      </c>
      <c r="AR1958" s="5" t="s">
        <v>72</v>
      </c>
      <c r="AS1958" s="5" t="s">
        <v>91</v>
      </c>
    </row>
    <row r="1959" spans="1:45" x14ac:dyDescent="0.35">
      <c r="A1959" s="5" t="s">
        <v>7823</v>
      </c>
      <c r="B1959" s="5" t="s">
        <v>5956</v>
      </c>
      <c r="C1959" s="6" t="s">
        <v>7824</v>
      </c>
      <c r="D1959" s="7">
        <v>360100</v>
      </c>
      <c r="E1959" s="5" t="s">
        <v>48</v>
      </c>
      <c r="F1959" s="5" t="s">
        <v>49</v>
      </c>
      <c r="G1959" s="8"/>
      <c r="H1959" s="8" t="str">
        <f>IF(F1959="Bullet",MIN(G1959,Assumptions!$B$6),"")</f>
        <v/>
      </c>
      <c r="I1959" s="8">
        <v>1</v>
      </c>
      <c r="J1959" s="8">
        <f>IF(F1959="Monthly interest",MAX(0,Assumptions!$B$5-I1959),"")</f>
        <v>2</v>
      </c>
      <c r="K1959" s="7">
        <f t="shared" si="90"/>
        <v>7202</v>
      </c>
      <c r="L1959" s="9">
        <v>46281</v>
      </c>
      <c r="M1959" s="5" t="s">
        <v>50</v>
      </c>
      <c r="N1959" s="5" t="s">
        <v>53</v>
      </c>
      <c r="O1959" s="5" t="s">
        <v>95</v>
      </c>
      <c r="P1959" s="5" t="s">
        <v>70</v>
      </c>
      <c r="Q1959" s="5" t="s">
        <v>54</v>
      </c>
      <c r="R1959" s="5" t="s">
        <v>55</v>
      </c>
      <c r="S1959" s="5" t="s">
        <v>253</v>
      </c>
      <c r="T1959" s="5" t="s">
        <v>63</v>
      </c>
      <c r="U1959" s="5" t="s">
        <v>104</v>
      </c>
      <c r="V1959" s="5" t="s">
        <v>177</v>
      </c>
      <c r="W1959" s="5" t="s">
        <v>178</v>
      </c>
      <c r="X1959" s="5" t="s">
        <v>5738</v>
      </c>
      <c r="Y1959" s="5" t="s">
        <v>7825</v>
      </c>
      <c r="Z1959" s="9">
        <v>46007</v>
      </c>
      <c r="AA1959" s="8">
        <v>12</v>
      </c>
      <c r="AB1959" s="9">
        <f t="shared" si="91"/>
        <v>46372</v>
      </c>
      <c r="AC1959" s="10">
        <v>24</v>
      </c>
      <c r="AD1959" s="7">
        <f t="shared" si="92"/>
        <v>7202</v>
      </c>
      <c r="AE1959" s="7">
        <f>IF(F1959="Bullet",H1959*AD1959,MIN(MAX(I1959,1),Assumptions!$B$6)*AD1959)</f>
        <v>7202</v>
      </c>
      <c r="AF1959" s="8">
        <f>IF(F1959="Bullet",MAX(0,Assumptions!$B$4-AB1959),MAX(0,Assumptions!$B$4-L1959))</f>
        <v>17</v>
      </c>
      <c r="AG1959" s="9">
        <v>46250</v>
      </c>
      <c r="AH1959" s="8">
        <f>IF(AG1959="","",Assumptions!$B$4-AG1959)</f>
        <v>48</v>
      </c>
      <c r="AI1959" s="5" t="s">
        <v>63</v>
      </c>
      <c r="AJ1959" s="8">
        <v>1</v>
      </c>
      <c r="AK1959" s="8">
        <v>0</v>
      </c>
      <c r="AL1959" s="8" t="s">
        <v>80</v>
      </c>
      <c r="AM1959" s="8">
        <v>0</v>
      </c>
      <c r="AN1959" s="5" t="s">
        <v>63</v>
      </c>
      <c r="AO1959" s="10">
        <v>62</v>
      </c>
      <c r="AP1959" s="8">
        <v>24</v>
      </c>
      <c r="AQ1959" s="9"/>
      <c r="AR1959" s="5"/>
      <c r="AS1959" s="5" t="s">
        <v>159</v>
      </c>
    </row>
    <row r="1960" spans="1:45" x14ac:dyDescent="0.35">
      <c r="A1960" s="5" t="s">
        <v>7826</v>
      </c>
      <c r="B1960" s="5" t="s">
        <v>7827</v>
      </c>
      <c r="C1960" s="6" t="s">
        <v>7828</v>
      </c>
      <c r="D1960" s="7">
        <v>611600</v>
      </c>
      <c r="E1960" s="5" t="s">
        <v>48</v>
      </c>
      <c r="F1960" s="5" t="s">
        <v>49</v>
      </c>
      <c r="G1960" s="8"/>
      <c r="H1960" s="8" t="str">
        <f>IF(F1960="Bullet",MIN(G1960,Assumptions!$B$6),"")</f>
        <v/>
      </c>
      <c r="I1960" s="8">
        <v>1</v>
      </c>
      <c r="J1960" s="8">
        <f>IF(F1960="Monthly interest",MAX(0,Assumptions!$B$5-I1960),"")</f>
        <v>2</v>
      </c>
      <c r="K1960" s="7">
        <f t="shared" si="90"/>
        <v>12232</v>
      </c>
      <c r="L1960" s="9">
        <v>46274</v>
      </c>
      <c r="M1960" s="5" t="s">
        <v>50</v>
      </c>
      <c r="N1960" s="5" t="s">
        <v>53</v>
      </c>
      <c r="O1960" s="5" t="s">
        <v>103</v>
      </c>
      <c r="P1960" s="5" t="s">
        <v>51</v>
      </c>
      <c r="Q1960" s="5" t="s">
        <v>54</v>
      </c>
      <c r="R1960" s="5" t="s">
        <v>55</v>
      </c>
      <c r="S1960" s="5" t="s">
        <v>214</v>
      </c>
      <c r="T1960" s="5" t="s">
        <v>57</v>
      </c>
      <c r="U1960" s="5" t="s">
        <v>58</v>
      </c>
      <c r="V1960" s="5" t="s">
        <v>215</v>
      </c>
      <c r="W1960" s="5" t="s">
        <v>278</v>
      </c>
      <c r="X1960" s="5" t="s">
        <v>490</v>
      </c>
      <c r="Y1960" s="5" t="s">
        <v>7829</v>
      </c>
      <c r="Z1960" s="9">
        <v>46090</v>
      </c>
      <c r="AA1960" s="8">
        <v>12</v>
      </c>
      <c r="AB1960" s="9">
        <f t="shared" si="91"/>
        <v>46455</v>
      </c>
      <c r="AC1960" s="10">
        <v>24</v>
      </c>
      <c r="AD1960" s="7">
        <f t="shared" si="92"/>
        <v>12232</v>
      </c>
      <c r="AE1960" s="7">
        <f>IF(F1960="Bullet",H1960*AD1960,MIN(MAX(I1960,1),Assumptions!$B$6)*AD1960)</f>
        <v>12232</v>
      </c>
      <c r="AF1960" s="8">
        <f>IF(F1960="Bullet",MAX(0,Assumptions!$B$4-AB1960),MAX(0,Assumptions!$B$4-L1960))</f>
        <v>24</v>
      </c>
      <c r="AG1960" s="9">
        <v>46248</v>
      </c>
      <c r="AH1960" s="8">
        <f>IF(AG1960="","",Assumptions!$B$4-AG1960)</f>
        <v>50</v>
      </c>
      <c r="AI1960" s="5" t="s">
        <v>63</v>
      </c>
      <c r="AJ1960" s="8">
        <v>1</v>
      </c>
      <c r="AK1960" s="8">
        <v>0</v>
      </c>
      <c r="AL1960" s="8">
        <v>725</v>
      </c>
      <c r="AM1960" s="8">
        <v>1</v>
      </c>
      <c r="AN1960" s="5" t="s">
        <v>63</v>
      </c>
      <c r="AO1960" s="10">
        <v>62.9</v>
      </c>
      <c r="AP1960" s="8">
        <v>19</v>
      </c>
      <c r="AQ1960" s="9">
        <v>46297</v>
      </c>
      <c r="AR1960" s="5" t="s">
        <v>51</v>
      </c>
      <c r="AS1960" s="5" t="s">
        <v>81</v>
      </c>
    </row>
    <row r="1961" spans="1:45" x14ac:dyDescent="0.35">
      <c r="A1961" s="5" t="s">
        <v>7830</v>
      </c>
      <c r="B1961" s="5" t="s">
        <v>2616</v>
      </c>
      <c r="C1961" s="6" t="s">
        <v>7831</v>
      </c>
      <c r="D1961" s="7">
        <v>206800</v>
      </c>
      <c r="E1961" s="5" t="s">
        <v>48</v>
      </c>
      <c r="F1961" s="5" t="s">
        <v>49</v>
      </c>
      <c r="G1961" s="8"/>
      <c r="H1961" s="8" t="str">
        <f>IF(F1961="Bullet",MIN(G1961,Assumptions!$B$6),"")</f>
        <v/>
      </c>
      <c r="I1961" s="8">
        <v>1</v>
      </c>
      <c r="J1961" s="8">
        <f>IF(F1961="Monthly interest",MAX(0,Assumptions!$B$5-I1961),"")</f>
        <v>2</v>
      </c>
      <c r="K1961" s="7">
        <f t="shared" si="90"/>
        <v>3447</v>
      </c>
      <c r="L1961" s="9">
        <v>46271</v>
      </c>
      <c r="M1961" s="5" t="s">
        <v>50</v>
      </c>
      <c r="N1961" s="5" t="s">
        <v>53</v>
      </c>
      <c r="O1961" s="5" t="s">
        <v>103</v>
      </c>
      <c r="P1961" s="5" t="s">
        <v>51</v>
      </c>
      <c r="Q1961" s="5" t="s">
        <v>54</v>
      </c>
      <c r="R1961" s="5" t="s">
        <v>55</v>
      </c>
      <c r="S1961" s="5" t="s">
        <v>85</v>
      </c>
      <c r="T1961" s="5" t="s">
        <v>57</v>
      </c>
      <c r="U1961" s="5" t="s">
        <v>58</v>
      </c>
      <c r="V1961" s="5" t="s">
        <v>87</v>
      </c>
      <c r="W1961" s="5" t="s">
        <v>88</v>
      </c>
      <c r="X1961" s="5" t="s">
        <v>5002</v>
      </c>
      <c r="Y1961" s="5" t="s">
        <v>7832</v>
      </c>
      <c r="Z1961" s="9">
        <v>46148</v>
      </c>
      <c r="AA1961" s="8">
        <v>12</v>
      </c>
      <c r="AB1961" s="9">
        <f t="shared" si="91"/>
        <v>46513</v>
      </c>
      <c r="AC1961" s="10">
        <v>20</v>
      </c>
      <c r="AD1961" s="7">
        <f t="shared" si="92"/>
        <v>3447</v>
      </c>
      <c r="AE1961" s="7">
        <f>IF(F1961="Bullet",H1961*AD1961,MIN(MAX(I1961,1),Assumptions!$B$6)*AD1961)</f>
        <v>3447</v>
      </c>
      <c r="AF1961" s="8">
        <f>IF(F1961="Bullet",MAX(0,Assumptions!$B$4-AB1961),MAX(0,Assumptions!$B$4-L1961))</f>
        <v>27</v>
      </c>
      <c r="AG1961" s="9">
        <v>46242</v>
      </c>
      <c r="AH1961" s="8">
        <f>IF(AG1961="","",Assumptions!$B$4-AG1961)</f>
        <v>56</v>
      </c>
      <c r="AI1961" s="5" t="s">
        <v>63</v>
      </c>
      <c r="AJ1961" s="8">
        <v>2</v>
      </c>
      <c r="AK1961" s="8">
        <v>0</v>
      </c>
      <c r="AL1961" s="8">
        <v>759</v>
      </c>
      <c r="AM1961" s="8">
        <v>0</v>
      </c>
      <c r="AN1961" s="5" t="s">
        <v>63</v>
      </c>
      <c r="AO1961" s="10">
        <v>73.7</v>
      </c>
      <c r="AP1961" s="8">
        <v>21</v>
      </c>
      <c r="AQ1961" s="9">
        <v>46285</v>
      </c>
      <c r="AR1961" s="5" t="s">
        <v>51</v>
      </c>
      <c r="AS1961" s="5" t="s">
        <v>81</v>
      </c>
    </row>
    <row r="1962" spans="1:45" x14ac:dyDescent="0.35">
      <c r="A1962" s="5" t="s">
        <v>7833</v>
      </c>
      <c r="B1962" s="5" t="s">
        <v>3004</v>
      </c>
      <c r="C1962" s="6" t="s">
        <v>7834</v>
      </c>
      <c r="D1962" s="7">
        <v>331400</v>
      </c>
      <c r="E1962" s="5" t="s">
        <v>48</v>
      </c>
      <c r="F1962" s="5" t="s">
        <v>68</v>
      </c>
      <c r="G1962" s="8">
        <v>3</v>
      </c>
      <c r="H1962" s="8">
        <f>IF(F1962="Bullet",MIN(G1962,Assumptions!$B$6),"")</f>
        <v>2</v>
      </c>
      <c r="I1962" s="8"/>
      <c r="J1962" s="8" t="str">
        <f>IF(F1962="Monthly interest",MAX(0,Assumptions!$B$5-I1962),"")</f>
        <v/>
      </c>
      <c r="K1962" s="7">
        <f t="shared" si="90"/>
        <v>10770</v>
      </c>
      <c r="L1962" s="9">
        <v>46184</v>
      </c>
      <c r="M1962" s="5" t="s">
        <v>50</v>
      </c>
      <c r="N1962" s="5" t="s">
        <v>53</v>
      </c>
      <c r="O1962" s="5" t="s">
        <v>71</v>
      </c>
      <c r="P1962" s="5" t="s">
        <v>51</v>
      </c>
      <c r="Q1962" s="5" t="s">
        <v>73</v>
      </c>
      <c r="R1962" s="5" t="s">
        <v>74</v>
      </c>
      <c r="S1962" s="5" t="s">
        <v>85</v>
      </c>
      <c r="T1962" s="5" t="s">
        <v>57</v>
      </c>
      <c r="U1962" s="5" t="s">
        <v>104</v>
      </c>
      <c r="V1962" s="5" t="s">
        <v>133</v>
      </c>
      <c r="W1962" s="5" t="s">
        <v>594</v>
      </c>
      <c r="X1962" s="5" t="s">
        <v>724</v>
      </c>
      <c r="Y1962" s="5" t="s">
        <v>7835</v>
      </c>
      <c r="Z1962" s="9">
        <v>46184</v>
      </c>
      <c r="AA1962" s="8">
        <v>12</v>
      </c>
      <c r="AB1962" s="9">
        <f t="shared" si="91"/>
        <v>46549</v>
      </c>
      <c r="AC1962" s="10">
        <v>13</v>
      </c>
      <c r="AD1962" s="7">
        <f t="shared" si="92"/>
        <v>3590</v>
      </c>
      <c r="AE1962" s="7">
        <f>IF(F1962="Bullet",H1962*AD1962,MIN(MAX(I1962,1),Assumptions!$B$6)*AD1962)</f>
        <v>7180</v>
      </c>
      <c r="AF1962" s="8">
        <f>IF(F1962="Bullet",MAX(0,Assumptions!$B$4-AB1962),MAX(0,Assumptions!$B$4-L1962))</f>
        <v>0</v>
      </c>
      <c r="AG1962" s="9"/>
      <c r="AH1962" s="8" t="str">
        <f>IF(AG1962="","",Assumptions!$B$4-AG1962)</f>
        <v/>
      </c>
      <c r="AI1962" s="5" t="s">
        <v>80</v>
      </c>
      <c r="AJ1962" s="8"/>
      <c r="AK1962" s="8">
        <v>0</v>
      </c>
      <c r="AL1962" s="8">
        <v>655</v>
      </c>
      <c r="AM1962" s="8">
        <v>1</v>
      </c>
      <c r="AN1962" s="5" t="s">
        <v>63</v>
      </c>
      <c r="AO1962" s="10">
        <v>77.900000000000006</v>
      </c>
      <c r="AP1962" s="8">
        <v>27</v>
      </c>
      <c r="AQ1962" s="9">
        <v>46275</v>
      </c>
      <c r="AR1962" s="5" t="s">
        <v>72</v>
      </c>
      <c r="AS1962" s="5" t="s">
        <v>64</v>
      </c>
    </row>
    <row r="1963" spans="1:45" x14ac:dyDescent="0.35">
      <c r="A1963" s="5" t="s">
        <v>7836</v>
      </c>
      <c r="B1963" s="5" t="s">
        <v>7837</v>
      </c>
      <c r="C1963" s="6" t="s">
        <v>7838</v>
      </c>
      <c r="D1963" s="7">
        <v>115800</v>
      </c>
      <c r="E1963" s="5" t="s">
        <v>48</v>
      </c>
      <c r="F1963" s="5" t="s">
        <v>68</v>
      </c>
      <c r="G1963" s="8">
        <v>5</v>
      </c>
      <c r="H1963" s="8">
        <f>IF(F1963="Bullet",MIN(G1963,Assumptions!$B$6),"")</f>
        <v>2</v>
      </c>
      <c r="I1963" s="8"/>
      <c r="J1963" s="8" t="str">
        <f>IF(F1963="Monthly interest",MAX(0,Assumptions!$B$5-I1963),"")</f>
        <v/>
      </c>
      <c r="K1963" s="7">
        <f t="shared" si="90"/>
        <v>8685</v>
      </c>
      <c r="L1963" s="9">
        <v>46138</v>
      </c>
      <c r="M1963" s="5" t="s">
        <v>116</v>
      </c>
      <c r="N1963" s="5" t="s">
        <v>117</v>
      </c>
      <c r="O1963" s="5" t="s">
        <v>461</v>
      </c>
      <c r="P1963" s="5" t="s">
        <v>72</v>
      </c>
      <c r="Q1963" s="5" t="s">
        <v>169</v>
      </c>
      <c r="R1963" s="5" t="s">
        <v>170</v>
      </c>
      <c r="S1963" s="5" t="s">
        <v>185</v>
      </c>
      <c r="T1963" s="5" t="s">
        <v>57</v>
      </c>
      <c r="U1963" s="5" t="s">
        <v>58</v>
      </c>
      <c r="V1963" s="5" t="s">
        <v>200</v>
      </c>
      <c r="W1963" s="5" t="s">
        <v>767</v>
      </c>
      <c r="X1963" s="5" t="s">
        <v>882</v>
      </c>
      <c r="Y1963" s="5" t="s">
        <v>7839</v>
      </c>
      <c r="Z1963" s="9">
        <v>46138</v>
      </c>
      <c r="AA1963" s="8">
        <v>6</v>
      </c>
      <c r="AB1963" s="9">
        <f t="shared" si="91"/>
        <v>46321</v>
      </c>
      <c r="AC1963" s="10">
        <v>18</v>
      </c>
      <c r="AD1963" s="7">
        <f t="shared" si="92"/>
        <v>1737</v>
      </c>
      <c r="AE1963" s="7">
        <f>IF(F1963="Bullet",H1963*AD1963,MIN(MAX(I1963,1),Assumptions!$B$6)*AD1963)</f>
        <v>3474</v>
      </c>
      <c r="AF1963" s="8">
        <f>IF(F1963="Bullet",MAX(0,Assumptions!$B$4-AB1963),MAX(0,Assumptions!$B$4-L1963))</f>
        <v>0</v>
      </c>
      <c r="AG1963" s="9"/>
      <c r="AH1963" s="8" t="str">
        <f>IF(AG1963="","",Assumptions!$B$4-AG1963)</f>
        <v/>
      </c>
      <c r="AI1963" s="5" t="s">
        <v>80</v>
      </c>
      <c r="AJ1963" s="8"/>
      <c r="AK1963" s="8">
        <v>1</v>
      </c>
      <c r="AL1963" s="8">
        <v>730</v>
      </c>
      <c r="AM1963" s="8">
        <v>1</v>
      </c>
      <c r="AN1963" s="5" t="s">
        <v>57</v>
      </c>
      <c r="AO1963" s="10">
        <v>78.8</v>
      </c>
      <c r="AP1963" s="8">
        <v>52</v>
      </c>
      <c r="AQ1963" s="9">
        <v>46292</v>
      </c>
      <c r="AR1963" s="5" t="s">
        <v>53</v>
      </c>
      <c r="AS1963" s="5" t="s">
        <v>91</v>
      </c>
    </row>
    <row r="1964" spans="1:45" x14ac:dyDescent="0.35">
      <c r="A1964" s="5" t="s">
        <v>7840</v>
      </c>
      <c r="B1964" s="5" t="s">
        <v>2177</v>
      </c>
      <c r="C1964" s="6" t="s">
        <v>7841</v>
      </c>
      <c r="D1964" s="7">
        <v>68000</v>
      </c>
      <c r="E1964" s="5" t="s">
        <v>48</v>
      </c>
      <c r="F1964" s="5" t="s">
        <v>68</v>
      </c>
      <c r="G1964" s="8">
        <v>5</v>
      </c>
      <c r="H1964" s="8">
        <f>IF(F1964="Bullet",MIN(G1964,Assumptions!$B$6),"")</f>
        <v>2</v>
      </c>
      <c r="I1964" s="8"/>
      <c r="J1964" s="8" t="str">
        <f>IF(F1964="Monthly interest",MAX(0,Assumptions!$B$5-I1964),"")</f>
        <v/>
      </c>
      <c r="K1964" s="7">
        <f t="shared" si="90"/>
        <v>4250</v>
      </c>
      <c r="L1964" s="9">
        <v>46133</v>
      </c>
      <c r="M1964" s="5" t="s">
        <v>116</v>
      </c>
      <c r="N1964" s="5" t="s">
        <v>117</v>
      </c>
      <c r="O1964" s="5" t="s">
        <v>461</v>
      </c>
      <c r="P1964" s="5" t="s">
        <v>72</v>
      </c>
      <c r="Q1964" s="5" t="s">
        <v>169</v>
      </c>
      <c r="R1964" s="5" t="s">
        <v>170</v>
      </c>
      <c r="S1964" s="5" t="s">
        <v>214</v>
      </c>
      <c r="T1964" s="5" t="s">
        <v>63</v>
      </c>
      <c r="U1964" s="5" t="s">
        <v>58</v>
      </c>
      <c r="V1964" s="5" t="s">
        <v>215</v>
      </c>
      <c r="W1964" s="5" t="s">
        <v>216</v>
      </c>
      <c r="X1964" s="5" t="s">
        <v>351</v>
      </c>
      <c r="Y1964" s="5" t="s">
        <v>7842</v>
      </c>
      <c r="Z1964" s="9">
        <v>46133</v>
      </c>
      <c r="AA1964" s="8">
        <v>3</v>
      </c>
      <c r="AB1964" s="9">
        <f t="shared" si="91"/>
        <v>46224</v>
      </c>
      <c r="AC1964" s="10">
        <v>15</v>
      </c>
      <c r="AD1964" s="7">
        <f t="shared" si="92"/>
        <v>850</v>
      </c>
      <c r="AE1964" s="7">
        <f>IF(F1964="Bullet",H1964*AD1964,MIN(MAX(I1964,1),Assumptions!$B$6)*AD1964)</f>
        <v>1700</v>
      </c>
      <c r="AF1964" s="8">
        <f>IF(F1964="Bullet",MAX(0,Assumptions!$B$4-AB1964),MAX(0,Assumptions!$B$4-L1964))</f>
        <v>74</v>
      </c>
      <c r="AG1964" s="9"/>
      <c r="AH1964" s="8" t="str">
        <f>IF(AG1964="","",Assumptions!$B$4-AG1964)</f>
        <v/>
      </c>
      <c r="AI1964" s="5" t="s">
        <v>80</v>
      </c>
      <c r="AJ1964" s="8"/>
      <c r="AK1964" s="8">
        <v>0</v>
      </c>
      <c r="AL1964" s="8">
        <v>615</v>
      </c>
      <c r="AM1964" s="8">
        <v>1</v>
      </c>
      <c r="AN1964" s="5" t="s">
        <v>63</v>
      </c>
      <c r="AO1964" s="10">
        <v>76.599999999999994</v>
      </c>
      <c r="AP1964" s="8">
        <v>56</v>
      </c>
      <c r="AQ1964" s="9">
        <v>46286</v>
      </c>
      <c r="AR1964" s="5" t="s">
        <v>53</v>
      </c>
      <c r="AS1964" s="5" t="s">
        <v>81</v>
      </c>
    </row>
    <row r="1965" spans="1:45" x14ac:dyDescent="0.35">
      <c r="A1965" s="5" t="s">
        <v>7843</v>
      </c>
      <c r="B1965" s="5" t="s">
        <v>6684</v>
      </c>
      <c r="C1965" s="6" t="s">
        <v>7844</v>
      </c>
      <c r="D1965" s="7">
        <v>136600</v>
      </c>
      <c r="E1965" s="5" t="s">
        <v>48</v>
      </c>
      <c r="F1965" s="5" t="s">
        <v>68</v>
      </c>
      <c r="G1965" s="8">
        <v>4</v>
      </c>
      <c r="H1965" s="8">
        <f>IF(F1965="Bullet",MIN(G1965,Assumptions!$B$6),"")</f>
        <v>2</v>
      </c>
      <c r="I1965" s="8"/>
      <c r="J1965" s="8" t="str">
        <f>IF(F1965="Monthly interest",MAX(0,Assumptions!$B$5-I1965),"")</f>
        <v/>
      </c>
      <c r="K1965" s="7">
        <f t="shared" si="90"/>
        <v>6832</v>
      </c>
      <c r="L1965" s="9">
        <v>46154</v>
      </c>
      <c r="M1965" s="5" t="s">
        <v>116</v>
      </c>
      <c r="N1965" s="5" t="s">
        <v>117</v>
      </c>
      <c r="O1965" s="5" t="s">
        <v>207</v>
      </c>
      <c r="P1965" s="5" t="s">
        <v>72</v>
      </c>
      <c r="Q1965" s="5" t="s">
        <v>73</v>
      </c>
      <c r="R1965" s="5" t="s">
        <v>74</v>
      </c>
      <c r="S1965" s="5" t="s">
        <v>85</v>
      </c>
      <c r="T1965" s="5" t="s">
        <v>57</v>
      </c>
      <c r="U1965" s="5" t="s">
        <v>58</v>
      </c>
      <c r="V1965" s="5" t="s">
        <v>133</v>
      </c>
      <c r="W1965" s="5" t="s">
        <v>134</v>
      </c>
      <c r="X1965" s="5" t="s">
        <v>2530</v>
      </c>
      <c r="Y1965" s="5" t="s">
        <v>7845</v>
      </c>
      <c r="Z1965" s="9">
        <v>46154</v>
      </c>
      <c r="AA1965" s="8">
        <v>3</v>
      </c>
      <c r="AB1965" s="9">
        <f t="shared" si="91"/>
        <v>46246</v>
      </c>
      <c r="AC1965" s="10">
        <v>15</v>
      </c>
      <c r="AD1965" s="7">
        <f t="shared" si="92"/>
        <v>1708</v>
      </c>
      <c r="AE1965" s="7">
        <f>IF(F1965="Bullet",H1965*AD1965,MIN(MAX(I1965,1),Assumptions!$B$6)*AD1965)</f>
        <v>3416</v>
      </c>
      <c r="AF1965" s="8">
        <f>IF(F1965="Bullet",MAX(0,Assumptions!$B$4-AB1965),MAX(0,Assumptions!$B$4-L1965))</f>
        <v>52</v>
      </c>
      <c r="AG1965" s="9"/>
      <c r="AH1965" s="8" t="str">
        <f>IF(AG1965="","",Assumptions!$B$4-AG1965)</f>
        <v/>
      </c>
      <c r="AI1965" s="5" t="s">
        <v>80</v>
      </c>
      <c r="AJ1965" s="8"/>
      <c r="AK1965" s="8">
        <v>1</v>
      </c>
      <c r="AL1965" s="8">
        <v>729</v>
      </c>
      <c r="AM1965" s="8">
        <v>1</v>
      </c>
      <c r="AN1965" s="5" t="s">
        <v>63</v>
      </c>
      <c r="AO1965" s="10">
        <v>69.599999999999994</v>
      </c>
      <c r="AP1965" s="8">
        <v>49</v>
      </c>
      <c r="AQ1965" s="9"/>
      <c r="AR1965" s="5"/>
      <c r="AS1965" s="5" t="s">
        <v>159</v>
      </c>
    </row>
    <row r="1966" spans="1:45" x14ac:dyDescent="0.35">
      <c r="A1966" s="5" t="s">
        <v>7846</v>
      </c>
      <c r="B1966" s="5" t="s">
        <v>7847</v>
      </c>
      <c r="C1966" s="6" t="s">
        <v>7848</v>
      </c>
      <c r="D1966" s="7">
        <v>155300</v>
      </c>
      <c r="E1966" s="5" t="s">
        <v>48</v>
      </c>
      <c r="F1966" s="5" t="s">
        <v>49</v>
      </c>
      <c r="G1966" s="8"/>
      <c r="H1966" s="8" t="str">
        <f>IF(F1966="Bullet",MIN(G1966,Assumptions!$B$6),"")</f>
        <v/>
      </c>
      <c r="I1966" s="8">
        <v>1</v>
      </c>
      <c r="J1966" s="8">
        <f>IF(F1966="Monthly interest",MAX(0,Assumptions!$B$5-I1966),"")</f>
        <v>2</v>
      </c>
      <c r="K1966" s="7">
        <f t="shared" si="90"/>
        <v>2588</v>
      </c>
      <c r="L1966" s="9">
        <v>46278</v>
      </c>
      <c r="M1966" s="5" t="s">
        <v>69</v>
      </c>
      <c r="N1966" s="5" t="s">
        <v>51</v>
      </c>
      <c r="O1966" s="5" t="s">
        <v>52</v>
      </c>
      <c r="P1966" s="5" t="s">
        <v>53</v>
      </c>
      <c r="Q1966" s="5" t="s">
        <v>54</v>
      </c>
      <c r="R1966" s="5" t="s">
        <v>55</v>
      </c>
      <c r="S1966" s="5" t="s">
        <v>85</v>
      </c>
      <c r="T1966" s="5" t="s">
        <v>57</v>
      </c>
      <c r="U1966" s="5" t="s">
        <v>58</v>
      </c>
      <c r="V1966" s="5" t="s">
        <v>96</v>
      </c>
      <c r="W1966" s="5" t="s">
        <v>97</v>
      </c>
      <c r="X1966" s="5" t="s">
        <v>2357</v>
      </c>
      <c r="Y1966" s="5" t="s">
        <v>7849</v>
      </c>
      <c r="Z1966" s="9">
        <v>46155</v>
      </c>
      <c r="AA1966" s="8">
        <v>12</v>
      </c>
      <c r="AB1966" s="9">
        <f t="shared" si="91"/>
        <v>46520</v>
      </c>
      <c r="AC1966" s="10">
        <v>20</v>
      </c>
      <c r="AD1966" s="7">
        <f t="shared" si="92"/>
        <v>2588</v>
      </c>
      <c r="AE1966" s="7">
        <f>IF(F1966="Bullet",H1966*AD1966,MIN(MAX(I1966,1),Assumptions!$B$6)*AD1966)</f>
        <v>2588</v>
      </c>
      <c r="AF1966" s="8">
        <f>IF(F1966="Bullet",MAX(0,Assumptions!$B$4-AB1966),MAX(0,Assumptions!$B$4-L1966))</f>
        <v>20</v>
      </c>
      <c r="AG1966" s="9">
        <v>46248</v>
      </c>
      <c r="AH1966" s="8">
        <f>IF(AG1966="","",Assumptions!$B$4-AG1966)</f>
        <v>50</v>
      </c>
      <c r="AI1966" s="5" t="s">
        <v>63</v>
      </c>
      <c r="AJ1966" s="8">
        <v>1</v>
      </c>
      <c r="AK1966" s="8">
        <v>0</v>
      </c>
      <c r="AL1966" s="8">
        <v>723</v>
      </c>
      <c r="AM1966" s="8">
        <v>1</v>
      </c>
      <c r="AN1966" s="5" t="s">
        <v>63</v>
      </c>
      <c r="AO1966" s="10">
        <v>87.8</v>
      </c>
      <c r="AP1966" s="8">
        <v>38</v>
      </c>
      <c r="AQ1966" s="9">
        <v>46296</v>
      </c>
      <c r="AR1966" s="5" t="s">
        <v>70</v>
      </c>
      <c r="AS1966" s="5" t="s">
        <v>91</v>
      </c>
    </row>
    <row r="1967" spans="1:45" x14ac:dyDescent="0.35">
      <c r="A1967" s="5" t="s">
        <v>7850</v>
      </c>
      <c r="B1967" s="5" t="s">
        <v>6440</v>
      </c>
      <c r="C1967" s="6" t="s">
        <v>7851</v>
      </c>
      <c r="D1967" s="7">
        <v>58200</v>
      </c>
      <c r="E1967" s="5" t="s">
        <v>48</v>
      </c>
      <c r="F1967" s="5" t="s">
        <v>49</v>
      </c>
      <c r="G1967" s="8"/>
      <c r="H1967" s="8" t="str">
        <f>IF(F1967="Bullet",MIN(G1967,Assumptions!$B$6),"")</f>
        <v/>
      </c>
      <c r="I1967" s="8">
        <v>1</v>
      </c>
      <c r="J1967" s="8">
        <f>IF(F1967="Monthly interest",MAX(0,Assumptions!$B$5-I1967),"")</f>
        <v>2</v>
      </c>
      <c r="K1967" s="7">
        <f t="shared" si="90"/>
        <v>728</v>
      </c>
      <c r="L1967" s="9">
        <v>46274</v>
      </c>
      <c r="M1967" s="5" t="s">
        <v>69</v>
      </c>
      <c r="N1967" s="5" t="s">
        <v>51</v>
      </c>
      <c r="O1967" s="5" t="s">
        <v>52</v>
      </c>
      <c r="P1967" s="5" t="s">
        <v>53</v>
      </c>
      <c r="Q1967" s="5" t="s">
        <v>54</v>
      </c>
      <c r="R1967" s="5" t="s">
        <v>55</v>
      </c>
      <c r="S1967" s="5" t="s">
        <v>253</v>
      </c>
      <c r="T1967" s="5" t="s">
        <v>57</v>
      </c>
      <c r="U1967" s="5" t="s">
        <v>86</v>
      </c>
      <c r="V1967" s="5" t="s">
        <v>133</v>
      </c>
      <c r="W1967" s="5" t="s">
        <v>317</v>
      </c>
      <c r="X1967" s="5" t="s">
        <v>729</v>
      </c>
      <c r="Y1967" s="5" t="s">
        <v>7852</v>
      </c>
      <c r="Z1967" s="9">
        <v>46031</v>
      </c>
      <c r="AA1967" s="8">
        <v>24</v>
      </c>
      <c r="AB1967" s="9">
        <f t="shared" si="91"/>
        <v>46761</v>
      </c>
      <c r="AC1967" s="10">
        <v>15</v>
      </c>
      <c r="AD1967" s="7">
        <f t="shared" si="92"/>
        <v>728</v>
      </c>
      <c r="AE1967" s="7">
        <f>IF(F1967="Bullet",H1967*AD1967,MIN(MAX(I1967,1),Assumptions!$B$6)*AD1967)</f>
        <v>728</v>
      </c>
      <c r="AF1967" s="8">
        <f>IF(F1967="Bullet",MAX(0,Assumptions!$B$4-AB1967),MAX(0,Assumptions!$B$4-L1967))</f>
        <v>24</v>
      </c>
      <c r="AG1967" s="9">
        <v>46246</v>
      </c>
      <c r="AH1967" s="8">
        <f>IF(AG1967="","",Assumptions!$B$4-AG1967)</f>
        <v>52</v>
      </c>
      <c r="AI1967" s="5" t="s">
        <v>63</v>
      </c>
      <c r="AJ1967" s="8">
        <v>2</v>
      </c>
      <c r="AK1967" s="8">
        <v>0</v>
      </c>
      <c r="AL1967" s="8" t="s">
        <v>80</v>
      </c>
      <c r="AM1967" s="8">
        <v>1</v>
      </c>
      <c r="AN1967" s="5" t="s">
        <v>63</v>
      </c>
      <c r="AO1967" s="10">
        <v>69.400000000000006</v>
      </c>
      <c r="AP1967" s="8">
        <v>32</v>
      </c>
      <c r="AQ1967" s="9">
        <v>46288</v>
      </c>
      <c r="AR1967" s="5" t="s">
        <v>53</v>
      </c>
      <c r="AS1967" s="5" t="s">
        <v>91</v>
      </c>
    </row>
    <row r="1968" spans="1:45" x14ac:dyDescent="0.35">
      <c r="A1968" s="5" t="s">
        <v>7853</v>
      </c>
      <c r="B1968" s="5" t="s">
        <v>7854</v>
      </c>
      <c r="C1968" s="6" t="s">
        <v>7855</v>
      </c>
      <c r="D1968" s="7">
        <v>92600</v>
      </c>
      <c r="E1968" s="5" t="s">
        <v>48</v>
      </c>
      <c r="F1968" s="5" t="s">
        <v>49</v>
      </c>
      <c r="G1968" s="8"/>
      <c r="H1968" s="8" t="str">
        <f>IF(F1968="Bullet",MIN(G1968,Assumptions!$B$6),"")</f>
        <v/>
      </c>
      <c r="I1968" s="8">
        <v>1</v>
      </c>
      <c r="J1968" s="8">
        <f>IF(F1968="Monthly interest",MAX(0,Assumptions!$B$5-I1968),"")</f>
        <v>2</v>
      </c>
      <c r="K1968" s="7">
        <f t="shared" si="90"/>
        <v>1852</v>
      </c>
      <c r="L1968" s="9">
        <v>46289</v>
      </c>
      <c r="M1968" s="5" t="s">
        <v>50</v>
      </c>
      <c r="N1968" s="5" t="s">
        <v>51</v>
      </c>
      <c r="O1968" s="5" t="s">
        <v>52</v>
      </c>
      <c r="P1968" s="5" t="s">
        <v>53</v>
      </c>
      <c r="Q1968" s="5" t="s">
        <v>54</v>
      </c>
      <c r="R1968" s="5" t="s">
        <v>55</v>
      </c>
      <c r="S1968" s="5" t="s">
        <v>85</v>
      </c>
      <c r="T1968" s="5" t="s">
        <v>57</v>
      </c>
      <c r="U1968" s="5" t="s">
        <v>58</v>
      </c>
      <c r="V1968" s="5" t="s">
        <v>87</v>
      </c>
      <c r="W1968" s="5" t="s">
        <v>361</v>
      </c>
      <c r="X1968" s="5" t="s">
        <v>4643</v>
      </c>
      <c r="Y1968" s="5" t="s">
        <v>7856</v>
      </c>
      <c r="Z1968" s="9">
        <v>46227</v>
      </c>
      <c r="AA1968" s="8">
        <v>12</v>
      </c>
      <c r="AB1968" s="9">
        <f t="shared" si="91"/>
        <v>46592</v>
      </c>
      <c r="AC1968" s="10">
        <v>24</v>
      </c>
      <c r="AD1968" s="7">
        <f t="shared" si="92"/>
        <v>1852</v>
      </c>
      <c r="AE1968" s="7">
        <f>IF(F1968="Bullet",H1968*AD1968,MIN(MAX(I1968,1),Assumptions!$B$6)*AD1968)</f>
        <v>1852</v>
      </c>
      <c r="AF1968" s="8">
        <f>IF(F1968="Bullet",MAX(0,Assumptions!$B$4-AB1968),MAX(0,Assumptions!$B$4-L1968))</f>
        <v>9</v>
      </c>
      <c r="AG1968" s="9">
        <v>46258</v>
      </c>
      <c r="AH1968" s="8">
        <f>IF(AG1968="","",Assumptions!$B$4-AG1968)</f>
        <v>40</v>
      </c>
      <c r="AI1968" s="5" t="s">
        <v>57</v>
      </c>
      <c r="AJ1968" s="8">
        <v>2</v>
      </c>
      <c r="AK1968" s="8">
        <v>1</v>
      </c>
      <c r="AL1968" s="8">
        <v>757</v>
      </c>
      <c r="AM1968" s="8">
        <v>0</v>
      </c>
      <c r="AN1968" s="5" t="s">
        <v>63</v>
      </c>
      <c r="AO1968" s="10">
        <v>69.900000000000006</v>
      </c>
      <c r="AP1968" s="8">
        <v>25</v>
      </c>
      <c r="AQ1968" s="9">
        <v>46284</v>
      </c>
      <c r="AR1968" s="5" t="s">
        <v>51</v>
      </c>
      <c r="AS1968" s="5" t="s">
        <v>64</v>
      </c>
    </row>
    <row r="1969" spans="1:45" x14ac:dyDescent="0.35">
      <c r="A1969" s="5" t="s">
        <v>7857</v>
      </c>
      <c r="B1969" s="5" t="s">
        <v>1535</v>
      </c>
      <c r="C1969" s="6" t="s">
        <v>7858</v>
      </c>
      <c r="D1969" s="7">
        <v>212700</v>
      </c>
      <c r="E1969" s="5" t="s">
        <v>48</v>
      </c>
      <c r="F1969" s="5" t="s">
        <v>68</v>
      </c>
      <c r="G1969" s="8">
        <v>3</v>
      </c>
      <c r="H1969" s="8">
        <f>IF(F1969="Bullet",MIN(G1969,Assumptions!$B$6),"")</f>
        <v>2</v>
      </c>
      <c r="I1969" s="8"/>
      <c r="J1969" s="8" t="str">
        <f>IF(F1969="Monthly interest",MAX(0,Assumptions!$B$5-I1969),"")</f>
        <v/>
      </c>
      <c r="K1969" s="7">
        <f t="shared" si="90"/>
        <v>6912</v>
      </c>
      <c r="L1969" s="9">
        <v>46184</v>
      </c>
      <c r="M1969" s="5" t="s">
        <v>69</v>
      </c>
      <c r="N1969" s="5" t="s">
        <v>70</v>
      </c>
      <c r="O1969" s="5" t="s">
        <v>71</v>
      </c>
      <c r="P1969" s="5" t="s">
        <v>72</v>
      </c>
      <c r="Q1969" s="5" t="s">
        <v>73</v>
      </c>
      <c r="R1969" s="5" t="s">
        <v>74</v>
      </c>
      <c r="S1969" s="5" t="s">
        <v>185</v>
      </c>
      <c r="T1969" s="5" t="s">
        <v>57</v>
      </c>
      <c r="U1969" s="5" t="s">
        <v>86</v>
      </c>
      <c r="V1969" s="5" t="s">
        <v>200</v>
      </c>
      <c r="W1969" s="5" t="s">
        <v>201</v>
      </c>
      <c r="X1969" s="5" t="s">
        <v>202</v>
      </c>
      <c r="Y1969" s="5" t="s">
        <v>7859</v>
      </c>
      <c r="Z1969" s="9">
        <v>46184</v>
      </c>
      <c r="AA1969" s="8">
        <v>6</v>
      </c>
      <c r="AB1969" s="9">
        <f t="shared" si="91"/>
        <v>46367</v>
      </c>
      <c r="AC1969" s="10">
        <v>13</v>
      </c>
      <c r="AD1969" s="7">
        <f t="shared" si="92"/>
        <v>2304</v>
      </c>
      <c r="AE1969" s="7">
        <f>IF(F1969="Bullet",H1969*AD1969,MIN(MAX(I1969,1),Assumptions!$B$6)*AD1969)</f>
        <v>4608</v>
      </c>
      <c r="AF1969" s="8">
        <f>IF(F1969="Bullet",MAX(0,Assumptions!$B$4-AB1969),MAX(0,Assumptions!$B$4-L1969))</f>
        <v>0</v>
      </c>
      <c r="AG1969" s="9"/>
      <c r="AH1969" s="8" t="str">
        <f>IF(AG1969="","",Assumptions!$B$4-AG1969)</f>
        <v/>
      </c>
      <c r="AI1969" s="5" t="s">
        <v>80</v>
      </c>
      <c r="AJ1969" s="8"/>
      <c r="AK1969" s="8">
        <v>2</v>
      </c>
      <c r="AL1969" s="8">
        <v>751</v>
      </c>
      <c r="AM1969" s="8">
        <v>1</v>
      </c>
      <c r="AN1969" s="5" t="s">
        <v>57</v>
      </c>
      <c r="AO1969" s="10">
        <v>71.400000000000006</v>
      </c>
      <c r="AP1969" s="8">
        <v>36</v>
      </c>
      <c r="AQ1969" s="9">
        <v>46278</v>
      </c>
      <c r="AR1969" s="5" t="s">
        <v>70</v>
      </c>
      <c r="AS1969" s="5" t="s">
        <v>81</v>
      </c>
    </row>
    <row r="1970" spans="1:45" x14ac:dyDescent="0.35">
      <c r="A1970" s="5" t="s">
        <v>7860</v>
      </c>
      <c r="B1970" s="5" t="s">
        <v>6021</v>
      </c>
      <c r="C1970" s="6" t="s">
        <v>7861</v>
      </c>
      <c r="D1970" s="7">
        <v>208300</v>
      </c>
      <c r="E1970" s="5" t="s">
        <v>48</v>
      </c>
      <c r="F1970" s="5" t="s">
        <v>68</v>
      </c>
      <c r="G1970" s="8">
        <v>4</v>
      </c>
      <c r="H1970" s="8">
        <f>IF(F1970="Bullet",MIN(G1970,Assumptions!$B$6),"")</f>
        <v>2</v>
      </c>
      <c r="I1970" s="8"/>
      <c r="J1970" s="8" t="str">
        <f>IF(F1970="Monthly interest",MAX(0,Assumptions!$B$5-I1970),"")</f>
        <v/>
      </c>
      <c r="K1970" s="7">
        <f t="shared" si="90"/>
        <v>10416</v>
      </c>
      <c r="L1970" s="9">
        <v>46161</v>
      </c>
      <c r="M1970" s="5" t="s">
        <v>69</v>
      </c>
      <c r="N1970" s="5" t="s">
        <v>70</v>
      </c>
      <c r="O1970" s="5" t="s">
        <v>71</v>
      </c>
      <c r="P1970" s="5" t="s">
        <v>72</v>
      </c>
      <c r="Q1970" s="5" t="s">
        <v>73</v>
      </c>
      <c r="R1970" s="5" t="s">
        <v>74</v>
      </c>
      <c r="S1970" s="5" t="s">
        <v>75</v>
      </c>
      <c r="T1970" s="5" t="s">
        <v>57</v>
      </c>
      <c r="U1970" s="5" t="s">
        <v>104</v>
      </c>
      <c r="V1970" s="5" t="s">
        <v>76</v>
      </c>
      <c r="W1970" s="5" t="s">
        <v>146</v>
      </c>
      <c r="X1970" s="5" t="s">
        <v>1809</v>
      </c>
      <c r="Y1970" s="5" t="s">
        <v>7862</v>
      </c>
      <c r="Z1970" s="9">
        <v>46161</v>
      </c>
      <c r="AA1970" s="8">
        <v>12</v>
      </c>
      <c r="AB1970" s="9">
        <f t="shared" si="91"/>
        <v>46526</v>
      </c>
      <c r="AC1970" s="10">
        <v>15</v>
      </c>
      <c r="AD1970" s="7">
        <f t="shared" si="92"/>
        <v>2604</v>
      </c>
      <c r="AE1970" s="7">
        <f>IF(F1970="Bullet",H1970*AD1970,MIN(MAX(I1970,1),Assumptions!$B$6)*AD1970)</f>
        <v>5208</v>
      </c>
      <c r="AF1970" s="8">
        <f>IF(F1970="Bullet",MAX(0,Assumptions!$B$4-AB1970),MAX(0,Assumptions!$B$4-L1970))</f>
        <v>0</v>
      </c>
      <c r="AG1970" s="9"/>
      <c r="AH1970" s="8" t="str">
        <f>IF(AG1970="","",Assumptions!$B$4-AG1970)</f>
        <v/>
      </c>
      <c r="AI1970" s="5" t="s">
        <v>80</v>
      </c>
      <c r="AJ1970" s="8"/>
      <c r="AK1970" s="8">
        <v>0</v>
      </c>
      <c r="AL1970" s="8">
        <v>667</v>
      </c>
      <c r="AM1970" s="8">
        <v>1</v>
      </c>
      <c r="AN1970" s="5" t="s">
        <v>63</v>
      </c>
      <c r="AO1970" s="10">
        <v>81.900000000000006</v>
      </c>
      <c r="AP1970" s="8">
        <v>41</v>
      </c>
      <c r="AQ1970" s="9">
        <v>46274</v>
      </c>
      <c r="AR1970" s="5" t="s">
        <v>70</v>
      </c>
      <c r="AS1970" s="5" t="s">
        <v>81</v>
      </c>
    </row>
    <row r="1971" spans="1:45" x14ac:dyDescent="0.35">
      <c r="A1971" s="5" t="s">
        <v>7863</v>
      </c>
      <c r="B1971" s="5" t="s">
        <v>7864</v>
      </c>
      <c r="C1971" s="6" t="s">
        <v>7865</v>
      </c>
      <c r="D1971" s="7">
        <v>43700</v>
      </c>
      <c r="E1971" s="5" t="s">
        <v>48</v>
      </c>
      <c r="F1971" s="5" t="s">
        <v>49</v>
      </c>
      <c r="G1971" s="8"/>
      <c r="H1971" s="8" t="str">
        <f>IF(F1971="Bullet",MIN(G1971,Assumptions!$B$6),"")</f>
        <v/>
      </c>
      <c r="I1971" s="8">
        <v>2</v>
      </c>
      <c r="J1971" s="8">
        <f>IF(F1971="Monthly interest",MAX(0,Assumptions!$B$5-I1971),"")</f>
        <v>1</v>
      </c>
      <c r="K1971" s="7">
        <f t="shared" si="90"/>
        <v>1456</v>
      </c>
      <c r="L1971" s="9">
        <v>46267</v>
      </c>
      <c r="M1971" s="5" t="s">
        <v>69</v>
      </c>
      <c r="N1971" s="5" t="s">
        <v>53</v>
      </c>
      <c r="O1971" s="5" t="s">
        <v>152</v>
      </c>
      <c r="P1971" s="5" t="s">
        <v>153</v>
      </c>
      <c r="Q1971" s="5" t="s">
        <v>154</v>
      </c>
      <c r="R1971" s="5" t="s">
        <v>155</v>
      </c>
      <c r="S1971" s="5" t="s">
        <v>214</v>
      </c>
      <c r="T1971" s="5" t="s">
        <v>57</v>
      </c>
      <c r="U1971" s="5" t="s">
        <v>86</v>
      </c>
      <c r="V1971" s="5" t="s">
        <v>215</v>
      </c>
      <c r="W1971" s="5" t="s">
        <v>284</v>
      </c>
      <c r="X1971" s="5" t="s">
        <v>2335</v>
      </c>
      <c r="Y1971" s="5" t="s">
        <v>7866</v>
      </c>
      <c r="Z1971" s="9">
        <v>46055</v>
      </c>
      <c r="AA1971" s="8">
        <v>24</v>
      </c>
      <c r="AB1971" s="9">
        <f t="shared" si="91"/>
        <v>46785</v>
      </c>
      <c r="AC1971" s="10">
        <v>20</v>
      </c>
      <c r="AD1971" s="7">
        <f t="shared" si="92"/>
        <v>728</v>
      </c>
      <c r="AE1971" s="7">
        <f>IF(F1971="Bullet",H1971*AD1971,MIN(MAX(I1971,1),Assumptions!$B$6)*AD1971)</f>
        <v>1456</v>
      </c>
      <c r="AF1971" s="8">
        <f>IF(F1971="Bullet",MAX(0,Assumptions!$B$4-AB1971),MAX(0,Assumptions!$B$4-L1971))</f>
        <v>31</v>
      </c>
      <c r="AG1971" s="9">
        <v>46241</v>
      </c>
      <c r="AH1971" s="8">
        <f>IF(AG1971="","",Assumptions!$B$4-AG1971)</f>
        <v>57</v>
      </c>
      <c r="AI1971" s="5" t="s">
        <v>63</v>
      </c>
      <c r="AJ1971" s="8">
        <v>2</v>
      </c>
      <c r="AK1971" s="8">
        <v>1</v>
      </c>
      <c r="AL1971" s="8">
        <v>763</v>
      </c>
      <c r="AM1971" s="8">
        <v>0</v>
      </c>
      <c r="AN1971" s="5" t="s">
        <v>63</v>
      </c>
      <c r="AO1971" s="10">
        <v>63.5</v>
      </c>
      <c r="AP1971" s="8">
        <v>40</v>
      </c>
      <c r="AQ1971" s="9">
        <v>46279</v>
      </c>
      <c r="AR1971" s="5" t="s">
        <v>70</v>
      </c>
      <c r="AS1971" s="5" t="s">
        <v>64</v>
      </c>
    </row>
    <row r="1972" spans="1:45" x14ac:dyDescent="0.35">
      <c r="A1972" s="5" t="s">
        <v>7867</v>
      </c>
      <c r="B1972" s="5" t="s">
        <v>7868</v>
      </c>
      <c r="C1972" s="6" t="s">
        <v>7869</v>
      </c>
      <c r="D1972" s="7">
        <v>73100</v>
      </c>
      <c r="E1972" s="5" t="s">
        <v>48</v>
      </c>
      <c r="F1972" s="5" t="s">
        <v>68</v>
      </c>
      <c r="G1972" s="8">
        <v>2</v>
      </c>
      <c r="H1972" s="8">
        <f>IF(F1972="Bullet",MIN(G1972,Assumptions!$B$6),"")</f>
        <v>2</v>
      </c>
      <c r="I1972" s="8"/>
      <c r="J1972" s="8" t="str">
        <f>IF(F1972="Monthly interest",MAX(0,Assumptions!$B$5-I1972),"")</f>
        <v/>
      </c>
      <c r="K1972" s="7">
        <f t="shared" si="90"/>
        <v>1828</v>
      </c>
      <c r="L1972" s="9">
        <v>46229</v>
      </c>
      <c r="M1972" s="5" t="s">
        <v>50</v>
      </c>
      <c r="N1972" s="5" t="s">
        <v>51</v>
      </c>
      <c r="O1972" s="5" t="s">
        <v>71</v>
      </c>
      <c r="P1972" s="5" t="s">
        <v>53</v>
      </c>
      <c r="Q1972" s="5" t="s">
        <v>73</v>
      </c>
      <c r="R1972" s="5" t="s">
        <v>74</v>
      </c>
      <c r="S1972" s="5" t="s">
        <v>214</v>
      </c>
      <c r="T1972" s="5" t="s">
        <v>57</v>
      </c>
      <c r="U1972" s="5" t="s">
        <v>104</v>
      </c>
      <c r="V1972" s="5" t="s">
        <v>215</v>
      </c>
      <c r="W1972" s="5" t="s">
        <v>278</v>
      </c>
      <c r="X1972" s="5" t="s">
        <v>279</v>
      </c>
      <c r="Y1972" s="5" t="s">
        <v>7870</v>
      </c>
      <c r="Z1972" s="9">
        <v>46229</v>
      </c>
      <c r="AA1972" s="8">
        <v>6</v>
      </c>
      <c r="AB1972" s="9">
        <f t="shared" si="91"/>
        <v>46413</v>
      </c>
      <c r="AC1972" s="10">
        <v>15</v>
      </c>
      <c r="AD1972" s="7">
        <f t="shared" si="92"/>
        <v>914</v>
      </c>
      <c r="AE1972" s="7">
        <f>IF(F1972="Bullet",H1972*AD1972,MIN(MAX(I1972,1),Assumptions!$B$6)*AD1972)</f>
        <v>1828</v>
      </c>
      <c r="AF1972" s="8">
        <f>IF(F1972="Bullet",MAX(0,Assumptions!$B$4-AB1972),MAX(0,Assumptions!$B$4-L1972))</f>
        <v>0</v>
      </c>
      <c r="AG1972" s="9"/>
      <c r="AH1972" s="8" t="str">
        <f>IF(AG1972="","",Assumptions!$B$4-AG1972)</f>
        <v/>
      </c>
      <c r="AI1972" s="5" t="s">
        <v>80</v>
      </c>
      <c r="AJ1972" s="8"/>
      <c r="AK1972" s="8">
        <v>0</v>
      </c>
      <c r="AL1972" s="8">
        <v>628</v>
      </c>
      <c r="AM1972" s="8">
        <v>4</v>
      </c>
      <c r="AN1972" s="5" t="s">
        <v>63</v>
      </c>
      <c r="AO1972" s="10">
        <v>72.7</v>
      </c>
      <c r="AP1972" s="8">
        <v>29</v>
      </c>
      <c r="AQ1972" s="9">
        <v>46285</v>
      </c>
      <c r="AR1972" s="5" t="s">
        <v>70</v>
      </c>
      <c r="AS1972" s="5" t="s">
        <v>81</v>
      </c>
    </row>
    <row r="1973" spans="1:45" x14ac:dyDescent="0.35">
      <c r="A1973" s="5" t="s">
        <v>7871</v>
      </c>
      <c r="B1973" s="5" t="s">
        <v>678</v>
      </c>
      <c r="C1973" s="6" t="s">
        <v>7872</v>
      </c>
      <c r="D1973" s="7">
        <v>176200</v>
      </c>
      <c r="E1973" s="5" t="s">
        <v>48</v>
      </c>
      <c r="F1973" s="5" t="s">
        <v>49</v>
      </c>
      <c r="G1973" s="8"/>
      <c r="H1973" s="8" t="str">
        <f>IF(F1973="Bullet",MIN(G1973,Assumptions!$B$6),"")</f>
        <v/>
      </c>
      <c r="I1973" s="8">
        <v>2</v>
      </c>
      <c r="J1973" s="8">
        <f>IF(F1973="Monthly interest",MAX(0,Assumptions!$B$5-I1973),"")</f>
        <v>1</v>
      </c>
      <c r="K1973" s="7">
        <f t="shared" si="90"/>
        <v>4406</v>
      </c>
      <c r="L1973" s="9">
        <v>46238</v>
      </c>
      <c r="M1973" s="5" t="s">
        <v>116</v>
      </c>
      <c r="N1973" s="5" t="s">
        <v>117</v>
      </c>
      <c r="O1973" s="5" t="s">
        <v>118</v>
      </c>
      <c r="P1973" s="5" t="s">
        <v>72</v>
      </c>
      <c r="Q1973" s="5" t="s">
        <v>119</v>
      </c>
      <c r="R1973" s="5" t="s">
        <v>120</v>
      </c>
      <c r="S1973" s="5" t="s">
        <v>185</v>
      </c>
      <c r="T1973" s="5" t="s">
        <v>57</v>
      </c>
      <c r="U1973" s="5" t="s">
        <v>58</v>
      </c>
      <c r="V1973" s="5" t="s">
        <v>186</v>
      </c>
      <c r="W1973" s="5" t="s">
        <v>329</v>
      </c>
      <c r="X1973" s="5" t="s">
        <v>2466</v>
      </c>
      <c r="Y1973" s="5" t="s">
        <v>7873</v>
      </c>
      <c r="Z1973" s="9">
        <v>46146</v>
      </c>
      <c r="AA1973" s="8">
        <v>12</v>
      </c>
      <c r="AB1973" s="9">
        <f t="shared" si="91"/>
        <v>46511</v>
      </c>
      <c r="AC1973" s="10">
        <v>15</v>
      </c>
      <c r="AD1973" s="7">
        <f t="shared" si="92"/>
        <v>2203</v>
      </c>
      <c r="AE1973" s="7">
        <f>IF(F1973="Bullet",H1973*AD1973,MIN(MAX(I1973,1),Assumptions!$B$6)*AD1973)</f>
        <v>4406</v>
      </c>
      <c r="AF1973" s="8">
        <f>IF(F1973="Bullet",MAX(0,Assumptions!$B$4-AB1973),MAX(0,Assumptions!$B$4-L1973))</f>
        <v>60</v>
      </c>
      <c r="AG1973" s="9">
        <v>46212</v>
      </c>
      <c r="AH1973" s="8">
        <f>IF(AG1973="","",Assumptions!$B$4-AG1973)</f>
        <v>86</v>
      </c>
      <c r="AI1973" s="5" t="s">
        <v>57</v>
      </c>
      <c r="AJ1973" s="8">
        <v>3</v>
      </c>
      <c r="AK1973" s="8">
        <v>2</v>
      </c>
      <c r="AL1973" s="8">
        <v>718</v>
      </c>
      <c r="AM1973" s="8">
        <v>0</v>
      </c>
      <c r="AN1973" s="5" t="s">
        <v>63</v>
      </c>
      <c r="AO1973" s="10">
        <v>73.599999999999994</v>
      </c>
      <c r="AP1973" s="8">
        <v>50</v>
      </c>
      <c r="AQ1973" s="9">
        <v>46279</v>
      </c>
      <c r="AR1973" s="5" t="s">
        <v>51</v>
      </c>
      <c r="AS1973" s="5" t="s">
        <v>64</v>
      </c>
    </row>
    <row r="1974" spans="1:45" x14ac:dyDescent="0.35">
      <c r="A1974" s="5" t="s">
        <v>7874</v>
      </c>
      <c r="B1974" s="5" t="s">
        <v>4068</v>
      </c>
      <c r="C1974" s="6" t="s">
        <v>7875</v>
      </c>
      <c r="D1974" s="7">
        <v>278700</v>
      </c>
      <c r="E1974" s="5" t="s">
        <v>48</v>
      </c>
      <c r="F1974" s="5" t="s">
        <v>68</v>
      </c>
      <c r="G1974" s="8">
        <v>3</v>
      </c>
      <c r="H1974" s="8">
        <f>IF(F1974="Bullet",MIN(G1974,Assumptions!$B$6),"")</f>
        <v>2</v>
      </c>
      <c r="I1974" s="8"/>
      <c r="J1974" s="8" t="str">
        <f>IF(F1974="Monthly interest",MAX(0,Assumptions!$B$5-I1974),"")</f>
        <v/>
      </c>
      <c r="K1974" s="7">
        <f t="shared" si="90"/>
        <v>11148</v>
      </c>
      <c r="L1974" s="9">
        <v>46195</v>
      </c>
      <c r="M1974" s="5" t="s">
        <v>69</v>
      </c>
      <c r="N1974" s="5" t="s">
        <v>70</v>
      </c>
      <c r="O1974" s="5" t="s">
        <v>71</v>
      </c>
      <c r="P1974" s="5" t="s">
        <v>72</v>
      </c>
      <c r="Q1974" s="5" t="s">
        <v>73</v>
      </c>
      <c r="R1974" s="5" t="s">
        <v>74</v>
      </c>
      <c r="S1974" s="5" t="s">
        <v>185</v>
      </c>
      <c r="T1974" s="5" t="s">
        <v>57</v>
      </c>
      <c r="U1974" s="5" t="s">
        <v>104</v>
      </c>
      <c r="V1974" s="5" t="s">
        <v>186</v>
      </c>
      <c r="W1974" s="5" t="s">
        <v>694</v>
      </c>
      <c r="X1974" s="5" t="s">
        <v>1342</v>
      </c>
      <c r="Y1974" s="5" t="s">
        <v>7876</v>
      </c>
      <c r="Z1974" s="9">
        <v>46195</v>
      </c>
      <c r="AA1974" s="8">
        <v>3</v>
      </c>
      <c r="AB1974" s="9">
        <f t="shared" si="91"/>
        <v>46287</v>
      </c>
      <c r="AC1974" s="10">
        <v>16</v>
      </c>
      <c r="AD1974" s="7">
        <f t="shared" si="92"/>
        <v>3716</v>
      </c>
      <c r="AE1974" s="7">
        <f>IF(F1974="Bullet",H1974*AD1974,MIN(MAX(I1974,1),Assumptions!$B$6)*AD1974)</f>
        <v>7432</v>
      </c>
      <c r="AF1974" s="8">
        <f>IF(F1974="Bullet",MAX(0,Assumptions!$B$4-AB1974),MAX(0,Assumptions!$B$4-L1974))</f>
        <v>11</v>
      </c>
      <c r="AG1974" s="9"/>
      <c r="AH1974" s="8" t="str">
        <f>IF(AG1974="","",Assumptions!$B$4-AG1974)</f>
        <v/>
      </c>
      <c r="AI1974" s="5" t="s">
        <v>80</v>
      </c>
      <c r="AJ1974" s="8"/>
      <c r="AK1974" s="8">
        <v>1</v>
      </c>
      <c r="AL1974" s="8">
        <v>659</v>
      </c>
      <c r="AM1974" s="8">
        <v>0</v>
      </c>
      <c r="AN1974" s="5" t="s">
        <v>63</v>
      </c>
      <c r="AO1974" s="10">
        <v>58.5</v>
      </c>
      <c r="AP1974" s="8">
        <v>43</v>
      </c>
      <c r="AQ1974" s="9">
        <v>46289</v>
      </c>
      <c r="AR1974" s="5" t="s">
        <v>70</v>
      </c>
      <c r="AS1974" s="5" t="s">
        <v>190</v>
      </c>
    </row>
    <row r="1975" spans="1:45" x14ac:dyDescent="0.35">
      <c r="A1975" s="5" t="s">
        <v>7877</v>
      </c>
      <c r="B1975" s="5" t="s">
        <v>7878</v>
      </c>
      <c r="C1975" s="6" t="s">
        <v>7879</v>
      </c>
      <c r="D1975" s="7">
        <v>433700</v>
      </c>
      <c r="E1975" s="5" t="s">
        <v>48</v>
      </c>
      <c r="F1975" s="5" t="s">
        <v>68</v>
      </c>
      <c r="G1975" s="8">
        <v>3</v>
      </c>
      <c r="H1975" s="8">
        <f>IF(F1975="Bullet",MIN(G1975,Assumptions!$B$6),"")</f>
        <v>2</v>
      </c>
      <c r="I1975" s="8"/>
      <c r="J1975" s="8" t="str">
        <f>IF(F1975="Monthly interest",MAX(0,Assumptions!$B$5-I1975),"")</f>
        <v/>
      </c>
      <c r="K1975" s="7">
        <f t="shared" si="90"/>
        <v>15180</v>
      </c>
      <c r="L1975" s="9">
        <v>46191</v>
      </c>
      <c r="M1975" s="5" t="s">
        <v>50</v>
      </c>
      <c r="N1975" s="5" t="s">
        <v>70</v>
      </c>
      <c r="O1975" s="5" t="s">
        <v>531</v>
      </c>
      <c r="P1975" s="5" t="s">
        <v>72</v>
      </c>
      <c r="Q1975" s="5" t="s">
        <v>73</v>
      </c>
      <c r="R1975" s="5" t="s">
        <v>74</v>
      </c>
      <c r="S1975" s="5" t="s">
        <v>75</v>
      </c>
      <c r="T1975" s="5" t="s">
        <v>57</v>
      </c>
      <c r="U1975" s="5" t="s">
        <v>58</v>
      </c>
      <c r="V1975" s="5" t="s">
        <v>76</v>
      </c>
      <c r="W1975" s="5" t="s">
        <v>306</v>
      </c>
      <c r="X1975" s="5" t="s">
        <v>3977</v>
      </c>
      <c r="Y1975" s="5" t="s">
        <v>7880</v>
      </c>
      <c r="Z1975" s="9">
        <v>46191</v>
      </c>
      <c r="AA1975" s="8">
        <v>12</v>
      </c>
      <c r="AB1975" s="9">
        <f t="shared" si="91"/>
        <v>46556</v>
      </c>
      <c r="AC1975" s="10">
        <v>14</v>
      </c>
      <c r="AD1975" s="7">
        <f t="shared" si="92"/>
        <v>5060</v>
      </c>
      <c r="AE1975" s="7">
        <f>IF(F1975="Bullet",H1975*AD1975,MIN(MAX(I1975,1),Assumptions!$B$6)*AD1975)</f>
        <v>10120</v>
      </c>
      <c r="AF1975" s="8">
        <f>IF(F1975="Bullet",MAX(0,Assumptions!$B$4-AB1975),MAX(0,Assumptions!$B$4-L1975))</f>
        <v>0</v>
      </c>
      <c r="AG1975" s="9"/>
      <c r="AH1975" s="8" t="str">
        <f>IF(AG1975="","",Assumptions!$B$4-AG1975)</f>
        <v/>
      </c>
      <c r="AI1975" s="5" t="s">
        <v>80</v>
      </c>
      <c r="AJ1975" s="8"/>
      <c r="AK1975" s="8">
        <v>0</v>
      </c>
      <c r="AL1975" s="8" t="s">
        <v>80</v>
      </c>
      <c r="AM1975" s="8">
        <v>1</v>
      </c>
      <c r="AN1975" s="5" t="s">
        <v>63</v>
      </c>
      <c r="AO1975" s="10">
        <v>76.8</v>
      </c>
      <c r="AP1975" s="8">
        <v>27</v>
      </c>
      <c r="AQ1975" s="9">
        <v>46285</v>
      </c>
      <c r="AR1975" s="5" t="s">
        <v>53</v>
      </c>
      <c r="AS1975" s="5" t="s">
        <v>81</v>
      </c>
    </row>
    <row r="1976" spans="1:45" x14ac:dyDescent="0.35">
      <c r="A1976" s="5" t="s">
        <v>7881</v>
      </c>
      <c r="B1976" s="5" t="s">
        <v>5653</v>
      </c>
      <c r="C1976" s="6" t="s">
        <v>7882</v>
      </c>
      <c r="D1976" s="7">
        <v>213700</v>
      </c>
      <c r="E1976" s="5" t="s">
        <v>48</v>
      </c>
      <c r="F1976" s="5" t="s">
        <v>68</v>
      </c>
      <c r="G1976" s="8">
        <v>4</v>
      </c>
      <c r="H1976" s="8">
        <f>IF(F1976="Bullet",MIN(G1976,Assumptions!$B$6),"")</f>
        <v>2</v>
      </c>
      <c r="I1976" s="8"/>
      <c r="J1976" s="8" t="str">
        <f>IF(F1976="Monthly interest",MAX(0,Assumptions!$B$5-I1976),"")</f>
        <v/>
      </c>
      <c r="K1976" s="7">
        <f t="shared" si="90"/>
        <v>9260</v>
      </c>
      <c r="L1976" s="9">
        <v>46156</v>
      </c>
      <c r="M1976" s="5" t="s">
        <v>116</v>
      </c>
      <c r="N1976" s="5" t="s">
        <v>117</v>
      </c>
      <c r="O1976" s="5" t="s">
        <v>207</v>
      </c>
      <c r="P1976" s="5" t="s">
        <v>72</v>
      </c>
      <c r="Q1976" s="5" t="s">
        <v>73</v>
      </c>
      <c r="R1976" s="5" t="s">
        <v>74</v>
      </c>
      <c r="S1976" s="5" t="s">
        <v>253</v>
      </c>
      <c r="T1976" s="5" t="s">
        <v>57</v>
      </c>
      <c r="U1976" s="5" t="s">
        <v>104</v>
      </c>
      <c r="V1976" s="5" t="s">
        <v>76</v>
      </c>
      <c r="W1976" s="5" t="s">
        <v>140</v>
      </c>
      <c r="X1976" s="5" t="s">
        <v>237</v>
      </c>
      <c r="Y1976" s="5" t="s">
        <v>7883</v>
      </c>
      <c r="Z1976" s="9">
        <v>46156</v>
      </c>
      <c r="AA1976" s="8">
        <v>3</v>
      </c>
      <c r="AB1976" s="9">
        <f t="shared" si="91"/>
        <v>46248</v>
      </c>
      <c r="AC1976" s="10">
        <v>13</v>
      </c>
      <c r="AD1976" s="7">
        <f t="shared" si="92"/>
        <v>2315</v>
      </c>
      <c r="AE1976" s="7">
        <f>IF(F1976="Bullet",H1976*AD1976,MIN(MAX(I1976,1),Assumptions!$B$6)*AD1976)</f>
        <v>4630</v>
      </c>
      <c r="AF1976" s="8">
        <f>IF(F1976="Bullet",MAX(0,Assumptions!$B$4-AB1976),MAX(0,Assumptions!$B$4-L1976))</f>
        <v>50</v>
      </c>
      <c r="AG1976" s="9"/>
      <c r="AH1976" s="8" t="str">
        <f>IF(AG1976="","",Assumptions!$B$4-AG1976)</f>
        <v/>
      </c>
      <c r="AI1976" s="5" t="s">
        <v>80</v>
      </c>
      <c r="AJ1976" s="8"/>
      <c r="AK1976" s="8">
        <v>4</v>
      </c>
      <c r="AL1976" s="8">
        <v>745</v>
      </c>
      <c r="AM1976" s="8">
        <v>0</v>
      </c>
      <c r="AN1976" s="5" t="s">
        <v>63</v>
      </c>
      <c r="AO1976" s="10">
        <v>61.1</v>
      </c>
      <c r="AP1976" s="8">
        <v>48</v>
      </c>
      <c r="AQ1976" s="9">
        <v>46285</v>
      </c>
      <c r="AR1976" s="5" t="s">
        <v>51</v>
      </c>
      <c r="AS1976" s="5" t="s">
        <v>181</v>
      </c>
    </row>
    <row r="1977" spans="1:45" x14ac:dyDescent="0.35">
      <c r="A1977" s="5" t="s">
        <v>7884</v>
      </c>
      <c r="B1977" s="5" t="s">
        <v>7569</v>
      </c>
      <c r="C1977" s="6" t="s">
        <v>7885</v>
      </c>
      <c r="D1977" s="7">
        <v>94900</v>
      </c>
      <c r="E1977" s="5" t="s">
        <v>48</v>
      </c>
      <c r="F1977" s="5" t="s">
        <v>68</v>
      </c>
      <c r="G1977" s="8">
        <v>3</v>
      </c>
      <c r="H1977" s="8">
        <f>IF(F1977="Bullet",MIN(G1977,Assumptions!$B$6),"")</f>
        <v>2</v>
      </c>
      <c r="I1977" s="8"/>
      <c r="J1977" s="8" t="str">
        <f>IF(F1977="Monthly interest",MAX(0,Assumptions!$B$5-I1977),"")</f>
        <v/>
      </c>
      <c r="K1977" s="7">
        <f t="shared" si="90"/>
        <v>2847</v>
      </c>
      <c r="L1977" s="9">
        <v>46205</v>
      </c>
      <c r="M1977" s="5" t="s">
        <v>69</v>
      </c>
      <c r="N1977" s="5" t="s">
        <v>53</v>
      </c>
      <c r="O1977" s="5" t="s">
        <v>71</v>
      </c>
      <c r="P1977" s="5" t="s">
        <v>70</v>
      </c>
      <c r="Q1977" s="5" t="s">
        <v>73</v>
      </c>
      <c r="R1977" s="5" t="s">
        <v>74</v>
      </c>
      <c r="S1977" s="5" t="s">
        <v>75</v>
      </c>
      <c r="T1977" s="5" t="s">
        <v>63</v>
      </c>
      <c r="U1977" s="5" t="s">
        <v>58</v>
      </c>
      <c r="V1977" s="5" t="s">
        <v>76</v>
      </c>
      <c r="W1977" s="5" t="s">
        <v>382</v>
      </c>
      <c r="X1977" s="5" t="s">
        <v>2276</v>
      </c>
      <c r="Y1977" s="5" t="s">
        <v>7886</v>
      </c>
      <c r="Z1977" s="9">
        <v>46205</v>
      </c>
      <c r="AA1977" s="8">
        <v>3</v>
      </c>
      <c r="AB1977" s="9">
        <f t="shared" si="91"/>
        <v>46297</v>
      </c>
      <c r="AC1977" s="10">
        <v>12</v>
      </c>
      <c r="AD1977" s="7">
        <f t="shared" si="92"/>
        <v>949</v>
      </c>
      <c r="AE1977" s="7">
        <f>IF(F1977="Bullet",H1977*AD1977,MIN(MAX(I1977,1),Assumptions!$B$6)*AD1977)</f>
        <v>1898</v>
      </c>
      <c r="AF1977" s="8">
        <f>IF(F1977="Bullet",MAX(0,Assumptions!$B$4-AB1977),MAX(0,Assumptions!$B$4-L1977))</f>
        <v>1</v>
      </c>
      <c r="AG1977" s="9"/>
      <c r="AH1977" s="8" t="str">
        <f>IF(AG1977="","",Assumptions!$B$4-AG1977)</f>
        <v/>
      </c>
      <c r="AI1977" s="5" t="s">
        <v>80</v>
      </c>
      <c r="AJ1977" s="8"/>
      <c r="AK1977" s="8">
        <v>1</v>
      </c>
      <c r="AL1977" s="8">
        <v>737</v>
      </c>
      <c r="AM1977" s="8">
        <v>4</v>
      </c>
      <c r="AN1977" s="5" t="s">
        <v>63</v>
      </c>
      <c r="AO1977" s="10">
        <v>63.7</v>
      </c>
      <c r="AP1977" s="8">
        <v>37</v>
      </c>
      <c r="AQ1977" s="9">
        <v>46275</v>
      </c>
      <c r="AR1977" s="5" t="s">
        <v>51</v>
      </c>
      <c r="AS1977" s="5" t="s">
        <v>190</v>
      </c>
    </row>
    <row r="1978" spans="1:45" x14ac:dyDescent="0.35">
      <c r="A1978" s="5" t="s">
        <v>7887</v>
      </c>
      <c r="B1978" s="5" t="s">
        <v>7888</v>
      </c>
      <c r="C1978" s="6" t="s">
        <v>7889</v>
      </c>
      <c r="D1978" s="7">
        <v>248400</v>
      </c>
      <c r="E1978" s="5" t="s">
        <v>48</v>
      </c>
      <c r="F1978" s="5" t="s">
        <v>49</v>
      </c>
      <c r="G1978" s="8"/>
      <c r="H1978" s="8" t="str">
        <f>IF(F1978="Bullet",MIN(G1978,Assumptions!$B$6),"")</f>
        <v/>
      </c>
      <c r="I1978" s="8">
        <v>2</v>
      </c>
      <c r="J1978" s="8">
        <f>IF(F1978="Monthly interest",MAX(0,Assumptions!$B$5-I1978),"")</f>
        <v>1</v>
      </c>
      <c r="K1978" s="7">
        <f t="shared" si="90"/>
        <v>7452</v>
      </c>
      <c r="L1978" s="9">
        <v>46244</v>
      </c>
      <c r="M1978" s="5" t="s">
        <v>116</v>
      </c>
      <c r="N1978" s="5" t="s">
        <v>117</v>
      </c>
      <c r="O1978" s="5" t="s">
        <v>118</v>
      </c>
      <c r="P1978" s="5" t="s">
        <v>72</v>
      </c>
      <c r="Q1978" s="5" t="s">
        <v>119</v>
      </c>
      <c r="R1978" s="5" t="s">
        <v>120</v>
      </c>
      <c r="S1978" s="5" t="s">
        <v>253</v>
      </c>
      <c r="T1978" s="5" t="s">
        <v>57</v>
      </c>
      <c r="U1978" s="5" t="s">
        <v>86</v>
      </c>
      <c r="V1978" s="5" t="s">
        <v>186</v>
      </c>
      <c r="W1978" s="5" t="s">
        <v>694</v>
      </c>
      <c r="X1978" s="5" t="s">
        <v>3791</v>
      </c>
      <c r="Y1978" s="5" t="s">
        <v>7890</v>
      </c>
      <c r="Z1978" s="9">
        <v>46001</v>
      </c>
      <c r="AA1978" s="8">
        <v>24</v>
      </c>
      <c r="AB1978" s="9">
        <f t="shared" si="91"/>
        <v>46731</v>
      </c>
      <c r="AC1978" s="10">
        <v>18</v>
      </c>
      <c r="AD1978" s="7">
        <f t="shared" si="92"/>
        <v>3726</v>
      </c>
      <c r="AE1978" s="7">
        <f>IF(F1978="Bullet",H1978*AD1978,MIN(MAX(I1978,1),Assumptions!$B$6)*AD1978)</f>
        <v>7452</v>
      </c>
      <c r="AF1978" s="8">
        <f>IF(F1978="Bullet",MAX(0,Assumptions!$B$4-AB1978),MAX(0,Assumptions!$B$4-L1978))</f>
        <v>54</v>
      </c>
      <c r="AG1978" s="9">
        <v>46216</v>
      </c>
      <c r="AH1978" s="8">
        <f>IF(AG1978="","",Assumptions!$B$4-AG1978)</f>
        <v>82</v>
      </c>
      <c r="AI1978" s="5" t="s">
        <v>63</v>
      </c>
      <c r="AJ1978" s="8">
        <v>2</v>
      </c>
      <c r="AK1978" s="8">
        <v>1</v>
      </c>
      <c r="AL1978" s="8">
        <v>639</v>
      </c>
      <c r="AM1978" s="8">
        <v>3</v>
      </c>
      <c r="AN1978" s="5" t="s">
        <v>57</v>
      </c>
      <c r="AO1978" s="10">
        <v>82.5</v>
      </c>
      <c r="AP1978" s="8">
        <v>80</v>
      </c>
      <c r="AQ1978" s="9">
        <v>46289</v>
      </c>
      <c r="AR1978" s="5" t="s">
        <v>51</v>
      </c>
      <c r="AS1978" s="5" t="s">
        <v>274</v>
      </c>
    </row>
    <row r="1979" spans="1:45" x14ac:dyDescent="0.35">
      <c r="A1979" s="5" t="s">
        <v>7891</v>
      </c>
      <c r="B1979" s="5" t="s">
        <v>3896</v>
      </c>
      <c r="C1979" s="6" t="s">
        <v>7892</v>
      </c>
      <c r="D1979" s="7">
        <v>161900</v>
      </c>
      <c r="E1979" s="5" t="s">
        <v>48</v>
      </c>
      <c r="F1979" s="5" t="s">
        <v>68</v>
      </c>
      <c r="G1979" s="8">
        <v>5</v>
      </c>
      <c r="H1979" s="8">
        <f>IF(F1979="Bullet",MIN(G1979,Assumptions!$B$6),"")</f>
        <v>2</v>
      </c>
      <c r="I1979" s="8"/>
      <c r="J1979" s="8" t="str">
        <f>IF(F1979="Monthly interest",MAX(0,Assumptions!$B$5-I1979),"")</f>
        <v/>
      </c>
      <c r="K1979" s="7">
        <f t="shared" si="90"/>
        <v>8095</v>
      </c>
      <c r="L1979" s="9">
        <v>46122</v>
      </c>
      <c r="M1979" s="5" t="s">
        <v>116</v>
      </c>
      <c r="N1979" s="5" t="s">
        <v>117</v>
      </c>
      <c r="O1979" s="5" t="s">
        <v>461</v>
      </c>
      <c r="P1979" s="5" t="s">
        <v>72</v>
      </c>
      <c r="Q1979" s="5" t="s">
        <v>169</v>
      </c>
      <c r="R1979" s="5" t="s">
        <v>170</v>
      </c>
      <c r="S1979" s="5" t="s">
        <v>185</v>
      </c>
      <c r="T1979" s="5" t="s">
        <v>57</v>
      </c>
      <c r="U1979" s="5" t="s">
        <v>58</v>
      </c>
      <c r="V1979" s="5" t="s">
        <v>186</v>
      </c>
      <c r="W1979" s="5" t="s">
        <v>376</v>
      </c>
      <c r="X1979" s="5" t="s">
        <v>1270</v>
      </c>
      <c r="Y1979" s="5" t="s">
        <v>7893</v>
      </c>
      <c r="Z1979" s="9">
        <v>46122</v>
      </c>
      <c r="AA1979" s="8">
        <v>3</v>
      </c>
      <c r="AB1979" s="9">
        <f t="shared" si="91"/>
        <v>46213</v>
      </c>
      <c r="AC1979" s="10">
        <v>12</v>
      </c>
      <c r="AD1979" s="7">
        <f t="shared" si="92"/>
        <v>1619</v>
      </c>
      <c r="AE1979" s="7">
        <f>IF(F1979="Bullet",H1979*AD1979,MIN(MAX(I1979,1),Assumptions!$B$6)*AD1979)</f>
        <v>3238</v>
      </c>
      <c r="AF1979" s="8">
        <f>IF(F1979="Bullet",MAX(0,Assumptions!$B$4-AB1979),MAX(0,Assumptions!$B$4-L1979))</f>
        <v>85</v>
      </c>
      <c r="AG1979" s="9"/>
      <c r="AH1979" s="8" t="str">
        <f>IF(AG1979="","",Assumptions!$B$4-AG1979)</f>
        <v/>
      </c>
      <c r="AI1979" s="5" t="s">
        <v>80</v>
      </c>
      <c r="AJ1979" s="8"/>
      <c r="AK1979" s="8">
        <v>0</v>
      </c>
      <c r="AL1979" s="8">
        <v>709</v>
      </c>
      <c r="AM1979" s="8">
        <v>4</v>
      </c>
      <c r="AN1979" s="5" t="s">
        <v>63</v>
      </c>
      <c r="AO1979" s="10">
        <v>75.599999999999994</v>
      </c>
      <c r="AP1979" s="8">
        <v>55</v>
      </c>
      <c r="AQ1979" s="9">
        <v>46277</v>
      </c>
      <c r="AR1979" s="5" t="s">
        <v>53</v>
      </c>
      <c r="AS1979" s="5" t="s">
        <v>91</v>
      </c>
    </row>
    <row r="1980" spans="1:45" x14ac:dyDescent="0.35">
      <c r="A1980" s="5" t="s">
        <v>7894</v>
      </c>
      <c r="B1980" s="5" t="s">
        <v>7895</v>
      </c>
      <c r="C1980" s="6" t="s">
        <v>7896</v>
      </c>
      <c r="D1980" s="7">
        <v>364200</v>
      </c>
      <c r="E1980" s="5" t="s">
        <v>48</v>
      </c>
      <c r="F1980" s="5" t="s">
        <v>49</v>
      </c>
      <c r="G1980" s="8"/>
      <c r="H1980" s="8" t="str">
        <f>IF(F1980="Bullet",MIN(G1980,Assumptions!$B$6),"")</f>
        <v/>
      </c>
      <c r="I1980" s="8">
        <v>1</v>
      </c>
      <c r="J1980" s="8">
        <f>IF(F1980="Monthly interest",MAX(0,Assumptions!$B$5-I1980),"")</f>
        <v>2</v>
      </c>
      <c r="K1980" s="7">
        <f t="shared" si="90"/>
        <v>5463</v>
      </c>
      <c r="L1980" s="9">
        <v>46288</v>
      </c>
      <c r="M1980" s="5" t="s">
        <v>50</v>
      </c>
      <c r="N1980" s="5" t="s">
        <v>51</v>
      </c>
      <c r="O1980" s="5" t="s">
        <v>52</v>
      </c>
      <c r="P1980" s="5" t="s">
        <v>53</v>
      </c>
      <c r="Q1980" s="5" t="s">
        <v>54</v>
      </c>
      <c r="R1980" s="5" t="s">
        <v>55</v>
      </c>
      <c r="S1980" s="5" t="s">
        <v>185</v>
      </c>
      <c r="T1980" s="5" t="s">
        <v>57</v>
      </c>
      <c r="U1980" s="5" t="s">
        <v>104</v>
      </c>
      <c r="V1980" s="5" t="s">
        <v>200</v>
      </c>
      <c r="W1980" s="5" t="s">
        <v>767</v>
      </c>
      <c r="X1980" s="5" t="s">
        <v>882</v>
      </c>
      <c r="Y1980" s="5" t="s">
        <v>7897</v>
      </c>
      <c r="Z1980" s="9">
        <v>46226</v>
      </c>
      <c r="AA1980" s="8">
        <v>12</v>
      </c>
      <c r="AB1980" s="9">
        <f t="shared" si="91"/>
        <v>46591</v>
      </c>
      <c r="AC1980" s="10">
        <v>18</v>
      </c>
      <c r="AD1980" s="7">
        <f t="shared" si="92"/>
        <v>5463</v>
      </c>
      <c r="AE1980" s="7">
        <f>IF(F1980="Bullet",H1980*AD1980,MIN(MAX(I1980,1),Assumptions!$B$6)*AD1980)</f>
        <v>5463</v>
      </c>
      <c r="AF1980" s="8">
        <f>IF(F1980="Bullet",MAX(0,Assumptions!$B$4-AB1980),MAX(0,Assumptions!$B$4-L1980))</f>
        <v>10</v>
      </c>
      <c r="AG1980" s="9">
        <v>46260</v>
      </c>
      <c r="AH1980" s="8">
        <f>IF(AG1980="","",Assumptions!$B$4-AG1980)</f>
        <v>38</v>
      </c>
      <c r="AI1980" s="5" t="s">
        <v>57</v>
      </c>
      <c r="AJ1980" s="8">
        <v>1</v>
      </c>
      <c r="AK1980" s="8">
        <v>0</v>
      </c>
      <c r="AL1980" s="8" t="s">
        <v>80</v>
      </c>
      <c r="AM1980" s="8">
        <v>0</v>
      </c>
      <c r="AN1980" s="5" t="s">
        <v>63</v>
      </c>
      <c r="AO1980" s="10">
        <v>53.6</v>
      </c>
      <c r="AP1980" s="8">
        <v>22</v>
      </c>
      <c r="AQ1980" s="9">
        <v>46289</v>
      </c>
      <c r="AR1980" s="5" t="s">
        <v>53</v>
      </c>
      <c r="AS1980" s="5" t="s">
        <v>91</v>
      </c>
    </row>
    <row r="1981" spans="1:45" x14ac:dyDescent="0.35">
      <c r="A1981" s="5" t="s">
        <v>7898</v>
      </c>
      <c r="B1981" s="5" t="s">
        <v>7899</v>
      </c>
      <c r="C1981" s="6" t="s">
        <v>7900</v>
      </c>
      <c r="D1981" s="7">
        <v>59400</v>
      </c>
      <c r="E1981" s="5" t="s">
        <v>48</v>
      </c>
      <c r="F1981" s="5" t="s">
        <v>68</v>
      </c>
      <c r="G1981" s="8">
        <v>2</v>
      </c>
      <c r="H1981" s="8">
        <f>IF(F1981="Bullet",MIN(G1981,Assumptions!$B$6),"")</f>
        <v>2</v>
      </c>
      <c r="I1981" s="8"/>
      <c r="J1981" s="8" t="str">
        <f>IF(F1981="Monthly interest",MAX(0,Assumptions!$B$5-I1981),"")</f>
        <v/>
      </c>
      <c r="K1981" s="7">
        <f t="shared" si="90"/>
        <v>1486</v>
      </c>
      <c r="L1981" s="9">
        <v>46221</v>
      </c>
      <c r="M1981" s="5" t="s">
        <v>50</v>
      </c>
      <c r="N1981" s="5" t="s">
        <v>51</v>
      </c>
      <c r="O1981" s="5" t="s">
        <v>71</v>
      </c>
      <c r="P1981" s="5" t="s">
        <v>53</v>
      </c>
      <c r="Q1981" s="5" t="s">
        <v>73</v>
      </c>
      <c r="R1981" s="5" t="s">
        <v>74</v>
      </c>
      <c r="S1981" s="5" t="s">
        <v>85</v>
      </c>
      <c r="T1981" s="5" t="s">
        <v>57</v>
      </c>
      <c r="U1981" s="5" t="s">
        <v>58</v>
      </c>
      <c r="V1981" s="5" t="s">
        <v>87</v>
      </c>
      <c r="W1981" s="5" t="s">
        <v>254</v>
      </c>
      <c r="X1981" s="5" t="s">
        <v>7901</v>
      </c>
      <c r="Y1981" s="5" t="s">
        <v>7902</v>
      </c>
      <c r="Z1981" s="9">
        <v>46221</v>
      </c>
      <c r="AA1981" s="8">
        <v>6</v>
      </c>
      <c r="AB1981" s="9">
        <f t="shared" si="91"/>
        <v>46405</v>
      </c>
      <c r="AC1981" s="10">
        <v>15</v>
      </c>
      <c r="AD1981" s="7">
        <f t="shared" si="92"/>
        <v>743</v>
      </c>
      <c r="AE1981" s="7">
        <f>IF(F1981="Bullet",H1981*AD1981,MIN(MAX(I1981,1),Assumptions!$B$6)*AD1981)</f>
        <v>1486</v>
      </c>
      <c r="AF1981" s="8">
        <f>IF(F1981="Bullet",MAX(0,Assumptions!$B$4-AB1981),MAX(0,Assumptions!$B$4-L1981))</f>
        <v>0</v>
      </c>
      <c r="AG1981" s="9"/>
      <c r="AH1981" s="8" t="str">
        <f>IF(AG1981="","",Assumptions!$B$4-AG1981)</f>
        <v/>
      </c>
      <c r="AI1981" s="5" t="s">
        <v>80</v>
      </c>
      <c r="AJ1981" s="8"/>
      <c r="AK1981" s="8">
        <v>2</v>
      </c>
      <c r="AL1981" s="8">
        <v>617</v>
      </c>
      <c r="AM1981" s="8">
        <v>1</v>
      </c>
      <c r="AN1981" s="5" t="s">
        <v>63</v>
      </c>
      <c r="AO1981" s="10">
        <v>45.7</v>
      </c>
      <c r="AP1981" s="8">
        <v>30</v>
      </c>
      <c r="AQ1981" s="9"/>
      <c r="AR1981" s="5"/>
      <c r="AS1981" s="5" t="s">
        <v>159</v>
      </c>
    </row>
    <row r="1982" spans="1:45" x14ac:dyDescent="0.35">
      <c r="A1982" s="5" t="s">
        <v>7903</v>
      </c>
      <c r="B1982" s="5" t="s">
        <v>5428</v>
      </c>
      <c r="C1982" s="6" t="s">
        <v>7904</v>
      </c>
      <c r="D1982" s="7">
        <v>290300</v>
      </c>
      <c r="E1982" s="5" t="s">
        <v>48</v>
      </c>
      <c r="F1982" s="5" t="s">
        <v>68</v>
      </c>
      <c r="G1982" s="8">
        <v>2</v>
      </c>
      <c r="H1982" s="8">
        <f>IF(F1982="Bullet",MIN(G1982,Assumptions!$B$6),"")</f>
        <v>2</v>
      </c>
      <c r="I1982" s="8"/>
      <c r="J1982" s="8" t="str">
        <f>IF(F1982="Monthly interest",MAX(0,Assumptions!$B$5-I1982),"")</f>
        <v/>
      </c>
      <c r="K1982" s="7">
        <f t="shared" si="90"/>
        <v>6290</v>
      </c>
      <c r="L1982" s="9">
        <v>46232</v>
      </c>
      <c r="M1982" s="5" t="s">
        <v>50</v>
      </c>
      <c r="N1982" s="5" t="s">
        <v>51</v>
      </c>
      <c r="O1982" s="5" t="s">
        <v>71</v>
      </c>
      <c r="P1982" s="5" t="s">
        <v>53</v>
      </c>
      <c r="Q1982" s="5" t="s">
        <v>73</v>
      </c>
      <c r="R1982" s="5" t="s">
        <v>74</v>
      </c>
      <c r="S1982" s="5" t="s">
        <v>56</v>
      </c>
      <c r="T1982" s="5" t="s">
        <v>57</v>
      </c>
      <c r="U1982" s="5" t="s">
        <v>86</v>
      </c>
      <c r="V1982" s="5" t="s">
        <v>59</v>
      </c>
      <c r="W1982" s="5" t="s">
        <v>300</v>
      </c>
      <c r="X1982" s="5" t="s">
        <v>4543</v>
      </c>
      <c r="Y1982" s="5" t="s">
        <v>7905</v>
      </c>
      <c r="Z1982" s="9">
        <v>46232</v>
      </c>
      <c r="AA1982" s="8">
        <v>6</v>
      </c>
      <c r="AB1982" s="9">
        <f t="shared" si="91"/>
        <v>46416</v>
      </c>
      <c r="AC1982" s="10">
        <v>13</v>
      </c>
      <c r="AD1982" s="7">
        <f t="shared" si="92"/>
        <v>3145</v>
      </c>
      <c r="AE1982" s="7">
        <f>IF(F1982="Bullet",H1982*AD1982,MIN(MAX(I1982,1),Assumptions!$B$6)*AD1982)</f>
        <v>6290</v>
      </c>
      <c r="AF1982" s="8">
        <f>IF(F1982="Bullet",MAX(0,Assumptions!$B$4-AB1982),MAX(0,Assumptions!$B$4-L1982))</f>
        <v>0</v>
      </c>
      <c r="AG1982" s="9"/>
      <c r="AH1982" s="8" t="str">
        <f>IF(AG1982="","",Assumptions!$B$4-AG1982)</f>
        <v/>
      </c>
      <c r="AI1982" s="5" t="s">
        <v>80</v>
      </c>
      <c r="AJ1982" s="8"/>
      <c r="AK1982" s="8">
        <v>0</v>
      </c>
      <c r="AL1982" s="8">
        <v>746</v>
      </c>
      <c r="AM1982" s="8">
        <v>2</v>
      </c>
      <c r="AN1982" s="5" t="s">
        <v>57</v>
      </c>
      <c r="AO1982" s="10">
        <v>75.8</v>
      </c>
      <c r="AP1982" s="8">
        <v>28</v>
      </c>
      <c r="AQ1982" s="9">
        <v>46273</v>
      </c>
      <c r="AR1982" s="5" t="s">
        <v>70</v>
      </c>
      <c r="AS1982" s="5" t="s">
        <v>91</v>
      </c>
    </row>
    <row r="1983" spans="1:45" x14ac:dyDescent="0.35">
      <c r="A1983" s="5" t="s">
        <v>7906</v>
      </c>
      <c r="B1983" s="5" t="s">
        <v>6389</v>
      </c>
      <c r="C1983" s="6" t="s">
        <v>7907</v>
      </c>
      <c r="D1983" s="7">
        <v>55100</v>
      </c>
      <c r="E1983" s="5" t="s">
        <v>48</v>
      </c>
      <c r="F1983" s="5" t="s">
        <v>68</v>
      </c>
      <c r="G1983" s="8">
        <v>3</v>
      </c>
      <c r="H1983" s="8">
        <f>IF(F1983="Bullet",MIN(G1983,Assumptions!$B$6),"")</f>
        <v>2</v>
      </c>
      <c r="I1983" s="8"/>
      <c r="J1983" s="8" t="str">
        <f>IF(F1983="Monthly interest",MAX(0,Assumptions!$B$5-I1983),"")</f>
        <v/>
      </c>
      <c r="K1983" s="7">
        <f t="shared" si="90"/>
        <v>1929</v>
      </c>
      <c r="L1983" s="9">
        <v>46200</v>
      </c>
      <c r="M1983" s="5" t="s">
        <v>50</v>
      </c>
      <c r="N1983" s="5" t="s">
        <v>53</v>
      </c>
      <c r="O1983" s="5" t="s">
        <v>71</v>
      </c>
      <c r="P1983" s="5" t="s">
        <v>51</v>
      </c>
      <c r="Q1983" s="5" t="s">
        <v>73</v>
      </c>
      <c r="R1983" s="5" t="s">
        <v>74</v>
      </c>
      <c r="S1983" s="5" t="s">
        <v>85</v>
      </c>
      <c r="T1983" s="5" t="s">
        <v>57</v>
      </c>
      <c r="U1983" s="5" t="s">
        <v>104</v>
      </c>
      <c r="V1983" s="5" t="s">
        <v>177</v>
      </c>
      <c r="W1983" s="5" t="s">
        <v>208</v>
      </c>
      <c r="X1983" s="5" t="s">
        <v>6238</v>
      </c>
      <c r="Y1983" s="5" t="s">
        <v>7908</v>
      </c>
      <c r="Z1983" s="9">
        <v>46200</v>
      </c>
      <c r="AA1983" s="8">
        <v>6</v>
      </c>
      <c r="AB1983" s="9">
        <f t="shared" si="91"/>
        <v>46383</v>
      </c>
      <c r="AC1983" s="10">
        <v>14</v>
      </c>
      <c r="AD1983" s="7">
        <f t="shared" si="92"/>
        <v>643</v>
      </c>
      <c r="AE1983" s="7">
        <f>IF(F1983="Bullet",H1983*AD1983,MIN(MAX(I1983,1),Assumptions!$B$6)*AD1983)</f>
        <v>1286</v>
      </c>
      <c r="AF1983" s="8">
        <f>IF(F1983="Bullet",MAX(0,Assumptions!$B$4-AB1983),MAX(0,Assumptions!$B$4-L1983))</f>
        <v>0</v>
      </c>
      <c r="AG1983" s="9"/>
      <c r="AH1983" s="8" t="str">
        <f>IF(AG1983="","",Assumptions!$B$4-AG1983)</f>
        <v/>
      </c>
      <c r="AI1983" s="5" t="s">
        <v>80</v>
      </c>
      <c r="AJ1983" s="8"/>
      <c r="AK1983" s="8">
        <v>0</v>
      </c>
      <c r="AL1983" s="8">
        <v>794</v>
      </c>
      <c r="AM1983" s="8">
        <v>0</v>
      </c>
      <c r="AN1983" s="5" t="s">
        <v>63</v>
      </c>
      <c r="AO1983" s="10">
        <v>61.9</v>
      </c>
      <c r="AP1983" s="8">
        <v>6</v>
      </c>
      <c r="AQ1983" s="9">
        <v>46278</v>
      </c>
      <c r="AR1983" s="5" t="s">
        <v>70</v>
      </c>
      <c r="AS1983" s="5" t="s">
        <v>64</v>
      </c>
    </row>
    <row r="1984" spans="1:45" x14ac:dyDescent="0.35">
      <c r="A1984" s="5" t="s">
        <v>7909</v>
      </c>
      <c r="B1984" s="5" t="s">
        <v>7910</v>
      </c>
      <c r="C1984" s="6" t="s">
        <v>7911</v>
      </c>
      <c r="D1984" s="7">
        <v>550000</v>
      </c>
      <c r="E1984" s="5" t="s">
        <v>48</v>
      </c>
      <c r="F1984" s="5" t="s">
        <v>68</v>
      </c>
      <c r="G1984" s="8">
        <v>3</v>
      </c>
      <c r="H1984" s="8">
        <f>IF(F1984="Bullet",MIN(G1984,Assumptions!$B$6),"")</f>
        <v>2</v>
      </c>
      <c r="I1984" s="8"/>
      <c r="J1984" s="8" t="str">
        <f>IF(F1984="Monthly interest",MAX(0,Assumptions!$B$5-I1984),"")</f>
        <v/>
      </c>
      <c r="K1984" s="7">
        <f t="shared" si="90"/>
        <v>24750</v>
      </c>
      <c r="L1984" s="9">
        <v>46193</v>
      </c>
      <c r="M1984" s="5" t="s">
        <v>69</v>
      </c>
      <c r="N1984" s="5" t="s">
        <v>70</v>
      </c>
      <c r="O1984" s="5" t="s">
        <v>71</v>
      </c>
      <c r="P1984" s="5" t="s">
        <v>72</v>
      </c>
      <c r="Q1984" s="5" t="s">
        <v>73</v>
      </c>
      <c r="R1984" s="5" t="s">
        <v>74</v>
      </c>
      <c r="S1984" s="5" t="s">
        <v>85</v>
      </c>
      <c r="T1984" s="5" t="s">
        <v>57</v>
      </c>
      <c r="U1984" s="5" t="s">
        <v>58</v>
      </c>
      <c r="V1984" s="5" t="s">
        <v>87</v>
      </c>
      <c r="W1984" s="5" t="s">
        <v>88</v>
      </c>
      <c r="X1984" s="5" t="s">
        <v>7912</v>
      </c>
      <c r="Y1984" s="5" t="s">
        <v>7913</v>
      </c>
      <c r="Z1984" s="9">
        <v>46193</v>
      </c>
      <c r="AA1984" s="8">
        <v>6</v>
      </c>
      <c r="AB1984" s="9">
        <f t="shared" si="91"/>
        <v>46376</v>
      </c>
      <c r="AC1984" s="10">
        <v>18</v>
      </c>
      <c r="AD1984" s="7">
        <f t="shared" si="92"/>
        <v>8250</v>
      </c>
      <c r="AE1984" s="7">
        <f>IF(F1984="Bullet",H1984*AD1984,MIN(MAX(I1984,1),Assumptions!$B$6)*AD1984)</f>
        <v>16500</v>
      </c>
      <c r="AF1984" s="8">
        <f>IF(F1984="Bullet",MAX(0,Assumptions!$B$4-AB1984),MAX(0,Assumptions!$B$4-L1984))</f>
        <v>0</v>
      </c>
      <c r="AG1984" s="9"/>
      <c r="AH1984" s="8" t="str">
        <f>IF(AG1984="","",Assumptions!$B$4-AG1984)</f>
        <v/>
      </c>
      <c r="AI1984" s="5" t="s">
        <v>80</v>
      </c>
      <c r="AJ1984" s="8"/>
      <c r="AK1984" s="8">
        <v>2</v>
      </c>
      <c r="AL1984" s="8">
        <v>692</v>
      </c>
      <c r="AM1984" s="8">
        <v>2</v>
      </c>
      <c r="AN1984" s="5" t="s">
        <v>63</v>
      </c>
      <c r="AO1984" s="10">
        <v>64.5</v>
      </c>
      <c r="AP1984" s="8">
        <v>33</v>
      </c>
      <c r="AQ1984" s="9">
        <v>46278</v>
      </c>
      <c r="AR1984" s="5" t="s">
        <v>51</v>
      </c>
      <c r="AS1984" s="5" t="s">
        <v>64</v>
      </c>
    </row>
    <row r="1985" spans="1:45" x14ac:dyDescent="0.35">
      <c r="A1985" s="5" t="s">
        <v>7914</v>
      </c>
      <c r="B1985" s="5" t="s">
        <v>5110</v>
      </c>
      <c r="C1985" s="6" t="s">
        <v>7915</v>
      </c>
      <c r="D1985" s="7">
        <v>171300</v>
      </c>
      <c r="E1985" s="5" t="s">
        <v>48</v>
      </c>
      <c r="F1985" s="5" t="s">
        <v>68</v>
      </c>
      <c r="G1985" s="8">
        <v>5</v>
      </c>
      <c r="H1985" s="8">
        <f>IF(F1985="Bullet",MIN(G1985,Assumptions!$B$6),"")</f>
        <v>2</v>
      </c>
      <c r="I1985" s="8"/>
      <c r="J1985" s="8" t="str">
        <f>IF(F1985="Monthly interest",MAX(0,Assumptions!$B$5-I1985),"")</f>
        <v/>
      </c>
      <c r="K1985" s="7">
        <f t="shared" si="90"/>
        <v>11420</v>
      </c>
      <c r="L1985" s="9">
        <v>46137</v>
      </c>
      <c r="M1985" s="5" t="s">
        <v>116</v>
      </c>
      <c r="N1985" s="5" t="s">
        <v>117</v>
      </c>
      <c r="O1985" s="5" t="s">
        <v>461</v>
      </c>
      <c r="P1985" s="5" t="s">
        <v>72</v>
      </c>
      <c r="Q1985" s="5" t="s">
        <v>169</v>
      </c>
      <c r="R1985" s="5" t="s">
        <v>170</v>
      </c>
      <c r="S1985" s="5" t="s">
        <v>85</v>
      </c>
      <c r="T1985" s="5" t="s">
        <v>57</v>
      </c>
      <c r="U1985" s="5" t="s">
        <v>86</v>
      </c>
      <c r="V1985" s="5" t="s">
        <v>87</v>
      </c>
      <c r="W1985" s="5" t="s">
        <v>361</v>
      </c>
      <c r="X1985" s="5" t="s">
        <v>4643</v>
      </c>
      <c r="Y1985" s="5" t="s">
        <v>7916</v>
      </c>
      <c r="Z1985" s="9">
        <v>46137</v>
      </c>
      <c r="AA1985" s="8">
        <v>6</v>
      </c>
      <c r="AB1985" s="9">
        <f t="shared" si="91"/>
        <v>46320</v>
      </c>
      <c r="AC1985" s="10">
        <v>16</v>
      </c>
      <c r="AD1985" s="7">
        <f t="shared" si="92"/>
        <v>2284</v>
      </c>
      <c r="AE1985" s="7">
        <f>IF(F1985="Bullet",H1985*AD1985,MIN(MAX(I1985,1),Assumptions!$B$6)*AD1985)</f>
        <v>4568</v>
      </c>
      <c r="AF1985" s="8">
        <f>IF(F1985="Bullet",MAX(0,Assumptions!$B$4-AB1985),MAX(0,Assumptions!$B$4-L1985))</f>
        <v>0</v>
      </c>
      <c r="AG1985" s="9"/>
      <c r="AH1985" s="8" t="str">
        <f>IF(AG1985="","",Assumptions!$B$4-AG1985)</f>
        <v/>
      </c>
      <c r="AI1985" s="5" t="s">
        <v>80</v>
      </c>
      <c r="AJ1985" s="8"/>
      <c r="AK1985" s="8">
        <v>2</v>
      </c>
      <c r="AL1985" s="8">
        <v>688</v>
      </c>
      <c r="AM1985" s="8">
        <v>3</v>
      </c>
      <c r="AN1985" s="5" t="s">
        <v>63</v>
      </c>
      <c r="AO1985" s="10">
        <v>79.3</v>
      </c>
      <c r="AP1985" s="8">
        <v>61</v>
      </c>
      <c r="AQ1985" s="9">
        <v>46275</v>
      </c>
      <c r="AR1985" s="5" t="s">
        <v>51</v>
      </c>
      <c r="AS1985" s="5" t="s">
        <v>81</v>
      </c>
    </row>
    <row r="1986" spans="1:45" x14ac:dyDescent="0.35">
      <c r="A1986" s="5" t="s">
        <v>7917</v>
      </c>
      <c r="B1986" s="5" t="s">
        <v>7918</v>
      </c>
      <c r="C1986" s="6" t="s">
        <v>7919</v>
      </c>
      <c r="D1986" s="7">
        <v>870100</v>
      </c>
      <c r="E1986" s="5" t="s">
        <v>48</v>
      </c>
      <c r="F1986" s="5" t="s">
        <v>68</v>
      </c>
      <c r="G1986" s="8">
        <v>2</v>
      </c>
      <c r="H1986" s="8">
        <f>IF(F1986="Bullet",MIN(G1986,Assumptions!$B$6),"")</f>
        <v>2</v>
      </c>
      <c r="I1986" s="8"/>
      <c r="J1986" s="8" t="str">
        <f>IF(F1986="Monthly interest",MAX(0,Assumptions!$B$5-I1986),"")</f>
        <v/>
      </c>
      <c r="K1986" s="7">
        <f t="shared" ref="K1986:K2001" si="93">IF(F1986="Bullet",G1986*AD1986,MAX(I1986,1)*AD1986)</f>
        <v>21752</v>
      </c>
      <c r="L1986" s="9">
        <v>46227</v>
      </c>
      <c r="M1986" s="5" t="s">
        <v>69</v>
      </c>
      <c r="N1986" s="5" t="s">
        <v>70</v>
      </c>
      <c r="O1986" s="5" t="s">
        <v>295</v>
      </c>
      <c r="P1986" s="5" t="s">
        <v>72</v>
      </c>
      <c r="Q1986" s="5" t="s">
        <v>73</v>
      </c>
      <c r="R1986" s="5" t="s">
        <v>74</v>
      </c>
      <c r="S1986" s="5" t="s">
        <v>56</v>
      </c>
      <c r="T1986" s="5" t="s">
        <v>57</v>
      </c>
      <c r="U1986" s="5" t="s">
        <v>86</v>
      </c>
      <c r="V1986" s="5" t="s">
        <v>59</v>
      </c>
      <c r="W1986" s="5" t="s">
        <v>194</v>
      </c>
      <c r="X1986" s="5" t="s">
        <v>1437</v>
      </c>
      <c r="Y1986" s="5" t="s">
        <v>7920</v>
      </c>
      <c r="Z1986" s="9">
        <v>46227</v>
      </c>
      <c r="AA1986" s="8">
        <v>6</v>
      </c>
      <c r="AB1986" s="9">
        <f t="shared" ref="AB1986:AB2049" si="94">EDATE(Z1986,AA1986)</f>
        <v>46411</v>
      </c>
      <c r="AC1986" s="10">
        <v>15</v>
      </c>
      <c r="AD1986" s="7">
        <f t="shared" ref="AD1986:AD2049" si="95">ROUND(D1986*AC1986/100/12,0)</f>
        <v>10876</v>
      </c>
      <c r="AE1986" s="7">
        <f>IF(F1986="Bullet",H1986*AD1986,MIN(MAX(I1986,1),Assumptions!$B$6)*AD1986)</f>
        <v>21752</v>
      </c>
      <c r="AF1986" s="8">
        <f>IF(F1986="Bullet",MAX(0,Assumptions!$B$4-AB1986),MAX(0,Assumptions!$B$4-L1986))</f>
        <v>0</v>
      </c>
      <c r="AG1986" s="9"/>
      <c r="AH1986" s="8" t="str">
        <f>IF(AG1986="","",Assumptions!$B$4-AG1986)</f>
        <v/>
      </c>
      <c r="AI1986" s="5" t="s">
        <v>80</v>
      </c>
      <c r="AJ1986" s="8"/>
      <c r="AK1986" s="8">
        <v>2</v>
      </c>
      <c r="AL1986" s="8">
        <v>640</v>
      </c>
      <c r="AM1986" s="8">
        <v>0</v>
      </c>
      <c r="AN1986" s="5" t="s">
        <v>63</v>
      </c>
      <c r="AO1986" s="10">
        <v>77.400000000000006</v>
      </c>
      <c r="AP1986" s="8">
        <v>43</v>
      </c>
      <c r="AQ1986" s="9">
        <v>46283</v>
      </c>
      <c r="AR1986" s="5" t="s">
        <v>53</v>
      </c>
      <c r="AS1986" s="5" t="s">
        <v>91</v>
      </c>
    </row>
    <row r="1987" spans="1:45" x14ac:dyDescent="0.35">
      <c r="A1987" s="5" t="s">
        <v>7921</v>
      </c>
      <c r="B1987" s="5" t="s">
        <v>7922</v>
      </c>
      <c r="C1987" s="6" t="s">
        <v>7923</v>
      </c>
      <c r="D1987" s="7">
        <v>150300</v>
      </c>
      <c r="E1987" s="5" t="s">
        <v>48</v>
      </c>
      <c r="F1987" s="5" t="s">
        <v>68</v>
      </c>
      <c r="G1987" s="8">
        <v>2</v>
      </c>
      <c r="H1987" s="8">
        <f>IF(F1987="Bullet",MIN(G1987,Assumptions!$B$6),"")</f>
        <v>2</v>
      </c>
      <c r="I1987" s="8"/>
      <c r="J1987" s="8" t="str">
        <f>IF(F1987="Monthly interest",MAX(0,Assumptions!$B$5-I1987),"")</f>
        <v/>
      </c>
      <c r="K1987" s="7">
        <f t="shared" si="93"/>
        <v>3256</v>
      </c>
      <c r="L1987" s="9">
        <v>46235</v>
      </c>
      <c r="M1987" s="5" t="s">
        <v>69</v>
      </c>
      <c r="N1987" s="5" t="s">
        <v>53</v>
      </c>
      <c r="O1987" s="5" t="s">
        <v>71</v>
      </c>
      <c r="P1987" s="5" t="s">
        <v>70</v>
      </c>
      <c r="Q1987" s="5" t="s">
        <v>73</v>
      </c>
      <c r="R1987" s="5" t="s">
        <v>74</v>
      </c>
      <c r="S1987" s="5" t="s">
        <v>85</v>
      </c>
      <c r="T1987" s="5" t="s">
        <v>57</v>
      </c>
      <c r="U1987" s="5" t="s">
        <v>58</v>
      </c>
      <c r="V1987" s="5" t="s">
        <v>553</v>
      </c>
      <c r="W1987" s="5" t="s">
        <v>554</v>
      </c>
      <c r="X1987" s="5" t="s">
        <v>4931</v>
      </c>
      <c r="Y1987" s="5" t="s">
        <v>7924</v>
      </c>
      <c r="Z1987" s="9">
        <v>46235</v>
      </c>
      <c r="AA1987" s="8">
        <v>3</v>
      </c>
      <c r="AB1987" s="9">
        <f t="shared" si="94"/>
        <v>46327</v>
      </c>
      <c r="AC1987" s="10">
        <v>13</v>
      </c>
      <c r="AD1987" s="7">
        <f t="shared" si="95"/>
        <v>1628</v>
      </c>
      <c r="AE1987" s="7">
        <f>IF(F1987="Bullet",H1987*AD1987,MIN(MAX(I1987,1),Assumptions!$B$6)*AD1987)</f>
        <v>3256</v>
      </c>
      <c r="AF1987" s="8">
        <f>IF(F1987="Bullet",MAX(0,Assumptions!$B$4-AB1987),MAX(0,Assumptions!$B$4-L1987))</f>
        <v>0</v>
      </c>
      <c r="AG1987" s="9"/>
      <c r="AH1987" s="8" t="str">
        <f>IF(AG1987="","",Assumptions!$B$4-AG1987)</f>
        <v/>
      </c>
      <c r="AI1987" s="5" t="s">
        <v>80</v>
      </c>
      <c r="AJ1987" s="8"/>
      <c r="AK1987" s="8">
        <v>1</v>
      </c>
      <c r="AL1987" s="8">
        <v>713</v>
      </c>
      <c r="AM1987" s="8">
        <v>4</v>
      </c>
      <c r="AN1987" s="5" t="s">
        <v>57</v>
      </c>
      <c r="AO1987" s="10">
        <v>79.2</v>
      </c>
      <c r="AP1987" s="8">
        <v>44</v>
      </c>
      <c r="AQ1987" s="9">
        <v>46275</v>
      </c>
      <c r="AR1987" s="5" t="s">
        <v>70</v>
      </c>
      <c r="AS1987" s="5" t="s">
        <v>81</v>
      </c>
    </row>
    <row r="1988" spans="1:45" x14ac:dyDescent="0.35">
      <c r="A1988" s="5" t="s">
        <v>7925</v>
      </c>
      <c r="B1988" s="5" t="s">
        <v>4957</v>
      </c>
      <c r="C1988" s="6" t="s">
        <v>7926</v>
      </c>
      <c r="D1988" s="7">
        <v>160700</v>
      </c>
      <c r="E1988" s="5" t="s">
        <v>48</v>
      </c>
      <c r="F1988" s="5" t="s">
        <v>49</v>
      </c>
      <c r="G1988" s="8"/>
      <c r="H1988" s="8" t="str">
        <f>IF(F1988="Bullet",MIN(G1988,Assumptions!$B$6),"")</f>
        <v/>
      </c>
      <c r="I1988" s="8">
        <v>1</v>
      </c>
      <c r="J1988" s="8">
        <f>IF(F1988="Monthly interest",MAX(0,Assumptions!$B$5-I1988),"")</f>
        <v>2</v>
      </c>
      <c r="K1988" s="7">
        <f t="shared" si="93"/>
        <v>2946</v>
      </c>
      <c r="L1988" s="9">
        <v>46279</v>
      </c>
      <c r="M1988" s="5" t="s">
        <v>50</v>
      </c>
      <c r="N1988" s="5" t="s">
        <v>51</v>
      </c>
      <c r="O1988" s="5" t="s">
        <v>52</v>
      </c>
      <c r="P1988" s="5" t="s">
        <v>53</v>
      </c>
      <c r="Q1988" s="5" t="s">
        <v>54</v>
      </c>
      <c r="R1988" s="5" t="s">
        <v>55</v>
      </c>
      <c r="S1988" s="5" t="s">
        <v>85</v>
      </c>
      <c r="T1988" s="5" t="s">
        <v>57</v>
      </c>
      <c r="U1988" s="5" t="s">
        <v>86</v>
      </c>
      <c r="V1988" s="5" t="s">
        <v>553</v>
      </c>
      <c r="W1988" s="5" t="s">
        <v>1029</v>
      </c>
      <c r="X1988" s="5" t="s">
        <v>1275</v>
      </c>
      <c r="Y1988" s="5" t="s">
        <v>7927</v>
      </c>
      <c r="Z1988" s="9">
        <v>46036</v>
      </c>
      <c r="AA1988" s="8">
        <v>24</v>
      </c>
      <c r="AB1988" s="9">
        <f t="shared" si="94"/>
        <v>46766</v>
      </c>
      <c r="AC1988" s="10">
        <v>22</v>
      </c>
      <c r="AD1988" s="7">
        <f t="shared" si="95"/>
        <v>2946</v>
      </c>
      <c r="AE1988" s="7">
        <f>IF(F1988="Bullet",H1988*AD1988,MIN(MAX(I1988,1),Assumptions!$B$6)*AD1988)</f>
        <v>2946</v>
      </c>
      <c r="AF1988" s="8">
        <f>IF(F1988="Bullet",MAX(0,Assumptions!$B$4-AB1988),MAX(0,Assumptions!$B$4-L1988))</f>
        <v>19</v>
      </c>
      <c r="AG1988" s="9">
        <v>46248</v>
      </c>
      <c r="AH1988" s="8">
        <f>IF(AG1988="","",Assumptions!$B$4-AG1988)</f>
        <v>50</v>
      </c>
      <c r="AI1988" s="5" t="s">
        <v>63</v>
      </c>
      <c r="AJ1988" s="8">
        <v>2</v>
      </c>
      <c r="AK1988" s="8">
        <v>0</v>
      </c>
      <c r="AL1988" s="8" t="s">
        <v>80</v>
      </c>
      <c r="AM1988" s="8">
        <v>0</v>
      </c>
      <c r="AN1988" s="5" t="s">
        <v>63</v>
      </c>
      <c r="AO1988" s="10">
        <v>63.5</v>
      </c>
      <c r="AP1988" s="8">
        <v>28</v>
      </c>
      <c r="AQ1988" s="9">
        <v>46294</v>
      </c>
      <c r="AR1988" s="5" t="s">
        <v>53</v>
      </c>
      <c r="AS1988" s="5" t="s">
        <v>274</v>
      </c>
    </row>
    <row r="1989" spans="1:45" x14ac:dyDescent="0.35">
      <c r="A1989" s="5" t="s">
        <v>7928</v>
      </c>
      <c r="B1989" s="5" t="s">
        <v>7929</v>
      </c>
      <c r="C1989" s="6" t="s">
        <v>7930</v>
      </c>
      <c r="D1989" s="7">
        <v>134100</v>
      </c>
      <c r="E1989" s="5" t="s">
        <v>48</v>
      </c>
      <c r="F1989" s="5" t="s">
        <v>49</v>
      </c>
      <c r="G1989" s="8"/>
      <c r="H1989" s="8" t="str">
        <f>IF(F1989="Bullet",MIN(G1989,Assumptions!$B$6),"")</f>
        <v/>
      </c>
      <c r="I1989" s="8">
        <v>1</v>
      </c>
      <c r="J1989" s="8">
        <f>IF(F1989="Monthly interest",MAX(0,Assumptions!$B$5-I1989),"")</f>
        <v>2</v>
      </c>
      <c r="K1989" s="7">
        <f t="shared" si="93"/>
        <v>2682</v>
      </c>
      <c r="L1989" s="9">
        <v>46284</v>
      </c>
      <c r="M1989" s="5" t="s">
        <v>69</v>
      </c>
      <c r="N1989" s="5" t="s">
        <v>53</v>
      </c>
      <c r="O1989" s="5" t="s">
        <v>103</v>
      </c>
      <c r="P1989" s="5" t="s">
        <v>70</v>
      </c>
      <c r="Q1989" s="5" t="s">
        <v>54</v>
      </c>
      <c r="R1989" s="5" t="s">
        <v>55</v>
      </c>
      <c r="S1989" s="5" t="s">
        <v>75</v>
      </c>
      <c r="T1989" s="5" t="s">
        <v>63</v>
      </c>
      <c r="U1989" s="5" t="s">
        <v>104</v>
      </c>
      <c r="V1989" s="5" t="s">
        <v>76</v>
      </c>
      <c r="W1989" s="5" t="s">
        <v>140</v>
      </c>
      <c r="X1989" s="5" t="s">
        <v>3631</v>
      </c>
      <c r="Y1989" s="5" t="s">
        <v>7931</v>
      </c>
      <c r="Z1989" s="9">
        <v>46192</v>
      </c>
      <c r="AA1989" s="8">
        <v>12</v>
      </c>
      <c r="AB1989" s="9">
        <f t="shared" si="94"/>
        <v>46557</v>
      </c>
      <c r="AC1989" s="10">
        <v>24</v>
      </c>
      <c r="AD1989" s="7">
        <f t="shared" si="95"/>
        <v>2682</v>
      </c>
      <c r="AE1989" s="7">
        <f>IF(F1989="Bullet",H1989*AD1989,MIN(MAX(I1989,1),Assumptions!$B$6)*AD1989)</f>
        <v>2682</v>
      </c>
      <c r="AF1989" s="8">
        <f>IF(F1989="Bullet",MAX(0,Assumptions!$B$4-AB1989),MAX(0,Assumptions!$B$4-L1989))</f>
        <v>14</v>
      </c>
      <c r="AG1989" s="9">
        <v>46256</v>
      </c>
      <c r="AH1989" s="8">
        <f>IF(AG1989="","",Assumptions!$B$4-AG1989)</f>
        <v>42</v>
      </c>
      <c r="AI1989" s="5" t="s">
        <v>57</v>
      </c>
      <c r="AJ1989" s="8">
        <v>1</v>
      </c>
      <c r="AK1989" s="8">
        <v>1</v>
      </c>
      <c r="AL1989" s="8">
        <v>720</v>
      </c>
      <c r="AM1989" s="8">
        <v>3</v>
      </c>
      <c r="AN1989" s="5" t="s">
        <v>63</v>
      </c>
      <c r="AO1989" s="10">
        <v>63.8</v>
      </c>
      <c r="AP1989" s="8">
        <v>34</v>
      </c>
      <c r="AQ1989" s="9">
        <v>46289</v>
      </c>
      <c r="AR1989" s="5" t="s">
        <v>51</v>
      </c>
      <c r="AS1989" s="5" t="s">
        <v>81</v>
      </c>
    </row>
    <row r="1990" spans="1:45" x14ac:dyDescent="0.35">
      <c r="A1990" s="5" t="s">
        <v>7932</v>
      </c>
      <c r="B1990" s="5" t="s">
        <v>5703</v>
      </c>
      <c r="C1990" s="6" t="s">
        <v>7933</v>
      </c>
      <c r="D1990" s="7">
        <v>59800</v>
      </c>
      <c r="E1990" s="5" t="s">
        <v>48</v>
      </c>
      <c r="F1990" s="5" t="s">
        <v>49</v>
      </c>
      <c r="G1990" s="8"/>
      <c r="H1990" s="8" t="str">
        <f>IF(F1990="Bullet",MIN(G1990,Assumptions!$B$6),"")</f>
        <v/>
      </c>
      <c r="I1990" s="8">
        <v>1</v>
      </c>
      <c r="J1990" s="8">
        <f>IF(F1990="Monthly interest",MAX(0,Assumptions!$B$5-I1990),"")</f>
        <v>2</v>
      </c>
      <c r="K1990" s="7">
        <f t="shared" si="93"/>
        <v>698</v>
      </c>
      <c r="L1990" s="9">
        <v>46282</v>
      </c>
      <c r="M1990" s="5" t="s">
        <v>69</v>
      </c>
      <c r="N1990" s="5" t="s">
        <v>51</v>
      </c>
      <c r="O1990" s="5" t="s">
        <v>52</v>
      </c>
      <c r="P1990" s="5" t="s">
        <v>53</v>
      </c>
      <c r="Q1990" s="5" t="s">
        <v>54</v>
      </c>
      <c r="R1990" s="5" t="s">
        <v>55</v>
      </c>
      <c r="S1990" s="5" t="s">
        <v>75</v>
      </c>
      <c r="T1990" s="5" t="s">
        <v>57</v>
      </c>
      <c r="U1990" s="5" t="s">
        <v>58</v>
      </c>
      <c r="V1990" s="5" t="s">
        <v>76</v>
      </c>
      <c r="W1990" s="5" t="s">
        <v>105</v>
      </c>
      <c r="X1990" s="5" t="s">
        <v>914</v>
      </c>
      <c r="Y1990" s="5" t="s">
        <v>7934</v>
      </c>
      <c r="Z1990" s="9">
        <v>46039</v>
      </c>
      <c r="AA1990" s="8">
        <v>12</v>
      </c>
      <c r="AB1990" s="9">
        <f t="shared" si="94"/>
        <v>46404</v>
      </c>
      <c r="AC1990" s="10">
        <v>14</v>
      </c>
      <c r="AD1990" s="7">
        <f t="shared" si="95"/>
        <v>698</v>
      </c>
      <c r="AE1990" s="7">
        <f>IF(F1990="Bullet",H1990*AD1990,MIN(MAX(I1990,1),Assumptions!$B$6)*AD1990)</f>
        <v>698</v>
      </c>
      <c r="AF1990" s="8">
        <f>IF(F1990="Bullet",MAX(0,Assumptions!$B$4-AB1990),MAX(0,Assumptions!$B$4-L1990))</f>
        <v>16</v>
      </c>
      <c r="AG1990" s="9">
        <v>46256</v>
      </c>
      <c r="AH1990" s="8">
        <f>IF(AG1990="","",Assumptions!$B$4-AG1990)</f>
        <v>42</v>
      </c>
      <c r="AI1990" s="5" t="s">
        <v>63</v>
      </c>
      <c r="AJ1990" s="8">
        <v>1</v>
      </c>
      <c r="AK1990" s="8">
        <v>0</v>
      </c>
      <c r="AL1990" s="8" t="s">
        <v>80</v>
      </c>
      <c r="AM1990" s="8">
        <v>0</v>
      </c>
      <c r="AN1990" s="5" t="s">
        <v>63</v>
      </c>
      <c r="AO1990" s="10">
        <v>83.3</v>
      </c>
      <c r="AP1990" s="8">
        <v>32</v>
      </c>
      <c r="AQ1990" s="9">
        <v>46290</v>
      </c>
      <c r="AR1990" s="5" t="s">
        <v>53</v>
      </c>
      <c r="AS1990" s="5" t="s">
        <v>274</v>
      </c>
    </row>
    <row r="1991" spans="1:45" x14ac:dyDescent="0.35">
      <c r="A1991" s="5" t="s">
        <v>7935</v>
      </c>
      <c r="B1991" s="5" t="s">
        <v>3730</v>
      </c>
      <c r="C1991" s="6" t="s">
        <v>7936</v>
      </c>
      <c r="D1991" s="7">
        <v>68300</v>
      </c>
      <c r="E1991" s="5" t="s">
        <v>48</v>
      </c>
      <c r="F1991" s="5" t="s">
        <v>49</v>
      </c>
      <c r="G1991" s="8"/>
      <c r="H1991" s="8" t="str">
        <f>IF(F1991="Bullet",MIN(G1991,Assumptions!$B$6),"")</f>
        <v/>
      </c>
      <c r="I1991" s="8">
        <v>1</v>
      </c>
      <c r="J1991" s="8">
        <f>IF(F1991="Monthly interest",MAX(0,Assumptions!$B$5-I1991),"")</f>
        <v>2</v>
      </c>
      <c r="K1991" s="7">
        <f t="shared" si="93"/>
        <v>797</v>
      </c>
      <c r="L1991" s="9">
        <v>46269</v>
      </c>
      <c r="M1991" s="5" t="s">
        <v>50</v>
      </c>
      <c r="N1991" s="5" t="s">
        <v>53</v>
      </c>
      <c r="O1991" s="5" t="s">
        <v>103</v>
      </c>
      <c r="P1991" s="5" t="s">
        <v>70</v>
      </c>
      <c r="Q1991" s="5" t="s">
        <v>54</v>
      </c>
      <c r="R1991" s="5" t="s">
        <v>55</v>
      </c>
      <c r="S1991" s="5" t="s">
        <v>185</v>
      </c>
      <c r="T1991" s="5" t="s">
        <v>63</v>
      </c>
      <c r="U1991" s="5" t="s">
        <v>86</v>
      </c>
      <c r="V1991" s="5" t="s">
        <v>200</v>
      </c>
      <c r="W1991" s="5" t="s">
        <v>433</v>
      </c>
      <c r="X1991" s="5" t="s">
        <v>5770</v>
      </c>
      <c r="Y1991" s="5" t="s">
        <v>7937</v>
      </c>
      <c r="Z1991" s="9">
        <v>46057</v>
      </c>
      <c r="AA1991" s="8">
        <v>24</v>
      </c>
      <c r="AB1991" s="9">
        <f t="shared" si="94"/>
        <v>46787</v>
      </c>
      <c r="AC1991" s="10">
        <v>14</v>
      </c>
      <c r="AD1991" s="7">
        <f t="shared" si="95"/>
        <v>797</v>
      </c>
      <c r="AE1991" s="7">
        <f>IF(F1991="Bullet",H1991*AD1991,MIN(MAX(I1991,1),Assumptions!$B$6)*AD1991)</f>
        <v>797</v>
      </c>
      <c r="AF1991" s="8">
        <f>IF(F1991="Bullet",MAX(0,Assumptions!$B$4-AB1991),MAX(0,Assumptions!$B$4-L1991))</f>
        <v>29</v>
      </c>
      <c r="AG1991" s="9">
        <v>46239</v>
      </c>
      <c r="AH1991" s="8">
        <f>IF(AG1991="","",Assumptions!$B$4-AG1991)</f>
        <v>59</v>
      </c>
      <c r="AI1991" s="5" t="s">
        <v>63</v>
      </c>
      <c r="AJ1991" s="8">
        <v>1</v>
      </c>
      <c r="AK1991" s="8">
        <v>0</v>
      </c>
      <c r="AL1991" s="8">
        <v>769</v>
      </c>
      <c r="AM1991" s="8">
        <v>3</v>
      </c>
      <c r="AN1991" s="5" t="s">
        <v>63</v>
      </c>
      <c r="AO1991" s="10">
        <v>70.5</v>
      </c>
      <c r="AP1991" s="8">
        <v>18</v>
      </c>
      <c r="AQ1991" s="9">
        <v>46275</v>
      </c>
      <c r="AR1991" s="5" t="s">
        <v>51</v>
      </c>
      <c r="AS1991" s="5" t="s">
        <v>81</v>
      </c>
    </row>
    <row r="1992" spans="1:45" x14ac:dyDescent="0.35">
      <c r="A1992" s="5" t="s">
        <v>7938</v>
      </c>
      <c r="B1992" s="5" t="s">
        <v>1964</v>
      </c>
      <c r="C1992" s="6" t="s">
        <v>7939</v>
      </c>
      <c r="D1992" s="7">
        <v>87200</v>
      </c>
      <c r="E1992" s="5" t="s">
        <v>48</v>
      </c>
      <c r="F1992" s="5" t="s">
        <v>49</v>
      </c>
      <c r="G1992" s="8"/>
      <c r="H1992" s="8" t="str">
        <f>IF(F1992="Bullet",MIN(G1992,Assumptions!$B$6),"")</f>
        <v/>
      </c>
      <c r="I1992" s="8">
        <v>2</v>
      </c>
      <c r="J1992" s="8">
        <f>IF(F1992="Monthly interest",MAX(0,Assumptions!$B$5-I1992),"")</f>
        <v>1</v>
      </c>
      <c r="K1992" s="7">
        <f t="shared" si="93"/>
        <v>2906</v>
      </c>
      <c r="L1992" s="9">
        <v>46262</v>
      </c>
      <c r="M1992" s="5" t="s">
        <v>116</v>
      </c>
      <c r="N1992" s="5" t="s">
        <v>117</v>
      </c>
      <c r="O1992" s="5" t="s">
        <v>118</v>
      </c>
      <c r="P1992" s="5" t="s">
        <v>72</v>
      </c>
      <c r="Q1992" s="5" t="s">
        <v>119</v>
      </c>
      <c r="R1992" s="5" t="s">
        <v>120</v>
      </c>
      <c r="S1992" s="5" t="s">
        <v>185</v>
      </c>
      <c r="T1992" s="5" t="s">
        <v>57</v>
      </c>
      <c r="U1992" s="5" t="s">
        <v>58</v>
      </c>
      <c r="V1992" s="5" t="s">
        <v>200</v>
      </c>
      <c r="W1992" s="5" t="s">
        <v>767</v>
      </c>
      <c r="X1992" s="5" t="s">
        <v>3459</v>
      </c>
      <c r="Y1992" s="5" t="s">
        <v>7940</v>
      </c>
      <c r="Z1992" s="9">
        <v>46050</v>
      </c>
      <c r="AA1992" s="8">
        <v>12</v>
      </c>
      <c r="AB1992" s="9">
        <f t="shared" si="94"/>
        <v>46415</v>
      </c>
      <c r="AC1992" s="10">
        <v>20</v>
      </c>
      <c r="AD1992" s="7">
        <f t="shared" si="95"/>
        <v>1453</v>
      </c>
      <c r="AE1992" s="7">
        <f>IF(F1992="Bullet",H1992*AD1992,MIN(MAX(I1992,1),Assumptions!$B$6)*AD1992)</f>
        <v>2906</v>
      </c>
      <c r="AF1992" s="8">
        <f>IF(F1992="Bullet",MAX(0,Assumptions!$B$4-AB1992),MAX(0,Assumptions!$B$4-L1992))</f>
        <v>36</v>
      </c>
      <c r="AG1992" s="9">
        <v>46233</v>
      </c>
      <c r="AH1992" s="8">
        <f>IF(AG1992="","",Assumptions!$B$4-AG1992)</f>
        <v>65</v>
      </c>
      <c r="AI1992" s="5" t="s">
        <v>63</v>
      </c>
      <c r="AJ1992" s="8">
        <v>2</v>
      </c>
      <c r="AK1992" s="8">
        <v>1</v>
      </c>
      <c r="AL1992" s="8">
        <v>648</v>
      </c>
      <c r="AM1992" s="8">
        <v>0</v>
      </c>
      <c r="AN1992" s="5" t="s">
        <v>63</v>
      </c>
      <c r="AO1992" s="10">
        <v>65.099999999999994</v>
      </c>
      <c r="AP1992" s="8">
        <v>55</v>
      </c>
      <c r="AQ1992" s="9">
        <v>46287</v>
      </c>
      <c r="AR1992" s="5" t="s">
        <v>53</v>
      </c>
      <c r="AS1992" s="5" t="s">
        <v>64</v>
      </c>
    </row>
    <row r="1993" spans="1:45" x14ac:dyDescent="0.35">
      <c r="A1993" s="5" t="s">
        <v>7941</v>
      </c>
      <c r="B1993" s="5" t="s">
        <v>7942</v>
      </c>
      <c r="C1993" s="6" t="s">
        <v>7943</v>
      </c>
      <c r="D1993" s="7">
        <v>89600</v>
      </c>
      <c r="E1993" s="5" t="s">
        <v>48</v>
      </c>
      <c r="F1993" s="5" t="s">
        <v>68</v>
      </c>
      <c r="G1993" s="8">
        <v>2</v>
      </c>
      <c r="H1993" s="8">
        <f>IF(F1993="Bullet",MIN(G1993,Assumptions!$B$6),"")</f>
        <v>2</v>
      </c>
      <c r="I1993" s="8"/>
      <c r="J1993" s="8" t="str">
        <f>IF(F1993="Monthly interest",MAX(0,Assumptions!$B$5-I1993),"")</f>
        <v/>
      </c>
      <c r="K1993" s="7">
        <f t="shared" si="93"/>
        <v>2688</v>
      </c>
      <c r="L1993" s="9">
        <v>46217</v>
      </c>
      <c r="M1993" s="5" t="s">
        <v>50</v>
      </c>
      <c r="N1993" s="5" t="s">
        <v>51</v>
      </c>
      <c r="O1993" s="5" t="s">
        <v>71</v>
      </c>
      <c r="P1993" s="5" t="s">
        <v>53</v>
      </c>
      <c r="Q1993" s="5" t="s">
        <v>73</v>
      </c>
      <c r="R1993" s="5" t="s">
        <v>74</v>
      </c>
      <c r="S1993" s="5" t="s">
        <v>56</v>
      </c>
      <c r="T1993" s="5" t="s">
        <v>57</v>
      </c>
      <c r="U1993" s="5" t="s">
        <v>104</v>
      </c>
      <c r="V1993" s="5" t="s">
        <v>59</v>
      </c>
      <c r="W1993" s="5" t="s">
        <v>467</v>
      </c>
      <c r="X1993" s="5" t="s">
        <v>675</v>
      </c>
      <c r="Y1993" s="5" t="s">
        <v>7944</v>
      </c>
      <c r="Z1993" s="9">
        <v>46217</v>
      </c>
      <c r="AA1993" s="8">
        <v>6</v>
      </c>
      <c r="AB1993" s="9">
        <f t="shared" si="94"/>
        <v>46401</v>
      </c>
      <c r="AC1993" s="10">
        <v>18</v>
      </c>
      <c r="AD1993" s="7">
        <f t="shared" si="95"/>
        <v>1344</v>
      </c>
      <c r="AE1993" s="7">
        <f>IF(F1993="Bullet",H1993*AD1993,MIN(MAX(I1993,1),Assumptions!$B$6)*AD1993)</f>
        <v>2688</v>
      </c>
      <c r="AF1993" s="8">
        <f>IF(F1993="Bullet",MAX(0,Assumptions!$B$4-AB1993),MAX(0,Assumptions!$B$4-L1993))</f>
        <v>0</v>
      </c>
      <c r="AG1993" s="9"/>
      <c r="AH1993" s="8" t="str">
        <f>IF(AG1993="","",Assumptions!$B$4-AG1993)</f>
        <v/>
      </c>
      <c r="AI1993" s="5" t="s">
        <v>80</v>
      </c>
      <c r="AJ1993" s="8"/>
      <c r="AK1993" s="8">
        <v>0</v>
      </c>
      <c r="AL1993" s="8">
        <v>725</v>
      </c>
      <c r="AM1993" s="8">
        <v>1</v>
      </c>
      <c r="AN1993" s="5" t="s">
        <v>63</v>
      </c>
      <c r="AO1993" s="10">
        <v>76.599999999999994</v>
      </c>
      <c r="AP1993" s="8">
        <v>18</v>
      </c>
      <c r="AQ1993" s="9">
        <v>46297</v>
      </c>
      <c r="AR1993" s="5" t="s">
        <v>53</v>
      </c>
      <c r="AS1993" s="5" t="s">
        <v>91</v>
      </c>
    </row>
    <row r="1994" spans="1:45" x14ac:dyDescent="0.35">
      <c r="A1994" s="5" t="s">
        <v>7945</v>
      </c>
      <c r="B1994" s="5" t="s">
        <v>5079</v>
      </c>
      <c r="C1994" s="6" t="s">
        <v>7946</v>
      </c>
      <c r="D1994" s="7">
        <v>67200</v>
      </c>
      <c r="E1994" s="5" t="s">
        <v>48</v>
      </c>
      <c r="F1994" s="5" t="s">
        <v>49</v>
      </c>
      <c r="G1994" s="8"/>
      <c r="H1994" s="8" t="str">
        <f>IF(F1994="Bullet",MIN(G1994,Assumptions!$B$6),"")</f>
        <v/>
      </c>
      <c r="I1994" s="8">
        <v>2</v>
      </c>
      <c r="J1994" s="8">
        <f>IF(F1994="Monthly interest",MAX(0,Assumptions!$B$5-I1994),"")</f>
        <v>1</v>
      </c>
      <c r="K1994" s="7">
        <f t="shared" si="93"/>
        <v>2688</v>
      </c>
      <c r="L1994" s="9">
        <v>46247</v>
      </c>
      <c r="M1994" s="5" t="s">
        <v>116</v>
      </c>
      <c r="N1994" s="5" t="s">
        <v>117</v>
      </c>
      <c r="O1994" s="5" t="s">
        <v>118</v>
      </c>
      <c r="P1994" s="5" t="s">
        <v>72</v>
      </c>
      <c r="Q1994" s="5" t="s">
        <v>119</v>
      </c>
      <c r="R1994" s="5" t="s">
        <v>120</v>
      </c>
      <c r="S1994" s="5" t="s">
        <v>75</v>
      </c>
      <c r="T1994" s="5" t="s">
        <v>57</v>
      </c>
      <c r="U1994" s="5" t="s">
        <v>58</v>
      </c>
      <c r="V1994" s="5" t="s">
        <v>76</v>
      </c>
      <c r="W1994" s="5" t="s">
        <v>140</v>
      </c>
      <c r="X1994" s="5" t="s">
        <v>3631</v>
      </c>
      <c r="Y1994" s="5" t="s">
        <v>7947</v>
      </c>
      <c r="Z1994" s="9">
        <v>46035</v>
      </c>
      <c r="AA1994" s="8">
        <v>12</v>
      </c>
      <c r="AB1994" s="9">
        <f t="shared" si="94"/>
        <v>46400</v>
      </c>
      <c r="AC1994" s="10">
        <v>24</v>
      </c>
      <c r="AD1994" s="7">
        <f t="shared" si="95"/>
        <v>1344</v>
      </c>
      <c r="AE1994" s="7">
        <f>IF(F1994="Bullet",H1994*AD1994,MIN(MAX(I1994,1),Assumptions!$B$6)*AD1994)</f>
        <v>2688</v>
      </c>
      <c r="AF1994" s="8">
        <f>IF(F1994="Bullet",MAX(0,Assumptions!$B$4-AB1994),MAX(0,Assumptions!$B$4-L1994))</f>
        <v>51</v>
      </c>
      <c r="AG1994" s="9">
        <v>46218</v>
      </c>
      <c r="AH1994" s="8">
        <f>IF(AG1994="","",Assumptions!$B$4-AG1994)</f>
        <v>80</v>
      </c>
      <c r="AI1994" s="5" t="s">
        <v>63</v>
      </c>
      <c r="AJ1994" s="8">
        <v>2</v>
      </c>
      <c r="AK1994" s="8">
        <v>0</v>
      </c>
      <c r="AL1994" s="8">
        <v>675</v>
      </c>
      <c r="AM1994" s="8">
        <v>1</v>
      </c>
      <c r="AN1994" s="5" t="s">
        <v>63</v>
      </c>
      <c r="AO1994" s="10">
        <v>66.5</v>
      </c>
      <c r="AP1994" s="8">
        <v>48</v>
      </c>
      <c r="AQ1994" s="9">
        <v>46288</v>
      </c>
      <c r="AR1994" s="5" t="s">
        <v>70</v>
      </c>
      <c r="AS1994" s="5" t="s">
        <v>91</v>
      </c>
    </row>
    <row r="1995" spans="1:45" x14ac:dyDescent="0.35">
      <c r="A1995" s="5" t="s">
        <v>7948</v>
      </c>
      <c r="B1995" s="5" t="s">
        <v>4957</v>
      </c>
      <c r="C1995" s="6" t="s">
        <v>7949</v>
      </c>
      <c r="D1995" s="7">
        <v>46700</v>
      </c>
      <c r="E1995" s="5" t="s">
        <v>48</v>
      </c>
      <c r="F1995" s="5" t="s">
        <v>68</v>
      </c>
      <c r="G1995" s="8">
        <v>1</v>
      </c>
      <c r="H1995" s="8">
        <f>IF(F1995="Bullet",MIN(G1995,Assumptions!$B$6),"")</f>
        <v>1</v>
      </c>
      <c r="I1995" s="8"/>
      <c r="J1995" s="8" t="str">
        <f>IF(F1995="Monthly interest",MAX(0,Assumptions!$B$5-I1995),"")</f>
        <v/>
      </c>
      <c r="K1995" s="7">
        <f t="shared" si="93"/>
        <v>545</v>
      </c>
      <c r="L1995" s="9">
        <v>46268</v>
      </c>
      <c r="M1995" s="5" t="s">
        <v>50</v>
      </c>
      <c r="N1995" s="5" t="s">
        <v>51</v>
      </c>
      <c r="O1995" s="5" t="s">
        <v>152</v>
      </c>
      <c r="P1995" s="5" t="s">
        <v>53</v>
      </c>
      <c r="Q1995" s="5" t="s">
        <v>154</v>
      </c>
      <c r="R1995" s="5" t="s">
        <v>155</v>
      </c>
      <c r="S1995" s="5" t="s">
        <v>85</v>
      </c>
      <c r="T1995" s="5" t="s">
        <v>57</v>
      </c>
      <c r="U1995" s="5" t="s">
        <v>104</v>
      </c>
      <c r="V1995" s="5" t="s">
        <v>177</v>
      </c>
      <c r="W1995" s="5" t="s">
        <v>208</v>
      </c>
      <c r="X1995" s="5" t="s">
        <v>1314</v>
      </c>
      <c r="Y1995" s="5" t="s">
        <v>7950</v>
      </c>
      <c r="Z1995" s="9">
        <v>46268</v>
      </c>
      <c r="AA1995" s="8">
        <v>6</v>
      </c>
      <c r="AB1995" s="9">
        <f t="shared" si="94"/>
        <v>46449</v>
      </c>
      <c r="AC1995" s="10">
        <v>14</v>
      </c>
      <c r="AD1995" s="7">
        <f t="shared" si="95"/>
        <v>545</v>
      </c>
      <c r="AE1995" s="7">
        <f>IF(F1995="Bullet",H1995*AD1995,MIN(MAX(I1995,1),Assumptions!$B$6)*AD1995)</f>
        <v>545</v>
      </c>
      <c r="AF1995" s="8">
        <f>IF(F1995="Bullet",MAX(0,Assumptions!$B$4-AB1995),MAX(0,Assumptions!$B$4-L1995))</f>
        <v>0</v>
      </c>
      <c r="AG1995" s="9"/>
      <c r="AH1995" s="8" t="str">
        <f>IF(AG1995="","",Assumptions!$B$4-AG1995)</f>
        <v/>
      </c>
      <c r="AI1995" s="5" t="s">
        <v>80</v>
      </c>
      <c r="AJ1995" s="8"/>
      <c r="AK1995" s="8">
        <v>0</v>
      </c>
      <c r="AL1995" s="8">
        <v>667</v>
      </c>
      <c r="AM1995" s="8">
        <v>2</v>
      </c>
      <c r="AN1995" s="5" t="s">
        <v>57</v>
      </c>
      <c r="AO1995" s="10">
        <v>71.599999999999994</v>
      </c>
      <c r="AP1995" s="8">
        <v>30</v>
      </c>
      <c r="AQ1995" s="9">
        <v>46285</v>
      </c>
      <c r="AR1995" s="5" t="s">
        <v>53</v>
      </c>
      <c r="AS1995" s="5" t="s">
        <v>91</v>
      </c>
    </row>
    <row r="1996" spans="1:45" x14ac:dyDescent="0.35">
      <c r="A1996" s="5" t="s">
        <v>7951</v>
      </c>
      <c r="B1996" s="5" t="s">
        <v>2292</v>
      </c>
      <c r="C1996" s="6" t="s">
        <v>7952</v>
      </c>
      <c r="D1996" s="7">
        <v>81700</v>
      </c>
      <c r="E1996" s="5" t="s">
        <v>48</v>
      </c>
      <c r="F1996" s="5" t="s">
        <v>68</v>
      </c>
      <c r="G1996" s="8">
        <v>6</v>
      </c>
      <c r="H1996" s="8">
        <f>IF(F1996="Bullet",MIN(G1996,Assumptions!$B$6),"")</f>
        <v>2</v>
      </c>
      <c r="I1996" s="8"/>
      <c r="J1996" s="8" t="str">
        <f>IF(F1996="Monthly interest",MAX(0,Assumptions!$B$5-I1996),"")</f>
        <v/>
      </c>
      <c r="K1996" s="7">
        <f t="shared" si="93"/>
        <v>7356</v>
      </c>
      <c r="L1996" s="9">
        <v>46111</v>
      </c>
      <c r="M1996" s="5" t="s">
        <v>116</v>
      </c>
      <c r="N1996" s="5" t="s">
        <v>117</v>
      </c>
      <c r="O1996" s="5" t="s">
        <v>461</v>
      </c>
      <c r="P1996" s="5" t="s">
        <v>72</v>
      </c>
      <c r="Q1996" s="5" t="s">
        <v>169</v>
      </c>
      <c r="R1996" s="5" t="s">
        <v>170</v>
      </c>
      <c r="S1996" s="5" t="s">
        <v>185</v>
      </c>
      <c r="T1996" s="5" t="s">
        <v>57</v>
      </c>
      <c r="U1996" s="5" t="s">
        <v>86</v>
      </c>
      <c r="V1996" s="5" t="s">
        <v>186</v>
      </c>
      <c r="W1996" s="5" t="s">
        <v>329</v>
      </c>
      <c r="X1996" s="5" t="s">
        <v>2343</v>
      </c>
      <c r="Y1996" s="5" t="s">
        <v>7953</v>
      </c>
      <c r="Z1996" s="9">
        <v>46111</v>
      </c>
      <c r="AA1996" s="8">
        <v>6</v>
      </c>
      <c r="AB1996" s="9">
        <f t="shared" si="94"/>
        <v>46295</v>
      </c>
      <c r="AC1996" s="10">
        <v>18</v>
      </c>
      <c r="AD1996" s="7">
        <f t="shared" si="95"/>
        <v>1226</v>
      </c>
      <c r="AE1996" s="7">
        <f>IF(F1996="Bullet",H1996*AD1996,MIN(MAX(I1996,1),Assumptions!$B$6)*AD1996)</f>
        <v>2452</v>
      </c>
      <c r="AF1996" s="8">
        <f>IF(F1996="Bullet",MAX(0,Assumptions!$B$4-AB1996),MAX(0,Assumptions!$B$4-L1996))</f>
        <v>3</v>
      </c>
      <c r="AG1996" s="9"/>
      <c r="AH1996" s="8" t="str">
        <f>IF(AG1996="","",Assumptions!$B$4-AG1996)</f>
        <v/>
      </c>
      <c r="AI1996" s="5" t="s">
        <v>80</v>
      </c>
      <c r="AJ1996" s="8"/>
      <c r="AK1996" s="8">
        <v>2</v>
      </c>
      <c r="AL1996" s="8" t="s">
        <v>80</v>
      </c>
      <c r="AM1996" s="8">
        <v>4</v>
      </c>
      <c r="AN1996" s="5" t="s">
        <v>63</v>
      </c>
      <c r="AO1996" s="10">
        <v>51.9</v>
      </c>
      <c r="AP1996" s="8">
        <v>67</v>
      </c>
      <c r="AQ1996" s="9">
        <v>46286</v>
      </c>
      <c r="AR1996" s="5" t="s">
        <v>51</v>
      </c>
      <c r="AS1996" s="5" t="s">
        <v>91</v>
      </c>
    </row>
    <row r="1997" spans="1:45" x14ac:dyDescent="0.35">
      <c r="A1997" s="5" t="s">
        <v>7954</v>
      </c>
      <c r="B1997" s="5" t="s">
        <v>3044</v>
      </c>
      <c r="C1997" s="6" t="s">
        <v>7955</v>
      </c>
      <c r="D1997" s="7">
        <v>23800</v>
      </c>
      <c r="E1997" s="5" t="s">
        <v>48</v>
      </c>
      <c r="F1997" s="5" t="s">
        <v>49</v>
      </c>
      <c r="G1997" s="8"/>
      <c r="H1997" s="8" t="str">
        <f>IF(F1997="Bullet",MIN(G1997,Assumptions!$B$6),"")</f>
        <v/>
      </c>
      <c r="I1997" s="8">
        <v>2</v>
      </c>
      <c r="J1997" s="8">
        <f>IF(F1997="Monthly interest",MAX(0,Assumptions!$B$5-I1997),"")</f>
        <v>1</v>
      </c>
      <c r="K1997" s="7">
        <f t="shared" si="93"/>
        <v>872</v>
      </c>
      <c r="L1997" s="9">
        <v>46253</v>
      </c>
      <c r="M1997" s="5" t="s">
        <v>116</v>
      </c>
      <c r="N1997" s="5" t="s">
        <v>117</v>
      </c>
      <c r="O1997" s="5" t="s">
        <v>450</v>
      </c>
      <c r="P1997" s="5" t="s">
        <v>72</v>
      </c>
      <c r="Q1997" s="5" t="s">
        <v>154</v>
      </c>
      <c r="R1997" s="5" t="s">
        <v>155</v>
      </c>
      <c r="S1997" s="5" t="s">
        <v>253</v>
      </c>
      <c r="T1997" s="5" t="s">
        <v>57</v>
      </c>
      <c r="U1997" s="5" t="s">
        <v>58</v>
      </c>
      <c r="V1997" s="5" t="s">
        <v>177</v>
      </c>
      <c r="W1997" s="5" t="s">
        <v>178</v>
      </c>
      <c r="X1997" s="5" t="s">
        <v>1261</v>
      </c>
      <c r="Y1997" s="5" t="s">
        <v>7956</v>
      </c>
      <c r="Z1997" s="9">
        <v>46072</v>
      </c>
      <c r="AA1997" s="8">
        <v>12</v>
      </c>
      <c r="AB1997" s="9">
        <f t="shared" si="94"/>
        <v>46437</v>
      </c>
      <c r="AC1997" s="10">
        <v>22</v>
      </c>
      <c r="AD1997" s="7">
        <f t="shared" si="95"/>
        <v>436</v>
      </c>
      <c r="AE1997" s="7">
        <f>IF(F1997="Bullet",H1997*AD1997,MIN(MAX(I1997,1),Assumptions!$B$6)*AD1997)</f>
        <v>872</v>
      </c>
      <c r="AF1997" s="8">
        <f>IF(F1997="Bullet",MAX(0,Assumptions!$B$4-AB1997),MAX(0,Assumptions!$B$4-L1997))</f>
        <v>45</v>
      </c>
      <c r="AG1997" s="9">
        <v>46227</v>
      </c>
      <c r="AH1997" s="8">
        <f>IF(AG1997="","",Assumptions!$B$4-AG1997)</f>
        <v>71</v>
      </c>
      <c r="AI1997" s="5" t="s">
        <v>63</v>
      </c>
      <c r="AJ1997" s="8">
        <v>3</v>
      </c>
      <c r="AK1997" s="8">
        <v>0</v>
      </c>
      <c r="AL1997" s="8" t="s">
        <v>80</v>
      </c>
      <c r="AM1997" s="8">
        <v>3</v>
      </c>
      <c r="AN1997" s="5" t="s">
        <v>63</v>
      </c>
      <c r="AO1997" s="10">
        <v>51.1</v>
      </c>
      <c r="AP1997" s="8">
        <v>53</v>
      </c>
      <c r="AQ1997" s="9">
        <v>46282</v>
      </c>
      <c r="AR1997" s="5" t="s">
        <v>70</v>
      </c>
      <c r="AS1997" s="5" t="s">
        <v>81</v>
      </c>
    </row>
    <row r="1998" spans="1:45" x14ac:dyDescent="0.35">
      <c r="A1998" s="5" t="s">
        <v>7957</v>
      </c>
      <c r="B1998" s="5" t="s">
        <v>7958</v>
      </c>
      <c r="C1998" s="6" t="s">
        <v>7959</v>
      </c>
      <c r="D1998" s="7">
        <v>124600</v>
      </c>
      <c r="E1998" s="5" t="s">
        <v>48</v>
      </c>
      <c r="F1998" s="5" t="s">
        <v>68</v>
      </c>
      <c r="G1998" s="8">
        <v>1</v>
      </c>
      <c r="H1998" s="8">
        <f>IF(F1998="Bullet",MIN(G1998,Assumptions!$B$6),"")</f>
        <v>1</v>
      </c>
      <c r="I1998" s="8"/>
      <c r="J1998" s="8" t="str">
        <f>IF(F1998="Monthly interest",MAX(0,Assumptions!$B$5-I1998),"")</f>
        <v/>
      </c>
      <c r="K1998" s="7">
        <f t="shared" si="93"/>
        <v>1869</v>
      </c>
      <c r="L1998" s="9">
        <v>46247</v>
      </c>
      <c r="M1998" s="5" t="s">
        <v>50</v>
      </c>
      <c r="N1998" s="5" t="s">
        <v>51</v>
      </c>
      <c r="O1998" s="5" t="s">
        <v>71</v>
      </c>
      <c r="P1998" s="5" t="s">
        <v>53</v>
      </c>
      <c r="Q1998" s="5" t="s">
        <v>73</v>
      </c>
      <c r="R1998" s="5" t="s">
        <v>74</v>
      </c>
      <c r="S1998" s="5" t="s">
        <v>214</v>
      </c>
      <c r="T1998" s="5" t="s">
        <v>57</v>
      </c>
      <c r="U1998" s="5" t="s">
        <v>104</v>
      </c>
      <c r="V1998" s="5" t="s">
        <v>215</v>
      </c>
      <c r="W1998" s="5" t="s">
        <v>232</v>
      </c>
      <c r="X1998" s="5" t="s">
        <v>3242</v>
      </c>
      <c r="Y1998" s="5" t="s">
        <v>7960</v>
      </c>
      <c r="Z1998" s="9">
        <v>46247</v>
      </c>
      <c r="AA1998" s="8">
        <v>12</v>
      </c>
      <c r="AB1998" s="9">
        <f t="shared" si="94"/>
        <v>46612</v>
      </c>
      <c r="AC1998" s="10">
        <v>18</v>
      </c>
      <c r="AD1998" s="7">
        <f t="shared" si="95"/>
        <v>1869</v>
      </c>
      <c r="AE1998" s="7">
        <f>IF(F1998="Bullet",H1998*AD1998,MIN(MAX(I1998,1),Assumptions!$B$6)*AD1998)</f>
        <v>1869</v>
      </c>
      <c r="AF1998" s="8">
        <f>IF(F1998="Bullet",MAX(0,Assumptions!$B$4-AB1998),MAX(0,Assumptions!$B$4-L1998))</f>
        <v>0</v>
      </c>
      <c r="AG1998" s="9"/>
      <c r="AH1998" s="8" t="str">
        <f>IF(AG1998="","",Assumptions!$B$4-AG1998)</f>
        <v/>
      </c>
      <c r="AI1998" s="5" t="s">
        <v>80</v>
      </c>
      <c r="AJ1998" s="8"/>
      <c r="AK1998" s="8">
        <v>0</v>
      </c>
      <c r="AL1998" s="8">
        <v>862</v>
      </c>
      <c r="AM1998" s="8">
        <v>0</v>
      </c>
      <c r="AN1998" s="5" t="s">
        <v>63</v>
      </c>
      <c r="AO1998" s="10">
        <v>69.2</v>
      </c>
      <c r="AP1998" s="8">
        <v>0</v>
      </c>
      <c r="AQ1998" s="9"/>
      <c r="AR1998" s="5"/>
      <c r="AS1998" s="5" t="s">
        <v>159</v>
      </c>
    </row>
    <row r="1999" spans="1:45" x14ac:dyDescent="0.35">
      <c r="A1999" s="5" t="s">
        <v>7961</v>
      </c>
      <c r="B1999" s="5" t="s">
        <v>5684</v>
      </c>
      <c r="C1999" s="6" t="s">
        <v>7962</v>
      </c>
      <c r="D1999" s="7">
        <v>252800</v>
      </c>
      <c r="E1999" s="5" t="s">
        <v>48</v>
      </c>
      <c r="F1999" s="5" t="s">
        <v>68</v>
      </c>
      <c r="G1999" s="8">
        <v>3</v>
      </c>
      <c r="H1999" s="8">
        <f>IF(F1999="Bullet",MIN(G1999,Assumptions!$B$6),"")</f>
        <v>2</v>
      </c>
      <c r="I1999" s="8"/>
      <c r="J1999" s="8" t="str">
        <f>IF(F1999="Monthly interest",MAX(0,Assumptions!$B$5-I1999),"")</f>
        <v/>
      </c>
      <c r="K1999" s="7">
        <f t="shared" si="93"/>
        <v>11376</v>
      </c>
      <c r="L1999" s="9">
        <v>46187</v>
      </c>
      <c r="M1999" s="5" t="s">
        <v>116</v>
      </c>
      <c r="N1999" s="5" t="s">
        <v>117</v>
      </c>
      <c r="O1999" s="5" t="s">
        <v>207</v>
      </c>
      <c r="P1999" s="5" t="s">
        <v>72</v>
      </c>
      <c r="Q1999" s="5" t="s">
        <v>73</v>
      </c>
      <c r="R1999" s="5" t="s">
        <v>74</v>
      </c>
      <c r="S1999" s="5" t="s">
        <v>253</v>
      </c>
      <c r="T1999" s="5" t="s">
        <v>63</v>
      </c>
      <c r="U1999" s="5" t="s">
        <v>86</v>
      </c>
      <c r="V1999" s="5" t="s">
        <v>76</v>
      </c>
      <c r="W1999" s="5" t="s">
        <v>306</v>
      </c>
      <c r="X1999" s="5" t="s">
        <v>6936</v>
      </c>
      <c r="Y1999" s="5" t="s">
        <v>7963</v>
      </c>
      <c r="Z1999" s="9">
        <v>46187</v>
      </c>
      <c r="AA1999" s="8">
        <v>6</v>
      </c>
      <c r="AB1999" s="9">
        <f t="shared" si="94"/>
        <v>46370</v>
      </c>
      <c r="AC1999" s="10">
        <v>18</v>
      </c>
      <c r="AD1999" s="7">
        <f t="shared" si="95"/>
        <v>3792</v>
      </c>
      <c r="AE1999" s="7">
        <f>IF(F1999="Bullet",H1999*AD1999,MIN(MAX(I1999,1),Assumptions!$B$6)*AD1999)</f>
        <v>7584</v>
      </c>
      <c r="AF1999" s="8">
        <f>IF(F1999="Bullet",MAX(0,Assumptions!$B$4-AB1999),MAX(0,Assumptions!$B$4-L1999))</f>
        <v>0</v>
      </c>
      <c r="AG1999" s="9"/>
      <c r="AH1999" s="8" t="str">
        <f>IF(AG1999="","",Assumptions!$B$4-AG1999)</f>
        <v/>
      </c>
      <c r="AI1999" s="5" t="s">
        <v>80</v>
      </c>
      <c r="AJ1999" s="8"/>
      <c r="AK1999" s="8">
        <v>4</v>
      </c>
      <c r="AL1999" s="8">
        <v>711</v>
      </c>
      <c r="AM1999" s="8">
        <v>0</v>
      </c>
      <c r="AN1999" s="5" t="s">
        <v>57</v>
      </c>
      <c r="AO1999" s="10">
        <v>65.099999999999994</v>
      </c>
      <c r="AP1999" s="8">
        <v>48</v>
      </c>
      <c r="AQ1999" s="9">
        <v>46295</v>
      </c>
      <c r="AR1999" s="5" t="s">
        <v>53</v>
      </c>
      <c r="AS1999" s="5" t="s">
        <v>64</v>
      </c>
    </row>
    <row r="2000" spans="1:45" x14ac:dyDescent="0.35">
      <c r="A2000" s="5" t="s">
        <v>7964</v>
      </c>
      <c r="B2000" s="5" t="s">
        <v>4527</v>
      </c>
      <c r="C2000" s="6" t="s">
        <v>7965</v>
      </c>
      <c r="D2000" s="7">
        <v>320700</v>
      </c>
      <c r="E2000" s="5" t="s">
        <v>48</v>
      </c>
      <c r="F2000" s="5" t="s">
        <v>49</v>
      </c>
      <c r="G2000" s="8"/>
      <c r="H2000" s="8" t="str">
        <f>IF(F2000="Bullet",MIN(G2000,Assumptions!$B$6),"")</f>
        <v/>
      </c>
      <c r="I2000" s="8">
        <v>2</v>
      </c>
      <c r="J2000" s="8">
        <f>IF(F2000="Monthly interest",MAX(0,Assumptions!$B$5-I2000),"")</f>
        <v>1</v>
      </c>
      <c r="K2000" s="7">
        <f t="shared" si="93"/>
        <v>11760</v>
      </c>
      <c r="L2000" s="9">
        <v>46261</v>
      </c>
      <c r="M2000" s="5" t="s">
        <v>69</v>
      </c>
      <c r="N2000" s="5" t="s">
        <v>70</v>
      </c>
      <c r="O2000" s="5" t="s">
        <v>71</v>
      </c>
      <c r="P2000" s="5" t="s">
        <v>72</v>
      </c>
      <c r="Q2000" s="5" t="s">
        <v>73</v>
      </c>
      <c r="R2000" s="5" t="s">
        <v>74</v>
      </c>
      <c r="S2000" s="5" t="s">
        <v>185</v>
      </c>
      <c r="T2000" s="5" t="s">
        <v>57</v>
      </c>
      <c r="U2000" s="5" t="s">
        <v>104</v>
      </c>
      <c r="V2000" s="5" t="s">
        <v>200</v>
      </c>
      <c r="W2000" s="5" t="s">
        <v>767</v>
      </c>
      <c r="X2000" s="5" t="s">
        <v>7740</v>
      </c>
      <c r="Y2000" s="5" t="s">
        <v>7966</v>
      </c>
      <c r="Z2000" s="9">
        <v>46049</v>
      </c>
      <c r="AA2000" s="8">
        <v>12</v>
      </c>
      <c r="AB2000" s="9">
        <f t="shared" si="94"/>
        <v>46414</v>
      </c>
      <c r="AC2000" s="10">
        <v>22</v>
      </c>
      <c r="AD2000" s="7">
        <f t="shared" si="95"/>
        <v>5880</v>
      </c>
      <c r="AE2000" s="7">
        <f>IF(F2000="Bullet",H2000*AD2000,MIN(MAX(I2000,1),Assumptions!$B$6)*AD2000)</f>
        <v>11760</v>
      </c>
      <c r="AF2000" s="8">
        <f>IF(F2000="Bullet",MAX(0,Assumptions!$B$4-AB2000),MAX(0,Assumptions!$B$4-L2000))</f>
        <v>37</v>
      </c>
      <c r="AG2000" s="9">
        <v>46234</v>
      </c>
      <c r="AH2000" s="8">
        <f>IF(AG2000="","",Assumptions!$B$4-AG2000)</f>
        <v>64</v>
      </c>
      <c r="AI2000" s="5" t="s">
        <v>63</v>
      </c>
      <c r="AJ2000" s="8">
        <v>2</v>
      </c>
      <c r="AK2000" s="8">
        <v>0</v>
      </c>
      <c r="AL2000" s="8">
        <v>700</v>
      </c>
      <c r="AM2000" s="8">
        <v>0</v>
      </c>
      <c r="AN2000" s="5" t="s">
        <v>63</v>
      </c>
      <c r="AO2000" s="10">
        <v>57</v>
      </c>
      <c r="AP2000" s="8">
        <v>40</v>
      </c>
      <c r="AQ2000" s="9">
        <v>46288</v>
      </c>
      <c r="AR2000" s="5" t="s">
        <v>72</v>
      </c>
      <c r="AS2000" s="5" t="s">
        <v>91</v>
      </c>
    </row>
    <row r="2001" spans="1:45" x14ac:dyDescent="0.35">
      <c r="A2001" s="5" t="s">
        <v>7967</v>
      </c>
      <c r="B2001" s="5" t="s">
        <v>4294</v>
      </c>
      <c r="C2001" s="6" t="s">
        <v>7968</v>
      </c>
      <c r="D2001" s="7">
        <v>209100</v>
      </c>
      <c r="E2001" s="5" t="s">
        <v>48</v>
      </c>
      <c r="F2001" s="5" t="s">
        <v>68</v>
      </c>
      <c r="G2001" s="8">
        <v>1</v>
      </c>
      <c r="H2001" s="8">
        <f>IF(F2001="Bullet",MIN(G2001,Assumptions!$B$6),"")</f>
        <v>1</v>
      </c>
      <c r="I2001" s="8"/>
      <c r="J2001" s="8" t="str">
        <f>IF(F2001="Monthly interest",MAX(0,Assumptions!$B$5-I2001),"")</f>
        <v/>
      </c>
      <c r="K2001" s="7">
        <f t="shared" si="93"/>
        <v>3137</v>
      </c>
      <c r="L2001" s="9">
        <v>46261</v>
      </c>
      <c r="M2001" s="5" t="s">
        <v>50</v>
      </c>
      <c r="N2001" s="5" t="s">
        <v>53</v>
      </c>
      <c r="O2001" s="5" t="s">
        <v>103</v>
      </c>
      <c r="P2001" s="5" t="s">
        <v>70</v>
      </c>
      <c r="Q2001" s="5" t="s">
        <v>73</v>
      </c>
      <c r="R2001" s="5" t="s">
        <v>74</v>
      </c>
      <c r="S2001" s="5" t="s">
        <v>75</v>
      </c>
      <c r="T2001" s="5" t="s">
        <v>63</v>
      </c>
      <c r="U2001" s="5" t="s">
        <v>104</v>
      </c>
      <c r="V2001" s="5" t="s">
        <v>76</v>
      </c>
      <c r="W2001" s="5" t="s">
        <v>306</v>
      </c>
      <c r="X2001" s="5" t="s">
        <v>307</v>
      </c>
      <c r="Y2001" s="5" t="s">
        <v>7969</v>
      </c>
      <c r="Z2001" s="9">
        <v>46261</v>
      </c>
      <c r="AA2001" s="8">
        <v>12</v>
      </c>
      <c r="AB2001" s="9">
        <f t="shared" si="94"/>
        <v>46626</v>
      </c>
      <c r="AC2001" s="10">
        <v>18</v>
      </c>
      <c r="AD2001" s="7">
        <f t="shared" si="95"/>
        <v>3137</v>
      </c>
      <c r="AE2001" s="7">
        <f>IF(F2001="Bullet",H2001*AD2001,MIN(MAX(I2001,1),Assumptions!$B$6)*AD2001)</f>
        <v>3137</v>
      </c>
      <c r="AF2001" s="8">
        <f>IF(F2001="Bullet",MAX(0,Assumptions!$B$4-AB2001),MAX(0,Assumptions!$B$4-L2001))</f>
        <v>0</v>
      </c>
      <c r="AG2001" s="9"/>
      <c r="AH2001" s="8" t="str">
        <f>IF(AG2001="","",Assumptions!$B$4-AG2001)</f>
        <v/>
      </c>
      <c r="AI2001" s="5" t="s">
        <v>80</v>
      </c>
      <c r="AJ2001" s="8"/>
      <c r="AK2001" s="8">
        <v>0</v>
      </c>
      <c r="AL2001" s="8">
        <v>625</v>
      </c>
      <c r="AM2001" s="8">
        <v>1</v>
      </c>
      <c r="AN2001" s="5" t="s">
        <v>63</v>
      </c>
      <c r="AO2001" s="10">
        <v>61.4</v>
      </c>
      <c r="AP2001" s="8">
        <v>19</v>
      </c>
      <c r="AQ2001" s="9">
        <v>46287</v>
      </c>
      <c r="AR2001" s="5" t="s">
        <v>51</v>
      </c>
      <c r="AS2001" s="5" t="s">
        <v>81</v>
      </c>
    </row>
  </sheetData>
  <autoFilter ref="A1:AS1" xr:uid="{00000000-0001-0000-0000-000000000000}"/>
  <conditionalFormatting sqref="M2:M2001">
    <cfRule type="cellIs" dxfId="14" priority="2" operator="equal">
      <formula>"High"</formula>
    </cfRule>
    <cfRule type="cellIs" dxfId="13" priority="3" operator="equal">
      <formula>"Medium"</formula>
    </cfRule>
    <cfRule type="cellIs" dxfId="12" priority="4" operator="equal">
      <formula>"Low"</formula>
    </cfRule>
  </conditionalFormatting>
  <conditionalFormatting sqref="N2:N2001">
    <cfRule type="cellIs" dxfId="11" priority="5" operator="equal">
      <formula>"WhatsApp reminder"</formula>
    </cfRule>
    <cfRule type="cellIs" dxfId="10" priority="6" operator="equal">
      <formula>"Voice bot"</formula>
    </cfRule>
    <cfRule type="cellIs" dxfId="9" priority="7" operator="equal">
      <formula>"Call center"</formula>
    </cfRule>
    <cfRule type="cellIs" dxfId="8" priority="8" operator="equal">
      <formula>"Bot + call center"</formula>
    </cfRule>
    <cfRule type="cellIs" dxfId="7" priority="9" operator="equal">
      <formula>"Field visit"</formula>
    </cfRule>
    <cfRule type="cellIs" dxfId="6" priority="10" operator="equal">
      <formula>"Branch manager escalation"</formula>
    </cfRule>
  </conditionalFormatting>
  <conditionalFormatting sqref="P2:P2001">
    <cfRule type="cellIs" dxfId="5" priority="11" operator="equal">
      <formula>"WhatsApp reminder"</formula>
    </cfRule>
    <cfRule type="cellIs" dxfId="4" priority="12" operator="equal">
      <formula>"Voice bot"</formula>
    </cfRule>
    <cfRule type="cellIs" dxfId="3" priority="13" operator="equal">
      <formula>"Call center"</formula>
    </cfRule>
    <cfRule type="cellIs" dxfId="2" priority="14" operator="equal">
      <formula>"Bot + call center"</formula>
    </cfRule>
    <cfRule type="cellIs" dxfId="1" priority="15" operator="equal">
      <formula>"Field visit"</formula>
    </cfRule>
    <cfRule type="cellIs" dxfId="0" priority="16" operator="equal">
      <formula>"Branch manager escalation"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zoomScaleNormal="100" workbookViewId="0"/>
  </sheetViews>
  <sheetFormatPr defaultColWidth="8.6328125" defaultRowHeight="14.5" x14ac:dyDescent="0.35"/>
  <cols>
    <col min="1" max="1" width="40" customWidth="1"/>
    <col min="2" max="6" width="18" customWidth="1"/>
  </cols>
  <sheetData>
    <row r="1" spans="1:5" ht="18" x14ac:dyDescent="0.4">
      <c r="A1" s="11" t="s">
        <v>7970</v>
      </c>
    </row>
    <row r="2" spans="1:5" x14ac:dyDescent="0.35">
      <c r="A2" s="12" t="s">
        <v>7971</v>
      </c>
    </row>
    <row r="4" spans="1:5" x14ac:dyDescent="0.35">
      <c r="A4" s="13" t="s">
        <v>7972</v>
      </c>
    </row>
    <row r="5" spans="1:5" x14ac:dyDescent="0.35">
      <c r="A5" s="2" t="s">
        <v>5</v>
      </c>
      <c r="B5" s="2" t="s">
        <v>7973</v>
      </c>
      <c r="C5" s="2" t="s">
        <v>7974</v>
      </c>
      <c r="D5" s="2" t="s">
        <v>7975</v>
      </c>
      <c r="E5" s="2" t="s">
        <v>7976</v>
      </c>
    </row>
    <row r="6" spans="1:5" x14ac:dyDescent="0.35">
      <c r="A6" s="14" t="s">
        <v>68</v>
      </c>
      <c r="B6" s="15">
        <f>COUNTIF(Customers!$F$2:$F$2001,A6)</f>
        <v>874</v>
      </c>
      <c r="C6" s="16">
        <f>B6/COUNTA(Customers!$A$2:$A$2001)</f>
        <v>0.437</v>
      </c>
      <c r="D6" s="15">
        <f>SUMIFS(Customers!$D$2:$D$2001,Customers!$F$2:$F$2001,A6)</f>
        <v>158403400</v>
      </c>
      <c r="E6" s="15">
        <f>SUMIFS(Customers!$K$2:$K$2001,Customers!$F$2:$F$2001,A6)</f>
        <v>6450692</v>
      </c>
    </row>
    <row r="7" spans="1:5" x14ac:dyDescent="0.35">
      <c r="A7" s="14" t="s">
        <v>49</v>
      </c>
      <c r="B7" s="15">
        <f>COUNTIF(Customers!$F$2:$F$2001,A7)</f>
        <v>1126</v>
      </c>
      <c r="C7" s="16">
        <f>B7/COUNTA(Customers!$A$2:$A$2001)</f>
        <v>0.56299999999999994</v>
      </c>
      <c r="D7" s="15">
        <f>SUMIFS(Customers!$D$2:$D$2001,Customers!$F$2:$F$2001,A7)</f>
        <v>205733600</v>
      </c>
      <c r="E7" s="15">
        <f>SUMIFS(Customers!$K$2:$K$2001,Customers!$F$2:$F$2001,A7)</f>
        <v>4560693</v>
      </c>
    </row>
    <row r="8" spans="1:5" x14ac:dyDescent="0.35">
      <c r="A8" s="17" t="s">
        <v>7977</v>
      </c>
      <c r="B8" s="18">
        <f>SUM(B6:B7)</f>
        <v>2000</v>
      </c>
      <c r="C8" s="19">
        <f>SUM(C6:C7)</f>
        <v>1</v>
      </c>
      <c r="D8" s="18">
        <f>SUM(D6:D7)</f>
        <v>364137000</v>
      </c>
      <c r="E8" s="18">
        <f>SUM(E6:E7)</f>
        <v>11011385</v>
      </c>
    </row>
    <row r="10" spans="1:5" x14ac:dyDescent="0.35">
      <c r="A10" s="13" t="s">
        <v>7978</v>
      </c>
    </row>
    <row r="11" spans="1:5" x14ac:dyDescent="0.35">
      <c r="A11" s="2" t="s">
        <v>12</v>
      </c>
      <c r="B11" s="2" t="s">
        <v>7973</v>
      </c>
      <c r="C11" s="2" t="s">
        <v>7974</v>
      </c>
      <c r="D11" s="2" t="s">
        <v>7975</v>
      </c>
      <c r="E11" s="2" t="s">
        <v>7976</v>
      </c>
    </row>
    <row r="12" spans="1:5" x14ac:dyDescent="0.35">
      <c r="A12" s="14" t="s">
        <v>116</v>
      </c>
      <c r="B12" s="15">
        <f>COUNTIF(Customers!$M$2:$M$2001,A12)</f>
        <v>519</v>
      </c>
      <c r="C12" s="16">
        <f>B12/COUNTA(Customers!$A$2:$A$2001)</f>
        <v>0.25950000000000001</v>
      </c>
      <c r="D12" s="15">
        <f>SUMIFS(Customers!$D$2:$D$2001,Customers!$M$2:$M$2001,A12)</f>
        <v>97141200</v>
      </c>
      <c r="E12" s="15">
        <f>SUMIFS(Customers!$K$2:$K$2001,Customers!$M$2:$M$2001,A12)</f>
        <v>4057076</v>
      </c>
    </row>
    <row r="13" spans="1:5" x14ac:dyDescent="0.35">
      <c r="A13" s="14" t="s">
        <v>69</v>
      </c>
      <c r="B13" s="15">
        <f>COUNTIF(Customers!$M$2:$M$2001,A13)</f>
        <v>688</v>
      </c>
      <c r="C13" s="16">
        <f>B13/COUNTA(Customers!$A$2:$A$2001)</f>
        <v>0.34399999999999997</v>
      </c>
      <c r="D13" s="15">
        <f>SUMIFS(Customers!$D$2:$D$2001,Customers!$M$2:$M$2001,A13)</f>
        <v>124490900</v>
      </c>
      <c r="E13" s="15">
        <f>SUMIFS(Customers!$K$2:$K$2001,Customers!$M$2:$M$2001,A13)</f>
        <v>3843687</v>
      </c>
    </row>
    <row r="14" spans="1:5" x14ac:dyDescent="0.35">
      <c r="A14" s="14" t="s">
        <v>50</v>
      </c>
      <c r="B14" s="15">
        <f>COUNTIF(Customers!$M$2:$M$2001,A14)</f>
        <v>793</v>
      </c>
      <c r="C14" s="16">
        <f>B14/COUNTA(Customers!$A$2:$A$2001)</f>
        <v>0.39650000000000002</v>
      </c>
      <c r="D14" s="15">
        <f>SUMIFS(Customers!$D$2:$D$2001,Customers!$M$2:$M$2001,A14)</f>
        <v>142504900</v>
      </c>
      <c r="E14" s="15">
        <f>SUMIFS(Customers!$K$2:$K$2001,Customers!$M$2:$M$2001,A14)</f>
        <v>3110622</v>
      </c>
    </row>
    <row r="16" spans="1:5" x14ac:dyDescent="0.35">
      <c r="A16" s="13" t="s">
        <v>7979</v>
      </c>
    </row>
    <row r="17" spans="1:6" x14ac:dyDescent="0.35">
      <c r="A17" s="2" t="s">
        <v>13</v>
      </c>
      <c r="B17" s="2" t="s">
        <v>7973</v>
      </c>
      <c r="C17" s="2" t="s">
        <v>7974</v>
      </c>
      <c r="D17" s="2" t="s">
        <v>7975</v>
      </c>
      <c r="E17" s="2" t="s">
        <v>7976</v>
      </c>
    </row>
    <row r="18" spans="1:6" x14ac:dyDescent="0.35">
      <c r="A18" s="14" t="s">
        <v>51</v>
      </c>
      <c r="B18" s="15">
        <f>COUNTIF(Customers!$N$2:$N$2001,A18)</f>
        <v>509</v>
      </c>
      <c r="C18" s="16">
        <f>B18/COUNTA(Customers!$A$2:$A$2001)</f>
        <v>0.2545</v>
      </c>
      <c r="D18" s="15">
        <f>SUMIFS(Customers!$D$2:$D$2001,Customers!$N$2:$N$2001,A18)</f>
        <v>91034300</v>
      </c>
      <c r="E18" s="15">
        <f>SUMIFS(Customers!$K$2:$K$2001,Customers!$N$2:$N$2001,A18)</f>
        <v>1564057</v>
      </c>
    </row>
    <row r="19" spans="1:6" x14ac:dyDescent="0.35">
      <c r="A19" s="14" t="s">
        <v>53</v>
      </c>
      <c r="B19" s="15">
        <f>COUNTIF(Customers!$N$2:$N$2001,A19)</f>
        <v>772</v>
      </c>
      <c r="C19" s="16">
        <f>B19/COUNTA(Customers!$A$2:$A$2001)</f>
        <v>0.38600000000000001</v>
      </c>
      <c r="D19" s="15">
        <f>SUMIFS(Customers!$D$2:$D$2001,Customers!$N$2:$N$2001,A19)</f>
        <v>119872900</v>
      </c>
      <c r="E19" s="15">
        <f>SUMIFS(Customers!$K$2:$K$2001,Customers!$N$2:$N$2001,A19)</f>
        <v>3378410</v>
      </c>
    </row>
    <row r="20" spans="1:6" x14ac:dyDescent="0.35">
      <c r="A20" s="14" t="s">
        <v>117</v>
      </c>
      <c r="B20" s="15">
        <f>COUNTIF(Customers!$N$2:$N$2001,A20)</f>
        <v>519</v>
      </c>
      <c r="C20" s="16">
        <f>B20/COUNTA(Customers!$A$2:$A$2001)</f>
        <v>0.25950000000000001</v>
      </c>
      <c r="D20" s="15">
        <f>SUMIFS(Customers!$D$2:$D$2001,Customers!$N$2:$N$2001,A20)</f>
        <v>97141200</v>
      </c>
      <c r="E20" s="15">
        <f>SUMIFS(Customers!$K$2:$K$2001,Customers!$N$2:$N$2001,A20)</f>
        <v>4057076</v>
      </c>
    </row>
    <row r="21" spans="1:6" x14ac:dyDescent="0.35">
      <c r="A21" s="14" t="s">
        <v>70</v>
      </c>
      <c r="B21" s="15">
        <f>COUNTIF(Customers!$N$2:$N$2001,A21)</f>
        <v>200</v>
      </c>
      <c r="C21" s="16">
        <f>B21/COUNTA(Customers!$A$2:$A$2001)</f>
        <v>0.1</v>
      </c>
      <c r="D21" s="15">
        <f>SUMIFS(Customers!$D$2:$D$2001,Customers!$N$2:$N$2001,A21)</f>
        <v>56088600</v>
      </c>
      <c r="E21" s="15">
        <f>SUMIFS(Customers!$K$2:$K$2001,Customers!$N$2:$N$2001,A21)</f>
        <v>2011842</v>
      </c>
    </row>
    <row r="23" spans="1:6" x14ac:dyDescent="0.35">
      <c r="A23" s="13" t="s">
        <v>7980</v>
      </c>
    </row>
    <row r="24" spans="1:6" x14ac:dyDescent="0.35">
      <c r="A24" s="2" t="s">
        <v>16</v>
      </c>
      <c r="B24" s="2" t="s">
        <v>51</v>
      </c>
      <c r="C24" s="2" t="s">
        <v>53</v>
      </c>
      <c r="D24" s="2" t="s">
        <v>117</v>
      </c>
      <c r="E24" s="2" t="s">
        <v>70</v>
      </c>
      <c r="F24" s="2" t="s">
        <v>7977</v>
      </c>
    </row>
    <row r="25" spans="1:6" x14ac:dyDescent="0.35">
      <c r="A25" s="14" t="s">
        <v>54</v>
      </c>
      <c r="B25" s="15">
        <f>COUNTIFS(Customers!$Q$2:$Q$2001,$A25,Customers!$N$2:$N$2001,B$24)</f>
        <v>309</v>
      </c>
      <c r="C25" s="15">
        <f>COUNTIFS(Customers!$Q$2:$Q$2001,$A25,Customers!$N$2:$N$2001,C$24)</f>
        <v>215</v>
      </c>
      <c r="D25" s="15">
        <f>COUNTIFS(Customers!$Q$2:$Q$2001,$A25,Customers!$N$2:$N$2001,D$24)</f>
        <v>0</v>
      </c>
      <c r="E25" s="15">
        <f>COUNTIFS(Customers!$Q$2:$Q$2001,$A25,Customers!$N$2:$N$2001,E$24)</f>
        <v>0</v>
      </c>
      <c r="F25" s="18">
        <f>SUM(B25:E25)</f>
        <v>524</v>
      </c>
    </row>
    <row r="26" spans="1:6" x14ac:dyDescent="0.35">
      <c r="A26" s="14" t="s">
        <v>154</v>
      </c>
      <c r="B26" s="15">
        <f>COUNTIFS(Customers!$Q$2:$Q$2001,$A26,Customers!$N$2:$N$2001,B$24)</f>
        <v>62</v>
      </c>
      <c r="C26" s="15">
        <f>COUNTIFS(Customers!$Q$2:$Q$2001,$A26,Customers!$N$2:$N$2001,C$24)</f>
        <v>161</v>
      </c>
      <c r="D26" s="15">
        <f>COUNTIFS(Customers!$Q$2:$Q$2001,$A26,Customers!$N$2:$N$2001,D$24)</f>
        <v>53</v>
      </c>
      <c r="E26" s="15">
        <f>COUNTIFS(Customers!$Q$2:$Q$2001,$A26,Customers!$N$2:$N$2001,E$24)</f>
        <v>0</v>
      </c>
      <c r="F26" s="18">
        <f>SUM(B26:E26)</f>
        <v>276</v>
      </c>
    </row>
    <row r="27" spans="1:6" x14ac:dyDescent="0.35">
      <c r="A27" s="14" t="s">
        <v>169</v>
      </c>
      <c r="B27" s="15">
        <f>COUNTIFS(Customers!$Q$2:$Q$2001,$A27,Customers!$N$2:$N$2001,B$24)</f>
        <v>0</v>
      </c>
      <c r="C27" s="15">
        <f>COUNTIFS(Customers!$Q$2:$Q$2001,$A27,Customers!$N$2:$N$2001,C$24)</f>
        <v>53</v>
      </c>
      <c r="D27" s="15">
        <f>COUNTIFS(Customers!$Q$2:$Q$2001,$A27,Customers!$N$2:$N$2001,D$24)</f>
        <v>167</v>
      </c>
      <c r="E27" s="15">
        <f>COUNTIFS(Customers!$Q$2:$Q$2001,$A27,Customers!$N$2:$N$2001,E$24)</f>
        <v>11</v>
      </c>
      <c r="F27" s="18">
        <f>SUM(B27:E27)</f>
        <v>231</v>
      </c>
    </row>
    <row r="28" spans="1:6" x14ac:dyDescent="0.35">
      <c r="A28" s="14" t="s">
        <v>119</v>
      </c>
      <c r="B28" s="15">
        <f>COUNTIFS(Customers!$Q$2:$Q$2001,$A28,Customers!$N$2:$N$2001,B$24)</f>
        <v>0</v>
      </c>
      <c r="C28" s="15">
        <f>COUNTIFS(Customers!$Q$2:$Q$2001,$A28,Customers!$N$2:$N$2001,C$24)</f>
        <v>0</v>
      </c>
      <c r="D28" s="15">
        <f>COUNTIFS(Customers!$Q$2:$Q$2001,$A28,Customers!$N$2:$N$2001,D$24)</f>
        <v>244</v>
      </c>
      <c r="E28" s="15">
        <f>COUNTIFS(Customers!$Q$2:$Q$2001,$A28,Customers!$N$2:$N$2001,E$24)</f>
        <v>0</v>
      </c>
      <c r="F28" s="18">
        <f>SUM(B28:E28)</f>
        <v>244</v>
      </c>
    </row>
    <row r="29" spans="1:6" x14ac:dyDescent="0.35">
      <c r="A29" s="14" t="s">
        <v>73</v>
      </c>
      <c r="B29" s="15">
        <f>COUNTIFS(Customers!$Q$2:$Q$2001,$A29,Customers!$N$2:$N$2001,B$24)</f>
        <v>138</v>
      </c>
      <c r="C29" s="15">
        <f>COUNTIFS(Customers!$Q$2:$Q$2001,$A29,Customers!$N$2:$N$2001,C$24)</f>
        <v>343</v>
      </c>
      <c r="D29" s="15">
        <f>COUNTIFS(Customers!$Q$2:$Q$2001,$A29,Customers!$N$2:$N$2001,D$24)</f>
        <v>55</v>
      </c>
      <c r="E29" s="15">
        <f>COUNTIFS(Customers!$Q$2:$Q$2001,$A29,Customers!$N$2:$N$2001,E$24)</f>
        <v>189</v>
      </c>
      <c r="F29" s="18">
        <f>SUM(B29:E29)</f>
        <v>725</v>
      </c>
    </row>
    <row r="30" spans="1:6" x14ac:dyDescent="0.35">
      <c r="A30" s="17" t="s">
        <v>7977</v>
      </c>
      <c r="B30" s="18">
        <f>SUM(B25:B29)</f>
        <v>509</v>
      </c>
      <c r="C30" s="18">
        <f>SUM(C25:C29)</f>
        <v>772</v>
      </c>
      <c r="D30" s="18">
        <f>SUM(D25:D29)</f>
        <v>519</v>
      </c>
      <c r="E30" s="18">
        <f>SUM(E25:E29)</f>
        <v>200</v>
      </c>
      <c r="F30" s="18">
        <f>SUM(F25:F29)</f>
        <v>2000</v>
      </c>
    </row>
    <row r="32" spans="1:6" x14ac:dyDescent="0.35">
      <c r="A32" s="13" t="s">
        <v>7981</v>
      </c>
    </row>
    <row r="33" spans="1:4" ht="26" x14ac:dyDescent="0.35">
      <c r="A33" s="2" t="s">
        <v>7982</v>
      </c>
      <c r="B33" s="2" t="s">
        <v>7983</v>
      </c>
      <c r="C33" s="2" t="s">
        <v>7973</v>
      </c>
      <c r="D33" s="2" t="s">
        <v>7984</v>
      </c>
    </row>
    <row r="34" spans="1:4" x14ac:dyDescent="0.35">
      <c r="A34" s="20">
        <v>1</v>
      </c>
      <c r="B34" s="20">
        <f>Assumptions!$B$5-A34</f>
        <v>2</v>
      </c>
      <c r="C34" s="15">
        <f>COUNTIF(Customers!$I$2:$I$2001,A34)</f>
        <v>638</v>
      </c>
      <c r="D34" s="16">
        <f>C34/SUM($C$34:$C$35)</f>
        <v>0.56660746003552398</v>
      </c>
    </row>
    <row r="35" spans="1:4" x14ac:dyDescent="0.35">
      <c r="A35" s="20">
        <v>2</v>
      </c>
      <c r="B35" s="20">
        <f>Assumptions!$B$5-A35</f>
        <v>1</v>
      </c>
      <c r="C35" s="15">
        <f>COUNTIF(Customers!$I$2:$I$2001,A35)</f>
        <v>488</v>
      </c>
      <c r="D35" s="16">
        <f>C35/SUM($C$34:$C$35)</f>
        <v>0.43339253996447602</v>
      </c>
    </row>
    <row r="36" spans="1:4" x14ac:dyDescent="0.35">
      <c r="A36" s="17" t="s">
        <v>7985</v>
      </c>
      <c r="C36" s="18">
        <f>COUNTIFS(Customers!$F$2:$F$2001,"Monthly interest",Customers!$AI$2:$AI$2001,"Y")</f>
        <v>344</v>
      </c>
      <c r="D36" s="19">
        <f>C36/SUM($C$34:$C$35)</f>
        <v>0.30550621669626998</v>
      </c>
    </row>
    <row r="38" spans="1:4" x14ac:dyDescent="0.35">
      <c r="A38" s="13" t="s">
        <v>7986</v>
      </c>
    </row>
    <row r="39" spans="1:4" x14ac:dyDescent="0.35">
      <c r="A39" s="2" t="s">
        <v>15</v>
      </c>
      <c r="B39" s="2" t="s">
        <v>7973</v>
      </c>
      <c r="C39" s="2" t="s">
        <v>7974</v>
      </c>
    </row>
    <row r="40" spans="1:4" x14ac:dyDescent="0.35">
      <c r="A40" s="14" t="s">
        <v>53</v>
      </c>
      <c r="B40" s="15">
        <f>COUNTIF(Customers!$P$2:$P$2001,A40)</f>
        <v>509</v>
      </c>
      <c r="C40" s="16">
        <f>B40/COUNTA(Customers!$A$2:$A$2001)</f>
        <v>0.2545</v>
      </c>
    </row>
    <row r="41" spans="1:4" x14ac:dyDescent="0.35">
      <c r="A41" s="14" t="s">
        <v>51</v>
      </c>
      <c r="B41" s="15">
        <f>COUNTIF(Customers!$P$2:$P$2001,A41)</f>
        <v>178</v>
      </c>
      <c r="C41" s="16">
        <f>B41/COUNTA(Customers!$A$2:$A$2001)</f>
        <v>8.8999999999999996E-2</v>
      </c>
    </row>
    <row r="42" spans="1:4" x14ac:dyDescent="0.35">
      <c r="A42" s="14" t="s">
        <v>70</v>
      </c>
      <c r="B42" s="15">
        <f>COUNTIF(Customers!$P$2:$P$2001,A42)</f>
        <v>433</v>
      </c>
      <c r="C42" s="16">
        <f>B42/COUNTA(Customers!$A$2:$A$2001)</f>
        <v>0.2165</v>
      </c>
    </row>
    <row r="43" spans="1:4" x14ac:dyDescent="0.35">
      <c r="A43" s="14" t="s">
        <v>72</v>
      </c>
      <c r="B43" s="15">
        <f>COUNTIF(Customers!$P$2:$P$2001,A43)</f>
        <v>719</v>
      </c>
      <c r="C43" s="16">
        <f>B43/COUNTA(Customers!$A$2:$A$2001)</f>
        <v>0.35949999999999999</v>
      </c>
    </row>
    <row r="44" spans="1:4" x14ac:dyDescent="0.35">
      <c r="A44" s="14" t="s">
        <v>153</v>
      </c>
      <c r="B44" s="15">
        <f>COUNTIF(Customers!$P$2:$P$2001,A44)</f>
        <v>161</v>
      </c>
      <c r="C44" s="16">
        <f>B44/COUNTA(Customers!$A$2:$A$2001)</f>
        <v>8.0500000000000002E-2</v>
      </c>
    </row>
    <row r="47" spans="1:4" x14ac:dyDescent="0.35">
      <c r="A47" s="13" t="s">
        <v>7987</v>
      </c>
    </row>
    <row r="48" spans="1:4" x14ac:dyDescent="0.35">
      <c r="A48" s="2" t="s">
        <v>7988</v>
      </c>
      <c r="B48" s="2" t="s">
        <v>7973</v>
      </c>
      <c r="C48" s="2" t="s">
        <v>7974</v>
      </c>
    </row>
    <row r="49" spans="1:3" x14ac:dyDescent="0.35">
      <c r="A49" s="14" t="s">
        <v>56</v>
      </c>
      <c r="B49" s="15">
        <f>COUNTIF(Customers!$S$2:$S$2001,A49)</f>
        <v>421</v>
      </c>
      <c r="C49" s="16">
        <f>B49/COUNTA(Customers!$A$2:$A$2001)</f>
        <v>0.21049999999999999</v>
      </c>
    </row>
    <row r="50" spans="1:3" x14ac:dyDescent="0.35">
      <c r="A50" s="14" t="s">
        <v>75</v>
      </c>
      <c r="B50" s="15">
        <f>COUNTIF(Customers!$S$2:$S$2001,A50)</f>
        <v>386</v>
      </c>
      <c r="C50" s="16">
        <f>B50/COUNTA(Customers!$A$2:$A$2001)</f>
        <v>0.193</v>
      </c>
    </row>
    <row r="51" spans="1:3" x14ac:dyDescent="0.35">
      <c r="A51" s="14" t="s">
        <v>214</v>
      </c>
      <c r="B51" s="15">
        <f>COUNTIF(Customers!$S$2:$S$2001,A51)</f>
        <v>273</v>
      </c>
      <c r="C51" s="16">
        <f>B51/COUNTA(Customers!$A$2:$A$2001)</f>
        <v>0.13650000000000001</v>
      </c>
    </row>
    <row r="52" spans="1:3" x14ac:dyDescent="0.35">
      <c r="A52" s="14" t="s">
        <v>185</v>
      </c>
      <c r="B52" s="15">
        <f>COUNTIF(Customers!$S$2:$S$2001,A52)</f>
        <v>346</v>
      </c>
      <c r="C52" s="16">
        <f>B52/COUNTA(Customers!$A$2:$A$2001)</f>
        <v>0.17299999999999999</v>
      </c>
    </row>
    <row r="53" spans="1:3" x14ac:dyDescent="0.35">
      <c r="A53" s="14" t="s">
        <v>85</v>
      </c>
      <c r="B53" s="15">
        <f>COUNTIF(Customers!$S$2:$S$2001,A53)</f>
        <v>428</v>
      </c>
      <c r="C53" s="16">
        <f>B53/COUNTA(Customers!$A$2:$A$2001)</f>
        <v>0.214</v>
      </c>
    </row>
    <row r="54" spans="1:3" x14ac:dyDescent="0.35">
      <c r="A54" s="14" t="s">
        <v>253</v>
      </c>
      <c r="B54" s="15">
        <f>COUNTIF(Customers!$S$2:$S$2001,A54)</f>
        <v>146</v>
      </c>
      <c r="C54" s="16">
        <f>B54/COUNTA(Customers!$A$2:$A$2001)</f>
        <v>7.2999999999999995E-2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zoomScaleNormal="100" workbookViewId="0"/>
  </sheetViews>
  <sheetFormatPr defaultColWidth="8.6328125" defaultRowHeight="14.5" x14ac:dyDescent="0.35"/>
  <cols>
    <col min="1" max="1" width="52" customWidth="1"/>
    <col min="2" max="2" width="16" customWidth="1"/>
    <col min="3" max="3" width="110" customWidth="1"/>
  </cols>
  <sheetData>
    <row r="1" spans="1:3" ht="18" x14ac:dyDescent="0.4">
      <c r="A1" s="11" t="s">
        <v>7989</v>
      </c>
    </row>
    <row r="2" spans="1:3" x14ac:dyDescent="0.35">
      <c r="A2" s="12" t="s">
        <v>7990</v>
      </c>
    </row>
    <row r="3" spans="1:3" x14ac:dyDescent="0.35">
      <c r="A3" s="21" t="s">
        <v>7991</v>
      </c>
      <c r="B3" s="21" t="s">
        <v>7992</v>
      </c>
      <c r="C3" s="21" t="s">
        <v>7993</v>
      </c>
    </row>
    <row r="4" spans="1:3" ht="17.25" customHeight="1" x14ac:dyDescent="0.35">
      <c r="A4" s="5" t="s">
        <v>7994</v>
      </c>
      <c r="B4" s="22">
        <v>46298</v>
      </c>
      <c r="C4" s="23" t="s">
        <v>7995</v>
      </c>
    </row>
    <row r="5" spans="1:3" ht="44.25" customHeight="1" x14ac:dyDescent="0.35">
      <c r="A5" s="5" t="s">
        <v>7996</v>
      </c>
      <c r="B5" s="24">
        <v>3</v>
      </c>
      <c r="C5" s="23" t="s">
        <v>7997</v>
      </c>
    </row>
    <row r="6" spans="1:3" ht="30.75" customHeight="1" x14ac:dyDescent="0.35">
      <c r="A6" s="5" t="s">
        <v>7998</v>
      </c>
      <c r="B6" s="24">
        <v>2</v>
      </c>
      <c r="C6" s="23" t="s">
        <v>7999</v>
      </c>
    </row>
    <row r="7" spans="1:3" ht="17.25" customHeight="1" x14ac:dyDescent="0.35">
      <c r="A7" s="5" t="s">
        <v>8000</v>
      </c>
      <c r="B7" s="15">
        <v>50000</v>
      </c>
      <c r="C7" s="23" t="s">
        <v>8001</v>
      </c>
    </row>
    <row r="8" spans="1:3" ht="17.25" customHeight="1" x14ac:dyDescent="0.35">
      <c r="A8" s="5" t="s">
        <v>8002</v>
      </c>
      <c r="B8" s="15">
        <v>200000</v>
      </c>
      <c r="C8" s="23" t="s">
        <v>8003</v>
      </c>
    </row>
    <row r="9" spans="1:3" ht="17.25" customHeight="1" x14ac:dyDescent="0.35">
      <c r="A9" s="5" t="s">
        <v>8004</v>
      </c>
      <c r="B9" s="20">
        <v>31</v>
      </c>
      <c r="C9" s="23" t="s">
        <v>8005</v>
      </c>
    </row>
    <row r="10" spans="1:3" ht="17.25" customHeight="1" x14ac:dyDescent="0.35">
      <c r="A10" s="5" t="s">
        <v>8006</v>
      </c>
      <c r="B10" s="20">
        <v>48</v>
      </c>
      <c r="C10" s="23" t="s">
        <v>8007</v>
      </c>
    </row>
    <row r="13" spans="1:3" x14ac:dyDescent="0.35">
      <c r="A13" s="25" t="s">
        <v>8008</v>
      </c>
      <c r="B13" s="26"/>
      <c r="C13" s="26"/>
    </row>
    <row r="14" spans="1:3" ht="17.25" customHeight="1" x14ac:dyDescent="0.35">
      <c r="A14" s="27" t="s">
        <v>169</v>
      </c>
      <c r="B14" s="27" t="s">
        <v>8009</v>
      </c>
      <c r="C14" s="27" t="s">
        <v>8010</v>
      </c>
    </row>
    <row r="15" spans="1:3" ht="17.25" customHeight="1" x14ac:dyDescent="0.35">
      <c r="A15" s="27" t="s">
        <v>119</v>
      </c>
      <c r="B15" s="27" t="s">
        <v>8011</v>
      </c>
      <c r="C15" s="27" t="s">
        <v>117</v>
      </c>
    </row>
    <row r="16" spans="1:3" ht="17.25" customHeight="1" x14ac:dyDescent="0.35">
      <c r="A16" s="27" t="s">
        <v>154</v>
      </c>
      <c r="B16" s="27" t="s">
        <v>8012</v>
      </c>
      <c r="C16" s="27" t="s">
        <v>8013</v>
      </c>
    </row>
    <row r="17" spans="1:3" ht="17.25" customHeight="1" x14ac:dyDescent="0.35">
      <c r="A17" s="27" t="s">
        <v>54</v>
      </c>
      <c r="B17" s="27" t="s">
        <v>8014</v>
      </c>
      <c r="C17" s="27" t="s">
        <v>8015</v>
      </c>
    </row>
    <row r="18" spans="1:3" ht="17.25" customHeight="1" x14ac:dyDescent="0.35">
      <c r="A18" s="27" t="s">
        <v>73</v>
      </c>
      <c r="B18" s="27" t="s">
        <v>8016</v>
      </c>
      <c r="C18" s="27" t="s">
        <v>8017</v>
      </c>
    </row>
    <row r="19" spans="1:3" ht="17.25" customHeight="1" x14ac:dyDescent="0.35"/>
    <row r="20" spans="1:3" ht="30.75" customHeight="1" x14ac:dyDescent="0.35">
      <c r="A20" s="25" t="s">
        <v>8018</v>
      </c>
      <c r="B20" s="26"/>
      <c r="C20" s="26"/>
    </row>
    <row r="21" spans="1:3" ht="30.75" customHeight="1" x14ac:dyDescent="0.35">
      <c r="A21" s="27" t="s">
        <v>8019</v>
      </c>
      <c r="B21" s="1" t="s">
        <v>8020</v>
      </c>
      <c r="C21" s="1"/>
    </row>
    <row r="22" spans="1:3" ht="17.25" customHeight="1" x14ac:dyDescent="0.35">
      <c r="A22" s="27" t="s">
        <v>8021</v>
      </c>
      <c r="B22" s="1" t="s">
        <v>51</v>
      </c>
      <c r="C22" s="1"/>
    </row>
    <row r="23" spans="1:3" ht="17.25" customHeight="1" x14ac:dyDescent="0.35">
      <c r="A23" s="27" t="s">
        <v>8022</v>
      </c>
      <c r="B23" s="1" t="s">
        <v>8023</v>
      </c>
      <c r="C23" s="1"/>
    </row>
    <row r="24" spans="1:3" ht="17.25" customHeight="1" x14ac:dyDescent="0.35">
      <c r="A24" s="27" t="s">
        <v>8024</v>
      </c>
      <c r="B24" s="1" t="s">
        <v>8025</v>
      </c>
      <c r="C24" s="1"/>
    </row>
    <row r="25" spans="1:3" ht="30.75" customHeight="1" x14ac:dyDescent="0.35">
      <c r="A25" s="27" t="s">
        <v>8026</v>
      </c>
      <c r="B25" s="1" t="s">
        <v>8027</v>
      </c>
      <c r="C25" s="1"/>
    </row>
    <row r="26" spans="1:3" ht="44.25" customHeight="1" x14ac:dyDescent="0.35">
      <c r="A26" s="27" t="s">
        <v>8028</v>
      </c>
      <c r="B26" s="1" t="s">
        <v>8029</v>
      </c>
      <c r="C26" s="1"/>
    </row>
    <row r="27" spans="1:3" ht="17.25" customHeight="1" x14ac:dyDescent="0.35">
      <c r="A27" s="27" t="s">
        <v>8030</v>
      </c>
      <c r="B27" s="1" t="s">
        <v>8031</v>
      </c>
      <c r="C27" s="1"/>
    </row>
    <row r="28" spans="1:3" ht="30.75" customHeight="1" x14ac:dyDescent="0.35">
      <c r="A28" s="27" t="s">
        <v>15</v>
      </c>
      <c r="B28" s="1" t="s">
        <v>8032</v>
      </c>
      <c r="C28" s="1"/>
    </row>
    <row r="29" spans="1:3" ht="30.75" customHeight="1" x14ac:dyDescent="0.35">
      <c r="A29" s="27" t="s">
        <v>72</v>
      </c>
      <c r="B29" s="1" t="s">
        <v>8033</v>
      </c>
      <c r="C29" s="1"/>
    </row>
    <row r="30" spans="1:3" ht="17.25" customHeight="1" x14ac:dyDescent="0.35"/>
    <row r="31" spans="1:3" ht="30.75" customHeight="1" x14ac:dyDescent="0.35">
      <c r="A31" s="25" t="s">
        <v>8034</v>
      </c>
      <c r="B31" s="26"/>
      <c r="C31" s="26"/>
    </row>
    <row r="32" spans="1:3" ht="30.75" customHeight="1" x14ac:dyDescent="0.35">
      <c r="A32" s="27" t="s">
        <v>8035</v>
      </c>
      <c r="B32" s="1" t="s">
        <v>8036</v>
      </c>
      <c r="C32" s="1"/>
    </row>
    <row r="33" spans="1:3" ht="30.75" customHeight="1" x14ac:dyDescent="0.35">
      <c r="A33" s="27" t="s">
        <v>8037</v>
      </c>
      <c r="B33" s="1" t="s">
        <v>8038</v>
      </c>
      <c r="C33" s="1"/>
    </row>
    <row r="34" spans="1:3" ht="44.25" customHeight="1" x14ac:dyDescent="0.35">
      <c r="A34" s="27" t="s">
        <v>8039</v>
      </c>
      <c r="B34" s="1" t="s">
        <v>8040</v>
      </c>
      <c r="C34" s="1"/>
    </row>
    <row r="35" spans="1:3" ht="17.25" customHeight="1" x14ac:dyDescent="0.35">
      <c r="A35" s="27" t="s">
        <v>8041</v>
      </c>
      <c r="B35" s="1" t="s">
        <v>8042</v>
      </c>
      <c r="C35" s="1"/>
    </row>
    <row r="36" spans="1:3" ht="17.25" customHeight="1" x14ac:dyDescent="0.35">
      <c r="A36" s="27" t="s">
        <v>8043</v>
      </c>
      <c r="B36" s="1" t="s">
        <v>8044</v>
      </c>
      <c r="C36" s="1"/>
    </row>
    <row r="37" spans="1:3" ht="17.25" customHeight="1" x14ac:dyDescent="0.35">
      <c r="A37" s="27" t="s">
        <v>8045</v>
      </c>
      <c r="B37" s="1" t="s">
        <v>8046</v>
      </c>
      <c r="C37" s="1"/>
    </row>
    <row r="38" spans="1:3" ht="57.75" customHeight="1" x14ac:dyDescent="0.35">
      <c r="A38" s="27" t="s">
        <v>8047</v>
      </c>
      <c r="B38" s="1" t="s">
        <v>8048</v>
      </c>
      <c r="C38" s="1"/>
    </row>
    <row r="39" spans="1:3" ht="30.75" customHeight="1" x14ac:dyDescent="0.35">
      <c r="A39" s="27" t="s">
        <v>8049</v>
      </c>
      <c r="B39" s="1" t="s">
        <v>8050</v>
      </c>
      <c r="C39" s="1"/>
    </row>
    <row r="40" spans="1:3" ht="17.25" customHeight="1" x14ac:dyDescent="0.35"/>
  </sheetData>
  <mergeCells count="17">
    <mergeCell ref="B38:C38"/>
    <mergeCell ref="B39:C39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2:C32"/>
    <mergeCell ref="B21:C21"/>
    <mergeCell ref="B22:C22"/>
    <mergeCell ref="B23:C23"/>
    <mergeCell ref="B24:C24"/>
    <mergeCell ref="B25:C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38" customWidth="1"/>
    <col min="3" max="3" width="16" customWidth="1"/>
    <col min="4" max="4" width="14" customWidth="1"/>
    <col min="5" max="5" width="110" customWidth="1"/>
  </cols>
  <sheetData>
    <row r="1" spans="1:5" ht="18" x14ac:dyDescent="0.4">
      <c r="A1" s="11" t="s">
        <v>8051</v>
      </c>
    </row>
    <row r="2" spans="1:5" x14ac:dyDescent="0.35">
      <c r="A2" s="12" t="s">
        <v>8052</v>
      </c>
    </row>
    <row r="4" spans="1:5" x14ac:dyDescent="0.35">
      <c r="A4" s="21" t="s">
        <v>8053</v>
      </c>
      <c r="B4" s="21" t="s">
        <v>8054</v>
      </c>
      <c r="C4" s="21" t="s">
        <v>8055</v>
      </c>
      <c r="D4" s="21" t="s">
        <v>8056</v>
      </c>
      <c r="E4" s="21" t="s">
        <v>8057</v>
      </c>
    </row>
    <row r="5" spans="1:5" x14ac:dyDescent="0.35">
      <c r="A5" s="28">
        <v>1</v>
      </c>
      <c r="B5" s="28" t="s">
        <v>0</v>
      </c>
      <c r="C5" s="28" t="s">
        <v>8058</v>
      </c>
      <c r="D5" s="28" t="s">
        <v>8059</v>
      </c>
      <c r="E5" s="28" t="s">
        <v>8060</v>
      </c>
    </row>
    <row r="6" spans="1:5" x14ac:dyDescent="0.35">
      <c r="A6" s="28">
        <v>2</v>
      </c>
      <c r="B6" s="28" t="s">
        <v>1</v>
      </c>
      <c r="C6" s="28" t="s">
        <v>8058</v>
      </c>
      <c r="D6" s="28" t="s">
        <v>8059</v>
      </c>
      <c r="E6" s="28" t="s">
        <v>8061</v>
      </c>
    </row>
    <row r="7" spans="1:5" x14ac:dyDescent="0.35">
      <c r="A7" s="28">
        <v>3</v>
      </c>
      <c r="B7" s="28" t="s">
        <v>2</v>
      </c>
      <c r="C7" s="28" t="s">
        <v>8058</v>
      </c>
      <c r="D7" s="28" t="s">
        <v>8059</v>
      </c>
      <c r="E7" s="28" t="s">
        <v>8062</v>
      </c>
    </row>
    <row r="8" spans="1:5" x14ac:dyDescent="0.35">
      <c r="A8" s="28">
        <v>4</v>
      </c>
      <c r="B8" s="28" t="s">
        <v>3</v>
      </c>
      <c r="C8" s="28" t="s">
        <v>8058</v>
      </c>
      <c r="D8" s="28" t="s">
        <v>8059</v>
      </c>
      <c r="E8" s="28" t="s">
        <v>8063</v>
      </c>
    </row>
    <row r="9" spans="1:5" x14ac:dyDescent="0.35">
      <c r="A9" s="28">
        <v>5</v>
      </c>
      <c r="B9" s="28" t="s">
        <v>4</v>
      </c>
      <c r="C9" s="28" t="s">
        <v>8058</v>
      </c>
      <c r="D9" s="28" t="s">
        <v>8059</v>
      </c>
      <c r="E9" s="28" t="s">
        <v>8064</v>
      </c>
    </row>
    <row r="10" spans="1:5" x14ac:dyDescent="0.35">
      <c r="A10" s="28">
        <v>6</v>
      </c>
      <c r="B10" s="28" t="s">
        <v>5</v>
      </c>
      <c r="C10" s="28" t="s">
        <v>8058</v>
      </c>
      <c r="D10" s="28" t="s">
        <v>8059</v>
      </c>
      <c r="E10" s="28" t="s">
        <v>8065</v>
      </c>
    </row>
    <row r="11" spans="1:5" x14ac:dyDescent="0.35">
      <c r="A11" s="28">
        <v>7</v>
      </c>
      <c r="B11" s="28" t="s">
        <v>6</v>
      </c>
      <c r="C11" s="28" t="s">
        <v>8058</v>
      </c>
      <c r="D11" s="28" t="s">
        <v>8059</v>
      </c>
      <c r="E11" s="28" t="s">
        <v>8066</v>
      </c>
    </row>
    <row r="12" spans="1:5" x14ac:dyDescent="0.35">
      <c r="A12" s="28">
        <v>8</v>
      </c>
      <c r="B12" s="28" t="s">
        <v>7</v>
      </c>
      <c r="C12" s="28" t="s">
        <v>8058</v>
      </c>
      <c r="D12" s="28" t="s">
        <v>8067</v>
      </c>
      <c r="E12" s="28" t="s">
        <v>8068</v>
      </c>
    </row>
    <row r="13" spans="1:5" x14ac:dyDescent="0.35">
      <c r="A13" s="28">
        <v>9</v>
      </c>
      <c r="B13" s="28" t="s">
        <v>8</v>
      </c>
      <c r="C13" s="28" t="s">
        <v>8058</v>
      </c>
      <c r="D13" s="28" t="s">
        <v>8059</v>
      </c>
      <c r="E13" s="28" t="s">
        <v>8069</v>
      </c>
    </row>
    <row r="14" spans="1:5" x14ac:dyDescent="0.35">
      <c r="A14" s="28">
        <v>10</v>
      </c>
      <c r="B14" s="28" t="s">
        <v>9</v>
      </c>
      <c r="C14" s="28" t="s">
        <v>8058</v>
      </c>
      <c r="D14" s="28" t="s">
        <v>8067</v>
      </c>
      <c r="E14" s="28" t="s">
        <v>8070</v>
      </c>
    </row>
    <row r="15" spans="1:5" ht="25" x14ac:dyDescent="0.35">
      <c r="A15" s="28">
        <v>11</v>
      </c>
      <c r="B15" s="28" t="s">
        <v>10</v>
      </c>
      <c r="C15" s="28" t="s">
        <v>8058</v>
      </c>
      <c r="D15" s="28" t="s">
        <v>8067</v>
      </c>
      <c r="E15" s="28" t="s">
        <v>8071</v>
      </c>
    </row>
    <row r="16" spans="1:5" x14ac:dyDescent="0.35">
      <c r="A16" s="28">
        <v>12</v>
      </c>
      <c r="B16" s="28" t="s">
        <v>11</v>
      </c>
      <c r="C16" s="28" t="s">
        <v>8058</v>
      </c>
      <c r="D16" s="28" t="s">
        <v>8059</v>
      </c>
      <c r="E16" s="28" t="s">
        <v>8072</v>
      </c>
    </row>
    <row r="17" spans="1:5" x14ac:dyDescent="0.35">
      <c r="A17" s="28">
        <v>13</v>
      </c>
      <c r="B17" s="28" t="s">
        <v>12</v>
      </c>
      <c r="C17" s="28" t="s">
        <v>8058</v>
      </c>
      <c r="D17" s="28" t="s">
        <v>8073</v>
      </c>
      <c r="E17" s="28" t="s">
        <v>8074</v>
      </c>
    </row>
    <row r="18" spans="1:5" ht="25" x14ac:dyDescent="0.35">
      <c r="A18" s="28">
        <v>14</v>
      </c>
      <c r="B18" s="28" t="s">
        <v>13</v>
      </c>
      <c r="C18" s="28" t="s">
        <v>8058</v>
      </c>
      <c r="D18" s="28" t="s">
        <v>8073</v>
      </c>
      <c r="E18" s="28" t="s">
        <v>8075</v>
      </c>
    </row>
    <row r="19" spans="1:5" x14ac:dyDescent="0.35">
      <c r="A19" s="28">
        <v>15</v>
      </c>
      <c r="B19" s="28" t="s">
        <v>14</v>
      </c>
      <c r="C19" s="28" t="s">
        <v>8076</v>
      </c>
      <c r="D19" s="28" t="s">
        <v>8073</v>
      </c>
      <c r="E19" s="28" t="s">
        <v>8077</v>
      </c>
    </row>
    <row r="20" spans="1:5" x14ac:dyDescent="0.35">
      <c r="A20" s="28">
        <v>16</v>
      </c>
      <c r="B20" s="28" t="s">
        <v>15</v>
      </c>
      <c r="C20" s="28" t="s">
        <v>8076</v>
      </c>
      <c r="D20" s="28" t="s">
        <v>8073</v>
      </c>
      <c r="E20" s="28" t="s">
        <v>8078</v>
      </c>
    </row>
    <row r="21" spans="1:5" x14ac:dyDescent="0.35">
      <c r="A21" s="28">
        <v>17</v>
      </c>
      <c r="B21" s="28" t="s">
        <v>16</v>
      </c>
      <c r="C21" s="28" t="s">
        <v>8076</v>
      </c>
      <c r="D21" s="28" t="s">
        <v>8073</v>
      </c>
      <c r="E21" s="28" t="s">
        <v>8079</v>
      </c>
    </row>
    <row r="22" spans="1:5" x14ac:dyDescent="0.35">
      <c r="A22" s="28">
        <v>18</v>
      </c>
      <c r="B22" s="28" t="s">
        <v>17</v>
      </c>
      <c r="C22" s="28" t="s">
        <v>8076</v>
      </c>
      <c r="D22" s="28" t="s">
        <v>8073</v>
      </c>
      <c r="E22" s="28" t="s">
        <v>8080</v>
      </c>
    </row>
    <row r="23" spans="1:5" x14ac:dyDescent="0.35">
      <c r="A23" s="28">
        <v>19</v>
      </c>
      <c r="B23" s="28" t="s">
        <v>18</v>
      </c>
      <c r="C23" s="28" t="s">
        <v>8076</v>
      </c>
      <c r="D23" s="28" t="s">
        <v>8059</v>
      </c>
      <c r="E23" s="28" t="s">
        <v>8081</v>
      </c>
    </row>
    <row r="24" spans="1:5" x14ac:dyDescent="0.35">
      <c r="A24" s="28">
        <v>20</v>
      </c>
      <c r="B24" s="28" t="s">
        <v>19</v>
      </c>
      <c r="C24" s="28" t="s">
        <v>8076</v>
      </c>
      <c r="D24" s="28" t="s">
        <v>8059</v>
      </c>
      <c r="E24" s="28" t="s">
        <v>8082</v>
      </c>
    </row>
    <row r="25" spans="1:5" x14ac:dyDescent="0.35">
      <c r="A25" s="28">
        <v>21</v>
      </c>
      <c r="B25" s="28" t="s">
        <v>20</v>
      </c>
      <c r="C25" s="28" t="s">
        <v>8076</v>
      </c>
      <c r="D25" s="28" t="s">
        <v>8059</v>
      </c>
      <c r="E25" s="28" t="s">
        <v>8083</v>
      </c>
    </row>
    <row r="26" spans="1:5" x14ac:dyDescent="0.35">
      <c r="A26" s="28">
        <v>22</v>
      </c>
      <c r="B26" s="28" t="s">
        <v>21</v>
      </c>
      <c r="C26" s="28" t="s">
        <v>8076</v>
      </c>
      <c r="D26" s="28" t="s">
        <v>8059</v>
      </c>
      <c r="E26" s="28" t="s">
        <v>8084</v>
      </c>
    </row>
    <row r="27" spans="1:5" x14ac:dyDescent="0.35">
      <c r="A27" s="28">
        <v>23</v>
      </c>
      <c r="B27" s="28" t="s">
        <v>22</v>
      </c>
      <c r="C27" s="28" t="s">
        <v>8076</v>
      </c>
      <c r="D27" s="28" t="s">
        <v>8059</v>
      </c>
      <c r="E27" s="28" t="s">
        <v>8085</v>
      </c>
    </row>
    <row r="28" spans="1:5" x14ac:dyDescent="0.35">
      <c r="A28" s="28">
        <v>24</v>
      </c>
      <c r="B28" s="28" t="s">
        <v>23</v>
      </c>
      <c r="C28" s="28" t="s">
        <v>8076</v>
      </c>
      <c r="D28" s="28" t="s">
        <v>8059</v>
      </c>
      <c r="E28" s="28" t="s">
        <v>8086</v>
      </c>
    </row>
    <row r="29" spans="1:5" x14ac:dyDescent="0.35">
      <c r="A29" s="28">
        <v>25</v>
      </c>
      <c r="B29" s="28" t="s">
        <v>24</v>
      </c>
      <c r="C29" s="28" t="s">
        <v>8076</v>
      </c>
      <c r="D29" s="28" t="s">
        <v>8059</v>
      </c>
      <c r="E29" s="28" t="s">
        <v>8087</v>
      </c>
    </row>
    <row r="30" spans="1:5" x14ac:dyDescent="0.35">
      <c r="A30" s="28">
        <v>26</v>
      </c>
      <c r="B30" s="28" t="s">
        <v>25</v>
      </c>
      <c r="C30" s="28" t="s">
        <v>8076</v>
      </c>
      <c r="D30" s="28" t="s">
        <v>8059</v>
      </c>
      <c r="E30" s="28" t="s">
        <v>8088</v>
      </c>
    </row>
    <row r="31" spans="1:5" x14ac:dyDescent="0.35">
      <c r="A31" s="28">
        <v>27</v>
      </c>
      <c r="B31" s="28" t="s">
        <v>26</v>
      </c>
      <c r="C31" s="28" t="s">
        <v>8076</v>
      </c>
      <c r="D31" s="28" t="s">
        <v>8059</v>
      </c>
      <c r="E31" s="28" t="s">
        <v>8089</v>
      </c>
    </row>
    <row r="32" spans="1:5" x14ac:dyDescent="0.35">
      <c r="A32" s="28">
        <v>28</v>
      </c>
      <c r="B32" s="28" t="s">
        <v>27</v>
      </c>
      <c r="C32" s="28" t="s">
        <v>8076</v>
      </c>
      <c r="D32" s="28" t="s">
        <v>8067</v>
      </c>
      <c r="E32" s="28" t="s">
        <v>8090</v>
      </c>
    </row>
    <row r="33" spans="1:5" x14ac:dyDescent="0.35">
      <c r="A33" s="28">
        <v>29</v>
      </c>
      <c r="B33" s="28" t="s">
        <v>28</v>
      </c>
      <c r="C33" s="28" t="s">
        <v>8076</v>
      </c>
      <c r="D33" s="28" t="s">
        <v>8059</v>
      </c>
      <c r="E33" s="28" t="s">
        <v>8091</v>
      </c>
    </row>
    <row r="34" spans="1:5" x14ac:dyDescent="0.35">
      <c r="A34" s="28">
        <v>30</v>
      </c>
      <c r="B34" s="28" t="s">
        <v>29</v>
      </c>
      <c r="C34" s="28" t="s">
        <v>8076</v>
      </c>
      <c r="D34" s="28" t="s">
        <v>8067</v>
      </c>
      <c r="E34" s="28" t="s">
        <v>8092</v>
      </c>
    </row>
    <row r="35" spans="1:5" x14ac:dyDescent="0.35">
      <c r="A35" s="28">
        <v>31</v>
      </c>
      <c r="B35" s="28" t="s">
        <v>30</v>
      </c>
      <c r="C35" s="28" t="s">
        <v>8076</v>
      </c>
      <c r="D35" s="28" t="s">
        <v>8067</v>
      </c>
      <c r="E35" s="28" t="s">
        <v>8093</v>
      </c>
    </row>
    <row r="36" spans="1:5" x14ac:dyDescent="0.35">
      <c r="A36" s="28">
        <v>32</v>
      </c>
      <c r="B36" s="28" t="s">
        <v>31</v>
      </c>
      <c r="C36" s="28" t="s">
        <v>8076</v>
      </c>
      <c r="D36" s="28" t="s">
        <v>8067</v>
      </c>
      <c r="E36" s="28" t="s">
        <v>8094</v>
      </c>
    </row>
    <row r="37" spans="1:5" x14ac:dyDescent="0.35">
      <c r="A37" s="28">
        <v>33</v>
      </c>
      <c r="B37" s="28" t="s">
        <v>32</v>
      </c>
      <c r="C37" s="28" t="s">
        <v>8076</v>
      </c>
      <c r="D37" s="28" t="s">
        <v>8059</v>
      </c>
      <c r="E37" s="28" t="s">
        <v>8095</v>
      </c>
    </row>
    <row r="38" spans="1:5" x14ac:dyDescent="0.35">
      <c r="A38" s="28">
        <v>34</v>
      </c>
      <c r="B38" s="28" t="s">
        <v>33</v>
      </c>
      <c r="C38" s="28" t="s">
        <v>8076</v>
      </c>
      <c r="D38" s="28" t="s">
        <v>8067</v>
      </c>
      <c r="E38" s="28" t="s">
        <v>8096</v>
      </c>
    </row>
    <row r="39" spans="1:5" x14ac:dyDescent="0.35">
      <c r="A39" s="28">
        <v>35</v>
      </c>
      <c r="B39" s="28" t="s">
        <v>34</v>
      </c>
      <c r="C39" s="28" t="s">
        <v>8076</v>
      </c>
      <c r="D39" s="28" t="s">
        <v>8059</v>
      </c>
      <c r="E39" s="28" t="s">
        <v>8097</v>
      </c>
    </row>
    <row r="40" spans="1:5" x14ac:dyDescent="0.35">
      <c r="A40" s="28">
        <v>36</v>
      </c>
      <c r="B40" s="28" t="s">
        <v>35</v>
      </c>
      <c r="C40" s="28" t="s">
        <v>8076</v>
      </c>
      <c r="D40" s="28" t="s">
        <v>8059</v>
      </c>
      <c r="E40" s="28" t="s">
        <v>8098</v>
      </c>
    </row>
    <row r="41" spans="1:5" x14ac:dyDescent="0.35">
      <c r="A41" s="28">
        <v>37</v>
      </c>
      <c r="B41" s="28" t="s">
        <v>36</v>
      </c>
      <c r="C41" s="28" t="s">
        <v>8076</v>
      </c>
      <c r="D41" s="28" t="s">
        <v>8059</v>
      </c>
      <c r="E41" s="28" t="s">
        <v>8099</v>
      </c>
    </row>
    <row r="42" spans="1:5" x14ac:dyDescent="0.35">
      <c r="A42" s="28">
        <v>38</v>
      </c>
      <c r="B42" s="28" t="s">
        <v>37</v>
      </c>
      <c r="C42" s="28" t="s">
        <v>8076</v>
      </c>
      <c r="D42" s="28" t="s">
        <v>8059</v>
      </c>
      <c r="E42" s="28" t="s">
        <v>8100</v>
      </c>
    </row>
    <row r="43" spans="1:5" x14ac:dyDescent="0.35">
      <c r="A43" s="28">
        <v>39</v>
      </c>
      <c r="B43" s="28" t="s">
        <v>38</v>
      </c>
      <c r="C43" s="28" t="s">
        <v>8076</v>
      </c>
      <c r="D43" s="28" t="s">
        <v>8059</v>
      </c>
      <c r="E43" s="28" t="s">
        <v>8101</v>
      </c>
    </row>
    <row r="44" spans="1:5" x14ac:dyDescent="0.35">
      <c r="A44" s="28">
        <v>40</v>
      </c>
      <c r="B44" s="28" t="s">
        <v>39</v>
      </c>
      <c r="C44" s="28" t="s">
        <v>8076</v>
      </c>
      <c r="D44" s="28" t="s">
        <v>8059</v>
      </c>
      <c r="E44" s="28" t="s">
        <v>8102</v>
      </c>
    </row>
    <row r="45" spans="1:5" x14ac:dyDescent="0.35">
      <c r="A45" s="28">
        <v>41</v>
      </c>
      <c r="B45" s="28" t="s">
        <v>40</v>
      </c>
      <c r="C45" s="28" t="s">
        <v>8076</v>
      </c>
      <c r="D45" s="28" t="s">
        <v>8059</v>
      </c>
      <c r="E45" s="28" t="s">
        <v>8103</v>
      </c>
    </row>
    <row r="46" spans="1:5" x14ac:dyDescent="0.35">
      <c r="A46" s="28">
        <v>42</v>
      </c>
      <c r="B46" s="28" t="s">
        <v>41</v>
      </c>
      <c r="C46" s="28" t="s">
        <v>8076</v>
      </c>
      <c r="D46" s="28" t="s">
        <v>8073</v>
      </c>
      <c r="E46" s="28" t="s">
        <v>8104</v>
      </c>
    </row>
    <row r="47" spans="1:5" x14ac:dyDescent="0.35">
      <c r="A47" s="28">
        <v>43</v>
      </c>
      <c r="B47" s="28" t="s">
        <v>42</v>
      </c>
      <c r="C47" s="28" t="s">
        <v>8076</v>
      </c>
      <c r="D47" s="28" t="s">
        <v>8059</v>
      </c>
      <c r="E47" s="28" t="s">
        <v>8105</v>
      </c>
    </row>
    <row r="48" spans="1:5" x14ac:dyDescent="0.35">
      <c r="A48" s="28">
        <v>44</v>
      </c>
      <c r="B48" s="28" t="s">
        <v>43</v>
      </c>
      <c r="C48" s="28" t="s">
        <v>8076</v>
      </c>
      <c r="D48" s="28" t="s">
        <v>8059</v>
      </c>
      <c r="E48" s="28" t="s">
        <v>8106</v>
      </c>
    </row>
    <row r="49" spans="1:5" x14ac:dyDescent="0.35">
      <c r="A49" s="28">
        <v>45</v>
      </c>
      <c r="B49" s="28" t="s">
        <v>44</v>
      </c>
      <c r="C49" s="28" t="s">
        <v>8076</v>
      </c>
      <c r="D49" s="28" t="s">
        <v>8059</v>
      </c>
      <c r="E49" s="28" t="s">
        <v>8107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Summary</vt:lpstr>
      <vt:lpstr>Assumptions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Pankhuri Gupta</cp:lastModifiedBy>
  <cp:revision>0</cp:revision>
  <dcterms:created xsi:type="dcterms:W3CDTF">2026-10-03T16:04:36Z</dcterms:created>
  <dcterms:modified xsi:type="dcterms:W3CDTF">2026-10-03T16:07:48Z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2026-10-03T16:07:29Z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3fe428a7-451c-4052-bf8b-072ea35724d4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10, 3, 0, 1</vt:lpwstr>
  </property>
</Properties>
</file>